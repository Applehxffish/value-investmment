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1Xiaofeng\value-investment-backup\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半导体及元件!$BU$1:$BU$152</definedName>
  </definedNames>
  <calcPr calcId="152511"/>
</workbook>
</file>

<file path=xl/calcChain.xml><?xml version="1.0" encoding="utf-8"?>
<calcChain xmlns="http://schemas.openxmlformats.org/spreadsheetml/2006/main">
  <c r="C13" i="14" l="1"/>
  <c r="C12" i="14"/>
  <c r="C140" i="7"/>
  <c r="C23" i="7"/>
  <c r="C35" i="7"/>
  <c r="C10" i="7"/>
  <c r="C152" i="7"/>
  <c r="C33" i="7"/>
  <c r="C142" i="7"/>
  <c r="C26"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149" i="7"/>
  <c r="C144" i="7"/>
  <c r="C139" i="7"/>
  <c r="C135" i="7"/>
  <c r="C131" i="7"/>
  <c r="C127" i="7"/>
  <c r="C123" i="7"/>
  <c r="C119" i="7"/>
  <c r="C115" i="7"/>
  <c r="C111" i="7"/>
  <c r="C107" i="7"/>
  <c r="C103" i="7"/>
  <c r="C99" i="7"/>
  <c r="C95" i="7"/>
  <c r="C91" i="7"/>
  <c r="C87" i="7"/>
  <c r="C81" i="7"/>
  <c r="C78" i="7"/>
  <c r="C74" i="7"/>
  <c r="C70" i="7"/>
  <c r="C66" i="7"/>
  <c r="C62" i="7"/>
  <c r="C58" i="7"/>
  <c r="C54" i="7"/>
  <c r="C51" i="7"/>
  <c r="C48" i="7"/>
  <c r="C44" i="7"/>
  <c r="C40" i="7"/>
  <c r="C37" i="7"/>
  <c r="C32" i="7"/>
  <c r="C29" i="7"/>
  <c r="C27" i="7"/>
  <c r="C21" i="7"/>
  <c r="C16" i="7"/>
  <c r="C12" i="7"/>
  <c r="C8" i="7"/>
  <c r="C3" i="7"/>
  <c r="C88" i="7"/>
  <c r="C71" i="7"/>
  <c r="C30" i="7"/>
  <c r="C148" i="7"/>
  <c r="C143" i="7"/>
  <c r="C138" i="7"/>
  <c r="C134" i="7"/>
  <c r="C130" i="7"/>
  <c r="C125" i="7"/>
  <c r="C122" i="7"/>
  <c r="C118" i="7"/>
  <c r="C114" i="7"/>
  <c r="C110" i="7"/>
  <c r="C106" i="7"/>
  <c r="C102" i="7"/>
  <c r="C98" i="7"/>
  <c r="C94" i="7"/>
  <c r="C90" i="7"/>
  <c r="C85" i="7"/>
  <c r="C80" i="7"/>
  <c r="C77" i="7"/>
  <c r="C73" i="7"/>
  <c r="C69" i="7"/>
  <c r="C65" i="7"/>
  <c r="C61" i="7"/>
  <c r="C57" i="7"/>
  <c r="C53" i="7"/>
  <c r="C47" i="7"/>
  <c r="C45" i="7"/>
  <c r="C43" i="7"/>
  <c r="C39" i="7"/>
  <c r="C36" i="7"/>
  <c r="C25" i="7"/>
  <c r="C20" i="7"/>
  <c r="C18" i="7"/>
  <c r="C15" i="7"/>
  <c r="C11" i="7"/>
  <c r="C6" i="7"/>
  <c r="C4" i="7"/>
  <c r="C5" i="7"/>
  <c r="C92" i="7"/>
  <c r="C67" i="7"/>
  <c r="C55" i="7"/>
  <c r="C46" i="7"/>
  <c r="C86" i="7"/>
  <c r="C151" i="7"/>
  <c r="C146" i="7"/>
  <c r="C141" i="7"/>
  <c r="C137" i="7"/>
  <c r="C133" i="7"/>
  <c r="C129" i="7"/>
  <c r="C124" i="7"/>
  <c r="C121" i="7"/>
  <c r="C117" i="7"/>
  <c r="C113" i="7"/>
  <c r="C109" i="7"/>
  <c r="C105" i="7"/>
  <c r="C101" i="7"/>
  <c r="C97" i="7"/>
  <c r="C93" i="7"/>
  <c r="C89" i="7"/>
  <c r="C84" i="7"/>
  <c r="C79" i="7"/>
  <c r="C76" i="7"/>
  <c r="C72" i="7"/>
  <c r="C68" i="7"/>
  <c r="C64" i="7"/>
  <c r="C60" i="7"/>
  <c r="C56" i="7"/>
  <c r="C52" i="7"/>
  <c r="C49" i="7"/>
  <c r="C42" i="7"/>
  <c r="C38" i="7"/>
  <c r="C31" i="7"/>
  <c r="C28" i="7"/>
  <c r="C22" i="7"/>
  <c r="C19" i="7"/>
  <c r="C17" i="7"/>
  <c r="C14" i="7"/>
  <c r="C9" i="7"/>
  <c r="C7" i="7"/>
  <c r="C100" i="7"/>
  <c r="C75" i="7"/>
  <c r="C59" i="7"/>
  <c r="C13" i="7"/>
  <c r="C34" i="7"/>
  <c r="C150" i="7"/>
  <c r="C145" i="7"/>
  <c r="C136" i="7"/>
  <c r="C132" i="7"/>
  <c r="C128" i="7"/>
  <c r="C120" i="7"/>
  <c r="C116" i="7"/>
  <c r="C112" i="7"/>
  <c r="C108" i="7"/>
  <c r="C104" i="7"/>
  <c r="C96" i="7"/>
  <c r="C83" i="7"/>
  <c r="C63" i="7"/>
  <c r="C50" i="7"/>
  <c r="C41" i="7"/>
  <c r="C2" i="7"/>
</calcChain>
</file>

<file path=xl/sharedStrings.xml><?xml version="1.0" encoding="utf-8"?>
<sst xmlns="http://schemas.openxmlformats.org/spreadsheetml/2006/main" count="8667" uniqueCount="5144">
  <si>
    <t>&lt;-估值</t>
    <phoneticPr fontId="1" type="noConversion"/>
  </si>
  <si>
    <t>市净率</t>
  </si>
  <si>
    <t>长电科技</t>
  </si>
  <si>
    <t>北京君正</t>
  </si>
  <si>
    <t>北方华创</t>
  </si>
  <si>
    <t>富瀚微</t>
  </si>
  <si>
    <t>士兰微</t>
  </si>
  <si>
    <t>上海贝岭</t>
  </si>
  <si>
    <t>圣邦股份</t>
  </si>
  <si>
    <t>晶方科技</t>
  </si>
  <si>
    <t>紫光国微</t>
  </si>
  <si>
    <t>通富微电</t>
  </si>
  <si>
    <t>兆易创新</t>
  </si>
  <si>
    <t>全志科技</t>
  </si>
  <si>
    <t>中颖电子</t>
  </si>
  <si>
    <t>康强电子</t>
  </si>
  <si>
    <t>捷捷微电</t>
  </si>
  <si>
    <t>扬杰科技</t>
  </si>
  <si>
    <t>华天科技</t>
  </si>
  <si>
    <t>台基股份</t>
  </si>
  <si>
    <t>国民技术</t>
  </si>
  <si>
    <t>国科微</t>
  </si>
  <si>
    <t>--</t>
  </si>
  <si>
    <t>1.80亿</t>
  </si>
  <si>
    <t>1.12亿</t>
  </si>
  <si>
    <t>4.43亿</t>
  </si>
  <si>
    <t>10.17亿</t>
  </si>
  <si>
    <t>1.24亿</t>
  </si>
  <si>
    <t>2.11亿</t>
  </si>
  <si>
    <t>总市值</t>
  </si>
  <si>
    <t>TTM市盈率</t>
  </si>
  <si>
    <t>SH603501</t>
  </si>
  <si>
    <t>SZ300223</t>
  </si>
  <si>
    <t>SZ300666</t>
  </si>
  <si>
    <t>江丰电子</t>
  </si>
  <si>
    <t>SZ300706</t>
  </si>
  <si>
    <t>阿石创</t>
  </si>
  <si>
    <t>SZ300782</t>
  </si>
  <si>
    <t>卓胜微</t>
  </si>
  <si>
    <t>SH600460</t>
  </si>
  <si>
    <t>SZ300661</t>
  </si>
  <si>
    <t>SH603986</t>
  </si>
  <si>
    <t>SZ002371</t>
  </si>
  <si>
    <t>SH603068</t>
  </si>
  <si>
    <t>博通集成</t>
  </si>
  <si>
    <t>SZ300671</t>
  </si>
  <si>
    <t>SH688099</t>
  </si>
  <si>
    <t>晶晨股份</t>
  </si>
  <si>
    <t>SH688018</t>
  </si>
  <si>
    <t>SZ300613</t>
  </si>
  <si>
    <t>SZ300053</t>
  </si>
  <si>
    <t>SH688008</t>
  </si>
  <si>
    <t>SZ300458</t>
  </si>
  <si>
    <t>SZ300672</t>
  </si>
  <si>
    <t>SZ002049</t>
  </si>
  <si>
    <t>SH603005</t>
  </si>
  <si>
    <t>SZ300373</t>
  </si>
  <si>
    <t>SH600171</t>
  </si>
  <si>
    <t>SH600360</t>
  </si>
  <si>
    <t>SZ002119</t>
  </si>
  <si>
    <t>SZ002185</t>
  </si>
  <si>
    <t>SH603160</t>
  </si>
  <si>
    <t>SZ300046</t>
  </si>
  <si>
    <t>SZ300327</t>
  </si>
  <si>
    <t>SZ300623</t>
  </si>
  <si>
    <t>SH688368</t>
  </si>
  <si>
    <t>晶丰明源</t>
  </si>
  <si>
    <t>SH600584</t>
  </si>
  <si>
    <t>SZ002077</t>
  </si>
  <si>
    <t>SZ002156</t>
  </si>
  <si>
    <t>SZ300077</t>
  </si>
  <si>
    <t>所属行业</t>
  </si>
  <si>
    <t>SH603290</t>
  </si>
  <si>
    <t>斯达半导</t>
  </si>
  <si>
    <t>SH603893</t>
  </si>
  <si>
    <t>瑞芯微</t>
  </si>
  <si>
    <t>SH688123</t>
  </si>
  <si>
    <t>聚辰股份</t>
  </si>
  <si>
    <t>SH688233</t>
  </si>
  <si>
    <t>神工股份</t>
  </si>
  <si>
    <t>SH688396</t>
  </si>
  <si>
    <t>华润微</t>
  </si>
  <si>
    <t>现价</t>
  </si>
  <si>
    <t>SZ300831</t>
  </si>
  <si>
    <t>派瑞股份</t>
  </si>
  <si>
    <t>SH688138</t>
  </si>
  <si>
    <t>清溢光电</t>
  </si>
  <si>
    <t>SH688126</t>
  </si>
  <si>
    <t>SH688256</t>
  </si>
  <si>
    <t>寒武纪-U</t>
  </si>
  <si>
    <t>SH688286</t>
  </si>
  <si>
    <t>敏芯股份</t>
  </si>
  <si>
    <t>SH688508</t>
  </si>
  <si>
    <t>SH688589</t>
  </si>
  <si>
    <t>力合微</t>
  </si>
  <si>
    <t>SH688981</t>
  </si>
  <si>
    <t>SZ002409</t>
  </si>
  <si>
    <t>雅克科技</t>
  </si>
  <si>
    <t>负债合计</t>
  </si>
  <si>
    <t>所有者权益合计</t>
  </si>
  <si>
    <t>净利润增长率</t>
  </si>
  <si>
    <t>总股本</t>
  </si>
  <si>
    <t>财务费用</t>
  </si>
  <si>
    <t>投资收益</t>
  </si>
  <si>
    <t>应收账款</t>
  </si>
  <si>
    <t>3.49亿</t>
  </si>
  <si>
    <t>5.28亿</t>
  </si>
  <si>
    <t>1.56亿</t>
  </si>
  <si>
    <t>0亿</t>
  </si>
  <si>
    <t>4.02亿</t>
  </si>
  <si>
    <t>2.57亿</t>
  </si>
  <si>
    <t>1.02亿</t>
  </si>
  <si>
    <t>1.05亿</t>
  </si>
  <si>
    <t>3.65亿</t>
  </si>
  <si>
    <t>2.06亿</t>
  </si>
  <si>
    <t>7.65亿</t>
  </si>
  <si>
    <t>4.12亿</t>
  </si>
  <si>
    <t>1.32亿</t>
  </si>
  <si>
    <t>1.16亿</t>
  </si>
  <si>
    <t>2.93亿</t>
  </si>
  <si>
    <t>1.23亿</t>
  </si>
  <si>
    <t>SZ300456</t>
  </si>
  <si>
    <t>赛微电子</t>
  </si>
  <si>
    <t>2.07亿</t>
  </si>
  <si>
    <t>SH688521</t>
  </si>
  <si>
    <t>5.60亿</t>
  </si>
  <si>
    <t>主营业务收入</t>
  </si>
  <si>
    <t>1.89亿</t>
  </si>
  <si>
    <t>4.06亿</t>
  </si>
  <si>
    <t>2.09亿</t>
  </si>
  <si>
    <t>1.29亿</t>
  </si>
  <si>
    <t>1.66亿</t>
  </si>
  <si>
    <t>1.77亿</t>
  </si>
  <si>
    <t>2.31亿</t>
  </si>
  <si>
    <t>2.55亿</t>
  </si>
  <si>
    <t>1.71亿</t>
  </si>
  <si>
    <t>2.64亿</t>
  </si>
  <si>
    <t>7.79亿</t>
  </si>
  <si>
    <t>1.55亿</t>
  </si>
  <si>
    <t>2.10亿</t>
  </si>
  <si>
    <t>1.18亿</t>
  </si>
  <si>
    <t>1.22亿</t>
  </si>
  <si>
    <t>3.56亿</t>
  </si>
  <si>
    <t>2.30亿</t>
  </si>
  <si>
    <t>2.44亿</t>
  </si>
  <si>
    <t>3.68亿</t>
  </si>
  <si>
    <t>1.34亿</t>
  </si>
  <si>
    <t>2.37亿</t>
  </si>
  <si>
    <t>1.64亿</t>
  </si>
  <si>
    <t>2.84亿</t>
  </si>
  <si>
    <t>3.04亿</t>
  </si>
  <si>
    <t>1.13亿</t>
  </si>
  <si>
    <t>6.75亿</t>
  </si>
  <si>
    <t>1.45亿</t>
  </si>
  <si>
    <t>5.22亿</t>
  </si>
  <si>
    <t>1.20亿</t>
  </si>
  <si>
    <t>1.40亿</t>
  </si>
  <si>
    <t>3.29亿</t>
  </si>
  <si>
    <t>3.48亿</t>
  </si>
  <si>
    <t>3.44亿</t>
  </si>
  <si>
    <t>8.25亿</t>
  </si>
  <si>
    <t>12.01亿</t>
  </si>
  <si>
    <t>1.25亿</t>
  </si>
  <si>
    <t>9.06亿</t>
  </si>
  <si>
    <t>7.58亿</t>
  </si>
  <si>
    <t>6.94亿</t>
  </si>
  <si>
    <t>1.27亿</t>
  </si>
  <si>
    <t>5.13亿</t>
  </si>
  <si>
    <t>3.77亿</t>
  </si>
  <si>
    <t>1.51亿</t>
  </si>
  <si>
    <t>1.35亿</t>
  </si>
  <si>
    <t>2.67亿</t>
  </si>
  <si>
    <t>9.64亿</t>
  </si>
  <si>
    <t>1.88亿</t>
  </si>
  <si>
    <t>7.03亿</t>
  </si>
  <si>
    <t>4.41亿</t>
  </si>
  <si>
    <t>1.26亿</t>
  </si>
  <si>
    <t>1.48亿</t>
  </si>
  <si>
    <t>2.23亿</t>
  </si>
  <si>
    <t>1.36亿</t>
  </si>
  <si>
    <t>5.04亿</t>
  </si>
  <si>
    <t>1.11亿</t>
  </si>
  <si>
    <t>11.74亿</t>
  </si>
  <si>
    <t>1.97亿</t>
  </si>
  <si>
    <t>4.79亿</t>
  </si>
  <si>
    <t>3.64亿</t>
  </si>
  <si>
    <t>3.41亿</t>
  </si>
  <si>
    <t>3.03亿</t>
  </si>
  <si>
    <t>1.49亿</t>
  </si>
  <si>
    <t>3.54亿</t>
  </si>
  <si>
    <t>11.20亿</t>
  </si>
  <si>
    <t>13.28亿</t>
  </si>
  <si>
    <t>4.87亿</t>
  </si>
  <si>
    <t>1.99亿</t>
  </si>
  <si>
    <t>1.31亿</t>
  </si>
  <si>
    <t>1.41亿</t>
  </si>
  <si>
    <t>2.54亿</t>
  </si>
  <si>
    <t>1.60亿</t>
  </si>
  <si>
    <t>1.30亿</t>
  </si>
  <si>
    <t>2.46亿</t>
  </si>
  <si>
    <t>2.33亿</t>
  </si>
  <si>
    <t>4.35亿</t>
  </si>
  <si>
    <t>4.94亿</t>
  </si>
  <si>
    <t>5.64亿</t>
  </si>
  <si>
    <t>3.79亿</t>
  </si>
  <si>
    <t>1.09亿</t>
  </si>
  <si>
    <t>2.35亿</t>
  </si>
  <si>
    <t>2.75亿</t>
  </si>
  <si>
    <t>2.21亿</t>
  </si>
  <si>
    <t>2.87亿</t>
  </si>
  <si>
    <t>3.46亿</t>
  </si>
  <si>
    <t>4.73亿</t>
  </si>
  <si>
    <t>7.39亿</t>
  </si>
  <si>
    <t>11.67亿</t>
  </si>
  <si>
    <t>2.39亿</t>
  </si>
  <si>
    <t>2.17亿</t>
  </si>
  <si>
    <t>1.81亿</t>
  </si>
  <si>
    <t>6.10亿</t>
  </si>
  <si>
    <t>3.78亿</t>
  </si>
  <si>
    <t>2.71亿</t>
  </si>
  <si>
    <t>1.74亿</t>
  </si>
  <si>
    <t>1.38亿</t>
  </si>
  <si>
    <t>2.45亿</t>
  </si>
  <si>
    <t>9.33亿</t>
  </si>
  <si>
    <t>1.69亿</t>
  </si>
  <si>
    <t>17.94亿</t>
  </si>
  <si>
    <t>3.47亿</t>
  </si>
  <si>
    <t>2.05亿</t>
  </si>
  <si>
    <t>3.91亿</t>
  </si>
  <si>
    <t>2.88亿</t>
  </si>
  <si>
    <t>2.79亿</t>
  </si>
  <si>
    <t>3.10亿</t>
  </si>
  <si>
    <t>136.32亿</t>
  </si>
  <si>
    <t>3.39亿</t>
  </si>
  <si>
    <t>14.08亿</t>
  </si>
  <si>
    <t>32.03亿</t>
  </si>
  <si>
    <t>81.03亿</t>
  </si>
  <si>
    <t>15.12亿</t>
  </si>
  <si>
    <t>235.26亿</t>
  </si>
  <si>
    <t>57.43亿</t>
  </si>
  <si>
    <t>18.32亿</t>
  </si>
  <si>
    <t>34.30亿</t>
  </si>
  <si>
    <t>9.32亿</t>
  </si>
  <si>
    <t>220.18亿</t>
  </si>
  <si>
    <t>5.98亿</t>
  </si>
  <si>
    <t>82.67亿</t>
  </si>
  <si>
    <t>4.18亿</t>
  </si>
  <si>
    <t>7.92亿</t>
  </si>
  <si>
    <t>1.76亿</t>
  </si>
  <si>
    <t>20.07亿</t>
  </si>
  <si>
    <t>12.99亿</t>
  </si>
  <si>
    <t>24.39亿</t>
  </si>
  <si>
    <t>6.74亿</t>
  </si>
  <si>
    <t>2.34亿</t>
  </si>
  <si>
    <t>17.38亿</t>
  </si>
  <si>
    <t>40.58亿</t>
  </si>
  <si>
    <t>3.95亿</t>
  </si>
  <si>
    <t>1.04亿</t>
  </si>
  <si>
    <t>2.02亿</t>
  </si>
  <si>
    <t>3.35亿</t>
  </si>
  <si>
    <t>4.80亿</t>
  </si>
  <si>
    <t>14.18亿</t>
  </si>
  <si>
    <t>已知和基本信息</t>
    <phoneticPr fontId="1" type="noConversion"/>
  </si>
  <si>
    <t>预期多</t>
    <phoneticPr fontId="1" type="noConversion"/>
  </si>
  <si>
    <t>预期空</t>
    <phoneticPr fontId="1" type="noConversion"/>
  </si>
  <si>
    <t>1.01亿</t>
  </si>
  <si>
    <t>2.22亿</t>
  </si>
  <si>
    <t>1.59亿</t>
  </si>
  <si>
    <t>16.39亿</t>
  </si>
  <si>
    <t>2.38亿</t>
  </si>
  <si>
    <t>10.80亿</t>
  </si>
  <si>
    <t>4.82亿</t>
  </si>
  <si>
    <t>37.27亿</t>
  </si>
  <si>
    <t>4.07亿</t>
  </si>
  <si>
    <t>2.65亿</t>
  </si>
  <si>
    <t>1.10亿</t>
  </si>
  <si>
    <t>8.52亿</t>
  </si>
  <si>
    <t>1.00亿</t>
  </si>
  <si>
    <t>8.34亿</t>
  </si>
  <si>
    <t>2.60亿</t>
  </si>
  <si>
    <t>7.18亿</t>
  </si>
  <si>
    <t>5.40亿</t>
  </si>
  <si>
    <t>1.57亿</t>
  </si>
  <si>
    <t>1.15亿</t>
  </si>
  <si>
    <t>14.63亿</t>
  </si>
  <si>
    <t>2.32亿</t>
  </si>
  <si>
    <t>5.43亿</t>
  </si>
  <si>
    <t>3.17亿</t>
  </si>
  <si>
    <t>16.56亿</t>
  </si>
  <si>
    <t>31.11亿</t>
  </si>
  <si>
    <t>11.75亿</t>
  </si>
  <si>
    <t>64.73亿</t>
  </si>
  <si>
    <t>7.57亿</t>
  </si>
  <si>
    <t>23.58亿</t>
  </si>
  <si>
    <t>3.07亿</t>
  </si>
  <si>
    <t>14.93亿</t>
  </si>
  <si>
    <t>4.44亿</t>
  </si>
  <si>
    <t>8.74亿</t>
  </si>
  <si>
    <t>17.58亿</t>
  </si>
  <si>
    <t>3.06亿</t>
  </si>
  <si>
    <t>1.65亿</t>
  </si>
  <si>
    <t>13.40亿</t>
  </si>
  <si>
    <t>1.75亿</t>
  </si>
  <si>
    <t>2.77亿</t>
  </si>
  <si>
    <t>1.19亿</t>
  </si>
  <si>
    <t>1.37亿</t>
  </si>
  <si>
    <t>1.93亿</t>
  </si>
  <si>
    <t>8.81亿</t>
  </si>
  <si>
    <t>-4.75亿</t>
  </si>
  <si>
    <t>1.03亿</t>
  </si>
  <si>
    <t>9258.29万</t>
  </si>
  <si>
    <t>2.15亿</t>
  </si>
  <si>
    <t>1914.14万</t>
  </si>
  <si>
    <t>13.86亿</t>
  </si>
  <si>
    <t>7.48亿</t>
  </si>
  <si>
    <t>5.57亿</t>
  </si>
  <si>
    <t>3.99亿</t>
  </si>
  <si>
    <t>1.21亿</t>
  </si>
  <si>
    <t>1.28亿</t>
  </si>
  <si>
    <t>3.43亿</t>
  </si>
  <si>
    <t>3.19亿</t>
  </si>
  <si>
    <t>2.89亿</t>
  </si>
  <si>
    <t>3.09亿</t>
  </si>
  <si>
    <t>3.67亿</t>
  </si>
  <si>
    <t>2.12亿</t>
  </si>
  <si>
    <t>5.50亿</t>
  </si>
  <si>
    <t>2.92亿</t>
  </si>
  <si>
    <t>1.07亿</t>
  </si>
  <si>
    <t>2.41亿</t>
  </si>
  <si>
    <t>2.56亿</t>
  </si>
  <si>
    <t>4.32亿</t>
  </si>
  <si>
    <t>1.63亿</t>
  </si>
  <si>
    <t>8.60亿</t>
  </si>
  <si>
    <t>5.26亿</t>
  </si>
  <si>
    <t>2.68亿</t>
  </si>
  <si>
    <t>2.50亿</t>
  </si>
  <si>
    <t>2.43亿</t>
  </si>
  <si>
    <t>2.01亿</t>
  </si>
  <si>
    <t>-2.20亿</t>
  </si>
  <si>
    <t>-2.34亿</t>
  </si>
  <si>
    <t>2.52亿</t>
  </si>
  <si>
    <t>4.00亿</t>
  </si>
  <si>
    <t>5865.97万</t>
  </si>
  <si>
    <t>1.53亿</t>
  </si>
  <si>
    <t>2.72亿</t>
  </si>
  <si>
    <t>2.25亿</t>
  </si>
  <si>
    <t>1.44亿</t>
  </si>
  <si>
    <t>8.71亿</t>
  </si>
  <si>
    <t>2.42亿</t>
  </si>
  <si>
    <t>1.14亿</t>
  </si>
  <si>
    <t>-1.33亿</t>
  </si>
  <si>
    <t>4.63亿</t>
  </si>
  <si>
    <t>1.84亿</t>
  </si>
  <si>
    <t>8167.46万</t>
  </si>
  <si>
    <t>2.36亿</t>
  </si>
  <si>
    <t>1.68亿</t>
  </si>
  <si>
    <t>1.73亿</t>
  </si>
  <si>
    <t>2.51亿</t>
  </si>
  <si>
    <t>1.90亿</t>
  </si>
  <si>
    <t>1.42亿</t>
  </si>
  <si>
    <t>5.79亿</t>
  </si>
  <si>
    <t>6418.60万</t>
  </si>
  <si>
    <t>3685.05万</t>
  </si>
  <si>
    <t>2.99亿</t>
  </si>
  <si>
    <t>2.40亿</t>
  </si>
  <si>
    <t>6812.78万</t>
  </si>
  <si>
    <t>2.70亿</t>
  </si>
  <si>
    <t>3.92亿</t>
  </si>
  <si>
    <t>1464.37万</t>
  </si>
  <si>
    <t>3.11亿</t>
  </si>
  <si>
    <t>1.33亿</t>
  </si>
  <si>
    <t>5.53亿</t>
  </si>
  <si>
    <t>4.40亿</t>
  </si>
  <si>
    <t>2.62亿</t>
  </si>
  <si>
    <t>4.97亿</t>
  </si>
  <si>
    <t>6.07亿</t>
  </si>
  <si>
    <t>6237.47万</t>
  </si>
  <si>
    <t>2.74亿</t>
  </si>
  <si>
    <t>2.18亿</t>
  </si>
  <si>
    <t>3.12亿</t>
  </si>
  <si>
    <t>14.49亿</t>
  </si>
  <si>
    <t>6.50亿</t>
  </si>
  <si>
    <t>8.12亿</t>
  </si>
  <si>
    <t>5.61亿</t>
  </si>
  <si>
    <t>11.31亿</t>
  </si>
  <si>
    <t>1.85亿</t>
  </si>
  <si>
    <t>6499.64万</t>
  </si>
  <si>
    <t>18.11亿</t>
  </si>
  <si>
    <t>1453.20万</t>
  </si>
  <si>
    <t>4.56亿</t>
  </si>
  <si>
    <t>2.19亿</t>
  </si>
  <si>
    <t>8866.34万</t>
  </si>
  <si>
    <t>10.98亿</t>
  </si>
  <si>
    <t>3.20亿</t>
  </si>
  <si>
    <t>2.80亿</t>
  </si>
  <si>
    <t>3.38亿</t>
  </si>
  <si>
    <t>1.08亿</t>
  </si>
  <si>
    <t>2.83亿</t>
  </si>
  <si>
    <t>23.17亿</t>
  </si>
  <si>
    <t>2.53亿</t>
  </si>
  <si>
    <t>5.56亿</t>
  </si>
  <si>
    <t>3.82亿</t>
  </si>
  <si>
    <t>8.37亿</t>
  </si>
  <si>
    <t>10.57亿</t>
  </si>
  <si>
    <t>3.32亿</t>
  </si>
  <si>
    <t>2.82亿</t>
  </si>
  <si>
    <t>5.18亿</t>
  </si>
  <si>
    <t>1.39亿</t>
  </si>
  <si>
    <t>4.66亿</t>
  </si>
  <si>
    <t>3.81亿</t>
  </si>
  <si>
    <t>8.45亿</t>
  </si>
  <si>
    <t>12.51亿</t>
  </si>
  <si>
    <t>1.82亿</t>
  </si>
  <si>
    <t>SH605358</t>
  </si>
  <si>
    <t>11.92亿</t>
  </si>
  <si>
    <t>6.12亿</t>
  </si>
  <si>
    <t>3.89亿</t>
  </si>
  <si>
    <t>1.58亿</t>
  </si>
  <si>
    <t>9510.62万</t>
  </si>
  <si>
    <t>-8991.45万</t>
  </si>
  <si>
    <t>7028.41万</t>
  </si>
  <si>
    <t>7694.98万</t>
  </si>
  <si>
    <t>-11.79亿</t>
  </si>
  <si>
    <t>5948.29万</t>
  </si>
  <si>
    <t>9234.39万</t>
  </si>
  <si>
    <t>4.01亿</t>
  </si>
  <si>
    <t>6617.08万</t>
  </si>
  <si>
    <t>-4117.04万</t>
  </si>
  <si>
    <t>4345.61万</t>
  </si>
  <si>
    <t>8.32亿</t>
  </si>
  <si>
    <t>流动资产</t>
  </si>
  <si>
    <t>营业收入[20191231]</t>
  </si>
  <si>
    <t>营业收入[20181231]</t>
  </si>
  <si>
    <t>营业收入[20171231]</t>
  </si>
  <si>
    <t>净利润[20191231]</t>
  </si>
  <si>
    <t>净利润[20181231]</t>
  </si>
  <si>
    <t>净利润[20171231]</t>
  </si>
  <si>
    <t>43.32亿</t>
  </si>
  <si>
    <t>3.59亿</t>
  </si>
  <si>
    <t>2.47亿</t>
  </si>
  <si>
    <t>3.73亿</t>
  </si>
  <si>
    <t>2.26亿</t>
  </si>
  <si>
    <t>7.84亿</t>
  </si>
  <si>
    <t>2.04亿</t>
  </si>
  <si>
    <t>2.24亿</t>
  </si>
  <si>
    <t>1.92亿</t>
  </si>
  <si>
    <t>1.87亿</t>
  </si>
  <si>
    <t>32.70亿</t>
  </si>
  <si>
    <t>8.06亿</t>
  </si>
  <si>
    <t>4.38亿</t>
  </si>
  <si>
    <t>1.17亿</t>
  </si>
  <si>
    <t>24.58亿</t>
  </si>
  <si>
    <t>3.36亿</t>
  </si>
  <si>
    <t>9787.19万</t>
  </si>
  <si>
    <t>16.90亿</t>
  </si>
  <si>
    <t>13.11亿</t>
  </si>
  <si>
    <t>13.70亿</t>
  </si>
  <si>
    <t>-5.70亿</t>
  </si>
  <si>
    <t>5.09亿</t>
  </si>
  <si>
    <t>15.49亿</t>
  </si>
  <si>
    <t>8793.10万</t>
  </si>
  <si>
    <t>14.83亿</t>
  </si>
  <si>
    <t>13.04亿</t>
  </si>
  <si>
    <t>11.97亿</t>
  </si>
  <si>
    <t>8023.66万</t>
  </si>
  <si>
    <t>2.76亿</t>
  </si>
  <si>
    <t>2.28亿</t>
  </si>
  <si>
    <t>34.77亿</t>
  </si>
  <si>
    <t>13.19亿</t>
  </si>
  <si>
    <t>107.69亿</t>
  </si>
  <si>
    <t>72.23亿</t>
  </si>
  <si>
    <t>23.22亿</t>
  </si>
  <si>
    <t>1.47亿</t>
  </si>
  <si>
    <t>83.82亿</t>
  </si>
  <si>
    <t>7.02亿</t>
  </si>
  <si>
    <t>4.62亿</t>
  </si>
  <si>
    <t>2.16亿</t>
  </si>
  <si>
    <t>4.49亿</t>
  </si>
  <si>
    <t>71.22亿</t>
  </si>
  <si>
    <t>3.90亿</t>
  </si>
  <si>
    <t>4.13亿</t>
  </si>
  <si>
    <t>5.46亿</t>
  </si>
  <si>
    <t>1.62亿</t>
  </si>
  <si>
    <t>-1.63亿</t>
  </si>
  <si>
    <t>60.56亿</t>
  </si>
  <si>
    <t>5.37亿</t>
  </si>
  <si>
    <t>8.09亿</t>
  </si>
  <si>
    <t>33.24亿</t>
  </si>
  <si>
    <t>8.11亿</t>
  </si>
  <si>
    <t>22.73亿</t>
  </si>
  <si>
    <t>1.06亿</t>
  </si>
  <si>
    <t>3.72亿</t>
  </si>
  <si>
    <t>15.47亿</t>
  </si>
  <si>
    <t>4.39亿</t>
  </si>
  <si>
    <t>1.46亿</t>
  </si>
  <si>
    <t>34.73亿</t>
  </si>
  <si>
    <t>3.57亿</t>
  </si>
  <si>
    <t>5.81亿</t>
  </si>
  <si>
    <t>4.30亿</t>
  </si>
  <si>
    <t>10.77亿</t>
  </si>
  <si>
    <t>4.08亿</t>
  </si>
  <si>
    <t>2.66亿</t>
  </si>
  <si>
    <t>4.90亿</t>
  </si>
  <si>
    <t>14.30亿</t>
  </si>
  <si>
    <t>16.02亿</t>
  </si>
  <si>
    <t>28.41亿</t>
  </si>
  <si>
    <t>4.59亿</t>
  </si>
  <si>
    <t>18.27亿</t>
  </si>
  <si>
    <t>SZ003026</t>
  </si>
  <si>
    <t>中晶科技</t>
  </si>
  <si>
    <t>2.73亿</t>
  </si>
  <si>
    <t>8672.75万</t>
  </si>
  <si>
    <t>6689.69万</t>
  </si>
  <si>
    <t>6648.15万</t>
  </si>
  <si>
    <t>3.88亿</t>
  </si>
  <si>
    <t>3224.46万</t>
  </si>
  <si>
    <t>8577.17万</t>
  </si>
  <si>
    <t>8.70亿</t>
  </si>
  <si>
    <t>2.97亿</t>
  </si>
  <si>
    <t>1.95亿</t>
  </si>
  <si>
    <t>7.37亿</t>
  </si>
  <si>
    <t>9492.53万</t>
  </si>
  <si>
    <t>3.80亿</t>
  </si>
  <si>
    <t>1123.48万</t>
  </si>
  <si>
    <t>3.15亿</t>
  </si>
  <si>
    <t>6.02亿</t>
  </si>
  <si>
    <t>6.95亿</t>
  </si>
  <si>
    <t>-16.14亿</t>
  </si>
  <si>
    <t>3.60亿</t>
  </si>
  <si>
    <t>21.70亿</t>
  </si>
  <si>
    <t>7320.05万</t>
  </si>
  <si>
    <t>3.55亿</t>
  </si>
  <si>
    <t>1351.54万</t>
  </si>
  <si>
    <t>2.69亿</t>
  </si>
  <si>
    <t>10.12亿</t>
  </si>
  <si>
    <t>1.70亿</t>
  </si>
  <si>
    <t>6.86亿</t>
  </si>
  <si>
    <t>1.91亿</t>
  </si>
  <si>
    <t>26.17亿</t>
  </si>
  <si>
    <t>18.52亿</t>
  </si>
  <si>
    <t>6.37亿</t>
  </si>
  <si>
    <t>7.12亿</t>
  </si>
  <si>
    <t>3.37亿</t>
  </si>
  <si>
    <t>8895.48万</t>
  </si>
  <si>
    <t>15.05亿</t>
  </si>
  <si>
    <t>13.65亿</t>
  </si>
  <si>
    <t>3.63亿</t>
  </si>
  <si>
    <t>3.70亿</t>
  </si>
  <si>
    <t>4.16亿</t>
  </si>
  <si>
    <t>13.97亿</t>
  </si>
  <si>
    <t>2.91亿</t>
  </si>
  <si>
    <t>3.51亿</t>
  </si>
  <si>
    <t>7.73亿</t>
  </si>
  <si>
    <t>3.30亿</t>
  </si>
  <si>
    <t>8767.62万</t>
  </si>
  <si>
    <t>3.22亿</t>
  </si>
  <si>
    <t>5449.88万</t>
  </si>
  <si>
    <t>10.11亿</t>
  </si>
  <si>
    <t>4.61亿</t>
  </si>
  <si>
    <t>6.00亿</t>
  </si>
  <si>
    <t>5.72亿</t>
  </si>
  <si>
    <t>5.32亿</t>
  </si>
  <si>
    <t>4.52亿</t>
  </si>
  <si>
    <t>3.94亿</t>
  </si>
  <si>
    <t>11.03亿</t>
  </si>
  <si>
    <t>3.58亿</t>
  </si>
  <si>
    <t>5880.86万</t>
  </si>
  <si>
    <t>8.36亿</t>
  </si>
  <si>
    <t>2.03亿</t>
  </si>
  <si>
    <t>5418.51万</t>
  </si>
  <si>
    <t>16.59亿</t>
  </si>
  <si>
    <t>7.31亿</t>
  </si>
  <si>
    <t>7085.56万</t>
  </si>
  <si>
    <t>5617.10万</t>
  </si>
  <si>
    <t>586.47万</t>
  </si>
  <si>
    <t>2773.18万</t>
  </si>
  <si>
    <t>27.92亿</t>
  </si>
  <si>
    <t>10.73亿</t>
  </si>
  <si>
    <t>2.20亿</t>
  </si>
  <si>
    <t>1.52亿</t>
  </si>
  <si>
    <t>2922.28万</t>
  </si>
  <si>
    <t>2.48亿</t>
  </si>
  <si>
    <t>5776.65万</t>
  </si>
  <si>
    <t>5.76亿</t>
  </si>
  <si>
    <t>4.10亿</t>
  </si>
  <si>
    <t>2.81亿</t>
  </si>
  <si>
    <t>13.32亿</t>
  </si>
  <si>
    <t>4.81亿</t>
  </si>
  <si>
    <t>5.44亿</t>
  </si>
  <si>
    <t>8.47亿</t>
  </si>
  <si>
    <t>2.94亿</t>
  </si>
  <si>
    <t>8.85亿</t>
  </si>
  <si>
    <t>8.13亿</t>
  </si>
  <si>
    <t>17.19亿</t>
  </si>
  <si>
    <t>3418.20万</t>
  </si>
  <si>
    <t>18.24亿</t>
  </si>
  <si>
    <t>17.09亿</t>
  </si>
  <si>
    <t>42.81亿</t>
  </si>
  <si>
    <t>6759.72万</t>
  </si>
  <si>
    <t>30.26亿</t>
  </si>
  <si>
    <t>3.25亿</t>
  </si>
  <si>
    <t>264.64亿</t>
  </si>
  <si>
    <t>238.56亿</t>
  </si>
  <si>
    <t>-9.39亿</t>
  </si>
  <si>
    <t>10.71亿</t>
  </si>
  <si>
    <t>5.48亿</t>
  </si>
  <si>
    <t>7.53亿</t>
  </si>
  <si>
    <t>9.21亿</t>
  </si>
  <si>
    <t>11.04亿</t>
  </si>
  <si>
    <t>5.66亿</t>
  </si>
  <si>
    <t>6.29亿</t>
  </si>
  <si>
    <t>7112.48万</t>
  </si>
  <si>
    <t>3322.24万</t>
  </si>
  <si>
    <t>5.65亿</t>
  </si>
  <si>
    <t>66.87亿</t>
  </si>
  <si>
    <t>37.21亿</t>
  </si>
  <si>
    <t>7.42亿</t>
  </si>
  <si>
    <t>8.87亿</t>
  </si>
  <si>
    <t>15.13亿</t>
  </si>
  <si>
    <t>2.29亿</t>
  </si>
  <si>
    <t>6.60亿</t>
  </si>
  <si>
    <t>9.63亿</t>
  </si>
  <si>
    <t>1.86亿</t>
  </si>
  <si>
    <t>5.34亿</t>
  </si>
  <si>
    <t>20.66亿</t>
  </si>
  <si>
    <t>198.24亿</t>
  </si>
  <si>
    <t>27.06亿</t>
  </si>
  <si>
    <t>97.02亿</t>
  </si>
  <si>
    <t>6.31亿</t>
  </si>
  <si>
    <t>18.63亿</t>
  </si>
  <si>
    <t>12.71亿</t>
  </si>
  <si>
    <t>5.30亿</t>
  </si>
  <si>
    <t>44.97亿</t>
  </si>
  <si>
    <t>22.46亿</t>
  </si>
  <si>
    <t>20.30亿</t>
  </si>
  <si>
    <t>4.05亿</t>
  </si>
  <si>
    <t>3.97亿</t>
  </si>
  <si>
    <t>6.70亿</t>
  </si>
  <si>
    <t>SH605111</t>
  </si>
  <si>
    <t>新洁能</t>
  </si>
  <si>
    <t>9.55亿</t>
  </si>
  <si>
    <t>7.16亿</t>
  </si>
  <si>
    <t>9820.95万</t>
  </si>
  <si>
    <t>2.58亿</t>
  </si>
  <si>
    <t>15.02亿</t>
  </si>
  <si>
    <t>12.23亿</t>
  </si>
  <si>
    <t>3.00亿</t>
  </si>
  <si>
    <t>8.31亿</t>
  </si>
  <si>
    <t>4.75亿</t>
  </si>
  <si>
    <t>9388.26万</t>
  </si>
  <si>
    <t>27.38亿</t>
  </si>
  <si>
    <t>23.69亿</t>
  </si>
  <si>
    <t>7611.53万</t>
  </si>
  <si>
    <t>8707.08万</t>
  </si>
  <si>
    <t>10.10亿</t>
  </si>
  <si>
    <t>1120.57万</t>
  </si>
  <si>
    <t>SH688135</t>
  </si>
  <si>
    <t>利扬芯片</t>
  </si>
  <si>
    <t>5194.72万</t>
  </si>
  <si>
    <t>6083.79万</t>
  </si>
  <si>
    <t>1592.71万</t>
  </si>
  <si>
    <t>7629.03万</t>
  </si>
  <si>
    <t>-1.03亿</t>
  </si>
  <si>
    <t>6265.48万</t>
  </si>
  <si>
    <t>2.13亿</t>
  </si>
  <si>
    <t>-4.35亿</t>
  </si>
  <si>
    <t>-4104.65万</t>
  </si>
  <si>
    <t>4163.61万</t>
  </si>
  <si>
    <t>5325.13万</t>
  </si>
  <si>
    <t>6886.33万</t>
  </si>
  <si>
    <t>7.67亿</t>
  </si>
  <si>
    <t>8133.11万</t>
  </si>
  <si>
    <t>69.77亿</t>
  </si>
  <si>
    <t>62.71亿</t>
  </si>
  <si>
    <t>43.97亿</t>
  </si>
  <si>
    <t>4.29亿</t>
  </si>
  <si>
    <t>9973.62万</t>
  </si>
  <si>
    <t>5351.43万</t>
  </si>
  <si>
    <t>18.38亿</t>
  </si>
  <si>
    <t>9.84亿</t>
  </si>
  <si>
    <t>15.06亿</t>
  </si>
  <si>
    <t>-2556.64万</t>
  </si>
  <si>
    <t>-6779.92万</t>
  </si>
  <si>
    <t>SH688536</t>
  </si>
  <si>
    <t>7098.02万</t>
  </si>
  <si>
    <t>-881.94万</t>
  </si>
  <si>
    <t>7.17亿</t>
  </si>
  <si>
    <t>2782.05万</t>
  </si>
  <si>
    <t>2298.11万</t>
  </si>
  <si>
    <t>SH688595</t>
  </si>
  <si>
    <t>芯海科技</t>
  </si>
  <si>
    <t>8932.15万</t>
  </si>
  <si>
    <t>4280.23万</t>
  </si>
  <si>
    <t>2809.14万</t>
  </si>
  <si>
    <t>SH688608</t>
  </si>
  <si>
    <t>恒玄科技</t>
  </si>
  <si>
    <t>10.61亿</t>
  </si>
  <si>
    <t>1.98亿</t>
  </si>
  <si>
    <t>6.49亿</t>
  </si>
  <si>
    <t>6737.88万</t>
  </si>
  <si>
    <t>177.04万</t>
  </si>
  <si>
    <t>-1.44亿</t>
  </si>
  <si>
    <t>SH688689</t>
  </si>
  <si>
    <t>6953.89万</t>
  </si>
  <si>
    <t>5.85亿</t>
  </si>
  <si>
    <t>5.25亿</t>
  </si>
  <si>
    <t>5272.45万</t>
  </si>
  <si>
    <t>5588.01万</t>
  </si>
  <si>
    <t>SH688699</t>
  </si>
  <si>
    <t>明微电子</t>
  </si>
  <si>
    <t>8072.45万</t>
  </si>
  <si>
    <t>4811.17万</t>
  </si>
  <si>
    <t>中芯国际</t>
  </si>
  <si>
    <t>274.71亿</t>
  </si>
  <si>
    <t>230.17亿</t>
  </si>
  <si>
    <t>29.14亿</t>
  </si>
  <si>
    <t>7.47亿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</si>
  <si>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</si>
  <si>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</si>
  <si>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</si>
  <si>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</si>
  <si>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</si>
  <si>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</si>
  <si>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</si>
  <si>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</si>
  <si>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</si>
  <si>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</si>
  <si>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</si>
  <si>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</si>
  <si>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</si>
  <si>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</si>
  <si>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大港股份</t>
  </si>
  <si>
    <t>2.86亿</t>
  </si>
  <si>
    <t>SH688216</t>
  </si>
  <si>
    <t>8037.00万</t>
  </si>
  <si>
    <t>4.14亿</t>
  </si>
  <si>
    <t>3373.10万</t>
  </si>
  <si>
    <t>1530.04万</t>
  </si>
  <si>
    <t>SH688601</t>
  </si>
  <si>
    <t>力芯微</t>
  </si>
  <si>
    <t>6695.08万</t>
  </si>
  <si>
    <t>1.43亿</t>
  </si>
  <si>
    <t>3.02亿</t>
  </si>
  <si>
    <t>4079.64万</t>
  </si>
  <si>
    <t>2538.18万</t>
  </si>
  <si>
    <t>21.39亿</t>
  </si>
  <si>
    <t>9.26亿</t>
  </si>
  <si>
    <t>5.39亿</t>
  </si>
  <si>
    <t>2.90亿</t>
  </si>
  <si>
    <t>9.29亿</t>
  </si>
  <si>
    <t>6.99亿</t>
  </si>
  <si>
    <t>6.41亿</t>
  </si>
  <si>
    <t>5.08亿</t>
  </si>
  <si>
    <t>3.61亿</t>
  </si>
  <si>
    <t>15.94亿</t>
  </si>
  <si>
    <t>7.24亿</t>
  </si>
  <si>
    <t>28.30亿</t>
  </si>
  <si>
    <t>SZ003043</t>
  </si>
  <si>
    <t>华亚智能</t>
  </si>
  <si>
    <t>7181.82万</t>
  </si>
  <si>
    <t>2.95亿</t>
  </si>
  <si>
    <t>5541.06万</t>
  </si>
  <si>
    <t>6350.45万</t>
  </si>
  <si>
    <t>4.92亿</t>
  </si>
  <si>
    <t>3.23亿</t>
  </si>
  <si>
    <t>16.72亿</t>
  </si>
  <si>
    <t>6.79亿</t>
  </si>
  <si>
    <t>2.49亿</t>
  </si>
  <si>
    <t>23.27亿</t>
  </si>
  <si>
    <t>2.61亿</t>
  </si>
  <si>
    <t>SZ300604</t>
  </si>
  <si>
    <t>长川科技</t>
  </si>
  <si>
    <t>8.04亿</t>
  </si>
  <si>
    <t>8485.94万</t>
  </si>
  <si>
    <t>1193.53万</t>
  </si>
  <si>
    <t>3647.11万</t>
  </si>
  <si>
    <t>6.84亿</t>
  </si>
  <si>
    <t>5.82亿</t>
  </si>
  <si>
    <t>3.53亿</t>
  </si>
  <si>
    <t>10.82亿</t>
  </si>
  <si>
    <t>6.77亿</t>
  </si>
  <si>
    <t>SH600206</t>
  </si>
  <si>
    <t>129.69亿</t>
  </si>
  <si>
    <t>104.52亿</t>
  </si>
  <si>
    <t>47.68亿</t>
  </si>
  <si>
    <t>3.86亿</t>
  </si>
  <si>
    <t>2.59亿</t>
  </si>
  <si>
    <t>6.59亿</t>
  </si>
  <si>
    <t>-1.29亿</t>
  </si>
  <si>
    <t>10.41亿</t>
  </si>
  <si>
    <t>SH603690</t>
  </si>
  <si>
    <t>至纯科技</t>
  </si>
  <si>
    <t>9.86亿</t>
  </si>
  <si>
    <t>3243.91万</t>
  </si>
  <si>
    <t>4.76亿</t>
  </si>
  <si>
    <t>4.21亿</t>
  </si>
  <si>
    <t>7.10亿</t>
  </si>
  <si>
    <t>1.78亿</t>
  </si>
  <si>
    <t>SH688012</t>
  </si>
  <si>
    <t>19.47亿</t>
  </si>
  <si>
    <t>9086.92万</t>
  </si>
  <si>
    <t>3.74亿</t>
  </si>
  <si>
    <t>SH688037</t>
  </si>
  <si>
    <t>芯源微</t>
  </si>
  <si>
    <t>4882.86万</t>
  </si>
  <si>
    <t>2927.59万</t>
  </si>
  <si>
    <t>3047.79万</t>
  </si>
  <si>
    <t>3.13亿</t>
  </si>
  <si>
    <t>15.18亿</t>
  </si>
  <si>
    <t>SH688200</t>
  </si>
  <si>
    <t>9072.93万</t>
  </si>
  <si>
    <t>6.47亿</t>
  </si>
  <si>
    <t>SH688385</t>
  </si>
  <si>
    <t>复旦微电</t>
  </si>
  <si>
    <t>16.91亿</t>
  </si>
  <si>
    <t>14.73亿</t>
  </si>
  <si>
    <t>14.24亿</t>
  </si>
  <si>
    <t>5.02亿</t>
  </si>
  <si>
    <t>1.72亿</t>
  </si>
  <si>
    <t>SH688711</t>
  </si>
  <si>
    <t>宏微科技</t>
  </si>
  <si>
    <t>2663.79万</t>
  </si>
  <si>
    <t>1121.05万</t>
  </si>
  <si>
    <t>753.42万</t>
  </si>
  <si>
    <t>SH688728</t>
  </si>
  <si>
    <t>格科微</t>
  </si>
  <si>
    <t>64.56亿</t>
  </si>
  <si>
    <t>36.90亿</t>
  </si>
  <si>
    <t>21.93亿</t>
  </si>
  <si>
    <t>5.00亿</t>
  </si>
  <si>
    <t>SH688766</t>
  </si>
  <si>
    <t>8603.95万</t>
  </si>
  <si>
    <t>3232.08万</t>
  </si>
  <si>
    <t>1337.37万</t>
  </si>
  <si>
    <t>SH688798</t>
  </si>
  <si>
    <t>艾为电子</t>
  </si>
  <si>
    <t>8.29亿</t>
  </si>
  <si>
    <t>14.38亿</t>
  </si>
  <si>
    <t>9.57亿</t>
  </si>
  <si>
    <t>10.18亿</t>
  </si>
  <si>
    <t>9008.89万</t>
  </si>
  <si>
    <t>3829.75万</t>
  </si>
  <si>
    <t>销售毛利率%[20201231]</t>
  </si>
  <si>
    <t>销售净利率%[20201231]</t>
  </si>
  <si>
    <t>5.10亿</t>
  </si>
  <si>
    <t>14.16亿</t>
  </si>
  <si>
    <t xml:space="preserve">主营业务是非易失性存储器芯片的设计与销售。主要产品包括NOR Flash和EEPROM两大类非易失性存储器芯片，属于通用型芯片，可广泛应用于手机、计算机、网络通信、家电、工业控制、汽车电子、可穿戴设备和物联网等领域；
2021H1：
芯片收入 5.12亿 100.00% 利润占比100.00% 32.48%
</t>
    <phoneticPr fontId="1" type="noConversion"/>
  </si>
  <si>
    <t>1.NOR Flash产品来说，目前市场上规模较大的主要有华邦、旺宏、兆易创新；</t>
    <phoneticPr fontId="1" type="noConversion"/>
  </si>
  <si>
    <r>
      <t>1.公司看好NOR Flash的长期市场，整个行业由于AIoT、汽车、网络、通信等应用增加，NOR Flash下游需求依然会保持增长。总体来说，公司对NOR Flash和EEPROM的价格保持谨慎偏乐观的态度；2.2020年，公司在NOR Flash产品上排名全球第六，公司的产品主要定位在中小容量，即128M及以下的Flash产品，这一容量领域的主流工艺是65/55nm，小部分到了50nm及以下，公司是</t>
    </r>
    <r>
      <rPr>
        <sz val="9"/>
        <color rgb="FFFF0000"/>
        <rFont val="宋体"/>
        <family val="3"/>
        <charset val="134"/>
        <scheme val="minor"/>
      </rPr>
      <t>率先实现40nm制程</t>
    </r>
    <r>
      <rPr>
        <sz val="9"/>
        <color theme="1"/>
        <rFont val="宋体"/>
        <family val="3"/>
        <charset val="134"/>
        <scheme val="minor"/>
      </rPr>
      <t>的公司，总体而言，大容量领域我们会以ETOX工艺为主，SONOS工艺为辅，中小容量领域会以SONOS工艺为主，ETOX工艺为辅。</t>
    </r>
    <phoneticPr fontId="1" type="noConversion"/>
  </si>
  <si>
    <t>富满微</t>
  </si>
  <si>
    <t>1.50亿</t>
  </si>
  <si>
    <t>代码</t>
  </si>
  <si>
    <t>涨幅%</t>
  </si>
  <si>
    <t>流通股本</t>
  </si>
  <si>
    <t>净利润[20201231]</t>
  </si>
  <si>
    <t>投入资本回报率roic%[20201231]</t>
  </si>
  <si>
    <t>净资产收益率%[20201231]</t>
  </si>
  <si>
    <t>9.43亿</t>
  </si>
  <si>
    <t>3.52亿</t>
  </si>
  <si>
    <t>53.42亿</t>
  </si>
  <si>
    <t>19.54亿</t>
  </si>
  <si>
    <t>21.95亿</t>
  </si>
  <si>
    <t>7.85亿</t>
  </si>
  <si>
    <t>158.12亿</t>
  </si>
  <si>
    <t>120.97亿</t>
  </si>
  <si>
    <t>4.36亿</t>
  </si>
  <si>
    <t>20.24亿</t>
  </si>
  <si>
    <t>96.83亿</t>
  </si>
  <si>
    <t>7.82亿</t>
  </si>
  <si>
    <t>37.82亿</t>
  </si>
  <si>
    <t>29.59亿</t>
  </si>
  <si>
    <t>1.96亿</t>
  </si>
  <si>
    <t>5.54亿</t>
  </si>
  <si>
    <t>16.21亿</t>
  </si>
  <si>
    <t>4408.78万</t>
  </si>
  <si>
    <t>6.96亿</t>
  </si>
  <si>
    <t>4263.65万</t>
  </si>
  <si>
    <t>52.74亿</t>
  </si>
  <si>
    <t>7.86亿</t>
  </si>
  <si>
    <t>14.94亿</t>
  </si>
  <si>
    <t>3.71亿</t>
  </si>
  <si>
    <t>7.68亿</t>
  </si>
  <si>
    <t>17.07亿</t>
  </si>
  <si>
    <t>20.65亿</t>
  </si>
  <si>
    <t>3.98亿</t>
  </si>
  <si>
    <t>15.11亿</t>
  </si>
  <si>
    <t>17.17亿</t>
  </si>
  <si>
    <t>17.73亿</t>
  </si>
  <si>
    <t>22.38亿</t>
  </si>
  <si>
    <t>1766.08万</t>
  </si>
  <si>
    <t>46.34亿</t>
  </si>
  <si>
    <t>21.35亿</t>
  </si>
  <si>
    <t>5337.80万</t>
  </si>
  <si>
    <t>22.68亿</t>
  </si>
  <si>
    <t>7.29亿</t>
  </si>
  <si>
    <t>5.14亿</t>
  </si>
  <si>
    <t>-1.45亿</t>
  </si>
  <si>
    <t>22.10亿</t>
  </si>
  <si>
    <t>4.42亿</t>
  </si>
  <si>
    <t>71.94亿</t>
  </si>
  <si>
    <t>305.02亿</t>
  </si>
  <si>
    <t>SH600877</t>
  </si>
  <si>
    <t>16.55亿</t>
  </si>
  <si>
    <t>6.25亿</t>
  </si>
  <si>
    <t>17.13亿</t>
  </si>
  <si>
    <t>7973.93万</t>
  </si>
  <si>
    <t>6308.37万</t>
  </si>
  <si>
    <t>14.11亿</t>
  </si>
  <si>
    <t>10.95亿</t>
  </si>
  <si>
    <t>5846.36万</t>
  </si>
  <si>
    <t>57.13亿</t>
  </si>
  <si>
    <t>7.21亿</t>
  </si>
  <si>
    <t>-5.84亿</t>
  </si>
  <si>
    <t>241.04亿</t>
  </si>
  <si>
    <t>44.76亿</t>
  </si>
  <si>
    <t>20.84亿</t>
  </si>
  <si>
    <t>27.19亿</t>
  </si>
  <si>
    <t>4.46亿</t>
  </si>
  <si>
    <t>85.10亿</t>
  </si>
  <si>
    <t>23.37亿</t>
  </si>
  <si>
    <t>25.41亿</t>
  </si>
  <si>
    <t>25.62亿</t>
  </si>
  <si>
    <t>31.08亿</t>
  </si>
  <si>
    <t>7734.95万</t>
  </si>
  <si>
    <t>SH688048</t>
  </si>
  <si>
    <t>长光华芯</t>
  </si>
  <si>
    <t>9243.44万</t>
  </si>
  <si>
    <t>2617.91万</t>
  </si>
  <si>
    <t>-1439.57万</t>
  </si>
  <si>
    <t>SH688049</t>
  </si>
  <si>
    <t>炬芯科技</t>
  </si>
  <si>
    <t>8394.78万</t>
  </si>
  <si>
    <t>2408.84万</t>
  </si>
  <si>
    <t>5455.99万</t>
  </si>
  <si>
    <t>3602.59万</t>
  </si>
  <si>
    <t>SH688052</t>
  </si>
  <si>
    <t>纳芯微</t>
  </si>
  <si>
    <t>8.62亿</t>
  </si>
  <si>
    <t>9210.32万</t>
  </si>
  <si>
    <t>4022.33万</t>
  </si>
  <si>
    <t>5081.60万</t>
  </si>
  <si>
    <t>-910.85万</t>
  </si>
  <si>
    <t>230.85万</t>
  </si>
  <si>
    <t>SH688072</t>
  </si>
  <si>
    <t>6848.65万</t>
  </si>
  <si>
    <t>7064.40万</t>
  </si>
  <si>
    <t>-1148.90万</t>
  </si>
  <si>
    <t>-1936.64万</t>
  </si>
  <si>
    <t>SH688082</t>
  </si>
  <si>
    <t>盛美上海</t>
  </si>
  <si>
    <t>7.33亿</t>
  </si>
  <si>
    <t>10.07亿</t>
  </si>
  <si>
    <t>9253.04万</t>
  </si>
  <si>
    <t>47.77亿</t>
  </si>
  <si>
    <t>SH688107</t>
  </si>
  <si>
    <t>-3084.91万</t>
  </si>
  <si>
    <t>2852.03万</t>
  </si>
  <si>
    <t>-618.71万</t>
  </si>
  <si>
    <t>3589.46万</t>
  </si>
  <si>
    <t>-889.96万</t>
  </si>
  <si>
    <t>SH688110</t>
  </si>
  <si>
    <t>东芯股份</t>
  </si>
  <si>
    <t>11.34亿</t>
  </si>
  <si>
    <t>1953.31万</t>
  </si>
  <si>
    <t>-6383.73万</t>
  </si>
  <si>
    <t>-2180.22万</t>
  </si>
  <si>
    <t>24.67亿</t>
  </si>
  <si>
    <t>4452.58万</t>
  </si>
  <si>
    <t>SH688153</t>
  </si>
  <si>
    <t>35.09亿</t>
  </si>
  <si>
    <t>-6841.64万</t>
  </si>
  <si>
    <t>18.10亿</t>
  </si>
  <si>
    <t>-7772.91万</t>
  </si>
  <si>
    <t>-2999.41万</t>
  </si>
  <si>
    <t>-3385.88万</t>
  </si>
  <si>
    <t>SH688173</t>
  </si>
  <si>
    <t>希荻微</t>
  </si>
  <si>
    <t>2564.63万</t>
  </si>
  <si>
    <t>6816.32万</t>
  </si>
  <si>
    <t>-957.52万</t>
  </si>
  <si>
    <t>-538.40万</t>
  </si>
  <si>
    <t>8.78亿</t>
  </si>
  <si>
    <t>SH688209</t>
  </si>
  <si>
    <t>英集芯</t>
  </si>
  <si>
    <t>7.81亿</t>
  </si>
  <si>
    <t>6208.02万</t>
  </si>
  <si>
    <t>1601.93万</t>
  </si>
  <si>
    <t>2735.86万</t>
  </si>
  <si>
    <t>SH688220</t>
  </si>
  <si>
    <t>翱捷科技-U</t>
  </si>
  <si>
    <t>21.37亿</t>
  </si>
  <si>
    <t>-5.89亿</t>
  </si>
  <si>
    <t>10.81亿</t>
  </si>
  <si>
    <t>-23.27亿</t>
  </si>
  <si>
    <t>-5.37亿</t>
  </si>
  <si>
    <t>SH688230</t>
  </si>
  <si>
    <t>芯导科技</t>
  </si>
  <si>
    <t>7416.38万</t>
  </si>
  <si>
    <t>4809.33万</t>
  </si>
  <si>
    <t>4967.23万</t>
  </si>
  <si>
    <t>SH688234</t>
  </si>
  <si>
    <t>天岳先进</t>
  </si>
  <si>
    <t>8995.15万</t>
  </si>
  <si>
    <t>4.25亿</t>
  </si>
  <si>
    <t>-6.42亿</t>
  </si>
  <si>
    <t>-2.01亿</t>
  </si>
  <si>
    <t>-4213.96万</t>
  </si>
  <si>
    <t>-8.25亿</t>
  </si>
  <si>
    <t>SH688259</t>
  </si>
  <si>
    <t>创耀科技</t>
  </si>
  <si>
    <t>7868.88万</t>
  </si>
  <si>
    <t>6790.15万</t>
  </si>
  <si>
    <t>4776.56万</t>
  </si>
  <si>
    <t>1109.05万</t>
  </si>
  <si>
    <t>SH688261</t>
  </si>
  <si>
    <t>东微半导</t>
  </si>
  <si>
    <t>2768.32万</t>
  </si>
  <si>
    <t>911.01万</t>
  </si>
  <si>
    <t>1297.43万</t>
  </si>
  <si>
    <t>SH688262</t>
  </si>
  <si>
    <t>7020.46万</t>
  </si>
  <si>
    <t>4574.46万</t>
  </si>
  <si>
    <t>3113.64万</t>
  </si>
  <si>
    <t>319.66万</t>
  </si>
  <si>
    <t>SH688270</t>
  </si>
  <si>
    <t>臻镭科技</t>
  </si>
  <si>
    <t>9884.42万</t>
  </si>
  <si>
    <t>5544.99万</t>
  </si>
  <si>
    <t>399.35万</t>
  </si>
  <si>
    <t>7693.60万</t>
  </si>
  <si>
    <t>418.53万</t>
  </si>
  <si>
    <t>-4897.74万</t>
  </si>
  <si>
    <t>SH688279</t>
  </si>
  <si>
    <t>峰岹科技</t>
  </si>
  <si>
    <t>9142.87万</t>
  </si>
  <si>
    <t>7835.11万</t>
  </si>
  <si>
    <t>3505.12万</t>
  </si>
  <si>
    <t>1338.59万</t>
  </si>
  <si>
    <t>1242.40万</t>
  </si>
  <si>
    <t>SH688325</t>
  </si>
  <si>
    <t>赛微微电</t>
  </si>
  <si>
    <t>8921.61万</t>
  </si>
  <si>
    <t>8873.61万</t>
  </si>
  <si>
    <t>6726.25万</t>
  </si>
  <si>
    <t>3245.86万</t>
  </si>
  <si>
    <t>367.95万</t>
  </si>
  <si>
    <t>341.67万</t>
  </si>
  <si>
    <t>23.02亿</t>
  </si>
  <si>
    <t>25.77亿</t>
  </si>
  <si>
    <t>7.13亿</t>
  </si>
  <si>
    <t>92.49亿</t>
  </si>
  <si>
    <t>1329.24万</t>
  </si>
  <si>
    <t>13.26亿</t>
  </si>
  <si>
    <t>4203.73万</t>
  </si>
  <si>
    <t>9562.26万</t>
  </si>
  <si>
    <t>7.74亿</t>
  </si>
  <si>
    <t>17.65亿</t>
  </si>
  <si>
    <t>5.71亿</t>
  </si>
  <si>
    <t>5.51亿</t>
  </si>
  <si>
    <t>6882.94万</t>
  </si>
  <si>
    <t>70.01亿</t>
  </si>
  <si>
    <t>12.58亿</t>
  </si>
  <si>
    <t>356.31亿</t>
  </si>
  <si>
    <t>107.33亿</t>
  </si>
  <si>
    <t xml:space="preserve">    名称</t>
  </si>
  <si>
    <t>净利润?</t>
  </si>
  <si>
    <t>投入资本回报率roic%[20211231]</t>
  </si>
  <si>
    <t>净资产收益率%[20211231]</t>
  </si>
  <si>
    <t>单季营收增速</t>
  </si>
  <si>
    <t>单季利润增速</t>
  </si>
  <si>
    <t>-1.54亿</t>
  </si>
  <si>
    <t/>
  </si>
  <si>
    <t>1.54亿</t>
  </si>
  <si>
    <t>亏损</t>
  </si>
  <si>
    <t>扭亏</t>
  </si>
  <si>
    <t>-1.64亿</t>
  </si>
  <si>
    <t>4.64亿</t>
  </si>
  <si>
    <t>4.60亿</t>
  </si>
  <si>
    <t>2.98亿</t>
  </si>
  <si>
    <t>4.03亿</t>
  </si>
  <si>
    <t>11.06亿</t>
  </si>
  <si>
    <t>3.08亿</t>
  </si>
  <si>
    <t>8.67亿</t>
  </si>
  <si>
    <t>7.14亿</t>
  </si>
  <si>
    <t>3.18亿</t>
  </si>
  <si>
    <t>1.61亿</t>
  </si>
  <si>
    <t>8.69亿</t>
  </si>
  <si>
    <t>-1.07亿</t>
  </si>
  <si>
    <t>芯朋微</t>
  </si>
  <si>
    <t>9.27亿</t>
  </si>
  <si>
    <t>6.09亿</t>
  </si>
  <si>
    <t>乐鑫科技</t>
  </si>
  <si>
    <t>SH688045</t>
  </si>
  <si>
    <t>必易微</t>
  </si>
  <si>
    <t>3856.21万</t>
  </si>
  <si>
    <t>2159.66万</t>
  </si>
  <si>
    <t>2096.68万</t>
  </si>
  <si>
    <r>
      <t>1.报告期内，全球半导体市场并未受到新冠疫情的重大影响，强劲的消费需求推动了所有的主要半导体产品类别的显著增长。其中</t>
    </r>
    <r>
      <rPr>
        <sz val="9"/>
        <color rgb="FFFF0000"/>
        <rFont val="宋体"/>
        <family val="3"/>
        <charset val="134"/>
        <scheme val="minor"/>
      </rPr>
      <t>最大的增长贡献来自模拟电路</t>
    </r>
    <r>
      <rPr>
        <sz val="9"/>
        <color theme="1"/>
        <rFont val="宋体"/>
        <family val="3"/>
        <charset val="134"/>
        <scheme val="minor"/>
      </rPr>
      <t xml:space="preserve">，相比 2021 年增长 </t>
    </r>
    <r>
      <rPr>
        <b/>
        <sz val="9"/>
        <color rgb="FFFF0000"/>
        <rFont val="宋体"/>
        <family val="3"/>
        <charset val="134"/>
        <scheme val="minor"/>
      </rPr>
      <t>33.1%</t>
    </r>
    <r>
      <rPr>
        <sz val="9"/>
        <color theme="1"/>
        <rFont val="宋体"/>
        <family val="3"/>
        <charset val="134"/>
        <scheme val="minor"/>
      </rPr>
      <t>；其次是内存，同比增长 30.9%；逻辑电路同比增长 30.8%，传感器增同比长 28%，分立器件同比增长 27.4%。微控制器类别的同比增长率略低，为 15.1%，光电子为 7.4%。2.2022 年公司经营目标为力争销售收入和归属于上市公司股东的</t>
    </r>
    <r>
      <rPr>
        <sz val="9"/>
        <color rgb="FFFF0000"/>
        <rFont val="宋体"/>
        <family val="3"/>
        <charset val="134"/>
        <scheme val="minor"/>
      </rPr>
      <t>扣除非经常性损益的净利润较上年增长 20%以上</t>
    </r>
    <r>
      <rPr>
        <sz val="9"/>
        <color theme="1"/>
        <rFont val="宋体"/>
        <family val="3"/>
        <charset val="134"/>
        <scheme val="minor"/>
      </rPr>
      <t xml:space="preserve">。
</t>
    </r>
    <phoneticPr fontId="1" type="noConversion"/>
  </si>
  <si>
    <r>
      <t>1.在工业控制和汽车电子领域的电路和器件产品及应用方案开发及量产工作已经开始起步，已有部分产品实现设计导入。由于工业控制和汽车电子应用环境</t>
    </r>
    <r>
      <rPr>
        <sz val="9"/>
        <color rgb="FFFF0000"/>
        <rFont val="宋体"/>
        <family val="3"/>
        <charset val="134"/>
        <scheme val="minor"/>
      </rPr>
      <t>对芯片产品的全生命周期安全管理要求严格</t>
    </r>
    <r>
      <rPr>
        <sz val="9"/>
        <color theme="1"/>
        <rFont val="宋体"/>
        <family val="3"/>
        <charset val="134"/>
        <scheme val="minor"/>
      </rPr>
      <t xml:space="preserve">，产品技术开发难度较大、评估验证方案复杂耗时，市场导入周期普遍较长，业务存在较大的不确定因素。
</t>
    </r>
    <phoneticPr fontId="1" type="noConversion"/>
  </si>
  <si>
    <r>
      <t>1.公司在车载领域研发投入已超十六年，产品覆盖从VGA到800万像素区间，能满足产品应用领域从传统的倒车雷达影像、行车记录仪扩展到电子后视镜、360度全景成像、高级驾驶辅助系统（ADAS）、驾驶员监控（DMS）等领域。</t>
    </r>
    <r>
      <rPr>
        <sz val="9"/>
        <color rgb="FFFF0000"/>
        <rFont val="宋体"/>
        <family val="3"/>
        <charset val="134"/>
        <scheme val="minor"/>
      </rPr>
      <t>公司在售的产品比友商更齐备</t>
    </r>
    <r>
      <rPr>
        <sz val="9"/>
        <color theme="1"/>
        <rFont val="宋体"/>
        <family val="3"/>
        <charset val="134"/>
        <scheme val="minor"/>
      </rPr>
      <t>;</t>
    </r>
    <phoneticPr fontId="1" type="noConversion"/>
  </si>
  <si>
    <r>
      <t>1.新冠肺炎病毒疫情依然在全球蔓延，但半导体集成电路行业受全球疫情的影响并不明显，市场需求依然旺盛，芯片依然短缺，半导体市场延续了自2020年以来的增长并将这一势头带入2022年。据世界半导体贸易统计协会（WSTS）预测，</t>
    </r>
    <r>
      <rPr>
        <sz val="9"/>
        <color rgb="FFFF0000"/>
        <rFont val="宋体"/>
        <family val="3"/>
        <charset val="134"/>
        <scheme val="minor"/>
      </rPr>
      <t>2022年</t>
    </r>
    <r>
      <rPr>
        <sz val="9"/>
        <color theme="1"/>
        <rFont val="宋体"/>
        <family val="3"/>
        <charset val="134"/>
        <scheme val="minor"/>
      </rPr>
      <t>全球半导体市场将会</t>
    </r>
    <r>
      <rPr>
        <sz val="9"/>
        <color rgb="FFFF0000"/>
        <rFont val="宋体"/>
        <family val="3"/>
        <charset val="134"/>
        <scheme val="minor"/>
      </rPr>
      <t>持续8.8%的增长</t>
    </r>
    <r>
      <rPr>
        <sz val="9"/>
        <color theme="1"/>
        <rFont val="宋体"/>
        <family val="3"/>
        <charset val="134"/>
        <scheme val="minor"/>
      </rPr>
      <t>。</t>
    </r>
    <phoneticPr fontId="1" type="noConversion"/>
  </si>
  <si>
    <t>1.目前拥有25大类近3,800款可供销售产品，涵盖信号链和电源管理两大领域；</t>
    <phoneticPr fontId="1" type="noConversion"/>
  </si>
  <si>
    <t>公司主要从事高性能模拟及数模混合集成电路的设计研发、封装、测试和销售。公司主要产品包括电源管理、LED屏控制及驱动、MOSFET、MCU、快充协议、RFID、射频前端以及各类ASI芯片。
市值140亿，利润4.56亿，pe30~63，pb5.73；毛利34%，净利17%；2021营收增64%，利润增356%；2022Q1营收增3.6%，利润增-10%；过往5年营收增34%，利润增108%；
2021：
LED灯、LED控制及驱动类芯片 8.15亿 59.47% 62.65% 56.85%
电源管理类芯片 3.63亿 26.48% 26.26% 53.52%
其他类芯片 1.33亿 9.73% 8.47% 46.93%
MOSFET类芯片 5280.23万 3.85% 2.27% 31.77%
租赁收入 634.16万 0.46% 0.36% 41.72%</t>
    <phoneticPr fontId="1" type="noConversion"/>
  </si>
  <si>
    <t>1.底部起来平均有30%高度，注意安全垫厚度；</t>
    <phoneticPr fontId="1" type="noConversion"/>
  </si>
  <si>
    <r>
      <t>1.问：5.简单介绍公司与</t>
    </r>
    <r>
      <rPr>
        <sz val="9"/>
        <color rgb="FFFF0000"/>
        <rFont val="宋体"/>
        <family val="3"/>
        <charset val="134"/>
        <scheme val="minor"/>
      </rPr>
      <t>平头哥合作的risc-v架构芯片</t>
    </r>
    <r>
      <rPr>
        <sz val="9"/>
        <color theme="1"/>
        <rFont val="宋体"/>
        <family val="3"/>
        <charset val="134"/>
        <scheme val="minor"/>
      </rPr>
      <t>产品？答：目前公司已经推出D1处理器芯片，可广泛应用于智慧城市、智能汽车、智能商显、智能家电、智能办公、信息安全等多个领域市场。相关芯片及应用开发板也已正式推出。公司未来会持续推动生态的发展；2.覆盖</t>
    </r>
    <r>
      <rPr>
        <b/>
        <sz val="9"/>
        <color theme="1"/>
        <rFont val="宋体"/>
        <family val="3"/>
        <charset val="134"/>
        <scheme val="minor"/>
      </rPr>
      <t>soc芯片设计</t>
    </r>
    <r>
      <rPr>
        <sz val="9"/>
        <color theme="1"/>
        <rFont val="宋体"/>
        <family val="3"/>
        <charset val="134"/>
        <scheme val="minor"/>
      </rPr>
      <t>层面，搭建了兼容不同核数、不同算力、不同应用需求的SoC设计技术平台；在</t>
    </r>
    <r>
      <rPr>
        <b/>
        <sz val="9"/>
        <color theme="1"/>
        <rFont val="宋体"/>
        <family val="3"/>
        <charset val="134"/>
        <scheme val="minor"/>
      </rPr>
      <t>系统设计</t>
    </r>
    <r>
      <rPr>
        <sz val="9"/>
        <color theme="1"/>
        <rFont val="宋体"/>
        <family val="3"/>
        <charset val="134"/>
        <scheme val="minor"/>
      </rPr>
      <t>层面，形成了信号和电源完整性、热设计、可制造性设计的板级设计技术平台；在</t>
    </r>
    <r>
      <rPr>
        <b/>
        <sz val="9"/>
        <color theme="1"/>
        <rFont val="宋体"/>
        <family val="3"/>
        <charset val="134"/>
        <scheme val="minor"/>
      </rPr>
      <t>基础软件层面</t>
    </r>
    <r>
      <rPr>
        <sz val="9"/>
        <color theme="1"/>
        <rFont val="宋体"/>
        <family val="3"/>
        <charset val="134"/>
        <scheme val="minor"/>
      </rPr>
      <t>，具备了基于RTOS、Linux、Android三类操作系统的软件设计技术平台；在</t>
    </r>
    <r>
      <rPr>
        <b/>
        <sz val="9"/>
        <color theme="1"/>
        <rFont val="宋体"/>
        <family val="3"/>
        <charset val="134"/>
        <scheme val="minor"/>
      </rPr>
      <t>应用层面</t>
    </r>
    <r>
      <rPr>
        <sz val="9"/>
        <color theme="1"/>
        <rFont val="宋体"/>
        <family val="3"/>
        <charset val="134"/>
        <scheme val="minor"/>
      </rPr>
      <t>，积累了面向不同应用领域的产品开发平台</t>
    </r>
    <phoneticPr fontId="1" type="noConversion"/>
  </si>
  <si>
    <t>SH688047</t>
  </si>
  <si>
    <t>龙芯中科</t>
  </si>
  <si>
    <t>4.86亿</t>
  </si>
  <si>
    <t>7179.85万</t>
  </si>
  <si>
    <t>790.33万</t>
  </si>
  <si>
    <t>SH688120</t>
  </si>
  <si>
    <t>华海清科</t>
  </si>
  <si>
    <t>8.05亿</t>
  </si>
  <si>
    <t>3566.35万</t>
  </si>
  <si>
    <t>9778.77万</t>
  </si>
  <si>
    <t>-3571.14万</t>
  </si>
  <si>
    <t>SH688213</t>
  </si>
  <si>
    <t>思特威-W</t>
  </si>
  <si>
    <t>26.89亿</t>
  </si>
  <si>
    <t>3.14亿</t>
  </si>
  <si>
    <t>15.27亿</t>
  </si>
  <si>
    <t>-2.42亿</t>
  </si>
  <si>
    <t>-1.66亿</t>
  </si>
  <si>
    <t>SH688332</t>
  </si>
  <si>
    <t>中科蓝讯</t>
  </si>
  <si>
    <t>11.24亿</t>
  </si>
  <si>
    <t>6.46亿</t>
  </si>
  <si>
    <t>8442.43万</t>
  </si>
  <si>
    <t>72.01万</t>
  </si>
  <si>
    <t>8.07亿</t>
  </si>
  <si>
    <t>SH688130</t>
  </si>
  <si>
    <t>晶华微</t>
  </si>
  <si>
    <t>7735.15万</t>
  </si>
  <si>
    <t>5982.96万</t>
  </si>
  <si>
    <t>5027.88万</t>
  </si>
  <si>
    <t>1111.86万</t>
  </si>
  <si>
    <t>568.81万</t>
  </si>
  <si>
    <t>气派科技</t>
  </si>
  <si>
    <t>国芯科技</t>
  </si>
  <si>
    <t>SH688380</t>
  </si>
  <si>
    <t>11.09亿</t>
  </si>
  <si>
    <t>9369.00万</t>
  </si>
  <si>
    <t>2499.14万</t>
  </si>
  <si>
    <t>3236.50万</t>
  </si>
  <si>
    <t>3.33亿</t>
  </si>
  <si>
    <t>4.20亿</t>
  </si>
  <si>
    <t>4.34亿</t>
  </si>
  <si>
    <t>2.27亿</t>
  </si>
  <si>
    <t>4.93亿</t>
  </si>
  <si>
    <t>SH600745</t>
  </si>
  <si>
    <t>闻泰科技</t>
  </si>
  <si>
    <t>527.29亿</t>
  </si>
  <si>
    <t>26.12亿</t>
  </si>
  <si>
    <t>517.07亿</t>
  </si>
  <si>
    <t>415.78亿</t>
  </si>
  <si>
    <t>173.35亿</t>
  </si>
  <si>
    <t>24.15亿</t>
  </si>
  <si>
    <t>12.54亿</t>
  </si>
  <si>
    <t>6101.93万</t>
  </si>
  <si>
    <t>韦尔股份</t>
  </si>
  <si>
    <t>SH688381</t>
  </si>
  <si>
    <t>帝奥微</t>
  </si>
  <si>
    <t>9739.20万</t>
  </si>
  <si>
    <t>4017.67万</t>
  </si>
  <si>
    <t>253.92万</t>
  </si>
  <si>
    <t>-810.34万</t>
  </si>
  <si>
    <t>SH688401</t>
  </si>
  <si>
    <t>路维光电</t>
  </si>
  <si>
    <t>5230.64万</t>
  </si>
  <si>
    <t>3245.98万</t>
  </si>
  <si>
    <t>-776.46万</t>
  </si>
  <si>
    <t>657.96万</t>
  </si>
  <si>
    <t>SH688403</t>
  </si>
  <si>
    <t>7.96亿</t>
  </si>
  <si>
    <t>1.79亿</t>
  </si>
  <si>
    <t>6.19亿</t>
  </si>
  <si>
    <t>-400.50万</t>
  </si>
  <si>
    <t>1.长电科技聚焦关键应用领域，在 5G 通信类、高性能计算、消费类、汽车和工业等重要领域拥有行业领先的半导体先进封装技术（如 SiP、WL-CSP、FC、eWLB、PiP、PoP 及 XDFOITM系列等）以及混合信号/射频集成电路测试和资源优势，并实现规模量产;</t>
    <phoneticPr fontId="1" type="noConversion"/>
  </si>
  <si>
    <t xml:space="preserve">1.半导体芯片成品制造和测试行业对设备有较高要求，部分重要核心设备来自境外。未来，公司的某些核心设备可能会发生供应短缺、价格大幅上涨，或者供应商所处国家与地区与中国发生贸易摩擦、外交冲突、战争等进而影响到相应设备的出口许可，可能会对公司生产经营及持续发展产生不利影响。
</t>
    <phoneticPr fontId="1" type="noConversion"/>
  </si>
  <si>
    <t>1.天水基地以引线框架类产品为主；西安基地以基板类和QFN、DFN产品为主；昆山为封装晶圆级产品，主要包括TSV、Bumping、WLCSP、Fan-Out等；Unisem封装产品包括引线框架类、基板类以及晶圆级产品，主要以射频类产品为主；</t>
    <phoneticPr fontId="1" type="noConversion"/>
  </si>
  <si>
    <t xml:space="preserve">1.公司于2019年1月完成对马来西亚主板上市公司Unisem的收购。若未来受宏观经济下行、半导体行业周期性波动、行业竞争加剧等因素影响，或Unisem
技术研发、市场拓展、经营管理等方面出现重大不利变化，导致其经营状况不如预期，可能需要对商誉计提减值，将对公司的经营业绩产生不利影响。
</t>
    <phoneticPr fontId="1" type="noConversion"/>
  </si>
  <si>
    <r>
      <t>1.公司先后在江苏南通崇川、南通苏通科技产业园、安徽合肥、福建厦门建厂布局；通过</t>
    </r>
    <r>
      <rPr>
        <sz val="9"/>
        <color rgb="FFFF0000"/>
        <rFont val="宋体"/>
        <family val="3"/>
        <charset val="134"/>
        <scheme val="minor"/>
      </rPr>
      <t>收购AMD苏州及AMD槟城各85%股权</t>
    </r>
    <r>
      <rPr>
        <sz val="9"/>
        <color theme="1"/>
        <rFont val="宋体"/>
        <family val="3"/>
        <charset val="134"/>
        <scheme val="minor"/>
      </rPr>
      <t>，在江苏苏州、马来西亚槟城拥有生产基地；2021年，公司新增南通市北高新区生产基地。2.公司凭借多年技术积累及不断研发投入，已具备了</t>
    </r>
    <r>
      <rPr>
        <sz val="9"/>
        <color rgb="FFFF0000"/>
        <rFont val="宋体"/>
        <family val="3"/>
        <charset val="134"/>
        <scheme val="minor"/>
      </rPr>
      <t>Chiplet</t>
    </r>
    <r>
      <rPr>
        <sz val="9"/>
        <color theme="1"/>
        <rFont val="宋体"/>
        <family val="3"/>
        <charset val="134"/>
        <scheme val="minor"/>
      </rPr>
      <t>封装的大规模生产能力；在CPU、GPU、服务器领域立足7nm，进阶5nm，目前已实现5nm产品的工艺能力和认证;3.在高性能计算方面，</t>
    </r>
    <r>
      <rPr>
        <sz val="9"/>
        <color rgb="FFFF0000"/>
        <rFont val="宋体"/>
        <family val="3"/>
        <charset val="134"/>
        <scheme val="minor"/>
      </rPr>
      <t>公司与AMD</t>
    </r>
    <r>
      <rPr>
        <sz val="9"/>
        <color theme="1"/>
        <rFont val="宋体"/>
        <family val="3"/>
        <charset val="134"/>
        <scheme val="minor"/>
      </rPr>
      <t xml:space="preserve"> 形成了“合资+合作”的强强联合模式，目前已建成国内高端处理器产品最大量产封测基地；</t>
    </r>
    <phoneticPr fontId="1" type="noConversion"/>
  </si>
  <si>
    <t>1.中美贸易摩擦可能通过影响公司客户备货情绪进而间接影响公司的经营活动，可能对公司未来的经营
业绩带来一定的不利影响;</t>
    <phoneticPr fontId="1" type="noConversion"/>
  </si>
  <si>
    <t>1.公司主要专注于传感器领域的封装测试业务，拥有多样化的先进封装技术，同时具备 8 英寸、12 英寸晶圆级芯片尺寸封装技术规模量产封装线，涵盖晶圆级到芯片级的一站式综合封装服务能力，为全球晶圆级芯片尺寸封装服务的主要提供者与技术引领者。封装产品主要包括影像传感器芯片、生物身份识别芯片等，该等产品广泛应用在手机、安防监控、身份识别、汽车电子、3D 传感等电子领域。同时，公司通过并购及业务技术整合，有效拓展了微型光学器件的设计、研发与制造业务，并拥有一站式的光学器件设计与研发，完整的晶圆级光学微型器件核心制造能力。</t>
    <phoneticPr fontId="1" type="noConversion"/>
  </si>
  <si>
    <r>
      <t>1.底部起来接近3倍，注意风险；2.问：5、公司在2021年</t>
    </r>
    <r>
      <rPr>
        <sz val="9"/>
        <color rgb="FFFF0000"/>
        <rFont val="宋体"/>
        <family val="3"/>
        <charset val="134"/>
        <scheme val="minor"/>
      </rPr>
      <t>ST摘帽以后，是彻底剥离了房地产业务</t>
    </r>
    <r>
      <rPr>
        <sz val="9"/>
        <color theme="1"/>
        <rFont val="宋体"/>
        <family val="3"/>
        <charset val="134"/>
        <scheme val="minor"/>
      </rPr>
      <t>了吗？还是说还有一些业务在继续？公司未来的产业定位和发展战略是如何规划的？答：公司在2019年就退出房地产已经明确定位，后续一直在做尾盘的去化和处置，公司于今年7月份变更了所属行业，从“房地产”变更为“计算机、通信和其他电子设备制造业”</t>
    </r>
    <phoneticPr fontId="1" type="noConversion"/>
  </si>
  <si>
    <t>1.问：请问公司先进封装在收入结构的占比情况？答：2021年公司的先进封装占比为28%，今年的先进封装（含DFN、QFN）占比目标为35%。</t>
    <phoneticPr fontId="1" type="noConversion"/>
  </si>
  <si>
    <r>
      <t>1.由于3月份的东莞疫情以及4月份的上海疫情导致今年第一季度的订单不理想。冲击较大的产品有手机端的产品（如电源类产品）、小家电类产品；工业应用、5G通讯等产品订单较稳定，受影响程度较小。2.问：请问公司产品应用到终端产品的领域占比情况，如小家电、消费电子、基站、汽车？答：</t>
    </r>
    <r>
      <rPr>
        <sz val="9"/>
        <color rgb="FFFF0000"/>
        <rFont val="宋体"/>
        <family val="3"/>
        <charset val="134"/>
        <scheme val="minor"/>
      </rPr>
      <t>消费电子占比最大，大约在40%</t>
    </r>
    <r>
      <rPr>
        <sz val="9"/>
        <color theme="1"/>
        <rFont val="宋体"/>
        <family val="3"/>
        <charset val="134"/>
        <scheme val="minor"/>
      </rPr>
      <t>。未来公司会向通讯类如5G基站（大功率）、车用电子等方面进行重点工作部署。</t>
    </r>
    <phoneticPr fontId="1" type="noConversion"/>
  </si>
  <si>
    <t>1.中国台湾存在多家规模较大的专业测试上市公司，如京元电子、矽格、欣铨等，利扬芯片与台湾测试公司相比，具有区位和文化优势;</t>
    <phoneticPr fontId="1" type="noConversion"/>
  </si>
  <si>
    <r>
      <t>1.问：部分设计公司找封测一体化的厂商直接测试，公司与封测一体厂商的测试有何区别？独立第三方测试有什么优势？答：公司与封测一体公司相比，封测一体公司更多专注于封装领域的研发，聚焦于物理学、材料学、力学等技术，其测试更多是属于自检，也就是在封装完成后进行配套测试检验，测试的内容主要是芯片的基本电性能测试和接续测试。</t>
    </r>
    <r>
      <rPr>
        <sz val="9"/>
        <color rgb="FFFF0000"/>
        <rFont val="宋体"/>
        <family val="3"/>
        <charset val="134"/>
        <scheme val="minor"/>
      </rPr>
      <t>公司作为独立第三方集成电路测试公司，专注于测试领域的研发</t>
    </r>
    <r>
      <rPr>
        <sz val="9"/>
        <color theme="1"/>
        <rFont val="宋体"/>
        <family val="3"/>
        <charset val="134"/>
        <scheme val="minor"/>
      </rPr>
      <t>，聚焦于芯片电子电路、性能、逻辑功能、信号、通信、系统应用等技术；</t>
    </r>
    <r>
      <rPr>
        <sz val="9"/>
        <color rgb="FFFF0000"/>
        <rFont val="宋体"/>
        <family val="3"/>
        <charset val="134"/>
        <scheme val="minor"/>
      </rPr>
      <t>公司在产业链的位置为独立第三方，仅提供专业测试服务，测试报告更加中立、客观</t>
    </r>
    <r>
      <rPr>
        <sz val="9"/>
        <color theme="1"/>
        <rFont val="宋体"/>
        <family val="3"/>
        <charset val="134"/>
        <scheme val="minor"/>
      </rPr>
      <t>。3.公司在2020年度业绩说明会上提及未来发展目标：预计近几年将保持平均年复合增长率保持30%以上；公司已制定中长期发展目标：</t>
    </r>
    <r>
      <rPr>
        <b/>
        <sz val="9"/>
        <color rgb="FFFF0000"/>
        <rFont val="宋体"/>
        <family val="3"/>
        <charset val="134"/>
        <scheme val="minor"/>
      </rPr>
      <t>3年翻番，5年10亿</t>
    </r>
    <r>
      <rPr>
        <sz val="9"/>
        <color theme="1"/>
        <rFont val="宋体"/>
        <family val="3"/>
        <charset val="134"/>
        <scheme val="minor"/>
      </rPr>
      <t>的营收规模。</t>
    </r>
    <phoneticPr fontId="1" type="noConversion"/>
  </si>
  <si>
    <t>1.问：前道Track各技术节点国内市场空间规模分别有多大,公司现在能覆盖多少?答：目前国内市场上对Krf和ArFi的需求量比较高,随着技术不断迭代,offline的应用也会越来越多。总体来看,公司产品目前已经可以覆盖到的KrF及以下节点,这部分国内市场空间占国内整体需求的50-60%。</t>
    <phoneticPr fontId="1" type="noConversion"/>
  </si>
  <si>
    <r>
      <t>1.问：请问公司半导体业务的经营情况如何？答：公司的半导体业务主要应用</t>
    </r>
    <r>
      <rPr>
        <sz val="9"/>
        <color rgb="FFFF0000"/>
        <rFont val="宋体"/>
        <family val="3"/>
        <charset val="134"/>
        <scheme val="minor"/>
      </rPr>
      <t>汽车、工业等领域，这两个领域的收入占比近70%</t>
    </r>
    <r>
      <rPr>
        <sz val="9"/>
        <color theme="1"/>
        <rFont val="宋体"/>
        <family val="3"/>
        <charset val="134"/>
        <scheme val="minor"/>
      </rPr>
      <t>，车规半导体龙头优势突出。产品主要包括</t>
    </r>
    <r>
      <rPr>
        <b/>
        <sz val="9"/>
        <color theme="1"/>
        <rFont val="宋体"/>
        <family val="3"/>
        <charset val="134"/>
        <scheme val="minor"/>
      </rPr>
      <t>二极管、三极管、ESD/TVS保护类器件、MOSFET功率管、逻辑产品</t>
    </r>
    <r>
      <rPr>
        <sz val="9"/>
        <color theme="1"/>
        <rFont val="宋体"/>
        <family val="3"/>
        <charset val="134"/>
        <scheme val="minor"/>
      </rPr>
      <t>等，这些产品的特点是，应用广泛且客户稳定性强，在行业景气度高、半导体需求旺盛的背景下，这些产品量价齐升，支持了安世21年收入与利润高速的增长。;2.问：请问安世未来的扩产计划？答：第一，2021年公司收购的英国晶圆厂Newport，进一步提升安世在MOSFET、IGBT、模拟和化合物半导体等车规级产品的产能和工艺能力，2022年将对安世产能扩张产生积极的贡献与影响；第二，对英国曼彻斯特和德国汉堡的晶圆厂的技术改造升级，生产效率得到进一步的提升；第三，公司正积极与外协合作伙伴沟通，适当增加外协产能；第四，由大股东先行建设的上海临港12吋车规级晶圆厂已经完成结构封顶，未来几年内将对安世产能形成数倍补充。此外，安世的封测工厂也在扩产。</t>
    </r>
    <phoneticPr fontId="1" type="noConversion"/>
  </si>
  <si>
    <r>
      <t>1.问：公司产品与国际龙头公司的差距如何
答：公司在碳化硅半导体衬底技术上</t>
    </r>
    <r>
      <rPr>
        <sz val="9"/>
        <color rgb="FFFF0000"/>
        <rFont val="宋体"/>
        <family val="3"/>
        <charset val="134"/>
        <scheme val="minor"/>
      </rPr>
      <t>已实现国产自主可控</t>
    </r>
    <r>
      <rPr>
        <sz val="9"/>
        <color theme="1"/>
        <rFont val="宋体"/>
        <family val="3"/>
        <charset val="134"/>
        <scheme val="minor"/>
      </rPr>
      <t>。我们的目标是成为国际著名的半导体公司,在产品技术指标、产品良率以及成本控制体系上,对标的都是国际龙头企业。从客户端的反馈来看,</t>
    </r>
    <r>
      <rPr>
        <b/>
        <sz val="9"/>
        <color rgb="FFFF0000"/>
        <rFont val="宋体"/>
        <family val="3"/>
        <charset val="134"/>
        <scheme val="minor"/>
      </rPr>
      <t>公司产品在关键技术指标方面已与国际龙头公司处于同一水平上</t>
    </r>
    <r>
      <rPr>
        <sz val="9"/>
        <color theme="1"/>
        <rFont val="宋体"/>
        <family val="3"/>
        <charset val="134"/>
        <scheme val="minor"/>
      </rPr>
      <t>。2.问：公司设备的国产化率如何
答：公司</t>
    </r>
    <r>
      <rPr>
        <sz val="9"/>
        <color rgb="FFFF0000"/>
        <rFont val="宋体"/>
        <family val="3"/>
        <charset val="134"/>
        <scheme val="minor"/>
      </rPr>
      <t>主要生产设备长晶炉已实现国产化</t>
    </r>
    <r>
      <rPr>
        <sz val="9"/>
        <color theme="1"/>
        <rFont val="宋体"/>
        <family val="3"/>
        <charset val="134"/>
        <scheme val="minor"/>
      </rPr>
      <t>,其中热场设计、控制软件以及组装调试工作均是公司自己完成的,同时公司也在进行持续研发,是公司的核心技术之一。3.问:问题2:公司未来如何安排半绝缘型和导电型产品产能；答:公司在</t>
    </r>
    <r>
      <rPr>
        <b/>
        <sz val="9"/>
        <color rgb="FFFF0000"/>
        <rFont val="宋体"/>
        <family val="3"/>
        <charset val="134"/>
        <scheme val="minor"/>
      </rPr>
      <t>保持半绝缘型衬底全球前三名的市场份额</t>
    </r>
    <r>
      <rPr>
        <sz val="9"/>
        <color theme="1"/>
        <rFont val="宋体"/>
        <family val="3"/>
        <charset val="134"/>
        <scheme val="minor"/>
      </rPr>
      <t>的基础上,正在加快导电型产品的产能建设,目前在济南工厂已经开始导电型产品的批量生产。今年临港工厂建设完成后,公司导电型产品的产能将会大幅提升。</t>
    </r>
    <phoneticPr fontId="1" type="noConversion"/>
  </si>
  <si>
    <r>
      <t>1.问：公司碳化硅衬底的价格趋势如何；答：根据Yole报告,</t>
    </r>
    <r>
      <rPr>
        <sz val="9"/>
        <color rgb="FFFF0000"/>
        <rFont val="宋体"/>
        <family val="3"/>
        <charset val="134"/>
        <scheme val="minor"/>
      </rPr>
      <t>未来碳化硅衬底的价格将呈现下降趋势</t>
    </r>
    <r>
      <rPr>
        <sz val="9"/>
        <color theme="1"/>
        <rFont val="宋体"/>
        <family val="3"/>
        <charset val="134"/>
        <scheme val="minor"/>
      </rPr>
      <t>,这是全球趋势。但另一方面,大尺寸产品会在未来的发展过程中根据市场需求以及产能供应逐步导入,大尺寸碳化硅衬底的价格会比目前的产品价格高,产品优势会逐步显现。2.问:问题8:公司未来是否有向下游延伸的安排；答:</t>
    </r>
    <r>
      <rPr>
        <b/>
        <sz val="9"/>
        <color rgb="FFFF0000"/>
        <rFont val="宋体"/>
        <family val="3"/>
        <charset val="134"/>
        <scheme val="minor"/>
      </rPr>
      <t>公司的战略一直是聚焦碳化硅衬底</t>
    </r>
    <r>
      <rPr>
        <sz val="9"/>
        <color theme="1"/>
        <rFont val="宋体"/>
        <family val="3"/>
        <charset val="134"/>
        <scheme val="minor"/>
      </rPr>
      <t>,把衬底做好做精是一件非常不容易的事情,而且衬底的市场需求量足够大,公司将坚持聚焦战略,努力把衬底进一步做好做精,尺寸更大,缺陷更少,持续满足快速增长的下游应用端的需求。</t>
    </r>
    <phoneticPr fontId="1" type="noConversion"/>
  </si>
  <si>
    <t>1.问：公司多晶硅原材料价格是否上涨？答：近期全球多晶硅价格上涨主要为光伏级多晶硅。公司生产使用的电子级多晶硅价格总体保持稳定，且公司与相关供应商签订有长期供货协议，所以价格基本保持稳定。未对公司原材料成本造成不利影响；</t>
    <phoneticPr fontId="1" type="noConversion"/>
  </si>
  <si>
    <t>公司主营业务为集成电路的封装测试。公司封装测试主要产品包括Qipai、CPC、SOP、SOT、QFN/DFN、LQFP、DIP等七大系列,共计超过120个品种。经过多年的沉淀和积累,公司已发展成为华南地区规模最大的内资集成电路封装测试企业之一；
市值34.54亿，利润1.35亿，pe31.91，pb3.47；毛利28.42%，净利13.15%；2021营收增47.63%，利润增68%；2022Q1营收增87.7%，利润增-103%；过往5年营收增23.1%，利润增74.36%；
2021：
境内销售 7.56亿 93.37% 89.41% 30.73%
其他业务 2922.82万 3.61% 8.48% 75.38%
境外销售 2439.66万 3.01% 2.11% 22.46%</t>
    <phoneticPr fontId="1" type="noConversion"/>
  </si>
  <si>
    <r>
      <t>1.</t>
    </r>
    <r>
      <rPr>
        <sz val="9"/>
        <color rgb="FFFF0000"/>
        <rFont val="宋体"/>
        <family val="3"/>
        <charset val="134"/>
        <scheme val="minor"/>
      </rPr>
      <t>公司定增增加30万片/月，将会达到60万片/月产能；正在成为12寸半导体硅片的龙头</t>
    </r>
    <phoneticPr fontId="1" type="noConversion"/>
  </si>
  <si>
    <t>SH688041</t>
  </si>
  <si>
    <t>海光信息</t>
  </si>
  <si>
    <t>23.10亿</t>
  </si>
  <si>
    <t>3.27亿</t>
  </si>
  <si>
    <t>2.08亿</t>
  </si>
  <si>
    <t>6.89亿</t>
  </si>
  <si>
    <t>10.22亿</t>
  </si>
  <si>
    <t>4825.14万</t>
  </si>
  <si>
    <t>-3914.45万</t>
  </si>
  <si>
    <t>-8290.46万</t>
  </si>
  <si>
    <t>-1.24亿</t>
  </si>
  <si>
    <t>细分行业</t>
  </si>
  <si>
    <t>5.31亿</t>
  </si>
  <si>
    <t>集成电路封测</t>
  </si>
  <si>
    <t>分立器件</t>
  </si>
  <si>
    <t>半导体材料</t>
  </si>
  <si>
    <t>半导体设备</t>
  </si>
  <si>
    <t>17.03亿</t>
  </si>
  <si>
    <t>5.93亿</t>
  </si>
  <si>
    <t>7.30亿</t>
  </si>
  <si>
    <t>13.35亿</t>
  </si>
  <si>
    <t>6.68亿</t>
  </si>
  <si>
    <t>16.49亿</t>
  </si>
  <si>
    <t>4.98亿</t>
  </si>
  <si>
    <t>10.79亿</t>
  </si>
  <si>
    <t>集成电路制造</t>
  </si>
  <si>
    <t>33.84亿</t>
  </si>
  <si>
    <t>7.54亿</t>
  </si>
  <si>
    <t>6.85亿</t>
  </si>
  <si>
    <t>3.87亿</t>
  </si>
  <si>
    <t>3.62亿</t>
  </si>
  <si>
    <t>5.16亿</t>
  </si>
  <si>
    <t>SZ301308</t>
  </si>
  <si>
    <t>江波龙</t>
  </si>
  <si>
    <t>97.49亿</t>
  </si>
  <si>
    <t>10.13亿</t>
  </si>
  <si>
    <t>72.76亿</t>
  </si>
  <si>
    <t>57.21亿</t>
  </si>
  <si>
    <t>42.28亿</t>
  </si>
  <si>
    <t>-5653.97万</t>
  </si>
  <si>
    <t>5.03亿</t>
  </si>
  <si>
    <t>15.14亿</t>
  </si>
  <si>
    <t>6.18亿</t>
  </si>
  <si>
    <t>4.33亿</t>
  </si>
  <si>
    <t>3.66亿</t>
  </si>
  <si>
    <t>中微半导</t>
  </si>
  <si>
    <t>SH688391</t>
  </si>
  <si>
    <t>4.99亿</t>
  </si>
  <si>
    <t>6210.80万</t>
  </si>
  <si>
    <t>3809.50万</t>
  </si>
  <si>
    <t>774.02万</t>
  </si>
  <si>
    <t>SH688416</t>
  </si>
  <si>
    <t>2059.71万</t>
  </si>
  <si>
    <t>-506.60万</t>
  </si>
  <si>
    <t>-628.00万</t>
  </si>
  <si>
    <t>11.16亿</t>
  </si>
  <si>
    <t>5.20亿</t>
  </si>
  <si>
    <t>5.23亿</t>
  </si>
  <si>
    <t>7.09亿</t>
  </si>
  <si>
    <t>SZ301369</t>
  </si>
  <si>
    <t>6076.28万</t>
  </si>
  <si>
    <t>3174.01万</t>
  </si>
  <si>
    <t>4407.32万</t>
  </si>
  <si>
    <t>10.30亿</t>
  </si>
  <si>
    <t>SH688252</t>
  </si>
  <si>
    <t>6074.57万</t>
  </si>
  <si>
    <t>1727.77万</t>
  </si>
  <si>
    <t>1735.05万</t>
  </si>
  <si>
    <t>恒烁股份</t>
  </si>
  <si>
    <t>钜泉科技</t>
  </si>
  <si>
    <t>SH688409</t>
  </si>
  <si>
    <t>富创精密</t>
  </si>
  <si>
    <t>8.43亿</t>
  </si>
  <si>
    <t>9350.50万</t>
  </si>
  <si>
    <t>-3334.40万</t>
  </si>
  <si>
    <t>686.23万</t>
  </si>
  <si>
    <t>SH688061</t>
  </si>
  <si>
    <t>灿瑞科技</t>
  </si>
  <si>
    <t>4365.25万</t>
  </si>
  <si>
    <t>2285.31万</t>
  </si>
  <si>
    <t>-631.91万</t>
  </si>
  <si>
    <t>思瑞浦</t>
  </si>
  <si>
    <t>26.79亿</t>
  </si>
  <si>
    <t>17.27亿</t>
  </si>
  <si>
    <t>4.04亿</t>
  </si>
  <si>
    <t>11.98亿</t>
  </si>
  <si>
    <t>9.40亿</t>
  </si>
  <si>
    <t>4.28亿</t>
  </si>
  <si>
    <t>2.78亿</t>
  </si>
  <si>
    <t>54.12亿</t>
  </si>
  <si>
    <t>9.16亿</t>
  </si>
  <si>
    <t>15.92亿</t>
  </si>
  <si>
    <t>9.02亿</t>
  </si>
  <si>
    <t>9.39亿</t>
  </si>
  <si>
    <t>10.69亿</t>
  </si>
  <si>
    <t>21.77亿</t>
  </si>
  <si>
    <t>4.83亿</t>
  </si>
  <si>
    <t>7.27亿</t>
  </si>
  <si>
    <t>8.59亿</t>
  </si>
  <si>
    <t>7.63亿</t>
  </si>
  <si>
    <t>7.25亿</t>
  </si>
  <si>
    <t>7.71亿</t>
  </si>
  <si>
    <t>联动科技</t>
  </si>
  <si>
    <t>16.70亿</t>
  </si>
  <si>
    <t>20.44亿</t>
  </si>
  <si>
    <t>7.38亿</t>
  </si>
  <si>
    <t>6.76亿</t>
  </si>
  <si>
    <t>8.91亿</t>
  </si>
  <si>
    <t>2.00亿</t>
  </si>
  <si>
    <t>26.09亿</t>
  </si>
  <si>
    <t>3.50亿</t>
  </si>
  <si>
    <t>15.65亿</t>
  </si>
  <si>
    <t>5.69亿</t>
  </si>
  <si>
    <t>14.48亿</t>
  </si>
  <si>
    <t>13.17亿</t>
  </si>
  <si>
    <t>-2.68亿</t>
  </si>
  <si>
    <t>5.59亿</t>
  </si>
  <si>
    <t>SH688362</t>
  </si>
  <si>
    <t>20.55亿</t>
  </si>
  <si>
    <t>3854.43万</t>
  </si>
  <si>
    <t>2785.14万</t>
  </si>
  <si>
    <t>-3960.39万</t>
  </si>
  <si>
    <t>-3904.73万</t>
  </si>
  <si>
    <t>SH688372</t>
  </si>
  <si>
    <t>7793.32万</t>
  </si>
  <si>
    <t>4368.95万</t>
  </si>
  <si>
    <t>3484.63万</t>
  </si>
  <si>
    <t>1127.78万</t>
  </si>
  <si>
    <t>641.17万</t>
  </si>
  <si>
    <t>9.90亿</t>
  </si>
  <si>
    <t>SH688432</t>
  </si>
  <si>
    <t>5.33亿</t>
  </si>
  <si>
    <t>伟测科技</t>
  </si>
  <si>
    <r>
      <t>1.海外占比89%；2；一周成交27亿，换手10%；有效换手27%；3.产品是Wi-Fi+蓝牙的二合一集成芯片,可</t>
    </r>
    <r>
      <rPr>
        <b/>
        <sz val="9"/>
        <color rgb="FFFF0000"/>
        <rFont val="宋体"/>
        <family val="3"/>
        <charset val="134"/>
        <scheme val="minor"/>
      </rPr>
      <t>应用于AR/VR</t>
    </r>
    <r>
      <rPr>
        <sz val="9"/>
        <color theme="1"/>
        <rFont val="宋体"/>
        <family val="3"/>
        <charset val="134"/>
        <scheme val="minor"/>
      </rPr>
      <t>、4k/8k等高吞吐视频传输场景。芯片高度集成了自主研发的基带、射频、电源管理、射频功率放大和低噪放,支持PCIe/SDIO/USB高速接口,支持2.4GHz/5GHz双频和HE80MHz高带宽。4.公司的汽车电子芯片目前有车载信息娱乐系统芯片和智能座舱芯片。</t>
    </r>
    <phoneticPr fontId="1" type="noConversion"/>
  </si>
  <si>
    <t>SH688419</t>
  </si>
  <si>
    <t>5312.85万</t>
  </si>
  <si>
    <t>8652.71万</t>
  </si>
  <si>
    <t>6268.36万</t>
  </si>
  <si>
    <t>4115.18万</t>
  </si>
  <si>
    <t>1335.71万</t>
  </si>
  <si>
    <t>908.67万</t>
  </si>
  <si>
    <r>
      <t>1.芯片元件:控股子公司江苏皋鑫承接南通皋鑫的资产及业务,在</t>
    </r>
    <r>
      <rPr>
        <b/>
        <sz val="9"/>
        <color rgb="FFFF0000"/>
        <rFont val="宋体"/>
        <family val="3"/>
        <charset val="134"/>
        <scheme val="minor"/>
      </rPr>
      <t>高压整流器件细分领域占市场领先地位,</t>
    </r>
    <r>
      <rPr>
        <sz val="9"/>
        <color theme="1"/>
        <rFont val="宋体"/>
        <family val="3"/>
        <charset val="134"/>
        <scheme val="minor"/>
      </rPr>
      <t>目前江苏皋鑫订单交付紧张。公司计划通过新建产能、研发新产品来实现业务发展。</t>
    </r>
    <phoneticPr fontId="1" type="noConversion"/>
  </si>
  <si>
    <t>耐科装备</t>
  </si>
  <si>
    <t>有研硅</t>
  </si>
  <si>
    <t>1.目前，本公司14/16nm的十亿门级FPGA产品正在研发中，计划是今年实现流片。</t>
    <phoneticPr fontId="1" type="noConversion"/>
  </si>
  <si>
    <r>
      <t>1.公司产品线广泛，覆盖工业控制、金融社保、人工智能、消费电子等等领域，拥有很强的经营韧性和抗风险能力。同时，各个产品线也会积极的调整产品结构，以努力保证整体毛利率维持在较理想的水平。2.电表市场每年总的招标量在7、8千万只左右，公司市场份额占用率在60%左右。3.报告期内，FPGA及其他芯片销售3.78亿，</t>
    </r>
    <r>
      <rPr>
        <b/>
        <sz val="9"/>
        <color rgb="FFFF0000"/>
        <rFont val="宋体"/>
        <family val="3"/>
        <charset val="134"/>
        <scheme val="minor"/>
      </rPr>
      <t>同比增长约120.84%</t>
    </r>
    <r>
      <rPr>
        <sz val="9"/>
        <color theme="1"/>
        <rFont val="宋体"/>
        <family val="3"/>
        <charset val="134"/>
        <scheme val="minor"/>
      </rPr>
      <t>，FPGA客户类型包括通信领域、工业控制领域及高可靠领域客户，公司会重点对高可靠领域投入资源。4.公司能够为客户提供65nm制程千万门级和28nm制程亿门级产品。目前是以28nm制程的FPGA为主。5.是目前国内少</t>
    </r>
    <r>
      <rPr>
        <b/>
        <sz val="9"/>
        <color rgb="FFFF0000"/>
        <rFont val="宋体"/>
        <family val="3"/>
        <charset val="134"/>
        <scheme val="minor"/>
      </rPr>
      <t>数有能力设计满足较高可靠性要求的FPGA的研发单位之一</t>
    </r>
    <r>
      <rPr>
        <sz val="9"/>
        <color theme="1"/>
        <rFont val="宋体"/>
        <family val="3"/>
        <charset val="134"/>
        <scheme val="minor"/>
      </rPr>
      <t>。公司有能力为客户提供包括软件在内的相应解决方案。6.第一代</t>
    </r>
    <r>
      <rPr>
        <b/>
        <sz val="9"/>
        <color rgb="FFFF0000"/>
        <rFont val="宋体"/>
        <family val="3"/>
        <charset val="134"/>
        <scheme val="minor"/>
      </rPr>
      <t>车规MCU</t>
    </r>
    <r>
      <rPr>
        <sz val="9"/>
        <color theme="1"/>
        <rFont val="宋体"/>
        <family val="3"/>
        <charset val="134"/>
        <scheme val="minor"/>
      </rPr>
      <t>完成AEC-Q100考核并在多家客户实现导入和小批量产，并逐步丰富车规MCU系列产品。</t>
    </r>
    <phoneticPr fontId="1" type="noConversion"/>
  </si>
  <si>
    <t>SH688141</t>
  </si>
  <si>
    <t>杰华特</t>
  </si>
  <si>
    <t>10.42亿</t>
  </si>
  <si>
    <t>SH688172</t>
  </si>
  <si>
    <t>燕东微</t>
  </si>
  <si>
    <t>20.35亿</t>
  </si>
  <si>
    <t>12.09亿</t>
  </si>
  <si>
    <t>5849.05万</t>
  </si>
  <si>
    <t>-1.26亿</t>
  </si>
  <si>
    <t>甬矽电子</t>
  </si>
  <si>
    <t>SH688498</t>
  </si>
  <si>
    <t>源杰科技</t>
  </si>
  <si>
    <t>9528.78万</t>
  </si>
  <si>
    <t>8131.23万</t>
  </si>
  <si>
    <t>7041.11万</t>
  </si>
  <si>
    <t>7884.49万</t>
  </si>
  <si>
    <t>1320.70万</t>
  </si>
  <si>
    <t>1553.18万</t>
  </si>
  <si>
    <t>-2.70亿</t>
  </si>
  <si>
    <t>-7995.06万</t>
  </si>
  <si>
    <t>-4960.59万</t>
  </si>
  <si>
    <r>
      <t>1.目前只有1/4自由交易股权上市；2.问：公司产品在国内产线的市占率情况如何?答：目前大部分国内晶圆厂没有进行设备采购的公开招标,公司</t>
    </r>
    <r>
      <rPr>
        <sz val="9"/>
        <color rgb="FFFF0000"/>
        <rFont val="宋体"/>
        <family val="3"/>
        <charset val="134"/>
        <scheme val="minor"/>
      </rPr>
      <t>无法量化薄膜沉积设备在国内市占率</t>
    </r>
    <r>
      <rPr>
        <sz val="9"/>
        <color theme="1"/>
        <rFont val="宋体"/>
        <family val="3"/>
        <charset val="134"/>
        <scheme val="minor"/>
      </rPr>
      <t>；</t>
    </r>
    <phoneticPr fontId="1" type="noConversion"/>
  </si>
  <si>
    <r>
      <t>1.公司前五大客户包含了逻辑客户和存储客户，公司整体收入构成上逻辑领域相对存储领域占比高一些；2.公司聚焦的半导体</t>
    </r>
    <r>
      <rPr>
        <b/>
        <sz val="9"/>
        <color rgb="FFFF0000"/>
        <rFont val="宋体"/>
        <family val="3"/>
        <charset val="134"/>
        <scheme val="minor"/>
      </rPr>
      <t>薄膜沉积设备</t>
    </r>
    <r>
      <rPr>
        <sz val="9"/>
        <color theme="1"/>
        <rFont val="宋体"/>
        <family val="3"/>
        <charset val="134"/>
        <scheme val="minor"/>
      </rPr>
      <t>与光刻机、刻蚀机共同构成芯片制造三大主设备。公司主要产品包括等离子体增强化学气相沉积（</t>
    </r>
    <r>
      <rPr>
        <sz val="9"/>
        <color rgb="FFFF0000"/>
        <rFont val="宋体"/>
        <family val="3"/>
        <charset val="134"/>
        <scheme val="minor"/>
      </rPr>
      <t>PECVD</t>
    </r>
    <r>
      <rPr>
        <sz val="9"/>
        <color theme="1"/>
        <rFont val="宋体"/>
        <family val="3"/>
        <charset val="134"/>
        <scheme val="minor"/>
      </rPr>
      <t>）设备、原子层沉积（</t>
    </r>
    <r>
      <rPr>
        <sz val="9"/>
        <color rgb="FFFF0000"/>
        <rFont val="宋体"/>
        <family val="3"/>
        <charset val="134"/>
        <scheme val="minor"/>
      </rPr>
      <t>ALD</t>
    </r>
    <r>
      <rPr>
        <sz val="9"/>
        <color theme="1"/>
        <rFont val="宋体"/>
        <family val="3"/>
        <charset val="134"/>
        <scheme val="minor"/>
      </rPr>
      <t>）设备和次常压化学气相沉积（</t>
    </r>
    <r>
      <rPr>
        <sz val="9"/>
        <color rgb="FFFF0000"/>
        <rFont val="宋体"/>
        <family val="3"/>
        <charset val="134"/>
        <scheme val="minor"/>
      </rPr>
      <t>SACVD</t>
    </r>
    <r>
      <rPr>
        <sz val="9"/>
        <color theme="1"/>
        <rFont val="宋体"/>
        <family val="3"/>
        <charset val="134"/>
        <scheme val="minor"/>
      </rPr>
      <t>）设备三个产品系列，已广泛应用于国内晶圆厂。3.半导体产业是周期性产业,国产半导体设备市场</t>
    </r>
    <r>
      <rPr>
        <b/>
        <sz val="9"/>
        <color rgb="FFFF0000"/>
        <rFont val="宋体"/>
        <family val="3"/>
        <charset val="134"/>
        <scheme val="minor"/>
      </rPr>
      <t>短期来看仍会呈现上升的趋势</t>
    </r>
    <r>
      <rPr>
        <sz val="9"/>
        <color theme="1"/>
        <rFont val="宋体"/>
        <family val="3"/>
        <charset val="134"/>
        <scheme val="minor"/>
      </rPr>
      <t>,主要因为:一是国内芯片的国产化率仍然较低,国内芯片厂的扩产仍会持续,进而为国内设备厂商提供了机遇;二是国产设备越来越成熟,为芯片厂提供了更具有竞争力的产品;</t>
    </r>
    <phoneticPr fontId="1" type="noConversion"/>
  </si>
  <si>
    <r>
      <t>1.问：公司目前的收入里面，刻蚀产品和MOCVD产品的占比情况？答：2022年上半年公司营业收入19.72亿元，其中</t>
    </r>
    <r>
      <rPr>
        <b/>
        <sz val="9"/>
        <color theme="1"/>
        <rFont val="宋体"/>
        <family val="3"/>
        <charset val="134"/>
        <scheme val="minor"/>
      </rPr>
      <t>刻蚀设备收入为12.99亿元，占收入比例约为65.87%</t>
    </r>
    <r>
      <rPr>
        <sz val="9"/>
        <color theme="1"/>
        <rFont val="宋体"/>
        <family val="3"/>
        <charset val="134"/>
        <scheme val="minor"/>
      </rPr>
      <t>；M</t>
    </r>
    <r>
      <rPr>
        <sz val="9"/>
        <color rgb="FFFF0000"/>
        <rFont val="宋体"/>
        <family val="3"/>
        <charset val="134"/>
        <scheme val="minor"/>
      </rPr>
      <t>OCVD设备收入为2.41亿元，占收入比例约为12.22%</t>
    </r>
    <r>
      <rPr>
        <sz val="9"/>
        <color theme="1"/>
        <rFont val="宋体"/>
        <family val="3"/>
        <charset val="134"/>
        <scheme val="minor"/>
      </rPr>
      <t>。；2.问：刻蚀机目前对标国际先进公司，公司的不足主要表现在哪些方面？答：作为国内刻蚀设备龙头企业，公司在整个半导体设备国产化进程中具有明显优势。公司长期保持大规模、高强度的研发投入，但</t>
    </r>
    <r>
      <rPr>
        <b/>
        <sz val="9"/>
        <color theme="1"/>
        <rFont val="宋体"/>
        <family val="3"/>
        <charset val="134"/>
        <scheme val="minor"/>
      </rPr>
      <t>对标国际半导体设备巨头的研发布局和研发规模，公司仍有较大差距</t>
    </r>
    <r>
      <rPr>
        <sz val="9"/>
        <color theme="1"/>
        <rFont val="宋体"/>
        <family val="3"/>
        <charset val="134"/>
        <scheme val="minor"/>
      </rPr>
      <t>。公司将持续提升在技术研发方面的投入水平，进一步缩小与海外同行业巨头在研发方面的差距。2.问：请问公司刻蚀产品和MOCVD产品零部件国产化率情况？答：公司目前</t>
    </r>
    <r>
      <rPr>
        <sz val="9"/>
        <color rgb="FFFF0000"/>
        <rFont val="宋体"/>
        <family val="3"/>
        <charset val="134"/>
        <scheme val="minor"/>
      </rPr>
      <t>刻蚀设备的零部件国产化率大约60%，MOCVD设备的零部件国产化率大约80%</t>
    </r>
    <r>
      <rPr>
        <sz val="9"/>
        <color theme="1"/>
        <rFont val="宋体"/>
        <family val="3"/>
        <charset val="134"/>
        <scheme val="minor"/>
      </rPr>
      <t>。</t>
    </r>
    <phoneticPr fontId="1" type="noConversion"/>
  </si>
  <si>
    <r>
      <t>1.</t>
    </r>
    <r>
      <rPr>
        <sz val="9"/>
        <color rgb="FFFF0000"/>
        <rFont val="宋体"/>
        <family val="3"/>
        <charset val="134"/>
        <scheme val="minor"/>
      </rPr>
      <t>公司持有的中芯国际和天岳先进的股票；</t>
    </r>
    <r>
      <rPr>
        <sz val="9"/>
        <rFont val="宋体"/>
        <family val="3"/>
        <charset val="134"/>
        <scheme val="minor"/>
      </rPr>
      <t>2.2016-2021年中微公司营业收入持续增长，从6.10亿元上升至31.08亿元，</t>
    </r>
    <r>
      <rPr>
        <b/>
        <sz val="9"/>
        <color rgb="FFFF0000"/>
        <rFont val="宋体"/>
        <family val="3"/>
        <charset val="134"/>
        <scheme val="minor"/>
      </rPr>
      <t>CAGR达38.52%</t>
    </r>
    <r>
      <rPr>
        <sz val="9"/>
        <rFont val="宋体"/>
        <family val="3"/>
        <charset val="134"/>
        <scheme val="minor"/>
      </rPr>
      <t>，公司新产品与新客户持续拓展，刻蚀设备销量提升显著且持续。3.公司开发的12英寸高端刻蚀设备已运用在国际知名客户</t>
    </r>
    <r>
      <rPr>
        <b/>
        <sz val="9"/>
        <color rgb="FFFF0000"/>
        <rFont val="宋体"/>
        <family val="3"/>
        <charset val="134"/>
        <scheme val="minor"/>
      </rPr>
      <t>65纳米到5纳米</t>
    </r>
    <r>
      <rPr>
        <sz val="9"/>
        <rFont val="宋体"/>
        <family val="3"/>
        <charset val="134"/>
        <scheme val="minor"/>
      </rPr>
      <t>等先进的芯片生产线上；同时，公司根据先进集成电路厂商的需求，已开发出小于5纳米刻蚀设备用于若干关键步骤的加工，并已获得行业领先客户的批量订单。4.总的来讲我们在上台阶，现在</t>
    </r>
    <r>
      <rPr>
        <b/>
        <sz val="9"/>
        <color rgb="FFFF0000"/>
        <rFont val="宋体"/>
        <family val="3"/>
        <charset val="134"/>
        <scheme val="minor"/>
      </rPr>
      <t>非常好的是国内市场非常大</t>
    </r>
    <r>
      <rPr>
        <sz val="9"/>
        <rFont val="宋体"/>
        <family val="3"/>
        <charset val="134"/>
        <scheme val="minor"/>
      </rPr>
      <t>，在近期我们还不是太担心由于市场有限不能发展，去年我们销售增长约37%，今年上半年我们又增长约47%。公司在5-6年以前是国外市场卖得多，国内市场卖得少，最近5-6年就完全反过来了，</t>
    </r>
    <r>
      <rPr>
        <sz val="9"/>
        <color rgb="FFFF0000"/>
        <rFont val="宋体"/>
        <family val="3"/>
        <charset val="134"/>
        <scheme val="minor"/>
      </rPr>
      <t>国内市场占收入更大比例</t>
    </r>
    <r>
      <rPr>
        <sz val="9"/>
        <rFont val="宋体"/>
        <family val="3"/>
        <charset val="134"/>
        <scheme val="minor"/>
      </rPr>
      <t>。</t>
    </r>
    <phoneticPr fontId="1" type="noConversion"/>
  </si>
  <si>
    <t>3增速</t>
    <phoneticPr fontId="1" type="noConversion"/>
  </si>
  <si>
    <t>不分配不转增</t>
  </si>
  <si>
    <t>10派1元(含税)</t>
  </si>
  <si>
    <t>10派3元(含税)</t>
  </si>
  <si>
    <t>10派1.5元(含税)</t>
  </si>
  <si>
    <t>10派1.2元(含税)</t>
  </si>
  <si>
    <t>10派0.8元(含税)</t>
  </si>
  <si>
    <t>10派6元(含税)</t>
  </si>
  <si>
    <t>10派3.2元(含税)</t>
  </si>
  <si>
    <t>10派0.1元(含税)</t>
  </si>
  <si>
    <t>10派1.6元(含税)</t>
  </si>
  <si>
    <t>10派0.3元(含税)</t>
  </si>
  <si>
    <t>10派2元(含税)</t>
  </si>
  <si>
    <t>10派1.8元(含税)</t>
  </si>
  <si>
    <t>10派2.5元(含税)</t>
  </si>
  <si>
    <t>10派0.75元(含税)</t>
  </si>
  <si>
    <t>10转4股</t>
  </si>
  <si>
    <t>SZ301297</t>
  </si>
  <si>
    <t>富乐德</t>
  </si>
  <si>
    <t>-1-1</t>
  </si>
  <si>
    <t>SH688525</t>
  </si>
  <si>
    <t>佰维存储</t>
  </si>
  <si>
    <t>16.42亿</t>
  </si>
  <si>
    <t>2738.41万</t>
  </si>
  <si>
    <t>SH688515</t>
  </si>
  <si>
    <t>-4037.71万</t>
  </si>
  <si>
    <t>SH688486</t>
  </si>
  <si>
    <t>龙迅股份</t>
  </si>
  <si>
    <t>8406.74万</t>
  </si>
  <si>
    <t>3533.39万</t>
  </si>
  <si>
    <t>2-0</t>
  </si>
  <si>
    <t>SH603061</t>
  </si>
  <si>
    <t>金海通</t>
  </si>
  <si>
    <t>5636.81万</t>
  </si>
  <si>
    <t>-2-1</t>
  </si>
  <si>
    <r>
      <t>1.随着美国对华技术出口管制政策收紧，美系半导体制造设备原厂应为中国本土集成电路制造厂商已安装机台</t>
    </r>
    <r>
      <rPr>
        <sz val="9"/>
        <color rgb="FFFF0000"/>
        <rFont val="宋体"/>
        <family val="3"/>
        <charset val="134"/>
        <scheme val="minor"/>
      </rPr>
      <t>提供的备件、维保服务受到阻碍，供应链风险加速暴露</t>
    </r>
    <r>
      <rPr>
        <sz val="9"/>
        <color theme="1"/>
        <rFont val="宋体"/>
        <family val="3"/>
        <charset val="134"/>
        <scheme val="minor"/>
      </rPr>
      <t>。中国本土集成电路制造厂商客户对硅零部件产品的自主委托定制改进需求有所增加，评估认证积极性有所增强，认证速度有所提升。2.半导体大尺寸硅片方面，公司某款硅片已定期出货给某家日本客户，该款硅片在该客户产线中的用途为测试片，但其各项指标已经满足了正片标准，证明</t>
    </r>
    <r>
      <rPr>
        <sz val="9"/>
        <color rgb="FFFF0000"/>
        <rFont val="宋体"/>
        <family val="3"/>
        <charset val="134"/>
        <scheme val="minor"/>
      </rPr>
      <t>公司的技术水平已经达到了国际水准</t>
    </r>
    <r>
      <rPr>
        <sz val="9"/>
        <color theme="1"/>
        <rFont val="宋体"/>
        <family val="3"/>
        <charset val="134"/>
        <scheme val="minor"/>
      </rPr>
      <t>。</t>
    </r>
    <phoneticPr fontId="1" type="noConversion"/>
  </si>
  <si>
    <r>
      <t>1.公司大直径硅材料业务产能和扩产计划2022年初，公司大直径硅材料产能约为450吨/年；经过一年来的有序扩产，2023年1月达到约500吨/年。2023年公司新厂房全部建设完成后，公司整体设计产能将达到约1000吨/年（</t>
    </r>
    <r>
      <rPr>
        <sz val="9"/>
        <color rgb="FFFF0000"/>
        <rFont val="宋体"/>
        <family val="3"/>
        <charset val="134"/>
        <scheme val="minor"/>
      </rPr>
      <t>产能翻倍，就看销量</t>
    </r>
    <r>
      <rPr>
        <sz val="9"/>
        <color theme="1"/>
        <rFont val="宋体"/>
        <family val="3"/>
        <charset val="134"/>
        <scheme val="minor"/>
      </rPr>
      <t>）</t>
    </r>
    <phoneticPr fontId="1" type="noConversion"/>
  </si>
  <si>
    <t>SH688484</t>
  </si>
  <si>
    <t>南芯科技</t>
  </si>
  <si>
    <t>-797.50万</t>
  </si>
  <si>
    <t>1.2020年并购并表北京矽成半导体有限公司59.99%股权。</t>
    <phoneticPr fontId="1" type="noConversion"/>
  </si>
  <si>
    <t>SH688535</t>
  </si>
  <si>
    <t>4760.08万</t>
  </si>
  <si>
    <t>2710.50万</t>
  </si>
  <si>
    <r>
      <t>1.2022年年报每股收益1.53元，净利润121.33亿元，同比去年增长13.04%(因为中芯国际去年的利润有一部分是公允价值变动带来的5亿利润，所以这么看</t>
    </r>
    <r>
      <rPr>
        <sz val="9"/>
        <color rgb="FFFF0000"/>
        <rFont val="宋体"/>
        <family val="3"/>
        <charset val="134"/>
        <scheme val="minor"/>
      </rPr>
      <t>利润增速和营收增速匹配</t>
    </r>
    <r>
      <rPr>
        <sz val="9"/>
        <color theme="1"/>
        <rFont val="宋体"/>
        <family val="3"/>
        <charset val="134"/>
        <scheme val="minor"/>
      </rPr>
      <t>），营收增速为38.97%（其中，晶圆代工业务营收为人民币 45,293.3 百万元，同比增长 41.0%）</t>
    </r>
    <r>
      <rPr>
        <b/>
        <sz val="9"/>
        <color rgb="FFFF0000"/>
        <rFont val="宋体"/>
        <family val="3"/>
        <charset val="134"/>
        <scheme val="minor"/>
      </rPr>
      <t>毛利在逐年增加目前为38%</t>
    </r>
    <r>
      <rPr>
        <sz val="9"/>
        <color theme="1"/>
        <rFont val="宋体"/>
        <family val="3"/>
        <charset val="134"/>
        <scheme val="minor"/>
      </rPr>
      <t>（20，29，38%）。2.全球各纯晶圆代工企业最新公布的 2022 年销售额情况排名，</t>
    </r>
    <r>
      <rPr>
        <sz val="9"/>
        <color rgb="FFFF0000"/>
        <rFont val="宋体"/>
        <family val="3"/>
        <charset val="134"/>
        <scheme val="minor"/>
      </rPr>
      <t>中芯国际位居全球第四位，在中国大陆企业中排名第一</t>
    </r>
    <r>
      <rPr>
        <sz val="9"/>
        <color theme="1"/>
        <rFont val="宋体"/>
        <family val="3"/>
        <charset val="134"/>
        <scheme val="minor"/>
      </rPr>
      <t>。3.2022 年，28 纳米高压显示驱动工艺平台、55 纳米 BCD 平台第一阶段、90 纳米 BCD 工艺平台和 0.11 微米硅基 OLED 工艺平台已完成研发，进入小批量试产。</t>
    </r>
    <phoneticPr fontId="1" type="noConversion"/>
  </si>
  <si>
    <r>
      <t>1.2022年承接前一年的旺盛市场，有机遇也有挑战。</t>
    </r>
    <r>
      <rPr>
        <sz val="9"/>
        <color rgb="FFFF0000"/>
        <rFont val="宋体"/>
        <family val="3"/>
        <charset val="134"/>
        <scheme val="minor"/>
      </rPr>
      <t>手机和消费产品市场缺乏发展动力，成为存量市场</t>
    </r>
    <r>
      <rPr>
        <sz val="9"/>
        <color theme="1"/>
        <rFont val="宋体"/>
        <family val="3"/>
        <charset val="134"/>
        <scheme val="minor"/>
      </rPr>
      <t>，供需逐步达到平衡；物联网、电动车、中高端模拟IC等增量市场存在结构性产能缺口，射频、微控制器、电源管理等应用平台需求依然旺盛，2.TSMC大概情况（市值4709亿美金，PE14.08 PB4.86 PS6.02）3.美国对有权拒绝专用于生产</t>
    </r>
    <r>
      <rPr>
        <b/>
        <sz val="9"/>
        <color rgb="FFFF0000"/>
        <rFont val="宋体"/>
        <family val="3"/>
        <charset val="134"/>
        <scheme val="minor"/>
      </rPr>
      <t xml:space="preserve"> 10nm 及以下</t>
    </r>
    <r>
      <rPr>
        <sz val="9"/>
        <color theme="1"/>
        <rFont val="宋体"/>
        <family val="3"/>
        <charset val="134"/>
        <scheme val="minor"/>
      </rPr>
      <t>技术节点（包括极紫外光技术）的物项用于中国，2021 年 6 月 3 日（美国东部时间），美国总统拜登颁布了一项行政命令，</t>
    </r>
    <r>
      <rPr>
        <sz val="9"/>
        <color rgb="FFFF0000"/>
        <rFont val="宋体"/>
        <family val="3"/>
        <charset val="134"/>
        <scheme val="minor"/>
      </rPr>
      <t>限制美国人士投资“中国军工复合体企业”</t>
    </r>
    <r>
      <rPr>
        <sz val="9"/>
        <color theme="1"/>
        <rFont val="宋体"/>
        <family val="3"/>
        <charset val="134"/>
        <scheme val="minor"/>
      </rPr>
      <t>，美国人士对公司发行的有价证券及其相关衍生品的交易受到限制。4.，公司预计 2023 全年：</t>
    </r>
    <r>
      <rPr>
        <b/>
        <i/>
        <sz val="9"/>
        <color rgb="FFFF0000"/>
        <rFont val="宋体"/>
        <family val="3"/>
        <charset val="134"/>
        <scheme val="minor"/>
      </rPr>
      <t>营收同比降幅为低十位数，毛利率在 20%左右</t>
    </r>
    <r>
      <rPr>
        <sz val="9"/>
        <color theme="1"/>
        <rFont val="宋体"/>
        <family val="3"/>
        <charset val="134"/>
        <scheme val="minor"/>
      </rPr>
      <t>；折旧同比增长超两成，</t>
    </r>
    <phoneticPr fontId="1" type="noConversion"/>
  </si>
  <si>
    <t>SH688352</t>
  </si>
  <si>
    <t>颀中科技</t>
  </si>
  <si>
    <t>SH688478</t>
  </si>
  <si>
    <t>晶升股份</t>
  </si>
  <si>
    <t>10.25亿</t>
  </si>
  <si>
    <t>3-1</t>
  </si>
  <si>
    <t>9.49亿</t>
  </si>
  <si>
    <t>SH688249</t>
  </si>
  <si>
    <t>晶合集成</t>
  </si>
  <si>
    <t>100.51亿</t>
  </si>
  <si>
    <t>30.45亿</t>
  </si>
  <si>
    <t>SH688469</t>
  </si>
  <si>
    <t>46.06亿</t>
  </si>
  <si>
    <t>-10.88亿</t>
  </si>
  <si>
    <t>SH688512</t>
  </si>
  <si>
    <t>-3.05亿</t>
  </si>
  <si>
    <t>6042.74万</t>
  </si>
  <si>
    <t>-3.18亿</t>
  </si>
  <si>
    <t>-9619.15万</t>
  </si>
  <si>
    <t>-7887.52万</t>
  </si>
  <si>
    <t>5.05亿</t>
  </si>
  <si>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</si>
  <si>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</si>
  <si>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</si>
  <si>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</si>
  <si>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</si>
  <si>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</si>
  <si>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</si>
  <si>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</si>
  <si>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</si>
  <si>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</si>
  <si>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</si>
  <si>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</si>
  <si>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</si>
  <si>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</si>
  <si>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</si>
  <si>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</si>
  <si>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</si>
  <si>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</si>
  <si>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</si>
  <si>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</si>
  <si>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</si>
  <si>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</si>
  <si>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</si>
  <si>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</si>
  <si>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</si>
  <si>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</si>
  <si>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</si>
  <si>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</si>
  <si>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</si>
  <si>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</si>
  <si>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</si>
  <si>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</si>
  <si>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</si>
  <si>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</si>
  <si>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</si>
  <si>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</si>
  <si>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</si>
  <si>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</si>
  <si>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</si>
  <si>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</si>
  <si>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</si>
  <si>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</si>
  <si>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</si>
  <si>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</si>
  <si>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</si>
  <si>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</si>
  <si>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</si>
  <si>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</si>
  <si>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</si>
  <si>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</si>
  <si>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</si>
  <si>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</si>
  <si>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</si>
  <si>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</si>
  <si>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</si>
  <si>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</si>
  <si>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</si>
  <si>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</si>
  <si>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</si>
  <si>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</si>
  <si>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</si>
  <si>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</si>
  <si>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</si>
  <si>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</si>
  <si>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</si>
  <si>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</si>
  <si>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</si>
  <si>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</si>
  <si>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</si>
  <si>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</si>
  <si>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</si>
  <si>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</si>
  <si>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</si>
  <si>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</si>
  <si>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</si>
  <si>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</si>
  <si>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</si>
  <si>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</si>
  <si>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</si>
  <si>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</si>
  <si>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</si>
  <si>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</si>
  <si>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</si>
  <si>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</si>
  <si>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</si>
  <si>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</si>
  <si>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</si>
  <si>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</si>
  <si>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4.17亿</t>
  </si>
  <si>
    <t>71.20亿</t>
  </si>
  <si>
    <t>26.32亿</t>
  </si>
  <si>
    <t>214.29亿</t>
  </si>
  <si>
    <t>119.06亿</t>
  </si>
  <si>
    <t>-3.36亿</t>
  </si>
  <si>
    <t>146.88亿</t>
  </si>
  <si>
    <t>23.53亿</t>
  </si>
  <si>
    <t>23.68亿</t>
  </si>
  <si>
    <t>42.59亿</t>
  </si>
  <si>
    <t>4.15亿</t>
  </si>
  <si>
    <t>9.13亿</t>
  </si>
  <si>
    <t>6.61亿</t>
  </si>
  <si>
    <t>7.36亿</t>
  </si>
  <si>
    <t>6.40亿</t>
  </si>
  <si>
    <t>1940.52万</t>
  </si>
  <si>
    <t>1973.18万</t>
  </si>
  <si>
    <t>-5.72亿</t>
  </si>
  <si>
    <t>11.95亿</t>
  </si>
  <si>
    <t>-3248.50万</t>
  </si>
  <si>
    <t>7.89亿</t>
  </si>
  <si>
    <t>54.04亿</t>
  </si>
  <si>
    <t>10.60亿</t>
  </si>
  <si>
    <t>4.50亿</t>
  </si>
  <si>
    <t>7.62亿</t>
  </si>
  <si>
    <t>5.15亿</t>
  </si>
  <si>
    <t>-7336.11万</t>
  </si>
  <si>
    <t>9.80亿</t>
  </si>
  <si>
    <t>21.11亿</t>
  </si>
  <si>
    <t>7.76亿</t>
  </si>
  <si>
    <t>31.88亿</t>
  </si>
  <si>
    <t>-1.73亿</t>
  </si>
  <si>
    <t>36.05亿</t>
  </si>
  <si>
    <t>1408.36万</t>
  </si>
  <si>
    <t>36.77亿</t>
  </si>
  <si>
    <t>13.30亿</t>
  </si>
  <si>
    <t>10派1.7元(含税)</t>
  </si>
  <si>
    <t>12.19亿</t>
  </si>
  <si>
    <t>8.96亿</t>
  </si>
  <si>
    <t>16.60亿</t>
  </si>
  <si>
    <t>6.24亿</t>
  </si>
  <si>
    <t>8807.82万</t>
  </si>
  <si>
    <t>8787.65万</t>
  </si>
  <si>
    <t>7599.86万</t>
  </si>
  <si>
    <t>4391.46万</t>
  </si>
  <si>
    <t>2556.56万</t>
  </si>
  <si>
    <t>83.30亿</t>
  </si>
  <si>
    <t>7279.70万</t>
  </si>
  <si>
    <t>6.56亿</t>
  </si>
  <si>
    <t>152.54亿</t>
  </si>
  <si>
    <t>7.93亿</t>
  </si>
  <si>
    <t>10.40亿</t>
  </si>
  <si>
    <t>19.53亿</t>
  </si>
  <si>
    <t>5774.88万</t>
  </si>
  <si>
    <t>82.82亿</t>
  </si>
  <si>
    <t>10.52亿</t>
  </si>
  <si>
    <t>6.64亿</t>
  </si>
  <si>
    <t>337.62亿</t>
  </si>
  <si>
    <t>32.31亿</t>
  </si>
  <si>
    <t>12.34亿</t>
  </si>
  <si>
    <t>580.79亿</t>
  </si>
  <si>
    <t>电科芯片</t>
  </si>
  <si>
    <t>3.05亿</t>
  </si>
  <si>
    <t>4.26亿</t>
  </si>
  <si>
    <t>7158.83万</t>
  </si>
  <si>
    <t>722.80万</t>
  </si>
  <si>
    <t>2639.47万</t>
  </si>
  <si>
    <t>-2.38亿</t>
  </si>
  <si>
    <t>-7.48亿</t>
  </si>
  <si>
    <t>27.05亿</t>
  </si>
  <si>
    <t>8.18亿</t>
  </si>
  <si>
    <t>30.58亿</t>
  </si>
  <si>
    <t>10派2.0元(含税)</t>
  </si>
  <si>
    <t>200.78亿</t>
  </si>
  <si>
    <t>30.50亿</t>
  </si>
  <si>
    <t>24.83亿</t>
  </si>
  <si>
    <t>9.10亿</t>
  </si>
  <si>
    <t>8.28亿</t>
  </si>
  <si>
    <t>81.30亿</t>
  </si>
  <si>
    <t>20.53亿</t>
  </si>
  <si>
    <t>15.44亿</t>
  </si>
  <si>
    <t>6.88亿</t>
  </si>
  <si>
    <t>4.45亿</t>
  </si>
  <si>
    <t>36.72亿</t>
  </si>
  <si>
    <t>47.40亿</t>
  </si>
  <si>
    <t>11.70亿</t>
  </si>
  <si>
    <t>13.85亿</t>
  </si>
  <si>
    <t>9732.31万</t>
  </si>
  <si>
    <t>51.25亿</t>
  </si>
  <si>
    <t>10派0.4元(含税)</t>
  </si>
  <si>
    <t>3796.35万</t>
  </si>
  <si>
    <t>5175.20万</t>
  </si>
  <si>
    <t>5375.18万</t>
  </si>
  <si>
    <t>10转4.9股派5.5元(含税)</t>
  </si>
  <si>
    <t>拓荆科技</t>
  </si>
  <si>
    <t>17.06亿</t>
  </si>
  <si>
    <t>28.73亿</t>
  </si>
  <si>
    <t>55.45亿</t>
  </si>
  <si>
    <t>安路科技</t>
  </si>
  <si>
    <t>5982.80万</t>
  </si>
  <si>
    <t>11.46亿</t>
  </si>
  <si>
    <t>沪硅产业</t>
  </si>
  <si>
    <t>36.00亿</t>
  </si>
  <si>
    <t>2212.51万</t>
  </si>
  <si>
    <t>13.01亿</t>
  </si>
  <si>
    <t>9903.16万</t>
  </si>
  <si>
    <t>唯捷创芯</t>
  </si>
  <si>
    <t>22.88亿</t>
  </si>
  <si>
    <t>5339.10万</t>
  </si>
  <si>
    <t>21.75亿</t>
  </si>
  <si>
    <t>-1515.25万</t>
  </si>
  <si>
    <t>-1.36亿</t>
  </si>
  <si>
    <t>-8274.80万</t>
  </si>
  <si>
    <t>7.20亿</t>
  </si>
  <si>
    <t>6.69亿</t>
  </si>
  <si>
    <t>21.40亿</t>
  </si>
  <si>
    <t>-2.52亿</t>
  </si>
  <si>
    <t>17.29亿</t>
  </si>
  <si>
    <t>54.29亿</t>
  </si>
  <si>
    <t>-12.58亿</t>
  </si>
  <si>
    <t>-12.43亿</t>
  </si>
  <si>
    <t>-11.91亿</t>
  </si>
  <si>
    <t>6.63亿</t>
  </si>
  <si>
    <t>9102.27万</t>
  </si>
  <si>
    <t>13.20亿</t>
  </si>
  <si>
    <t>5487.99万</t>
  </si>
  <si>
    <t>4128.73万</t>
  </si>
  <si>
    <t>SH688361</t>
  </si>
  <si>
    <t>5598.37万</t>
  </si>
  <si>
    <t>2985.08万</t>
  </si>
  <si>
    <t>5342.59万</t>
  </si>
  <si>
    <t>3958.51万</t>
  </si>
  <si>
    <t>-9746.88万</t>
  </si>
  <si>
    <t>-5565.73万</t>
  </si>
  <si>
    <t>-2.06亿</t>
  </si>
  <si>
    <t>35.39亿</t>
  </si>
  <si>
    <t>100.60亿</t>
  </si>
  <si>
    <t>2120.56万</t>
  </si>
  <si>
    <t>5720.96万</t>
  </si>
  <si>
    <t>SH688458</t>
  </si>
  <si>
    <t>美芯晟</t>
  </si>
  <si>
    <t>3261.15万</t>
  </si>
  <si>
    <t>-1117.01万</t>
  </si>
  <si>
    <t>-1918.12万</t>
  </si>
  <si>
    <t>-12.36亿</t>
  </si>
  <si>
    <t>-13.66亿</t>
  </si>
  <si>
    <t>-7.72亿</t>
  </si>
  <si>
    <t>3453.60万</t>
  </si>
  <si>
    <t>2295.03万</t>
  </si>
  <si>
    <t>4697.96万</t>
  </si>
  <si>
    <t>2979.97万</t>
  </si>
  <si>
    <t>-1113.18万</t>
  </si>
  <si>
    <t>-985.34万</t>
  </si>
  <si>
    <t>6920.55万</t>
  </si>
  <si>
    <t>8070.67万</t>
  </si>
  <si>
    <t>3318.55万</t>
  </si>
  <si>
    <t>2521.90万</t>
  </si>
  <si>
    <t>8984.44万</t>
  </si>
  <si>
    <t>裕太微-U</t>
  </si>
  <si>
    <t>-40.85万</t>
  </si>
  <si>
    <t>1295.08万</t>
  </si>
  <si>
    <t>132.62万</t>
  </si>
  <si>
    <t>-46.25万</t>
  </si>
  <si>
    <t>-2748.99万</t>
  </si>
  <si>
    <t>芯原股份</t>
  </si>
  <si>
    <t>7381.43万</t>
  </si>
  <si>
    <t>29.86亿</t>
  </si>
  <si>
    <t>7121.87万</t>
  </si>
  <si>
    <t>12.75亿</t>
  </si>
  <si>
    <t>1866.13万</t>
  </si>
  <si>
    <t>4122.68万</t>
  </si>
  <si>
    <t>408.69万</t>
  </si>
  <si>
    <t>233.91万</t>
  </si>
  <si>
    <t>17.83亿</t>
  </si>
  <si>
    <t>14.85亿</t>
  </si>
  <si>
    <t>SH688661</t>
  </si>
  <si>
    <t>和林微纳</t>
  </si>
  <si>
    <t>3812.98万</t>
  </si>
  <si>
    <t>6139.64万</t>
  </si>
  <si>
    <t>1296.83万</t>
  </si>
  <si>
    <t>2710.08万</t>
  </si>
  <si>
    <t>8638.04万</t>
  </si>
  <si>
    <t>1062.75万</t>
  </si>
  <si>
    <t>7870.81万</t>
  </si>
  <si>
    <t>59.44亿</t>
  </si>
  <si>
    <t>9.25亿</t>
  </si>
  <si>
    <t>8314.63万</t>
  </si>
  <si>
    <t>20.90亿</t>
  </si>
  <si>
    <t>-5338.28万</t>
  </si>
  <si>
    <t>495.16亿</t>
  </si>
  <si>
    <t>121.33亿</t>
  </si>
  <si>
    <t>4.27亿</t>
  </si>
  <si>
    <t>SH688593</t>
  </si>
  <si>
    <r>
      <t>1.从2021年开始，公司毛利率稳定在35%以上，处于比较好的一个水平。目前，</t>
    </r>
    <r>
      <rPr>
        <sz val="9"/>
        <color rgb="FFFF0000"/>
        <rFont val="宋体"/>
        <family val="3"/>
        <charset val="134"/>
        <scheme val="minor"/>
      </rPr>
      <t>消费类尚未有明显复苏，短期内毛利率会有一定压力</t>
    </r>
    <r>
      <rPr>
        <sz val="9"/>
        <color theme="1"/>
        <rFont val="宋体"/>
        <family val="3"/>
        <charset val="134"/>
        <scheme val="minor"/>
      </rPr>
      <t>。未来两个季度，力争毛利率维持稳定，等到今年四季度，市场复苏，可能有进一步向上的空间。</t>
    </r>
    <phoneticPr fontId="1" type="noConversion"/>
  </si>
  <si>
    <r>
      <t>1.报告期内，公司产品与方案板块下游终端应用主要围绕八大领域，其中车类占比 19%，通信
设备占比 18%，工业设备占比 17%，新能源占比 16%，家电占比 13%，照明占比 7%，计算机占比 5%，智能穿戴、医疗及其他占比 5%。公司整体泛新能源领域（车类及新能源）占比已经达到了35%。2.问：能否描述下公司2023年产能增长情况？答：公司6吋晶圆制造生产线主要将增加第三代宽禁带半导体产能包括碳化硅和氮化镓的产能；8吋晶圆制造生产线通过技改、</t>
    </r>
    <r>
      <rPr>
        <sz val="9"/>
        <color rgb="FFFF0000"/>
        <rFont val="宋体"/>
        <family val="3"/>
        <charset val="134"/>
        <scheme val="minor"/>
      </rPr>
      <t>IGBT等重点产品产能扩充会增加一定幅度的产能</t>
    </r>
    <r>
      <rPr>
        <sz val="9"/>
        <color theme="1"/>
        <rFont val="宋体"/>
        <family val="3"/>
        <charset val="134"/>
        <scheme val="minor"/>
      </rPr>
      <t>；重庆12吋2023年进入爬坡上量阶段。3.5月19日在投资者互动平台表示，公司的芯片制造能力已经达到了</t>
    </r>
    <r>
      <rPr>
        <b/>
        <sz val="9"/>
        <color rgb="FFFF0000"/>
        <rFont val="宋体"/>
        <family val="3"/>
        <charset val="134"/>
        <scheme val="minor"/>
      </rPr>
      <t>90纳米</t>
    </r>
    <r>
      <rPr>
        <sz val="9"/>
        <color theme="1"/>
        <rFont val="宋体"/>
        <family val="3"/>
        <charset val="134"/>
        <scheme val="minor"/>
      </rPr>
      <t>。</t>
    </r>
    <phoneticPr fontId="1" type="noConversion"/>
  </si>
  <si>
    <t>SH688582</t>
  </si>
  <si>
    <t>芯动联科</t>
  </si>
  <si>
    <t>SH688620</t>
  </si>
  <si>
    <t>安凯微</t>
  </si>
  <si>
    <t>航宇微</t>
  </si>
  <si>
    <t>4-1</t>
  </si>
  <si>
    <t>SZ301348</t>
  </si>
  <si>
    <t>7.52亿</t>
  </si>
  <si>
    <t>7142.46万</t>
  </si>
  <si>
    <t>SH688347</t>
  </si>
  <si>
    <t>167.86亿</t>
  </si>
  <si>
    <t>30.09亿</t>
  </si>
  <si>
    <t>慧智微-U</t>
  </si>
  <si>
    <t>SH688591</t>
  </si>
  <si>
    <t>泰凌微</t>
  </si>
  <si>
    <t>9500.77万</t>
  </si>
  <si>
    <t>SH688693</t>
  </si>
  <si>
    <t>106.30亿</t>
  </si>
  <si>
    <t>67.37亿</t>
  </si>
  <si>
    <t>65.22亿</t>
  </si>
  <si>
    <t>蓝箭电子</t>
  </si>
  <si>
    <t>华虹公司</t>
  </si>
  <si>
    <t>20.76亿</t>
  </si>
  <si>
    <t>12.46亿</t>
  </si>
  <si>
    <t>5.17亿</t>
  </si>
  <si>
    <t>11.54亿</t>
  </si>
  <si>
    <t>1.94亿</t>
  </si>
  <si>
    <t>2.96亿</t>
  </si>
  <si>
    <t>-3-0</t>
  </si>
  <si>
    <t>3.42亿</t>
  </si>
  <si>
    <t>6.35亿</t>
  </si>
  <si>
    <t>5.36亿</t>
  </si>
  <si>
    <t>4.72亿</t>
  </si>
  <si>
    <t>12.56亿</t>
  </si>
  <si>
    <t>12.89亿</t>
  </si>
  <si>
    <t>15.00亿</t>
  </si>
  <si>
    <t>11.71亿</t>
  </si>
  <si>
    <t>7.90亿</t>
  </si>
  <si>
    <t>6.14亿</t>
  </si>
  <si>
    <t>4.65亿</t>
  </si>
  <si>
    <t>4.69亿</t>
  </si>
  <si>
    <t>2.14亿</t>
  </si>
  <si>
    <t>6.72亿</t>
  </si>
  <si>
    <t>7.05亿</t>
  </si>
  <si>
    <t>7.11亿</t>
  </si>
  <si>
    <t>20.22亿</t>
  </si>
  <si>
    <t>4.54亿</t>
  </si>
  <si>
    <t>4.09亿</t>
  </si>
  <si>
    <t>14.79亿</t>
  </si>
  <si>
    <t>10.04亿</t>
  </si>
  <si>
    <t>5.78亿</t>
  </si>
  <si>
    <t>11.81亿</t>
  </si>
  <si>
    <t>5.55亿</t>
  </si>
  <si>
    <t>5.06亿</t>
  </si>
  <si>
    <t>4.91亿</t>
  </si>
  <si>
    <t>5.94亿</t>
  </si>
  <si>
    <t>4.55亿</t>
  </si>
  <si>
    <t>16.45亿</t>
  </si>
  <si>
    <t>4.85亿</t>
  </si>
  <si>
    <t>7727.06万</t>
  </si>
  <si>
    <t>3170.10万</t>
  </si>
  <si>
    <t>1075.41万</t>
  </si>
  <si>
    <t>500.00万</t>
  </si>
  <si>
    <t>-1.02亿</t>
  </si>
  <si>
    <t>6.81亿</t>
  </si>
  <si>
    <t>-1.39亿</t>
  </si>
  <si>
    <t>7.26亿</t>
  </si>
  <si>
    <t>18.22亿</t>
  </si>
  <si>
    <t>9674.28万</t>
  </si>
  <si>
    <t>7.04亿</t>
  </si>
  <si>
    <t>14.97亿</t>
  </si>
  <si>
    <t>8.53亿</t>
  </si>
  <si>
    <t>13.53亿</t>
  </si>
  <si>
    <t>4.77亿</t>
  </si>
  <si>
    <t>17.80亿</t>
  </si>
  <si>
    <t>7.78亿</t>
  </si>
  <si>
    <t>38.88亿</t>
  </si>
  <si>
    <t>16.10亿</t>
  </si>
  <si>
    <t>13.12亿</t>
  </si>
  <si>
    <t>10.84亿</t>
  </si>
  <si>
    <t>-1.96亿</t>
  </si>
  <si>
    <t>6.53亿</t>
  </si>
  <si>
    <t>-1.50亿</t>
  </si>
  <si>
    <t>5.91亿</t>
  </si>
  <si>
    <t>9.41亿</t>
  </si>
  <si>
    <t>3.84亿</t>
  </si>
  <si>
    <t>10.09亿</t>
  </si>
  <si>
    <t>7989.10万</t>
  </si>
  <si>
    <t>8260.51万</t>
  </si>
  <si>
    <t>5189.91万</t>
  </si>
  <si>
    <t>3792.58万</t>
  </si>
  <si>
    <t>-9219.49万</t>
  </si>
  <si>
    <t>5386.17万</t>
  </si>
  <si>
    <t>2541.22万</t>
  </si>
  <si>
    <t>-879.80万</t>
  </si>
  <si>
    <t>6.87亿</t>
  </si>
  <si>
    <t>3984.26万</t>
  </si>
  <si>
    <t>5924.38万</t>
  </si>
  <si>
    <t>1361.83万</t>
  </si>
  <si>
    <t>2324.36万</t>
  </si>
  <si>
    <t>锴威特</t>
  </si>
  <si>
    <t>4847.72万</t>
  </si>
  <si>
    <t>-1966.86万</t>
  </si>
  <si>
    <t>933.81万</t>
  </si>
  <si>
    <t>SH688702</t>
  </si>
  <si>
    <t>6.43亿</t>
  </si>
  <si>
    <t>-2942.07万</t>
  </si>
  <si>
    <t>-345.65万</t>
  </si>
  <si>
    <t>-958.31万</t>
  </si>
  <si>
    <t>622.07万</t>
  </si>
  <si>
    <t>-2741.95万</t>
  </si>
  <si>
    <t>7.64亿</t>
  </si>
  <si>
    <t>43.78亿</t>
  </si>
  <si>
    <t>5.75亿</t>
  </si>
  <si>
    <t>24.05亿</t>
  </si>
  <si>
    <t>23.25亿</t>
  </si>
  <si>
    <t>24.65亿</t>
  </si>
  <si>
    <t>3.24亿</t>
  </si>
  <si>
    <t>-2.63亿</t>
  </si>
  <si>
    <t>6.91亿</t>
  </si>
  <si>
    <t>-3.29亿</t>
  </si>
  <si>
    <t>-3-1</t>
  </si>
  <si>
    <t>42.31亿</t>
  </si>
  <si>
    <t>6.93亿</t>
  </si>
  <si>
    <t>5.90亿</t>
  </si>
  <si>
    <t>4.11亿</t>
  </si>
  <si>
    <t>57.44亿</t>
  </si>
  <si>
    <t>3.45亿</t>
  </si>
  <si>
    <t>10.94亿</t>
  </si>
  <si>
    <t>-1.21亿</t>
  </si>
  <si>
    <t>7.51亿</t>
  </si>
  <si>
    <t>6.03亿</t>
  </si>
  <si>
    <t>31.90亿</t>
  </si>
  <si>
    <t>5.68亿</t>
  </si>
  <si>
    <t>11.47亿</t>
  </si>
  <si>
    <t>10.20亿</t>
  </si>
  <si>
    <t>11.27亿</t>
  </si>
  <si>
    <t>-1.55亿</t>
  </si>
  <si>
    <t>-5.96亿</t>
  </si>
  <si>
    <t>5.49亿</t>
  </si>
  <si>
    <t>12.38亿</t>
  </si>
  <si>
    <t>20.20亿</t>
  </si>
  <si>
    <t>4.96亿</t>
  </si>
  <si>
    <t>9.60亿</t>
  </si>
  <si>
    <t>19.36亿</t>
  </si>
  <si>
    <t>26.00亿</t>
  </si>
  <si>
    <t>17.75亿</t>
  </si>
  <si>
    <t>14.45亿</t>
  </si>
  <si>
    <t>14.36亿</t>
  </si>
  <si>
    <t>4.89亿</t>
  </si>
  <si>
    <t>10.03亿</t>
  </si>
  <si>
    <t>10.23亿</t>
  </si>
  <si>
    <t>4.84亿</t>
  </si>
  <si>
    <t>2.85亿</t>
  </si>
  <si>
    <t>6.80亿</t>
  </si>
  <si>
    <t>21.16亿</t>
  </si>
  <si>
    <t>15.24亿</t>
  </si>
  <si>
    <t>23.91亿</t>
  </si>
  <si>
    <t>22.28亿</t>
  </si>
  <si>
    <t>-1.76亿</t>
  </si>
  <si>
    <t>7.01亿</t>
  </si>
  <si>
    <t>-5.45亿</t>
  </si>
  <si>
    <t>7.70亿</t>
  </si>
  <si>
    <t>6.36亿</t>
  </si>
  <si>
    <t>n/a</t>
  </si>
  <si>
    <t>5.01亿</t>
  </si>
  <si>
    <t>-2.96亿</t>
  </si>
  <si>
    <t>-1.43亿</t>
  </si>
  <si>
    <t>SH688652</t>
  </si>
  <si>
    <t>6.65亿</t>
  </si>
  <si>
    <t>SH688653</t>
  </si>
  <si>
    <t>2045.56万</t>
  </si>
  <si>
    <t>8111.11万</t>
  </si>
  <si>
    <t>2857.22万</t>
  </si>
  <si>
    <t>1367.20万</t>
  </si>
  <si>
    <t>-5454.47万</t>
  </si>
  <si>
    <t>-7174.14万</t>
  </si>
  <si>
    <t>盛科通信-U</t>
  </si>
  <si>
    <r>
      <t>1.从原材料采购金额占比来看，公司采购最大的原材料为</t>
    </r>
    <r>
      <rPr>
        <sz val="9"/>
        <color rgb="FFFF0000"/>
        <rFont val="宋体"/>
        <family val="3"/>
        <charset val="134"/>
        <scheme val="minor"/>
      </rPr>
      <t>环氧树脂和硅微粉</t>
    </r>
    <r>
      <rPr>
        <sz val="9"/>
        <color theme="1"/>
        <rFont val="宋体"/>
        <family val="3"/>
        <charset val="134"/>
        <scheme val="minor"/>
      </rPr>
      <t>，2021 年在采购额中的占比分别为 39%、26%，2.环氧塑封料行业国际知名企业主要包括</t>
    </r>
    <r>
      <rPr>
        <sz val="9"/>
        <color rgb="FFFF0000"/>
        <rFont val="宋体"/>
        <family val="3"/>
        <charset val="134"/>
        <scheme val="minor"/>
      </rPr>
      <t>住友电木、蔼司蒂</t>
    </r>
    <r>
      <rPr>
        <sz val="9"/>
        <color theme="1"/>
        <rFont val="宋体"/>
        <family val="3"/>
        <charset val="134"/>
        <scheme val="minor"/>
      </rPr>
      <t>，均为日本企业；国内除公司以外的头部企业主要包括衡所华威、长春塑封料、北京科化、长兴电子等公司。</t>
    </r>
    <phoneticPr fontId="1" type="noConversion"/>
  </si>
  <si>
    <t>1.公司是半导体环氧塑封料国内龙头。</t>
    <phoneticPr fontId="1" type="noConversion"/>
  </si>
  <si>
    <t>SH688720</t>
  </si>
  <si>
    <t>艾森股份</t>
  </si>
  <si>
    <t>1.2021Q1的营收暴增，并表了北京矽成。产品覆盖：微处理器芯片（技术最难，也在看risc-v）， 智能视频芯片（增速最大），存储芯片（营收占比最大），模拟与互联芯片；</t>
    <phoneticPr fontId="1" type="noConversion"/>
  </si>
  <si>
    <t>康希通信</t>
  </si>
  <si>
    <t>1.公司自建封测厂，以满足自身 NAND 与 DRAM 存储芯片及模组的封测制造需求，并利用富余产能对外承接存储器与 SiP 封测业务。</t>
    <phoneticPr fontId="1" type="noConversion"/>
  </si>
  <si>
    <r>
      <t>1.问：公司定增中的“晶圆级先进封测”主要覆盖的是哪些技术？是否有与HBM相关的技术？答：主要是实现凸块（Bumping）、重布线（RDL）、扇入（Fan-in）、扇出（Fan-out）、硅通孔（TSV）等工艺技术。其中，</t>
    </r>
    <r>
      <rPr>
        <sz val="9"/>
        <color rgb="FFFF0000"/>
        <rFont val="宋体"/>
        <family val="3"/>
        <charset val="134"/>
        <scheme val="minor"/>
      </rPr>
      <t>硅通孔（TSV）为实现HBM的核心封装工艺基础</t>
    </r>
    <r>
      <rPr>
        <sz val="9"/>
        <color theme="1"/>
        <rFont val="宋体"/>
        <family val="3"/>
        <charset val="134"/>
        <scheme val="minor"/>
      </rPr>
      <t>，是实现3D先进封装的关键技术之一，也是HBM封装成本中占比最高的部分。2.公司是国内存储器厂商中通过 SoC 芯片及系统平台认证最多的企业之一；3.公司以子公司惠州佰维作为先进封测及存储器制造基地；</t>
    </r>
    <phoneticPr fontId="1" type="noConversion"/>
  </si>
  <si>
    <t>-4-1</t>
  </si>
  <si>
    <t>芯联集成-U</t>
  </si>
  <si>
    <t>京仪装备</t>
  </si>
  <si>
    <t>SH603375</t>
  </si>
  <si>
    <t>SH688709</t>
  </si>
  <si>
    <t>SH688584</t>
  </si>
  <si>
    <t>15.56亿</t>
  </si>
  <si>
    <r>
      <t>1.问：硅片抛光和前道抛光有什么不同？答：硅片抛光和前道抛光从技术上存在一定差异，第一，硅的表面活性很强，工艺控制难度大；第二，</t>
    </r>
    <r>
      <rPr>
        <sz val="9"/>
        <color rgb="FFFF0000"/>
        <rFont val="宋体"/>
        <family val="3"/>
        <charset val="134"/>
        <scheme val="minor"/>
      </rPr>
      <t>硅片抛光对平整度的要求非常高，甚至高于前道工艺</t>
    </r>
    <r>
      <rPr>
        <sz val="9"/>
        <color theme="1"/>
        <rFont val="宋体"/>
        <family val="3"/>
        <charset val="134"/>
        <scheme val="minor"/>
      </rPr>
      <t>；第三，硅片抛光对后清洗的要求也非常高。公司在抛光、清洗、干燥等硅片抛光技术方面能够与应用材料等公司相竞争。2.问：国内竞争对手的进展？答：国内 CMP 设备的主要研发生产单位有华海清科和北京烁科精微电子装备有限公司。其中，北京烁科精微成立于2019 年， 主要经营 CMP设备的研发、生产及销售，其生产的8英寸CMP设备已通过中芯 国际和华虹集团验证并实现商业销售，首台12英寸CMP设备于2021年2月发往客户处进行验证。3.问：单台设备耗材业务量有多大？答：CMP设备有一个非常大的特点，机台运行所涉及的运动很多，</t>
    </r>
    <r>
      <rPr>
        <b/>
        <sz val="9"/>
        <color rgb="FFFF0000"/>
        <rFont val="宋体"/>
        <family val="3"/>
        <charset val="134"/>
        <scheme val="minor"/>
      </rPr>
      <t>在晶圆厂CMP工艺的耗材消耗量仅次于光刻</t>
    </r>
    <r>
      <rPr>
        <sz val="9"/>
        <color theme="1"/>
        <rFont val="宋体"/>
        <family val="3"/>
        <charset val="134"/>
        <scheme val="minor"/>
      </rPr>
      <t>，公司机台的耗材分为通用耗材以及关键耗材，通用耗材就是大家平时关注的</t>
    </r>
    <r>
      <rPr>
        <b/>
        <sz val="9"/>
        <color theme="1"/>
        <rFont val="宋体"/>
        <family val="3"/>
        <charset val="134"/>
        <scheme val="minor"/>
      </rPr>
      <t>抛光垫、抛光液等，关键耗材就是设备自身的抛光头、钻石碟</t>
    </r>
    <r>
      <rPr>
        <sz val="9"/>
        <color theme="1"/>
        <rFont val="宋体"/>
        <family val="3"/>
        <charset val="134"/>
        <scheme val="minor"/>
      </rPr>
      <t>等，每类耗材的业务量可以参考公开数据。4.华海清科在</t>
    </r>
    <r>
      <rPr>
        <sz val="9"/>
        <color rgb="FFFF0000"/>
        <rFont val="宋体"/>
        <family val="3"/>
        <charset val="134"/>
        <scheme val="minor"/>
      </rPr>
      <t>28nm及以上制程可完全替代海外厂商，14nm正在验证中</t>
    </r>
    <r>
      <rPr>
        <sz val="9"/>
        <color theme="1"/>
        <rFont val="宋体"/>
        <family val="3"/>
        <charset val="134"/>
        <scheme val="minor"/>
      </rPr>
      <t>，尚处追赶段；</t>
    </r>
    <phoneticPr fontId="1" type="noConversion"/>
  </si>
  <si>
    <t>-5-1</t>
  </si>
  <si>
    <t xml:space="preserve">
</t>
    <phoneticPr fontId="1" type="noConversion"/>
  </si>
  <si>
    <r>
      <t xml:space="preserve">1.7/22 43.33%解禁;2.对手竞品：同行业公司通过产品研发，针对性的提升性能及功能，从而能够
</t>
    </r>
    <r>
      <rPr>
        <sz val="9"/>
        <color rgb="FFFF0000"/>
        <rFont val="宋体"/>
        <family val="3"/>
        <charset val="134"/>
        <scheme val="minor"/>
      </rPr>
      <t>应用于更为复杂、多样的新兴应用领域</t>
    </r>
    <r>
      <rPr>
        <sz val="9"/>
        <color theme="1"/>
        <rFont val="宋体"/>
        <family val="2"/>
        <charset val="134"/>
        <scheme val="minor"/>
      </rPr>
      <t>。如高通 QCA4020 芯片，该芯片能够支持 Wi-Fi 2.4GHz/5GHz、低功耗蓝牙 5.0、Zibee、Thread 等多种通信协议，并将片上内存从 8KB 提升至超过 300KB，显著提升了产品性能。3. 未来销售预测需关注乐鑫的这些</t>
    </r>
    <r>
      <rPr>
        <b/>
        <sz val="9"/>
        <color theme="1"/>
        <rFont val="宋体"/>
        <family val="3"/>
        <charset val="134"/>
        <scheme val="minor"/>
      </rPr>
      <t>下游</t>
    </r>
    <r>
      <rPr>
        <sz val="9"/>
        <color theme="1"/>
        <rFont val="宋体"/>
        <family val="2"/>
        <charset val="134"/>
        <scheme val="minor"/>
      </rPr>
      <t>：a物联网,bAIoT，c智能家居，d智能支付（PoS终端），e智能可穿戴（手表），f智能音箱，关</t>
    </r>
    <r>
      <rPr>
        <b/>
        <sz val="9"/>
        <color theme="1"/>
        <rFont val="宋体"/>
        <family val="3"/>
        <charset val="134"/>
        <scheme val="minor"/>
      </rPr>
      <t>注是否有新领域需求无线数字控制芯片；</t>
    </r>
    <r>
      <rPr>
        <sz val="9"/>
        <color theme="1"/>
        <rFont val="宋体"/>
        <family val="3"/>
        <charset val="134"/>
        <scheme val="minor"/>
      </rPr>
      <t>4.物联网下游应用市场种类繁多，市场需求变化明显，但单个市场需求相对有限。如果未来</t>
    </r>
    <r>
      <rPr>
        <sz val="9"/>
        <color rgb="FFFF0000"/>
        <rFont val="宋体"/>
        <family val="3"/>
        <charset val="134"/>
        <scheme val="minor"/>
      </rPr>
      <t>物联网下游应用发展速度放缓</t>
    </r>
    <r>
      <rPr>
        <sz val="9"/>
        <color theme="1"/>
        <rFont val="宋体"/>
        <family val="3"/>
        <charset val="134"/>
        <scheme val="minor"/>
      </rPr>
      <t>，整体市场增长停滞，或者公司无法快速挖掘新产品应用需求，及时推出适用产品以获取新兴市场份额，可能会</t>
    </r>
    <r>
      <rPr>
        <sz val="9"/>
        <color rgb="FFFF0000"/>
        <rFont val="宋体"/>
        <family val="3"/>
        <charset val="134"/>
        <scheme val="minor"/>
      </rPr>
      <t>面临业绩波动的风险</t>
    </r>
    <r>
      <rPr>
        <sz val="9"/>
        <color theme="1"/>
        <rFont val="宋体"/>
        <family val="3"/>
        <charset val="134"/>
        <scheme val="minor"/>
      </rPr>
      <t>。4.芯片成本</t>
    </r>
    <r>
      <rPr>
        <sz val="9"/>
        <color rgb="FFFF0000"/>
        <rFont val="宋体"/>
        <family val="3"/>
        <charset val="134"/>
        <scheme val="minor"/>
      </rPr>
      <t>73%是制造加工</t>
    </r>
    <r>
      <rPr>
        <sz val="9"/>
        <color theme="1"/>
        <rFont val="宋体"/>
        <family val="3"/>
        <charset val="134"/>
        <scheme val="minor"/>
      </rPr>
      <t>；模组</t>
    </r>
    <r>
      <rPr>
        <sz val="9"/>
        <color rgb="FFFF0000"/>
        <rFont val="宋体"/>
        <family val="3"/>
        <charset val="134"/>
        <scheme val="minor"/>
      </rPr>
      <t>36.6%模组加工费，27.3%晶圆代工费</t>
    </r>
    <r>
      <rPr>
        <sz val="9"/>
        <color theme="1"/>
        <rFont val="宋体"/>
        <family val="3"/>
        <charset val="134"/>
        <scheme val="minor"/>
      </rPr>
      <t xml:space="preserve">；
</t>
    </r>
    <r>
      <rPr>
        <sz val="9"/>
        <color theme="1"/>
        <rFont val="宋体"/>
        <family val="2"/>
        <charset val="134"/>
        <scheme val="minor"/>
      </rPr>
      <t xml:space="preserve">
</t>
    </r>
    <phoneticPr fontId="1" type="noConversion"/>
  </si>
  <si>
    <r>
      <t>1.公司半导体装备、真空装备、新能源锂电装备和高精密电子元器件四大产品线并行，构成平台化布局。公司四大产 品线交由公司控股子公司分别承担运营，构成公司主要营收来源;2.预计年报业绩：净利润36.10亿元至41.50亿元，增长幅度为</t>
    </r>
    <r>
      <rPr>
        <sz val="9"/>
        <color rgb="FFFF0000"/>
        <rFont val="宋体"/>
        <family val="3"/>
        <charset val="134"/>
        <scheme val="minor"/>
      </rPr>
      <t>53.44%至76.39%</t>
    </r>
    <r>
      <rPr>
        <sz val="9"/>
        <color theme="1"/>
        <rFont val="宋体"/>
        <family val="3"/>
        <charset val="134"/>
        <scheme val="minor"/>
      </rPr>
      <t>；原因：a.公司始终坚持以客户需求为导向的产品创新，2023年主营业务呈现良好发展态势，市场认可度不断提高，应用于高端集成电路领域的刻蚀、薄膜、清洗和炉管等数十种工艺装备实现技术突破和量产应用，工艺覆盖度及市场占有率均得到大幅提升；2023年公司新签订单超过300亿元，其中集成电路领域占比超70%;b.公司持续推动降本增效工作，多元化供应链保障能力不断增强，量产交付水平有效提升，规模效应逐步显现，2023年归属于上市公司股东的净利润实现同比较大增长。</t>
    </r>
    <phoneticPr fontId="1" type="noConversion"/>
  </si>
  <si>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</si>
  <si>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</si>
  <si>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</si>
  <si>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</si>
  <si>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</si>
  <si>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</si>
  <si>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</si>
  <si>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</si>
  <si>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</si>
  <si>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盛景微</t>
  </si>
  <si>
    <t>4-0</t>
  </si>
  <si>
    <t>3-0</t>
  </si>
  <si>
    <t>1-0</t>
  </si>
  <si>
    <t>-4-0</t>
  </si>
  <si>
    <t>-1-0</t>
  </si>
  <si>
    <t>-5-0</t>
  </si>
  <si>
    <t>5-0</t>
  </si>
  <si>
    <r>
      <t>0.靶材，特别是高纯度溅射靶材应用于电子元器件制造的物理气相沉积（Physical Vapor Deposition，PVD）工艺，是制备晶圆、面板、太阳能电池等表面电子薄膜的关键材料。所谓溅射，是制备薄膜材料的主要技术，也是PVD的一种。它通过在PVD设备中用离子对目标物进行轰击，使得靶材中的金属原子以一定能量逸出（</t>
    </r>
    <r>
      <rPr>
        <b/>
        <sz val="9"/>
        <color theme="1"/>
        <rFont val="宋体"/>
        <family val="3"/>
        <charset val="134"/>
        <scheme val="minor"/>
      </rPr>
      <t>铝，铜，钛，钽</t>
    </r>
    <r>
      <rPr>
        <sz val="9"/>
        <color theme="1"/>
        <rFont val="宋体"/>
        <family val="3"/>
        <charset val="134"/>
        <scheme val="minor"/>
      </rPr>
      <t>），从而在晶圆表面沉积，溅镀形成金属薄膜，其中被轰击的固体是用溅射法沉积薄膜的原材料，称为溅射靶材。1.7月公司通过定向增发，将新建三个项目。 (1) 宁波年产5.2万个超大规模集成电路用超高金属溅 射靶材项目，建设期4年，26年达到满产。(2)  浙江海宁年产1.8万个铜靶及环件产品项目 ， 建设期4年 ， 26年达产。(3) 在宁波新建电子半导体材料研发中心， 为进一步提高公司技术实力和产品国际竞争力。</t>
    </r>
    <phoneticPr fontId="1" type="noConversion"/>
  </si>
  <si>
    <r>
      <t>0. 23 年全球晶圆制造和封装测试用靶材市场规模分别为</t>
    </r>
    <r>
      <rPr>
        <sz val="9"/>
        <color rgb="FFFF0000"/>
        <rFont val="宋体"/>
        <family val="3"/>
        <charset val="134"/>
        <scheme val="minor"/>
      </rPr>
      <t>11 亿美元和6.4亿美元</t>
    </r>
    <r>
      <rPr>
        <sz val="9"/>
        <color theme="1"/>
        <rFont val="宋体"/>
        <family val="3"/>
        <charset val="134"/>
        <scheme val="minor"/>
      </rPr>
      <t>。未来平板显示用溅射靶材25年中国该领域市场规模将达到</t>
    </r>
    <r>
      <rPr>
        <sz val="9"/>
        <color rgb="FFFF0000"/>
        <rFont val="宋体"/>
        <family val="3"/>
        <charset val="134"/>
        <scheme val="minor"/>
      </rPr>
      <t>350亿元， 在全球 显示面板靶材中占比达到57.7%</t>
    </r>
    <r>
      <rPr>
        <sz val="9"/>
        <color theme="1"/>
        <rFont val="宋体"/>
        <family val="3"/>
        <charset val="134"/>
        <scheme val="minor"/>
      </rPr>
      <t>。在太阳能电池领域 靶材用于薄膜、晶体硅太阳能电池等，到2026年， 我国太阳能电池用靶材市场规模预计将达到</t>
    </r>
    <r>
      <rPr>
        <sz val="9"/>
        <color rgb="FFFF0000"/>
        <rFont val="宋体"/>
        <family val="3"/>
        <charset val="134"/>
        <scheme val="minor"/>
      </rPr>
      <t>83亿元</t>
    </r>
    <r>
      <rPr>
        <sz val="9"/>
        <color theme="1"/>
        <rFont val="宋体"/>
        <family val="3"/>
        <charset val="134"/>
        <scheme val="minor"/>
      </rPr>
      <t>。1.预计年报业绩：净利润2.110亿元至2.637亿元，</t>
    </r>
    <r>
      <rPr>
        <sz val="9"/>
        <color rgb="FFFF0000"/>
        <rFont val="宋体"/>
        <family val="3"/>
        <charset val="134"/>
        <scheme val="minor"/>
      </rPr>
      <t>下降幅度为-20.00%至0.00%</t>
    </r>
    <r>
      <rPr>
        <sz val="9"/>
        <color theme="1"/>
        <rFont val="宋体"/>
        <family val="3"/>
        <charset val="134"/>
        <scheme val="minor"/>
      </rPr>
      <t>。原因：a、2023年度，尽管受到全球经济环境、半导体行业周期等影响，但公司始终积极扩大全球市场份额，公司预计实现营业收入约25.78亿元，较上年同期增长约10.85%。同时，公司持续加大研发投入，积极推进超高纯金属溅射靶材扩产项目，强化半导体精密零部件领域的战略布局，市场认可度不断提高。后续随着外围环境及行业周期好转，将有望加强公司的核心竞争力和盈利能力。目前，上述项目的扩产和推进，导致相应成本费用有所增加，同时受到产品销售结构变化、精密零部件和第三代半导体材料新品开发试制增加等多种因素影响，公司经营业绩较上年同期有所下降。b、公司预计2023年度非经常性损益金额约为6,972.61万元，主要系转让参股公司宁波创润新材料有限公司部分股权的投资收益、政府补助和公司战略投资的中芯国际、芯联集成股票公允价值变动等的综合影响。2.本土企业以</t>
    </r>
    <r>
      <rPr>
        <sz val="9"/>
        <color rgb="FFFF0000"/>
        <rFont val="宋体"/>
        <family val="3"/>
        <charset val="134"/>
        <scheme val="minor"/>
      </rPr>
      <t>江丰电子 、阿石创、有研新材</t>
    </r>
    <r>
      <rPr>
        <sz val="9"/>
        <color theme="1"/>
        <rFont val="宋体"/>
        <family val="3"/>
        <charset val="134"/>
        <scheme val="minor"/>
      </rPr>
      <t>子公司有研亿金 等为代表，市场影响力正逐步提升 。其中，阿石创靶材产品主要 应用于平板显示领域，有研亿金靶材产品主要应用在半导体领域</t>
    </r>
    <phoneticPr fontId="1" type="noConversion"/>
  </si>
  <si>
    <r>
      <t>1。公司与江丰电子靶材业务相比，21 年公司薄膜材料业务（包含靶材） 营收 增速达到 69%，近几年维持高速增长，但毛利率低于江丰电子，</t>
    </r>
    <r>
      <rPr>
        <sz val="9"/>
        <color rgb="FFFF0000"/>
        <rFont val="宋体"/>
        <family val="3"/>
        <charset val="134"/>
        <scheme val="minor"/>
      </rPr>
      <t>主因公司靶材品类众多，毛利率分化</t>
    </r>
    <r>
      <rPr>
        <sz val="9"/>
        <color theme="1"/>
        <rFont val="宋体"/>
        <family val="3"/>
        <charset val="134"/>
        <scheme val="minor"/>
      </rPr>
      <t>，铜靶预计 超过40%，其他品类略低，未来随着公司靶材产品结构调整，12英寸铜靶占比提升，利润率有望持续提升。 江丰电子除半导体靶材外 ，部分靶材用于平面显示等领域，主要以铝靶、 钽靶、钛靶为主， 目前高纯金属原料自供率较低 ，而公司高纯金属铜原料实现自产自供， 在未来铜靶主流趋势下，国产替代进程将加速，公司产品竞争力不断走强，在海外市场市占率有望提升。</t>
    </r>
    <phoneticPr fontId="1" type="noConversion"/>
  </si>
  <si>
    <r>
      <t>1.3000~6000万回购，价格不超过120元；2.pe, pb历史底部区间；上市3年；位置不错；调研的公司多；3.公司有芯片设计能力（覆盖3大主流无线接入协议：wifi, bluetooth, zigbee),但从芯片（开始涉及riscv)研发项目范围也从 Wi-Fi MCU 这一细分领域扩展 Wireless SoC 领域，方向为“处理+连接”，涵盖包括 AI、RISC-V MCU、Wi-Fi 6、Bluetooth LE、Thread/Zigbee 等芯片设计技术。公司的研发是软硬件双轮驱动，除以上芯片设计方面，还不断在软件技术上进行投入，围绕AIoT 的核心，覆盖工具链、编译器、操作系统、应用框架、AI 算法、云产品、APP 等，实现 AIoT领域软硬件一体化解决方案闭环;4.预计 MCU 市场销售额在 2023 年将增长 11％至 188 亿美元，2023年 MCU 的出货量将增长 10％至 296 亿颗。随着对精度要求的不断提高，</t>
    </r>
    <r>
      <rPr>
        <b/>
        <sz val="9"/>
        <color rgb="FFFF0000"/>
        <rFont val="宋体"/>
        <family val="3"/>
        <charset val="134"/>
        <scheme val="minor"/>
      </rPr>
      <t>32 位 MCU 市场迅速扩大</t>
    </r>
    <r>
      <rPr>
        <sz val="9"/>
        <color theme="1"/>
        <rFont val="宋体"/>
        <family val="2"/>
        <charset val="134"/>
        <scheme val="minor"/>
      </rPr>
      <t xml:space="preserve">。在嵌入式系统中，传感器及其他许多设备都开始连接入互联网，于是诞生了许多新的 32 位MCU 设计来支持无线连接和互联网协议通信。7.2023年预报:营业收入：14.36亿元 </t>
    </r>
    <r>
      <rPr>
        <sz val="9"/>
        <color rgb="FFFF0000"/>
        <rFont val="宋体"/>
        <family val="3"/>
        <charset val="134"/>
        <scheme val="minor"/>
      </rPr>
      <t>同比增长12.93% 净利润：1.38亿元 同比增长41.67%</t>
    </r>
    <r>
      <rPr>
        <sz val="9"/>
        <color theme="1"/>
        <rFont val="宋体"/>
        <family val="2"/>
        <charset val="134"/>
        <scheme val="minor"/>
      </rPr>
      <t>;</t>
    </r>
    <phoneticPr fontId="1" type="noConversion"/>
  </si>
  <si>
    <t>上海合晶</t>
  </si>
  <si>
    <t>成都华微</t>
  </si>
  <si>
    <t>SZ301536</t>
  </si>
  <si>
    <t>SH688691</t>
  </si>
  <si>
    <t>灿芯股份</t>
  </si>
  <si>
    <t>13.03亿</t>
  </si>
  <si>
    <t>9486.62万</t>
  </si>
  <si>
    <t>4361.09万</t>
  </si>
  <si>
    <t>1758.54万</t>
  </si>
  <si>
    <t>530.86万</t>
  </si>
  <si>
    <t>6.30亿</t>
  </si>
  <si>
    <r>
      <t>1.问：公司在新技术、新产品方面是怎么规划的？答：半导体设备种类繁多，有前道制造设备、后道封装检测设备等。华亚原来的半导体业务主要集中在前道刻蚀设备、薄膜沉积设备等；尽管公司业务的重点拓展方向仍是在半导体领域，但得益于公司新建的产线具有较好的灵活性、柔性，产线不仅能用于半导体行业产品的生产，也可以用于其他行业产品的生产，如航空、医疗、新能源、生物医药等行业。2.公司目前半导体业务主要是</t>
    </r>
    <r>
      <rPr>
        <b/>
        <sz val="9"/>
        <color rgb="FFFF0000"/>
        <rFont val="宋体"/>
        <family val="3"/>
        <charset val="134"/>
        <scheme val="minor"/>
      </rPr>
      <t>海外客户占比较大</t>
    </r>
    <r>
      <rPr>
        <sz val="9"/>
        <color theme="1"/>
        <rFont val="宋体"/>
        <family val="3"/>
        <charset val="134"/>
        <scheme val="minor"/>
      </rPr>
      <t>，客户端确实存在需求放缓的现象，主要是减缓了交付的频率，而订单没有下滑太多；实际上的需求仍然存在。3.竞争对手：</t>
    </r>
    <r>
      <rPr>
        <sz val="9"/>
        <color rgb="FFFF0000"/>
        <rFont val="宋体"/>
        <family val="3"/>
        <charset val="134"/>
        <scheme val="minor"/>
      </rPr>
      <t>富创精密，通润装备，科森科技</t>
    </r>
    <r>
      <rPr>
        <sz val="9"/>
        <color theme="1"/>
        <rFont val="宋体"/>
        <family val="3"/>
        <charset val="134"/>
        <scheme val="minor"/>
      </rPr>
      <t>；</t>
    </r>
    <phoneticPr fontId="1" type="noConversion"/>
  </si>
  <si>
    <r>
      <t>1.</t>
    </r>
    <r>
      <rPr>
        <sz val="9"/>
        <color rgb="FFFF0000"/>
        <rFont val="宋体"/>
        <family val="3"/>
        <charset val="134"/>
        <scheme val="minor"/>
      </rPr>
      <t>半导体</t>
    </r>
    <r>
      <rPr>
        <sz val="9"/>
        <color theme="1"/>
        <rFont val="宋体"/>
        <family val="3"/>
        <charset val="134"/>
        <scheme val="minor"/>
      </rPr>
      <t>设备领域结构件的营收为 3.31 亿元，</t>
    </r>
    <r>
      <rPr>
        <sz val="9"/>
        <color rgb="FFFF0000"/>
        <rFont val="宋体"/>
        <family val="3"/>
        <charset val="134"/>
        <scheme val="minor"/>
      </rPr>
      <t>占公司总营收的 62.45%</t>
    </r>
    <r>
      <rPr>
        <sz val="9"/>
        <rFont val="宋体"/>
        <family val="3"/>
        <charset val="134"/>
        <scheme val="minor"/>
      </rPr>
      <t>，新能源及电力设备、通用设备、轨道交通和医疗器械领域结构件收入占总营收的比例分别为18.98%/9.48%/3.53%/5.15%</t>
    </r>
    <r>
      <rPr>
        <sz val="9"/>
        <color theme="1"/>
        <rFont val="宋体"/>
        <family val="3"/>
        <charset val="134"/>
        <scheme val="minor"/>
      </rPr>
      <t>；2.未来重点，苏州工厂可能会以国内客户为主；马来西亚，可能会以国外客户为主，未来公司会努力抓住两个市场的增长需求。苏州工厂，目前设计的</t>
    </r>
    <r>
      <rPr>
        <b/>
        <sz val="9"/>
        <color rgb="FFFF0000"/>
        <rFont val="宋体"/>
        <family val="3"/>
        <charset val="134"/>
        <scheme val="minor"/>
      </rPr>
      <t>产能，可能是要翻2-3倍</t>
    </r>
    <r>
      <rPr>
        <sz val="9"/>
        <color theme="1"/>
        <rFont val="宋体"/>
        <family val="3"/>
        <charset val="134"/>
        <scheme val="minor"/>
      </rPr>
      <t>。要看不同的客户，不同的产品需求，如果是大批量的需求，那么成长性会快一些；如果是小批量、多品种，成长性可能会慢一些;3.设备端的厂商受国产化和政策驱动，</t>
    </r>
    <r>
      <rPr>
        <sz val="9"/>
        <color rgb="FFFF0000"/>
        <rFont val="宋体"/>
        <family val="3"/>
        <charset val="134"/>
        <scheme val="minor"/>
      </rPr>
      <t>自主可控加速进行</t>
    </r>
    <r>
      <rPr>
        <sz val="9"/>
        <color theme="1"/>
        <rFont val="宋体"/>
        <family val="3"/>
        <charset val="134"/>
        <scheme val="minor"/>
      </rPr>
      <t>；4.公司在生产制造方面积累了精密焊接、表面处理、精密机械加工等多类精密金属核心制造 技术；</t>
    </r>
    <phoneticPr fontId="1" type="noConversion"/>
  </si>
  <si>
    <t>星宸科技</t>
  </si>
  <si>
    <t>5.27亿</t>
  </si>
  <si>
    <t>5.35亿</t>
  </si>
  <si>
    <t>中科飞测</t>
  </si>
  <si>
    <r>
      <t>0.2022年中国cpm设备市场6.66亿美元（人民币46亿），公司市占率33.05%；世界半导体设备销售增速小个位数，国产半导体设备15%增速；由此思考TAM和公司从竞争中可能的比例，推算可能的内在价值；1.公司产品主要涵盖了IC装备以CMP设备和减薄机为主，CMP的设备又细分为12英寸CMP设备以及8英寸CMP设备，全面覆盖了集成电路制造过程当中的非金属介质CMP、金属薄膜CMP等；2.业绩处于持续高速增长的状态，近三年主营业务收入复合增长率达95.34%。3.问：减薄机的应用场景及市场空间？答：硅片制造、3D IC、先进封装会用到减薄机，且随着芯片制造技术愈发先进，</t>
    </r>
    <r>
      <rPr>
        <sz val="9"/>
        <color rgb="FFFF0000"/>
        <rFont val="宋体"/>
        <family val="3"/>
        <charset val="134"/>
        <scheme val="minor"/>
      </rPr>
      <t>减薄机将用的越来越多</t>
    </r>
    <r>
      <rPr>
        <sz val="9"/>
        <color theme="1"/>
        <rFont val="宋体"/>
        <family val="3"/>
        <charset val="134"/>
        <scheme val="minor"/>
      </rPr>
      <t>，比如在3D IC中晶圆的键合工艺，减薄是必要的工序。现在国际主要减薄设备公司货期长达两年，可以侧面证明减薄机的需求旺盛。4.2023年年报，</t>
    </r>
    <r>
      <rPr>
        <sz val="9"/>
        <color rgb="FFFF0000"/>
        <rFont val="宋体"/>
        <family val="3"/>
        <charset val="134"/>
        <scheme val="minor"/>
      </rPr>
      <t>营收25.08亿增52.11%，净利润7.24亿元增44.29%</t>
    </r>
    <r>
      <rPr>
        <sz val="9"/>
        <color theme="1"/>
        <rFont val="宋体"/>
        <family val="3"/>
        <charset val="134"/>
        <scheme val="minor"/>
      </rPr>
      <t>；原因：公司积极把握集成电路产业需求拉动所带来的市场机遇，持续加大研发投入和生产能力建设，增强了企业核心竞争力，公司CMP产品作为集成电路前道制造的关键工艺设备之一，市场占有率和销售规模持续提高；同时，晶圆再生、CDS和SDS等新业务开发初显成效，提升了公司营收和盈利规模。5.2024Q1</t>
    </r>
    <r>
      <rPr>
        <sz val="9"/>
        <color rgb="FFFF0000"/>
        <rFont val="宋体"/>
        <family val="3"/>
        <charset val="134"/>
        <scheme val="minor"/>
      </rPr>
      <t>营业总收入6.80亿元同比增长10.4%，净利润：2.02亿元同比增长4.27%</t>
    </r>
    <r>
      <rPr>
        <sz val="9"/>
        <color theme="1"/>
        <rFont val="宋体"/>
        <family val="3"/>
        <charset val="134"/>
        <scheme val="minor"/>
      </rPr>
      <t xml:space="preserve">； </t>
    </r>
    <phoneticPr fontId="1" type="noConversion"/>
  </si>
  <si>
    <t>10派0.5元(含税)</t>
  </si>
  <si>
    <t>12.70亿</t>
  </si>
  <si>
    <t>17.86亿</t>
  </si>
  <si>
    <t>-4.25亿</t>
  </si>
  <si>
    <t>58.04亿</t>
  </si>
  <si>
    <t>11.41亿</t>
  </si>
  <si>
    <t>75.65亿</t>
  </si>
  <si>
    <t>25.31亿</t>
  </si>
  <si>
    <t>16.33亿</t>
  </si>
  <si>
    <t>69186137亿</t>
  </si>
  <si>
    <t>226606480亿</t>
  </si>
  <si>
    <t>4457280700亿</t>
  </si>
  <si>
    <t>13413884000亿</t>
  </si>
  <si>
    <t>15.45亿</t>
  </si>
  <si>
    <t>10派6.8元(含税)</t>
  </si>
  <si>
    <t>7415.35万</t>
  </si>
  <si>
    <t>4.71亿</t>
  </si>
  <si>
    <t>8839.33万</t>
  </si>
  <si>
    <t>5.29亿</t>
  </si>
  <si>
    <t>18055342亿</t>
  </si>
  <si>
    <t>17563318亿</t>
  </si>
  <si>
    <t>84910853亿</t>
  </si>
  <si>
    <t>652831330亿</t>
  </si>
  <si>
    <t>6.51亿</t>
  </si>
  <si>
    <t>4933.35万</t>
  </si>
  <si>
    <t>8057.56万</t>
  </si>
  <si>
    <t>2565763亿</t>
  </si>
  <si>
    <t>11219996亿</t>
  </si>
  <si>
    <t>436696020亿</t>
  </si>
  <si>
    <t>1163631620亿</t>
  </si>
  <si>
    <t>-2.11亿</t>
  </si>
  <si>
    <t>10.06亿</t>
  </si>
  <si>
    <t>201.84亿</t>
  </si>
  <si>
    <t>52.82亿</t>
  </si>
  <si>
    <t>222.69亿</t>
  </si>
  <si>
    <t>-7888422亿</t>
  </si>
  <si>
    <t>94523323亿</t>
  </si>
  <si>
    <t>4213419100亿</t>
  </si>
  <si>
    <t>12435983000亿</t>
  </si>
  <si>
    <t>46.42亿</t>
  </si>
  <si>
    <t>10派0.12元(含税)</t>
  </si>
  <si>
    <t>146.28亿</t>
  </si>
  <si>
    <t>31.06亿</t>
  </si>
  <si>
    <t>112.98亿</t>
  </si>
  <si>
    <t>55837665亿</t>
  </si>
  <si>
    <t>-76813611亿</t>
  </si>
  <si>
    <t>1966799500亿</t>
  </si>
  <si>
    <t>12933651800亿</t>
  </si>
  <si>
    <t>10派0.22元(含税)</t>
  </si>
  <si>
    <t>288.00亿</t>
  </si>
  <si>
    <t>58.59亿</t>
  </si>
  <si>
    <t>220.79亿</t>
  </si>
  <si>
    <t>38.99亿</t>
  </si>
  <si>
    <t>850046亿</t>
  </si>
  <si>
    <t>1072494910亿</t>
  </si>
  <si>
    <t>4888957300亿</t>
  </si>
  <si>
    <t>39980912000亿</t>
  </si>
  <si>
    <t>10派7.8元(含税)</t>
  </si>
  <si>
    <t>39.48亿</t>
  </si>
  <si>
    <t>16.18亿</t>
  </si>
  <si>
    <t>47.38亿</t>
  </si>
  <si>
    <t>239265710亿</t>
  </si>
  <si>
    <t>1537015700亿</t>
  </si>
  <si>
    <t>6095580900亿</t>
  </si>
  <si>
    <t>10派3.6元(含税)</t>
  </si>
  <si>
    <t>16.85亿</t>
  </si>
  <si>
    <t>10.51亿</t>
  </si>
  <si>
    <t>10.33亿</t>
  </si>
  <si>
    <t>8.93亿</t>
  </si>
  <si>
    <t>5.95亿</t>
  </si>
  <si>
    <t>14.01亿</t>
  </si>
  <si>
    <t>9.77亿</t>
  </si>
  <si>
    <t>-3406.57万</t>
  </si>
  <si>
    <t>598421亿</t>
  </si>
  <si>
    <t>116737196亿</t>
  </si>
  <si>
    <t>591080960亿</t>
  </si>
  <si>
    <t>10转3股</t>
  </si>
  <si>
    <t>8811.52万</t>
  </si>
  <si>
    <t>515972亿</t>
  </si>
  <si>
    <t>23206573亿</t>
  </si>
  <si>
    <t>160111060亿</t>
  </si>
  <si>
    <t>1033274750亿</t>
  </si>
  <si>
    <t>7904.18万</t>
  </si>
  <si>
    <t>3113.97万</t>
  </si>
  <si>
    <t>-21273975亿</t>
  </si>
  <si>
    <t>13967641亿</t>
  </si>
  <si>
    <t>102001074亿</t>
  </si>
  <si>
    <t>963302380亿</t>
  </si>
  <si>
    <t>2224.24万</t>
  </si>
  <si>
    <t>7754.46万</t>
  </si>
  <si>
    <t>-542357亿</t>
  </si>
  <si>
    <t>3434421亿</t>
  </si>
  <si>
    <t>644419690亿</t>
  </si>
  <si>
    <t>1175401600亿</t>
  </si>
  <si>
    <t>6.27亿</t>
  </si>
  <si>
    <t>25.57亿</t>
  </si>
  <si>
    <t>10.37亿</t>
  </si>
  <si>
    <t>127503亿</t>
  </si>
  <si>
    <t>-59851628亿</t>
  </si>
  <si>
    <t>260858800亿</t>
  </si>
  <si>
    <t>1846044500亿</t>
  </si>
  <si>
    <t>6.23亿</t>
  </si>
  <si>
    <t>45.31亿</t>
  </si>
  <si>
    <t>397905亿</t>
  </si>
  <si>
    <t>81736309亿</t>
  </si>
  <si>
    <t>439341990亿</t>
  </si>
  <si>
    <t>7588662100亿</t>
  </si>
  <si>
    <t>5.58亿</t>
  </si>
  <si>
    <t>24.31亿</t>
  </si>
  <si>
    <t>13.00亿</t>
  </si>
  <si>
    <t>12.18亿</t>
  </si>
  <si>
    <t>396942亿</t>
  </si>
  <si>
    <t>29378631亿</t>
  </si>
  <si>
    <t>176167120亿</t>
  </si>
  <si>
    <t>1424953800亿</t>
  </si>
  <si>
    <t>39.40亿</t>
  </si>
  <si>
    <t>54.10亿</t>
  </si>
  <si>
    <t>9.24亿</t>
  </si>
  <si>
    <t>577843亿</t>
  </si>
  <si>
    <t>188038040亿</t>
  </si>
  <si>
    <t>1415727700亿</t>
  </si>
  <si>
    <t>6834053000亿</t>
  </si>
  <si>
    <t>10派2.8元(含税)</t>
  </si>
  <si>
    <t>-3346076亿</t>
  </si>
  <si>
    <t>-13717399亿</t>
  </si>
  <si>
    <t>573679360亿</t>
  </si>
  <si>
    <t>2128032300亿</t>
  </si>
  <si>
    <t>10派0.35元(含税)</t>
  </si>
  <si>
    <t>16.73亿</t>
  </si>
  <si>
    <t>2296.29万</t>
  </si>
  <si>
    <t>-3489880亿</t>
  </si>
  <si>
    <t>17359257亿</t>
  </si>
  <si>
    <t>42552095亿</t>
  </si>
  <si>
    <t>2613636900亿</t>
  </si>
  <si>
    <t>23.92亿</t>
  </si>
  <si>
    <t>17.45亿</t>
  </si>
  <si>
    <t>12.80亿</t>
  </si>
  <si>
    <t>4515.96万</t>
  </si>
  <si>
    <t>-2401805亿</t>
  </si>
  <si>
    <t>1625704亿</t>
  </si>
  <si>
    <t>1209078390亿</t>
  </si>
  <si>
    <t>4248928300亿</t>
  </si>
  <si>
    <t>352054亿</t>
  </si>
  <si>
    <t>29863220亿</t>
  </si>
  <si>
    <t>260644770亿</t>
  </si>
  <si>
    <t>2673742200亿</t>
  </si>
  <si>
    <t>33.26亿</t>
  </si>
  <si>
    <t>21.06亿</t>
  </si>
  <si>
    <t>850789亿</t>
  </si>
  <si>
    <t>49559495亿</t>
  </si>
  <si>
    <t>388359180亿</t>
  </si>
  <si>
    <t>2240612800亿</t>
  </si>
  <si>
    <t>10派0.58元(含税)</t>
  </si>
  <si>
    <t>33.95亿</t>
  </si>
  <si>
    <t>8.63亿</t>
  </si>
  <si>
    <t>26.16亿</t>
  </si>
  <si>
    <t>8054237亿</t>
  </si>
  <si>
    <t>50453571亿</t>
  </si>
  <si>
    <t>203581640亿</t>
  </si>
  <si>
    <t>3237442300亿</t>
  </si>
  <si>
    <t>21.42亿</t>
  </si>
  <si>
    <t>7.72亿</t>
  </si>
  <si>
    <t>26.02亿</t>
  </si>
  <si>
    <t>-996182亿</t>
  </si>
  <si>
    <t>70183158亿</t>
  </si>
  <si>
    <t>797149670亿</t>
  </si>
  <si>
    <t>2997706200亿</t>
  </si>
  <si>
    <t>10.93亿</t>
  </si>
  <si>
    <t>-3.48亿</t>
  </si>
  <si>
    <t>440782亿</t>
  </si>
  <si>
    <t>-29906118亿</t>
  </si>
  <si>
    <t>190284370亿</t>
  </si>
  <si>
    <t>1506601300亿</t>
  </si>
  <si>
    <t>32.36亿</t>
  </si>
  <si>
    <t>9607.19万</t>
  </si>
  <si>
    <t>13329956亿</t>
  </si>
  <si>
    <t>43.51万</t>
  </si>
  <si>
    <t>31034664亿</t>
  </si>
  <si>
    <t>613693240亿</t>
  </si>
  <si>
    <t>4220120700亿</t>
  </si>
  <si>
    <t>17.23亿</t>
  </si>
  <si>
    <t>9.07亿</t>
  </si>
  <si>
    <t>7.80亿</t>
  </si>
  <si>
    <t>9.58亿</t>
  </si>
  <si>
    <t>1227.24万</t>
  </si>
  <si>
    <t>7039亿</t>
  </si>
  <si>
    <t>-4269401亿</t>
  </si>
  <si>
    <t>227894020亿</t>
  </si>
  <si>
    <t>1035061060亿</t>
  </si>
  <si>
    <t>-1.25亿</t>
  </si>
  <si>
    <t>10派0.30元(含税)</t>
  </si>
  <si>
    <t>12.15亿</t>
  </si>
  <si>
    <t>11.90亿</t>
  </si>
  <si>
    <t>11.22亿</t>
  </si>
  <si>
    <t>281122亿</t>
  </si>
  <si>
    <t>194474020亿</t>
  </si>
  <si>
    <t>10.08亿</t>
  </si>
  <si>
    <t>429025680亿</t>
  </si>
  <si>
    <t>3654207800亿</t>
  </si>
  <si>
    <t>6898.72万</t>
  </si>
  <si>
    <t>3420.92万</t>
  </si>
  <si>
    <t>2201.95万</t>
  </si>
  <si>
    <t>431817亿</t>
  </si>
  <si>
    <t>5766754亿</t>
  </si>
  <si>
    <t>62431250亿</t>
  </si>
  <si>
    <t>779503730亿</t>
  </si>
  <si>
    <t>5497.98万</t>
  </si>
  <si>
    <t>10派0.1203元(含税)</t>
  </si>
  <si>
    <t>-2.35亿</t>
  </si>
  <si>
    <t>12.40亿</t>
  </si>
  <si>
    <t>8.23亿</t>
  </si>
  <si>
    <t>8924.94万</t>
  </si>
  <si>
    <t>254265亿</t>
  </si>
  <si>
    <t>17989651亿</t>
  </si>
  <si>
    <t>170781580亿</t>
  </si>
  <si>
    <t>880055000亿</t>
  </si>
  <si>
    <t>72.30亿</t>
  </si>
  <si>
    <t>44.53亿</t>
  </si>
  <si>
    <t>101.25亿</t>
  </si>
  <si>
    <t>-8.28亿</t>
  </si>
  <si>
    <t>935472亿</t>
  </si>
  <si>
    <t>363131200亿</t>
  </si>
  <si>
    <t>1738256600亿</t>
  </si>
  <si>
    <t>11419377100亿</t>
  </si>
  <si>
    <t>5836.88万</t>
  </si>
  <si>
    <t>-9214789亿</t>
  </si>
  <si>
    <t>218913490亿</t>
  </si>
  <si>
    <t>1482452000亿</t>
  </si>
  <si>
    <t>5763.75万</t>
  </si>
  <si>
    <t>2458.33万</t>
  </si>
  <si>
    <t>41678亿</t>
  </si>
  <si>
    <t>-3853199亿</t>
  </si>
  <si>
    <t>63229531亿</t>
  </si>
  <si>
    <t>1457045600亿</t>
  </si>
  <si>
    <t>13.50亿</t>
  </si>
  <si>
    <t>5867671亿</t>
  </si>
  <si>
    <t>46372972亿</t>
  </si>
  <si>
    <t>177279550亿</t>
  </si>
  <si>
    <t>2229927400亿</t>
  </si>
  <si>
    <t>26.86亿</t>
  </si>
  <si>
    <t>11.93亿</t>
  </si>
  <si>
    <t>6314.92万</t>
  </si>
  <si>
    <t>8.10亿</t>
  </si>
  <si>
    <t>-6021.98万</t>
  </si>
  <si>
    <t>15.07亿</t>
  </si>
  <si>
    <t>2808519亿</t>
  </si>
  <si>
    <t>35258074亿</t>
  </si>
  <si>
    <t>423189300亿</t>
  </si>
  <si>
    <t>2624603900亿</t>
  </si>
  <si>
    <t>22.06亿</t>
  </si>
  <si>
    <t>22.62亿</t>
  </si>
  <si>
    <t>108.22亿</t>
  </si>
  <si>
    <t>3685491亿</t>
  </si>
  <si>
    <t>-5282238亿</t>
  </si>
  <si>
    <t>837148150亿</t>
  </si>
  <si>
    <t>4986157100亿</t>
  </si>
  <si>
    <t>10派1.38元(含税)</t>
  </si>
  <si>
    <t>9.89亿</t>
  </si>
  <si>
    <t>34.15亿</t>
  </si>
  <si>
    <t>17.42亿</t>
  </si>
  <si>
    <t>3686.94万</t>
  </si>
  <si>
    <t>4777237亿</t>
  </si>
  <si>
    <t>11.01亿</t>
  </si>
  <si>
    <t>2706744400亿</t>
  </si>
  <si>
    <t>104.88亿</t>
  </si>
  <si>
    <t>93.40亿</t>
  </si>
  <si>
    <t>-3578.58万</t>
  </si>
  <si>
    <t>-8717096亿</t>
  </si>
  <si>
    <t>132894211亿</t>
  </si>
  <si>
    <t>2376171500亿</t>
  </si>
  <si>
    <t>12785532800亿</t>
  </si>
  <si>
    <t>38.80亿</t>
  </si>
  <si>
    <t>11.25亿</t>
  </si>
  <si>
    <t>-6.24亿</t>
  </si>
  <si>
    <t>164.28亿</t>
  </si>
  <si>
    <t>68.42亿</t>
  </si>
  <si>
    <t>296.61亿</t>
  </si>
  <si>
    <t>14.71亿</t>
  </si>
  <si>
    <t>-9903559亿</t>
  </si>
  <si>
    <t>107701760亿</t>
  </si>
  <si>
    <t>3576376600亿</t>
  </si>
  <si>
    <t>19173801000亿</t>
  </si>
  <si>
    <t>0135000000</t>
  </si>
  <si>
    <t>0405000000</t>
  </si>
  <si>
    <t>0810000000</t>
  </si>
  <si>
    <t>01350000000</t>
  </si>
  <si>
    <t>02700000000</t>
  </si>
  <si>
    <t>393.02亿</t>
  </si>
  <si>
    <t>162.47亿</t>
  </si>
  <si>
    <t>612.13亿</t>
  </si>
  <si>
    <t>184229420亿</t>
  </si>
  <si>
    <t>-86590706亿</t>
  </si>
  <si>
    <t>10094109300亿</t>
  </si>
  <si>
    <t>27917775000亿</t>
  </si>
  <si>
    <t>14.58亿</t>
  </si>
  <si>
    <t>10派1.25元(含税)</t>
  </si>
  <si>
    <t>13.16亿</t>
  </si>
  <si>
    <t>16524383亿</t>
  </si>
  <si>
    <t>1002860020亿</t>
  </si>
  <si>
    <t>2596073700亿</t>
  </si>
  <si>
    <t>-7568882亿</t>
  </si>
  <si>
    <t>39368169亿</t>
  </si>
  <si>
    <t>101001996亿</t>
  </si>
  <si>
    <t>2909278800亿</t>
  </si>
  <si>
    <t>10派0.46元(含税)</t>
  </si>
  <si>
    <t>8856.35万</t>
  </si>
  <si>
    <t>8479.41万</t>
  </si>
  <si>
    <t>1042779亿</t>
  </si>
  <si>
    <t>13154587亿</t>
  </si>
  <si>
    <t>275471960亿</t>
  </si>
  <si>
    <t>1184093220亿</t>
  </si>
  <si>
    <t>10派1.77元(含税)</t>
  </si>
  <si>
    <t>-9402.76万</t>
  </si>
  <si>
    <t>952807亿</t>
  </si>
  <si>
    <t>136450500亿</t>
  </si>
  <si>
    <t>1544537600亿</t>
  </si>
  <si>
    <t>16.82亿</t>
  </si>
  <si>
    <t>44.08亿</t>
  </si>
  <si>
    <t>13.48亿</t>
  </si>
  <si>
    <t>1563856亿</t>
  </si>
  <si>
    <t>147566710亿</t>
  </si>
  <si>
    <t>615243010亿</t>
  </si>
  <si>
    <t>5767960700亿</t>
  </si>
  <si>
    <t>19.89亿</t>
  </si>
  <si>
    <t>36.63亿</t>
  </si>
  <si>
    <t>9.11亿</t>
  </si>
  <si>
    <t>243267亿</t>
  </si>
  <si>
    <t>161945820亿</t>
  </si>
  <si>
    <t>694834260亿</t>
  </si>
  <si>
    <t>3982599900亿</t>
  </si>
  <si>
    <t>8865.88万</t>
  </si>
  <si>
    <t>-2842379亿</t>
  </si>
  <si>
    <t>365586520亿</t>
  </si>
  <si>
    <t>1688581100亿</t>
  </si>
  <si>
    <t>7510.26万</t>
  </si>
  <si>
    <t>339.43万</t>
  </si>
  <si>
    <t>8750.02万</t>
  </si>
  <si>
    <t>6302.76万</t>
  </si>
  <si>
    <t>1580.85万</t>
  </si>
  <si>
    <t>-128.96万</t>
  </si>
  <si>
    <t>10派4.0元(含税)</t>
  </si>
  <si>
    <t>-2.09亿</t>
  </si>
  <si>
    <t>162.48亿</t>
  </si>
  <si>
    <t>56.44亿</t>
  </si>
  <si>
    <t>210.21亿</t>
  </si>
  <si>
    <t>48248485亿</t>
  </si>
  <si>
    <t>565982180亿</t>
  </si>
  <si>
    <t>3888873600亿</t>
  </si>
  <si>
    <t>19533712000亿</t>
  </si>
  <si>
    <t>10派1.4元(含税)</t>
  </si>
  <si>
    <t>68.53亿</t>
  </si>
  <si>
    <t>31.51亿</t>
  </si>
  <si>
    <t>1129204亿</t>
  </si>
  <si>
    <t>62646792亿</t>
  </si>
  <si>
    <t>2635529000亿</t>
  </si>
  <si>
    <t>7573986800亿</t>
  </si>
  <si>
    <t>10派1.93元(含税)</t>
  </si>
  <si>
    <t>-1.89亿</t>
  </si>
  <si>
    <t>135000亿</t>
  </si>
  <si>
    <t>66014810亿</t>
  </si>
  <si>
    <t>261387290亿</t>
  </si>
  <si>
    <t>2861871400亿</t>
  </si>
  <si>
    <t>7.19亿</t>
  </si>
  <si>
    <t>16.27亿</t>
  </si>
  <si>
    <t>57.61亿</t>
  </si>
  <si>
    <t>-319219亿</t>
  </si>
  <si>
    <t>183748480亿</t>
  </si>
  <si>
    <t>188104010亿</t>
  </si>
  <si>
    <t>12500555200亿</t>
  </si>
  <si>
    <t>11.87亿</t>
  </si>
  <si>
    <t>13.41亿</t>
  </si>
  <si>
    <t>19.66亿</t>
  </si>
  <si>
    <t>14.77亿</t>
  </si>
  <si>
    <t>-623681亿</t>
  </si>
  <si>
    <t>83539226亿</t>
  </si>
  <si>
    <t>164271030亿</t>
  </si>
  <si>
    <t>3613261100亿</t>
  </si>
  <si>
    <t>87.30亿</t>
  </si>
  <si>
    <t>26.90亿</t>
  </si>
  <si>
    <t>6575.25万</t>
  </si>
  <si>
    <t>-7687716亿</t>
  </si>
  <si>
    <t>-49361500亿</t>
  </si>
  <si>
    <t>757381710亿</t>
  </si>
  <si>
    <t>5725675800亿</t>
  </si>
  <si>
    <t>6.32亿</t>
  </si>
  <si>
    <t>22.86亿</t>
  </si>
  <si>
    <t>4.51亿</t>
  </si>
  <si>
    <t>12125498亿</t>
  </si>
  <si>
    <t>219635470亿</t>
  </si>
  <si>
    <t>218391990亿</t>
  </si>
  <si>
    <t>8183802800亿</t>
  </si>
  <si>
    <t>37.02亿</t>
  </si>
  <si>
    <t>16.05亿</t>
  </si>
  <si>
    <t>62.64亿</t>
  </si>
  <si>
    <t>-4448281亿</t>
  </si>
  <si>
    <t>262948770亿</t>
  </si>
  <si>
    <t>1673444700亿</t>
  </si>
  <si>
    <t>15696529000亿</t>
  </si>
  <si>
    <t>13.05亿</t>
  </si>
  <si>
    <t>14.33亿</t>
  </si>
  <si>
    <t>6308354亿</t>
  </si>
  <si>
    <t>47907812亿</t>
  </si>
  <si>
    <t>262456720亿</t>
  </si>
  <si>
    <t>1161988020亿</t>
  </si>
  <si>
    <t>10转4股派10元(含税)</t>
  </si>
  <si>
    <t>19.19亿</t>
  </si>
  <si>
    <t>15.29亿</t>
  </si>
  <si>
    <t>1778121亿</t>
  </si>
  <si>
    <t>8630690亿</t>
  </si>
  <si>
    <t>461357470亿</t>
  </si>
  <si>
    <t>3251692700亿</t>
  </si>
  <si>
    <t>13.78亿</t>
  </si>
  <si>
    <t>-5.63亿</t>
  </si>
  <si>
    <t>10转4.5股派2元(含税)</t>
  </si>
  <si>
    <t>25.82亿</t>
  </si>
  <si>
    <t>60.12亿</t>
  </si>
  <si>
    <t>12.63亿</t>
  </si>
  <si>
    <t>271876250亿</t>
  </si>
  <si>
    <t>1276678700亿</t>
  </si>
  <si>
    <t>15957733000亿</t>
  </si>
  <si>
    <t>13.95亿</t>
  </si>
  <si>
    <t>-1907.27万</t>
  </si>
  <si>
    <t>1176073亿</t>
  </si>
  <si>
    <t>-7797778亿</t>
  </si>
  <si>
    <t>78821153亿</t>
  </si>
  <si>
    <t>1254786100亿</t>
  </si>
  <si>
    <t>5.63亿</t>
  </si>
  <si>
    <t>5686589亿</t>
  </si>
  <si>
    <t>-81000449亿</t>
  </si>
  <si>
    <t>511635040亿</t>
  </si>
  <si>
    <t>3074202700亿</t>
  </si>
  <si>
    <t>729.44万</t>
  </si>
  <si>
    <t>5248.72万</t>
  </si>
  <si>
    <t>-9194.72万</t>
  </si>
  <si>
    <t>5050127亿</t>
  </si>
  <si>
    <t>-31890731亿</t>
  </si>
  <si>
    <t>128713601亿</t>
  </si>
  <si>
    <t>1972986600亿</t>
  </si>
  <si>
    <t>6505.86万</t>
  </si>
  <si>
    <t>1178355亿</t>
  </si>
  <si>
    <t>5469495亿</t>
  </si>
  <si>
    <t>67168022亿</t>
  </si>
  <si>
    <t>1753887300亿</t>
  </si>
  <si>
    <t>10转2股派2元(含税)</t>
  </si>
  <si>
    <t>5713114亿</t>
  </si>
  <si>
    <t>1.79万</t>
  </si>
  <si>
    <t>-159117520亿</t>
  </si>
  <si>
    <t>215396180亿</t>
  </si>
  <si>
    <t>5110930500亿</t>
  </si>
  <si>
    <t>25.52亿</t>
  </si>
  <si>
    <t>959.33万</t>
  </si>
  <si>
    <t>864747亿</t>
  </si>
  <si>
    <t>-12513747亿</t>
  </si>
  <si>
    <t>182292530亿</t>
  </si>
  <si>
    <t>2158933800亿</t>
  </si>
  <si>
    <t>53.78亿</t>
  </si>
  <si>
    <t>-2027909亿</t>
  </si>
  <si>
    <t>-44209268亿</t>
  </si>
  <si>
    <t>553449030亿</t>
  </si>
  <si>
    <t>9342611500亿</t>
  </si>
  <si>
    <t>29.82亿</t>
  </si>
  <si>
    <t>18.71亿</t>
  </si>
  <si>
    <t>13.39亿</t>
  </si>
  <si>
    <t>10转4.8股派3.5元(含税)</t>
  </si>
  <si>
    <t>32.96亿</t>
  </si>
  <si>
    <t>7862197亿</t>
  </si>
  <si>
    <t>84326167亿</t>
  </si>
  <si>
    <t>1564202500亿</t>
  </si>
  <si>
    <t>7834837900亿</t>
  </si>
  <si>
    <t>14.91亿</t>
  </si>
  <si>
    <t>53.71亿</t>
  </si>
  <si>
    <t>48.23亿</t>
  </si>
  <si>
    <t>6433337亿</t>
  </si>
  <si>
    <t>117775851亿</t>
  </si>
  <si>
    <t>224297600亿</t>
  </si>
  <si>
    <t>5440422700亿</t>
  </si>
  <si>
    <t>8988.70万</t>
  </si>
  <si>
    <t>-1.97亿</t>
  </si>
  <si>
    <t>1445001亿</t>
  </si>
  <si>
    <t>-68636568亿</t>
  </si>
  <si>
    <t>94416417亿</t>
  </si>
  <si>
    <t>1412737700亿</t>
  </si>
  <si>
    <t>18.63万</t>
  </si>
  <si>
    <t>-3.06亿</t>
  </si>
  <si>
    <t>4849881亿</t>
  </si>
  <si>
    <t>-47648578亿</t>
  </si>
  <si>
    <t>52695993亿</t>
  </si>
  <si>
    <t>3250240400亿</t>
  </si>
  <si>
    <t>25.08亿</t>
  </si>
  <si>
    <t>8781634亿</t>
  </si>
  <si>
    <t>171743010亿</t>
  </si>
  <si>
    <t>652839280亿</t>
  </si>
  <si>
    <t>8211701400亿</t>
  </si>
  <si>
    <t>1171692亿</t>
  </si>
  <si>
    <t>66112176亿</t>
  </si>
  <si>
    <t>153304950亿</t>
  </si>
  <si>
    <t>1743706400亿</t>
  </si>
  <si>
    <t>85.26亿</t>
  </si>
  <si>
    <t>-1644811亿</t>
  </si>
  <si>
    <t>-186495200亿</t>
  </si>
  <si>
    <t>839506150亿</t>
  </si>
  <si>
    <t>9494191700亿</t>
  </si>
  <si>
    <t>24.62亿</t>
  </si>
  <si>
    <t>2292.20万</t>
  </si>
  <si>
    <t>2670.49万</t>
  </si>
  <si>
    <t>-2035.10万</t>
  </si>
  <si>
    <t>3177687亿</t>
  </si>
  <si>
    <t>-4431500亿</t>
  </si>
  <si>
    <t>15413757亿</t>
  </si>
  <si>
    <t>1267641820亿</t>
  </si>
  <si>
    <t>2172.08万</t>
  </si>
  <si>
    <t>5178亿</t>
  </si>
  <si>
    <t>1236798亿</t>
  </si>
  <si>
    <t>147553570亿</t>
  </si>
  <si>
    <t>364256480亿</t>
  </si>
  <si>
    <t>8350.00万</t>
  </si>
  <si>
    <t>3201.77万</t>
  </si>
  <si>
    <t>44700665亿</t>
  </si>
  <si>
    <t>283642220亿</t>
  </si>
  <si>
    <t>936744230亿</t>
  </si>
  <si>
    <t>15.59亿</t>
  </si>
  <si>
    <t>12.97亿</t>
  </si>
  <si>
    <t>-5.31亿</t>
  </si>
  <si>
    <t>1300726亿</t>
  </si>
  <si>
    <t>-213134230亿</t>
  </si>
  <si>
    <t>335102270亿</t>
  </si>
  <si>
    <t>3258116400亿</t>
  </si>
  <si>
    <t>-18605299亿</t>
  </si>
  <si>
    <t>424792820亿</t>
  </si>
  <si>
    <t>4171469000亿</t>
  </si>
  <si>
    <t>10派0.55元(含税)</t>
  </si>
  <si>
    <t>21.27亿</t>
  </si>
  <si>
    <t>2241979亿</t>
  </si>
  <si>
    <t>542797亿</t>
  </si>
  <si>
    <t>1236771330亿</t>
  </si>
  <si>
    <t>9201697300亿</t>
  </si>
  <si>
    <t>-5418.46万</t>
  </si>
  <si>
    <t>2438500亿</t>
  </si>
  <si>
    <t>-54149882亿</t>
  </si>
  <si>
    <t>132167483亿</t>
  </si>
  <si>
    <t>1557947500亿</t>
  </si>
  <si>
    <t>27.96亿</t>
  </si>
  <si>
    <t>31829980亿</t>
  </si>
  <si>
    <t>290707440亿</t>
  </si>
  <si>
    <t>2628064800亿</t>
  </si>
  <si>
    <t>10派5.6元(含税)</t>
  </si>
  <si>
    <t>12.16亿</t>
  </si>
  <si>
    <t>2937.33万</t>
  </si>
  <si>
    <t>-2339938亿</t>
  </si>
  <si>
    <t>2498871亿</t>
  </si>
  <si>
    <t>97506046亿</t>
  </si>
  <si>
    <t>1553542000亿</t>
  </si>
  <si>
    <t>10派0.28元(含税)</t>
  </si>
  <si>
    <t>37.41亿</t>
  </si>
  <si>
    <t>28.57亿</t>
  </si>
  <si>
    <t>1421.55万</t>
  </si>
  <si>
    <t>-926992亿</t>
  </si>
  <si>
    <t>19606289亿</t>
  </si>
  <si>
    <t>712561020亿</t>
  </si>
  <si>
    <t>5320162200亿</t>
  </si>
  <si>
    <t>-2.50亿</t>
  </si>
  <si>
    <t>10派1.65元(含税)</t>
  </si>
  <si>
    <t>-1.31亿</t>
  </si>
  <si>
    <t>-237713亿</t>
  </si>
  <si>
    <t>-24253804亿</t>
  </si>
  <si>
    <t>87767916亿</t>
  </si>
  <si>
    <t>325006920亿</t>
  </si>
  <si>
    <t>-5856.27万</t>
  </si>
  <si>
    <t>8.30亿</t>
  </si>
  <si>
    <t>-5.06亿</t>
  </si>
  <si>
    <t>5933065亿</t>
  </si>
  <si>
    <t>-157744560亿</t>
  </si>
  <si>
    <t>439827870亿</t>
  </si>
  <si>
    <t>6264142100亿</t>
  </si>
  <si>
    <t>5899.53万</t>
  </si>
  <si>
    <t>6869.69万</t>
  </si>
  <si>
    <t>9648.77万</t>
  </si>
  <si>
    <t>12809156亿</t>
  </si>
  <si>
    <t>10563817亿</t>
  </si>
  <si>
    <t>16959534亿</t>
  </si>
  <si>
    <t>1796174200亿</t>
  </si>
  <si>
    <t>5832.03万</t>
  </si>
  <si>
    <t>-6910.98万</t>
  </si>
  <si>
    <t>161001亿</t>
  </si>
  <si>
    <t>995818亿</t>
  </si>
  <si>
    <t>58605738亿</t>
  </si>
  <si>
    <t>1090910440亿</t>
  </si>
  <si>
    <t>-4572.05万</t>
  </si>
  <si>
    <t>988682亿</t>
  </si>
  <si>
    <t>43606692亿</t>
  </si>
  <si>
    <t>344234010亿</t>
  </si>
  <si>
    <t>2876244700亿</t>
  </si>
  <si>
    <t>260.18亿</t>
  </si>
  <si>
    <t>72.44亿</t>
  </si>
  <si>
    <t>19867430亿</t>
  </si>
  <si>
    <t>57309731亿</t>
  </si>
  <si>
    <t>794997250亿</t>
  </si>
  <si>
    <t>11016346600亿</t>
  </si>
  <si>
    <t>-1.61亿</t>
  </si>
  <si>
    <t>23954688亿</t>
  </si>
  <si>
    <t>128344584亿</t>
  </si>
  <si>
    <t>2100934600亿</t>
  </si>
  <si>
    <t>10派0.56元(含税)</t>
  </si>
  <si>
    <t>2566.61万</t>
  </si>
  <si>
    <t>-8.48亿</t>
  </si>
  <si>
    <t>15396862亿</t>
  </si>
  <si>
    <t>-261138150亿</t>
  </si>
  <si>
    <t>542607290亿</t>
  </si>
  <si>
    <t>5349848100亿</t>
  </si>
  <si>
    <t>-12.56亿</t>
  </si>
  <si>
    <t>5843.92万</t>
  </si>
  <si>
    <t>714149亿</t>
  </si>
  <si>
    <t>13623980亿</t>
  </si>
  <si>
    <t>93086209亿</t>
  </si>
  <si>
    <t>1640645600亿</t>
  </si>
  <si>
    <t>-2.47亿</t>
  </si>
  <si>
    <t>10转4股派2.6元(含税)</t>
  </si>
  <si>
    <t>9.73亿</t>
  </si>
  <si>
    <t>-2356123亿</t>
  </si>
  <si>
    <t>309146亿</t>
  </si>
  <si>
    <t>99786828亿</t>
  </si>
  <si>
    <t>2713820000亿</t>
  </si>
  <si>
    <t>-1.69亿</t>
  </si>
  <si>
    <t>2321027亿</t>
  </si>
  <si>
    <t>-51969877亿</t>
  </si>
  <si>
    <t>178505280亿</t>
  </si>
  <si>
    <t>2238810500亿</t>
  </si>
  <si>
    <t>-1.74亿</t>
  </si>
  <si>
    <t>7497.49万</t>
  </si>
  <si>
    <t>5386.56万</t>
  </si>
  <si>
    <t>7248.04万</t>
  </si>
  <si>
    <t>-3051304亿</t>
  </si>
  <si>
    <t>-5645458亿</t>
  </si>
  <si>
    <t>337766670亿</t>
  </si>
  <si>
    <t>2076618100亿</t>
  </si>
  <si>
    <t>10转4股派1.7元(含税)</t>
  </si>
  <si>
    <t>2896378亿</t>
  </si>
  <si>
    <t>42663871亿</t>
  </si>
  <si>
    <t>8051996亿</t>
  </si>
  <si>
    <t>1976610400亿</t>
  </si>
  <si>
    <t>10派6.1元(含税)</t>
  </si>
  <si>
    <t>8818.33万</t>
  </si>
  <si>
    <t>312157亿</t>
  </si>
  <si>
    <t>-16309932亿</t>
  </si>
  <si>
    <t>30470523亿</t>
  </si>
  <si>
    <t>603990500亿</t>
  </si>
  <si>
    <t>-5502.88万</t>
  </si>
  <si>
    <t>6974.79万</t>
  </si>
  <si>
    <t>6389.45万</t>
  </si>
  <si>
    <t>5977.37万</t>
  </si>
  <si>
    <t>8787908亿</t>
  </si>
  <si>
    <t>6182171亿</t>
  </si>
  <si>
    <t>18320212亿</t>
  </si>
  <si>
    <t>780071010亿</t>
  </si>
  <si>
    <t>5186.17万</t>
  </si>
  <si>
    <t>10.28亿</t>
  </si>
  <si>
    <t>14.47亿</t>
  </si>
  <si>
    <t>3337475亿</t>
  </si>
  <si>
    <t>45797155亿</t>
  </si>
  <si>
    <t>54572807亿</t>
  </si>
  <si>
    <t>4970045800亿</t>
  </si>
  <si>
    <t>10派8.3元(含税)</t>
  </si>
  <si>
    <t>207.36亿</t>
  </si>
  <si>
    <t>162.32亿</t>
  </si>
  <si>
    <t>10.44亿</t>
  </si>
  <si>
    <t>13.23亿</t>
  </si>
  <si>
    <t>16.29亿</t>
  </si>
  <si>
    <t>1001194亿</t>
  </si>
  <si>
    <t>73122648亿</t>
  </si>
  <si>
    <t>21.43亿</t>
  </si>
  <si>
    <t>163481470亿</t>
  </si>
  <si>
    <t>2638382600亿</t>
  </si>
  <si>
    <t>7466622亿</t>
  </si>
  <si>
    <t>7780881亿</t>
  </si>
  <si>
    <t>143602580亿</t>
  </si>
  <si>
    <t>2857222100亿</t>
  </si>
  <si>
    <t>5004.34万</t>
  </si>
  <si>
    <t>4300.00万</t>
  </si>
  <si>
    <t>1197.09万</t>
  </si>
  <si>
    <t>10派1.40元(含税)</t>
  </si>
  <si>
    <t>83.33亿</t>
  </si>
  <si>
    <t>-9338.79万</t>
  </si>
  <si>
    <t>-46106398亿</t>
  </si>
  <si>
    <t>523902120亿</t>
  </si>
  <si>
    <t>3224944000亿</t>
  </si>
  <si>
    <t>35.67亿</t>
  </si>
  <si>
    <t>-9126.00万</t>
  </si>
  <si>
    <t>164262亿</t>
  </si>
  <si>
    <t>-30396746亿</t>
  </si>
  <si>
    <t>215980950亿</t>
  </si>
  <si>
    <t>1026477500亿</t>
  </si>
  <si>
    <t>11.49亿</t>
  </si>
  <si>
    <t>876535亿</t>
  </si>
  <si>
    <t>-4125150亿</t>
  </si>
  <si>
    <t>297799780亿</t>
  </si>
  <si>
    <t>748913090亿</t>
  </si>
  <si>
    <t>-2194.85万</t>
  </si>
  <si>
    <t>5482287亿</t>
  </si>
  <si>
    <t>24728452亿</t>
  </si>
  <si>
    <t>118716088亿</t>
  </si>
  <si>
    <t>2939356200亿</t>
  </si>
  <si>
    <t>5934.42万</t>
  </si>
  <si>
    <t>9240.66万</t>
  </si>
  <si>
    <t>1539.38万</t>
  </si>
  <si>
    <t>4.47亿</t>
  </si>
  <si>
    <t>14391462亿</t>
  </si>
  <si>
    <t>1610735亿</t>
  </si>
  <si>
    <t>65078981亿</t>
  </si>
  <si>
    <t>2489058400亿</t>
  </si>
  <si>
    <t>24.50亿</t>
  </si>
  <si>
    <t>35.36亿</t>
  </si>
  <si>
    <t>-463621亿</t>
  </si>
  <si>
    <t>154990100亿</t>
  </si>
  <si>
    <t>1188546020亿</t>
  </si>
  <si>
    <t>5896510600亿</t>
  </si>
  <si>
    <t>20.40亿</t>
  </si>
  <si>
    <t>12510549亿</t>
  </si>
  <si>
    <t>6429931亿</t>
  </si>
  <si>
    <t>47225447亿</t>
  </si>
  <si>
    <t>1393849100亿</t>
  </si>
  <si>
    <t>10转4.5股派8元(含税)</t>
  </si>
  <si>
    <t>55.85亿</t>
  </si>
  <si>
    <t>99.01亿</t>
  </si>
  <si>
    <t>-73691406亿</t>
  </si>
  <si>
    <t>57721304亿</t>
  </si>
  <si>
    <t>1135837250亿</t>
  </si>
  <si>
    <t>13384050900亿</t>
  </si>
  <si>
    <t>10派1.118元(含税)</t>
  </si>
  <si>
    <t>498386亿</t>
  </si>
  <si>
    <t>37393253亿</t>
  </si>
  <si>
    <t>197630470亿</t>
  </si>
  <si>
    <t>773807170亿</t>
  </si>
  <si>
    <t>10派2.35元(含税)</t>
  </si>
  <si>
    <t>1481196亿</t>
  </si>
  <si>
    <t>22307774亿</t>
  </si>
  <si>
    <t>201826640亿</t>
  </si>
  <si>
    <t>639261680亿</t>
  </si>
  <si>
    <t>2142307亿</t>
  </si>
  <si>
    <t>54027306亿</t>
  </si>
  <si>
    <t>15.79亿</t>
  </si>
  <si>
    <t>1000226500亿</t>
  </si>
  <si>
    <t>3908238500亿</t>
  </si>
  <si>
    <t>10转4.8股派5元(含税)</t>
  </si>
  <si>
    <t>8051.22万</t>
  </si>
  <si>
    <t>2760694亿</t>
  </si>
  <si>
    <t>-38161946亿</t>
  </si>
  <si>
    <t>117296414亿</t>
  </si>
  <si>
    <t>1305262650亿</t>
  </si>
  <si>
    <t>5458.61万</t>
  </si>
  <si>
    <t>5242.83万</t>
  </si>
  <si>
    <t>1932511亿</t>
  </si>
  <si>
    <t>14681584亿</t>
  </si>
  <si>
    <t>82569206亿</t>
  </si>
  <si>
    <t>1052854490亿</t>
  </si>
  <si>
    <t>2782496亿</t>
  </si>
  <si>
    <t>37332357亿</t>
  </si>
  <si>
    <t>216583430亿</t>
  </si>
  <si>
    <t>3369445300亿</t>
  </si>
  <si>
    <t>7364.90万</t>
  </si>
  <si>
    <t>9467.49万</t>
  </si>
  <si>
    <t>3015.35万</t>
  </si>
  <si>
    <t>1143921亿</t>
  </si>
  <si>
    <t>-18554611亿</t>
  </si>
  <si>
    <t>147062750亿</t>
  </si>
  <si>
    <t>2058184400亿</t>
  </si>
  <si>
    <t>-5.35亿</t>
  </si>
  <si>
    <t>5259.38万</t>
  </si>
  <si>
    <t>10转4股派1元(含税)</t>
  </si>
  <si>
    <t>157.22亿</t>
  </si>
  <si>
    <t>53.24亿</t>
  </si>
  <si>
    <t>-19.58亿</t>
  </si>
  <si>
    <t>2982321亿</t>
  </si>
  <si>
    <t>-298588080亿</t>
  </si>
  <si>
    <t>703553320亿</t>
  </si>
  <si>
    <t>10179907000亿</t>
  </si>
  <si>
    <t>11.55亿</t>
  </si>
  <si>
    <t>8110.78万</t>
  </si>
  <si>
    <t>7101.75万</t>
  </si>
  <si>
    <t>2269246亿</t>
  </si>
  <si>
    <t>7750243亿</t>
  </si>
  <si>
    <t>113297825亿</t>
  </si>
  <si>
    <t>1801728700亿</t>
  </si>
  <si>
    <t>100031032亿</t>
  </si>
  <si>
    <t>142069060亿</t>
  </si>
  <si>
    <t>4051648400亿</t>
  </si>
  <si>
    <t>5707.05万</t>
  </si>
  <si>
    <t>2463587亿</t>
  </si>
  <si>
    <t>23200688亿</t>
  </si>
  <si>
    <t>26937532亿</t>
  </si>
  <si>
    <t>1369756700亿</t>
  </si>
  <si>
    <t>6006.32万</t>
  </si>
  <si>
    <t>1947.98万</t>
  </si>
  <si>
    <t>-286512亿</t>
  </si>
  <si>
    <t>9570094亿</t>
  </si>
  <si>
    <t>115301529亿</t>
  </si>
  <si>
    <t>1624390400亿</t>
  </si>
  <si>
    <t>5947.80万</t>
  </si>
  <si>
    <t>115765亿</t>
  </si>
  <si>
    <t>16019935亿</t>
  </si>
  <si>
    <t>143126300亿</t>
  </si>
  <si>
    <t>2369992400亿</t>
  </si>
  <si>
    <t>5.52亿</t>
  </si>
  <si>
    <t>-4.09亿</t>
  </si>
  <si>
    <t>2664092亿</t>
  </si>
  <si>
    <t>-93065463亿</t>
  </si>
  <si>
    <t>16980245亿</t>
  </si>
  <si>
    <t>1474535600亿</t>
  </si>
  <si>
    <t>7253.15万</t>
  </si>
  <si>
    <t>5476271亿</t>
  </si>
  <si>
    <t>-62649265亿</t>
  </si>
  <si>
    <t>51012237亿</t>
  </si>
  <si>
    <t>1780079800亿</t>
  </si>
  <si>
    <t>28.30万</t>
  </si>
  <si>
    <t>23.38亿</t>
  </si>
  <si>
    <t>-2098540亿</t>
  </si>
  <si>
    <t>-216223020亿</t>
  </si>
  <si>
    <t>890569830亿</t>
  </si>
  <si>
    <t>2492660400亿</t>
  </si>
  <si>
    <t>44.11亿</t>
  </si>
  <si>
    <t>35.91亿</t>
  </si>
  <si>
    <t>-237353亿</t>
  </si>
  <si>
    <t>164962000亿</t>
  </si>
  <si>
    <t>650253300亿</t>
  </si>
  <si>
    <t>5033907300亿</t>
  </si>
  <si>
    <t>-4.54亿</t>
  </si>
  <si>
    <t>7240.26万</t>
  </si>
  <si>
    <t>3163.86万</t>
  </si>
  <si>
    <t>4922446亿</t>
  </si>
  <si>
    <t>12856354亿</t>
  </si>
  <si>
    <t>115523942亿</t>
  </si>
  <si>
    <t>295216540亿</t>
  </si>
  <si>
    <t>-3471.31万</t>
  </si>
  <si>
    <t>6210070亿</t>
  </si>
  <si>
    <t>-73746361亿</t>
  </si>
  <si>
    <t>137621820亿</t>
  </si>
  <si>
    <t>4952052700亿</t>
  </si>
  <si>
    <t>6109.53万</t>
  </si>
  <si>
    <t>2243.46万</t>
  </si>
  <si>
    <t>694833亿</t>
  </si>
  <si>
    <t>-4572600亿</t>
  </si>
  <si>
    <t>237123670亿</t>
  </si>
  <si>
    <t>2019198200亿</t>
  </si>
  <si>
    <t>10派1.28元(含税)</t>
  </si>
  <si>
    <t>15501500亿</t>
  </si>
  <si>
    <t>233289030亿</t>
  </si>
  <si>
    <t>2324451100亿</t>
  </si>
  <si>
    <t>13.29亿</t>
  </si>
  <si>
    <t>11.14亿</t>
  </si>
  <si>
    <t>5677.00万</t>
  </si>
  <si>
    <t>790176亿</t>
  </si>
  <si>
    <t>21261355亿</t>
  </si>
  <si>
    <t>151174160亿</t>
  </si>
  <si>
    <t>1287183400亿</t>
  </si>
  <si>
    <t>7513.56万</t>
  </si>
  <si>
    <t>10转2股派3.5元(含税)</t>
  </si>
  <si>
    <t>8851.89万</t>
  </si>
  <si>
    <t>4977.18万</t>
  </si>
  <si>
    <t>-4935525亿</t>
  </si>
  <si>
    <t>19.55亿</t>
  </si>
  <si>
    <t>135016130亿</t>
  </si>
  <si>
    <t>2270280800亿</t>
  </si>
  <si>
    <t>4976.88万</t>
  </si>
  <si>
    <t>10派0.73元(含税)</t>
  </si>
  <si>
    <t>2753.91万</t>
  </si>
  <si>
    <t>21152亿</t>
  </si>
  <si>
    <t>1052066亿</t>
  </si>
  <si>
    <t>125195486亿</t>
  </si>
  <si>
    <t>1346693700亿</t>
  </si>
  <si>
    <t>3727.72万</t>
  </si>
  <si>
    <t>9.65亿</t>
  </si>
  <si>
    <t>10派0.39元(含税)</t>
  </si>
  <si>
    <t>-38330992亿</t>
  </si>
  <si>
    <t>163665210亿</t>
  </si>
  <si>
    <t>941160760亿</t>
  </si>
  <si>
    <t>3802.85万</t>
  </si>
  <si>
    <t>282.19万</t>
  </si>
  <si>
    <t>200729亿</t>
  </si>
  <si>
    <t>50568608亿</t>
  </si>
  <si>
    <t>160225530亿</t>
  </si>
  <si>
    <t>1379253300亿</t>
  </si>
  <si>
    <t>681.80万</t>
  </si>
  <si>
    <t>21.76亿</t>
  </si>
  <si>
    <t>10598749亿</t>
  </si>
  <si>
    <t>9126178亿</t>
  </si>
  <si>
    <t>456042810亿</t>
  </si>
  <si>
    <t>5873869600亿</t>
  </si>
  <si>
    <t>5.73亿</t>
  </si>
  <si>
    <t>2684.34万</t>
  </si>
  <si>
    <t>-7218436亿</t>
  </si>
  <si>
    <t>199195550亿</t>
  </si>
  <si>
    <t>713461990亿</t>
  </si>
  <si>
    <t>2003535亿</t>
  </si>
  <si>
    <t>19837590亿</t>
  </si>
  <si>
    <t>265437780亿</t>
  </si>
  <si>
    <t>2927211700亿</t>
  </si>
  <si>
    <t>9111.89万</t>
  </si>
  <si>
    <t>5880.41万</t>
  </si>
  <si>
    <t>633.11万</t>
  </si>
  <si>
    <t>-2933.98万</t>
  </si>
  <si>
    <t>9212.27万</t>
  </si>
  <si>
    <t>8226.75万</t>
  </si>
  <si>
    <t>992.14万</t>
  </si>
  <si>
    <t>827461亿</t>
  </si>
  <si>
    <t>-27455715亿</t>
  </si>
  <si>
    <t>220267910亿</t>
  </si>
  <si>
    <t>1478622100亿</t>
  </si>
  <si>
    <t>20.43万</t>
  </si>
  <si>
    <t>9667.76万</t>
  </si>
  <si>
    <t>-2093.91万</t>
  </si>
  <si>
    <t>428560亿</t>
  </si>
  <si>
    <t>-6161500亿</t>
  </si>
  <si>
    <t>102683574亿</t>
  </si>
  <si>
    <t>979383430亿</t>
  </si>
  <si>
    <t>146.61万</t>
  </si>
  <si>
    <t>10转3股派0.8元(含税)</t>
  </si>
  <si>
    <t>6405.23万</t>
  </si>
  <si>
    <t>1258778亿</t>
  </si>
  <si>
    <t>11227187亿</t>
  </si>
  <si>
    <t>237887220亿</t>
  </si>
  <si>
    <t>1514045600亿</t>
  </si>
  <si>
    <t>3553017亿</t>
  </si>
  <si>
    <t>51350958亿</t>
  </si>
  <si>
    <t>72461220亿</t>
  </si>
  <si>
    <t>1050445030亿</t>
  </si>
  <si>
    <t>4399.67万</t>
  </si>
  <si>
    <t>2231.30万</t>
  </si>
  <si>
    <t>1779.50万</t>
  </si>
  <si>
    <t>2033685亿</t>
  </si>
  <si>
    <t>-17925194亿</t>
  </si>
  <si>
    <t>93653542亿</t>
  </si>
  <si>
    <t>931504160亿</t>
  </si>
  <si>
    <t>59.70万</t>
  </si>
  <si>
    <t>6112.33万</t>
  </si>
  <si>
    <t>-8656.25万</t>
  </si>
  <si>
    <t>3014651亿</t>
  </si>
  <si>
    <t>-3973117亿</t>
  </si>
  <si>
    <t>92317922亿</t>
  </si>
  <si>
    <t>1115052890亿</t>
  </si>
  <si>
    <t>-1953.08万</t>
  </si>
  <si>
    <t>853521亿</t>
  </si>
  <si>
    <t>-21986563亿</t>
  </si>
  <si>
    <t>39620608亿</t>
  </si>
  <si>
    <t>2832395700亿</t>
  </si>
  <si>
    <t>-945564亿</t>
  </si>
  <si>
    <t>35654882亿</t>
  </si>
  <si>
    <t>992403900亿</t>
  </si>
  <si>
    <t>3178646600亿</t>
  </si>
  <si>
    <t>5.38亿</t>
  </si>
  <si>
    <t>4706.81万</t>
  </si>
  <si>
    <t>-1070.97万</t>
  </si>
  <si>
    <t>420.00万</t>
  </si>
  <si>
    <t>10派1.12元(含税)</t>
  </si>
  <si>
    <t>13.46亿</t>
  </si>
  <si>
    <t>158853亿</t>
  </si>
  <si>
    <t>9.56万</t>
  </si>
  <si>
    <t>-5045878亿</t>
  </si>
  <si>
    <t>297465150亿</t>
  </si>
  <si>
    <t>1196194030亿</t>
  </si>
  <si>
    <t>-1.48亿</t>
  </si>
  <si>
    <t>10转4股派0.9元(含税)</t>
  </si>
  <si>
    <t>10.16亿</t>
  </si>
  <si>
    <t>8185.97万</t>
  </si>
  <si>
    <t>3265.73万</t>
  </si>
  <si>
    <t>416473亿</t>
  </si>
  <si>
    <t>3599134亿</t>
  </si>
  <si>
    <t>145042310亿</t>
  </si>
  <si>
    <t>723254310亿</t>
  </si>
  <si>
    <t>1302.50万</t>
  </si>
  <si>
    <t>3603.90万</t>
  </si>
  <si>
    <t>2328.47万</t>
  </si>
  <si>
    <t>3499.04万</t>
  </si>
  <si>
    <t>2334.77万</t>
  </si>
  <si>
    <t>1709.40万</t>
  </si>
  <si>
    <t>123.23亿</t>
  </si>
  <si>
    <t>46.97亿</t>
  </si>
  <si>
    <t>4824.50万</t>
  </si>
  <si>
    <t>1671122亿</t>
  </si>
  <si>
    <t>11973918亿</t>
  </si>
  <si>
    <t>364608530亿</t>
  </si>
  <si>
    <t>10428332000亿</t>
  </si>
  <si>
    <t>10派0.06元(含税)</t>
  </si>
  <si>
    <t>-4827.43万</t>
  </si>
  <si>
    <t>11.05亿</t>
  </si>
  <si>
    <t>61651644亿</t>
  </si>
  <si>
    <t>354314930亿</t>
  </si>
  <si>
    <t>2080470500亿</t>
  </si>
  <si>
    <t>13.14亿</t>
  </si>
  <si>
    <t>5100.89万</t>
  </si>
  <si>
    <t>5660918亿</t>
  </si>
  <si>
    <t>66.52万</t>
  </si>
  <si>
    <t>23821387亿</t>
  </si>
  <si>
    <t>73265998亿</t>
  </si>
  <si>
    <t>3493675000亿</t>
  </si>
  <si>
    <t>1199.93亿</t>
  </si>
  <si>
    <t>452.50亿</t>
  </si>
  <si>
    <r>
      <t>0.合肥市国资委实控人；1.在本土DDIC（显示驱动IC）20％的全球市占率中，晶合集成贡献了超八成产能，2023年</t>
    </r>
    <r>
      <rPr>
        <sz val="9"/>
        <color rgb="FFFF0000"/>
        <rFont val="宋体"/>
        <family val="3"/>
        <charset val="134"/>
        <scheme val="minor"/>
      </rPr>
      <t>非DDIC业务有望占比接近20%</t>
    </r>
    <r>
      <rPr>
        <sz val="9"/>
        <color theme="1"/>
        <rFont val="宋体"/>
        <family val="3"/>
        <charset val="134"/>
        <scheme val="minor"/>
      </rPr>
      <t>，凭借在多元化平台的布局和持续的研发投入打开未来成长空间； 2.其DDIC占主营业务 收入的比例87.84%；CIS、PMIC、MCU占主营业务收入的比例分别为4.08%、5.77%、1.35%。</t>
    </r>
    <phoneticPr fontId="1" type="noConversion"/>
  </si>
  <si>
    <r>
      <t>0.公司始终专注于12英寸晶圆代工服务，主要为客户提供</t>
    </r>
    <r>
      <rPr>
        <sz val="9"/>
        <color rgb="FFFF0000"/>
        <rFont val="宋体"/>
        <family val="3"/>
        <charset val="134"/>
        <scheme val="minor"/>
      </rPr>
      <t>150nm-90nm晶圆代工业务，代工产品主要为面板显示驱动芯片</t>
    </r>
    <r>
      <rPr>
        <sz val="9"/>
        <color theme="1"/>
        <rFont val="宋体"/>
        <family val="3"/>
        <charset val="134"/>
        <scheme val="minor"/>
      </rPr>
      <t>；1.晶合集成是中国大陆收入第三大的晶圆代工企业，仅次于中芯国际和华虹半导体。</t>
    </r>
    <phoneticPr fontId="1" type="noConversion"/>
  </si>
  <si>
    <t>9.00亿</t>
  </si>
  <si>
    <t>2-1</t>
  </si>
  <si>
    <t>-6-1</t>
  </si>
  <si>
    <t>1-1</t>
  </si>
  <si>
    <t>5-1</t>
  </si>
  <si>
    <t>ST华微</t>
  </si>
  <si>
    <t>10派0.116元(含税)</t>
  </si>
  <si>
    <t>12.00万</t>
  </si>
  <si>
    <t>1352.40万</t>
  </si>
  <si>
    <t>SH688530</t>
  </si>
  <si>
    <t>欧莱新材</t>
  </si>
  <si>
    <t>5.21亿</t>
  </si>
  <si>
    <t>1060.13万</t>
  </si>
  <si>
    <t>9993.22万</t>
  </si>
  <si>
    <t>8639.52万</t>
  </si>
  <si>
    <t>398.81万</t>
  </si>
  <si>
    <t>415.57万</t>
  </si>
  <si>
    <t>8110500亿</t>
  </si>
  <si>
    <t>101674576亿</t>
  </si>
  <si>
    <t>496956440亿</t>
  </si>
  <si>
    <t>3046.97万</t>
  </si>
  <si>
    <t>3532.31万</t>
  </si>
  <si>
    <t>银河微电</t>
  </si>
  <si>
    <r>
      <t xml:space="preserve">
0.目前已经成功发展成为以电子材料为核心，以LNG 保温绝热板材为补充，以阻 燃剂业务为辅助的战略新兴材料平台型公司。0-1.光刻胶的核心技术难点在于树脂材料。光刻胶由感光树脂、增感剂、溶剂与助剂 构成。其中感光树脂是光刻胶最关键的成分，其是一种高分子聚合物，作为光刻 胶的“骨架”，将光刻胶中不同材料聚合起来。树脂的结构设计涉及单体的种类 和比例，会直接决定光刻胶在特定波长下可以达到的线宽、碱溶解速率的特性， 从而决定曝光能量、能量窗口、线宽边缘粗糙度等。此外树脂的分子量、分散度 等会影响光刻胶的胶膜厚度、耐刻蚀性、附着力等。即树脂的质量决定了光刻“成 画”的水平，而树脂质量的稳定性决定了每一幅画的水平是否稳定。0-2.半导体</t>
    </r>
    <r>
      <rPr>
        <sz val="9"/>
        <color rgb="FFFF0000"/>
        <rFont val="宋体"/>
        <family val="3"/>
        <charset val="134"/>
        <scheme val="minor"/>
      </rPr>
      <t>前驱体</t>
    </r>
    <r>
      <rPr>
        <sz val="9"/>
        <color theme="1"/>
        <rFont val="宋体"/>
        <family val="3"/>
        <charset val="134"/>
        <scheme val="minor"/>
      </rPr>
      <t>主要用于集成电路存储芯片和逻辑芯片的</t>
    </r>
    <r>
      <rPr>
        <sz val="9"/>
        <color rgb="FFFF0000"/>
        <rFont val="宋体"/>
        <family val="3"/>
        <charset val="134"/>
        <scheme val="minor"/>
      </rPr>
      <t>薄膜沉积环节</t>
    </r>
    <r>
      <rPr>
        <sz val="9"/>
        <color theme="1"/>
        <rFont val="宋体"/>
        <family val="3"/>
        <charset val="134"/>
        <scheme val="minor"/>
      </rPr>
      <t>；</t>
    </r>
    <phoneticPr fontId="1" type="noConversion"/>
  </si>
  <si>
    <r>
      <t>1.问：国内前驱体市场在上亿美元，随着公司项目逐步完成投产，到2025年公司能否成为国内最大供应商？答：预计明年国内项目将建设完成，届时开始投产，公司就可以开始向中国客户提供产品。目前国内项目的high-k材料最主要的客户就长鑫和无锡海力士，随着制程更加先进，前驱体的用量会变得更多。2.问：公司未来对于半导体材料项目有什么规划？答：目前半导体材料项目对公司来说是非常重要的事情。</t>
    </r>
    <r>
      <rPr>
        <sz val="9"/>
        <color rgb="FFFF0000"/>
        <rFont val="宋体"/>
        <family val="3"/>
        <charset val="134"/>
        <scheme val="minor"/>
      </rPr>
      <t>预计今年年底光刻胶产品将全面满产</t>
    </r>
    <r>
      <rPr>
        <sz val="9"/>
        <color theme="1"/>
        <rFont val="宋体"/>
        <family val="3"/>
        <charset val="134"/>
        <scheme val="minor"/>
      </rPr>
      <t>。前驱体产品中有一个产品由于韩国场地限制已经满产，目前已在国内进行产能扩建。由于客户和相关需求的增多，上游材料的合成能力达到瓶颈，因此公司半导体材料项目工厂建设完成投产后能快速满足相关需求。后续，公司也会注重培养技术人才，加强国内外研发团队的沟通交流。3.</t>
    </r>
    <r>
      <rPr>
        <sz val="9"/>
        <color rgb="FFFF0000"/>
        <rFont val="宋体"/>
        <family val="3"/>
        <charset val="134"/>
        <scheme val="minor"/>
      </rPr>
      <t>半导体光刻胶</t>
    </r>
    <r>
      <rPr>
        <sz val="9"/>
        <color theme="1"/>
        <rFont val="宋体"/>
        <family val="3"/>
        <charset val="134"/>
        <scheme val="minor"/>
      </rPr>
      <t>将按试制和建设项目进度安排量产计划，请关注后续信息披露。</t>
    </r>
    <phoneticPr fontId="1" type="noConversion"/>
  </si>
  <si>
    <t>5.97亿</t>
  </si>
  <si>
    <t>汇顶科技</t>
  </si>
  <si>
    <t>立昂微</t>
  </si>
  <si>
    <t>中微公司</t>
  </si>
  <si>
    <t>146.52万</t>
  </si>
  <si>
    <t>华海诚科</t>
  </si>
  <si>
    <t>1133.14万</t>
  </si>
  <si>
    <t>半导体</t>
  </si>
  <si>
    <t>119.54亿</t>
  </si>
  <si>
    <t>4403.64万</t>
  </si>
  <si>
    <t>8063.88万</t>
  </si>
  <si>
    <t>7.24万</t>
  </si>
  <si>
    <t>24.09亿</t>
  </si>
  <si>
    <t>4172.78万</t>
  </si>
  <si>
    <t>9.12亿</t>
  </si>
  <si>
    <t>475.17万</t>
  </si>
  <si>
    <t>31.59亿</t>
  </si>
  <si>
    <t>-2.72亿</t>
  </si>
  <si>
    <t>-3.90亿</t>
  </si>
  <si>
    <t>-6107.03万</t>
  </si>
  <si>
    <t>37.35亿</t>
  </si>
  <si>
    <t>13.92亿</t>
  </si>
  <si>
    <t>数字芯片设计</t>
  </si>
  <si>
    <t>5971.12万</t>
  </si>
  <si>
    <t>691.36万</t>
  </si>
  <si>
    <t>33.63亿</t>
  </si>
  <si>
    <t>1523.57万</t>
  </si>
  <si>
    <t>8903.86万</t>
  </si>
  <si>
    <t>6491.35万</t>
  </si>
  <si>
    <t>219.68万</t>
  </si>
  <si>
    <t>932.94万</t>
  </si>
  <si>
    <t>7.23万</t>
  </si>
  <si>
    <t>1189.48万</t>
  </si>
  <si>
    <t>464.47万</t>
  </si>
  <si>
    <t>3616.09万</t>
  </si>
  <si>
    <t>-3363.48万</t>
  </si>
  <si>
    <t>1083.72万</t>
  </si>
  <si>
    <t>9782.30万</t>
  </si>
  <si>
    <t>4957.29万</t>
  </si>
  <si>
    <t>015235700</t>
  </si>
  <si>
    <t>045707100</t>
  </si>
  <si>
    <t>091414200</t>
  </si>
  <si>
    <t>0152357000</t>
  </si>
  <si>
    <t>0304714000</t>
  </si>
  <si>
    <t>2392.89万</t>
  </si>
  <si>
    <t>1879.96万</t>
  </si>
  <si>
    <t>298.55万</t>
  </si>
  <si>
    <t>1770.98万</t>
  </si>
  <si>
    <t>1.10万</t>
  </si>
  <si>
    <t>45.27万</t>
  </si>
  <si>
    <t>2906.59万</t>
  </si>
  <si>
    <t>68.30万</t>
  </si>
  <si>
    <t>9.66亿</t>
  </si>
  <si>
    <t>-1199.47万</t>
  </si>
  <si>
    <t>-8695.16万</t>
  </si>
  <si>
    <t>920.48万</t>
  </si>
  <si>
    <t>4616.45万</t>
  </si>
  <si>
    <t>8.95亿</t>
  </si>
  <si>
    <t>018799600</t>
  </si>
  <si>
    <t>056398800</t>
  </si>
  <si>
    <t>0112797600</t>
  </si>
  <si>
    <t>0187996000</t>
  </si>
  <si>
    <t>0375992000</t>
  </si>
  <si>
    <t>8607.18万</t>
  </si>
  <si>
    <t>148.21亿</t>
  </si>
  <si>
    <t>9849.24万</t>
  </si>
  <si>
    <t>51.99亿</t>
  </si>
  <si>
    <t>46.41亿</t>
  </si>
  <si>
    <t>1773.66万</t>
  </si>
  <si>
    <t>9.66万</t>
  </si>
  <si>
    <t>6040.41万</t>
  </si>
  <si>
    <t>40.01亿</t>
  </si>
  <si>
    <t>37.37亿</t>
  </si>
  <si>
    <t>17.35万</t>
  </si>
  <si>
    <t>121.51亿</t>
  </si>
  <si>
    <t>68.90亿</t>
  </si>
  <si>
    <t>-9.44亿</t>
  </si>
  <si>
    <t>99.08亿</t>
  </si>
  <si>
    <t>-1.88亿</t>
  </si>
  <si>
    <t>3000.49万</t>
  </si>
  <si>
    <t>191.18亿</t>
  </si>
  <si>
    <t>5703.40万</t>
  </si>
  <si>
    <t>32.72亿</t>
  </si>
  <si>
    <t>3421.39万</t>
  </si>
  <si>
    <t>160.12万</t>
  </si>
  <si>
    <t>66.54亿</t>
  </si>
  <si>
    <t>30.72亿</t>
  </si>
  <si>
    <t>31.16亿</t>
  </si>
  <si>
    <t>28.45亿</t>
  </si>
  <si>
    <t>2929.71万</t>
  </si>
  <si>
    <t>110.54亿</t>
  </si>
  <si>
    <t>47.67亿</t>
  </si>
  <si>
    <t>-16.38亿</t>
  </si>
  <si>
    <t>22.21亿</t>
  </si>
  <si>
    <t>50.89亿</t>
  </si>
  <si>
    <t>6287.86万</t>
  </si>
  <si>
    <t>057034000</t>
  </si>
  <si>
    <t>0171102000</t>
  </si>
  <si>
    <t>0342204000</t>
  </si>
  <si>
    <t>0570340000</t>
  </si>
  <si>
    <t>01140680000</t>
  </si>
  <si>
    <t>323.82万</t>
  </si>
  <si>
    <t>260.39亿</t>
  </si>
  <si>
    <t>47.64亿</t>
  </si>
  <si>
    <t>33.16亿</t>
  </si>
  <si>
    <t>258.48万</t>
  </si>
  <si>
    <t>126.04亿</t>
  </si>
  <si>
    <t>21.63亿</t>
  </si>
  <si>
    <t>400.00万</t>
  </si>
  <si>
    <t>70.13亿</t>
  </si>
  <si>
    <t>5218.22万</t>
  </si>
  <si>
    <t>204.71亿</t>
  </si>
  <si>
    <t>58.31亿</t>
  </si>
  <si>
    <t>-2.67亿</t>
  </si>
  <si>
    <t>-8365.53万</t>
  </si>
  <si>
    <t>84.27亿</t>
  </si>
  <si>
    <t>17.99亿</t>
  </si>
  <si>
    <t>1586.20万</t>
  </si>
  <si>
    <t>88.18亿</t>
  </si>
  <si>
    <t>5037.15万</t>
  </si>
  <si>
    <t>9330.65万</t>
  </si>
  <si>
    <t>70.62万</t>
  </si>
  <si>
    <t>1480.42万</t>
  </si>
  <si>
    <t>20.18亿</t>
  </si>
  <si>
    <t>9477.18万</t>
  </si>
  <si>
    <t>753.33万</t>
  </si>
  <si>
    <t>39.01亿</t>
  </si>
  <si>
    <t>-2.26亿</t>
  </si>
  <si>
    <t>-4.70亿</t>
  </si>
  <si>
    <t>23.23亿</t>
  </si>
  <si>
    <t>4419.98万</t>
  </si>
  <si>
    <t>462.27万</t>
  </si>
  <si>
    <t>8.27亿</t>
  </si>
  <si>
    <t>122.74万</t>
  </si>
  <si>
    <t>9090.19万</t>
  </si>
  <si>
    <t>7099.59万</t>
  </si>
  <si>
    <t>119.88万</t>
  </si>
  <si>
    <t>946.75万</t>
  </si>
  <si>
    <t>997.84万</t>
  </si>
  <si>
    <t>5254.87万</t>
  </si>
  <si>
    <t>5081.00万</t>
  </si>
  <si>
    <t>2289.38万</t>
  </si>
  <si>
    <t>1212.93万</t>
  </si>
  <si>
    <t>-1133.05万</t>
  </si>
  <si>
    <t>-1816.04万</t>
  </si>
  <si>
    <t>-1230.61万</t>
  </si>
  <si>
    <t>2628.07万</t>
  </si>
  <si>
    <t>01227400</t>
  </si>
  <si>
    <t>03682200</t>
  </si>
  <si>
    <t>07364400</t>
  </si>
  <si>
    <t>012274000</t>
  </si>
  <si>
    <t>024548000</t>
  </si>
  <si>
    <t>83.07万</t>
  </si>
  <si>
    <t>11.63亿</t>
  </si>
  <si>
    <t>2363.42万</t>
  </si>
  <si>
    <t>8719.48万</t>
  </si>
  <si>
    <t>7541.79万</t>
  </si>
  <si>
    <t>236.45万</t>
  </si>
  <si>
    <t>719.56万</t>
  </si>
  <si>
    <t>1285.02万</t>
  </si>
  <si>
    <t>1121.25万</t>
  </si>
  <si>
    <t>5178.19万</t>
  </si>
  <si>
    <t>8821.60万</t>
  </si>
  <si>
    <t>-681.97万</t>
  </si>
  <si>
    <t>2794.89万</t>
  </si>
  <si>
    <t>-161.82万</t>
  </si>
  <si>
    <t>5044.24万</t>
  </si>
  <si>
    <t>504.42万</t>
  </si>
  <si>
    <t>6753.12万</t>
  </si>
  <si>
    <t>023634200</t>
  </si>
  <si>
    <t>070902600</t>
  </si>
  <si>
    <t>0141805200</t>
  </si>
  <si>
    <t>0236342000</t>
  </si>
  <si>
    <t>0472684000</t>
  </si>
  <si>
    <t>1683.41万</t>
  </si>
  <si>
    <t>10.89亿</t>
  </si>
  <si>
    <t>-1924.95万</t>
  </si>
  <si>
    <t>6248.41万</t>
  </si>
  <si>
    <t>5459.90万</t>
  </si>
  <si>
    <t>172.62万</t>
  </si>
  <si>
    <t>613.93万</t>
  </si>
  <si>
    <t>605.73万</t>
  </si>
  <si>
    <t>6193.72万</t>
  </si>
  <si>
    <t>8415.73万</t>
  </si>
  <si>
    <t>1166.73万</t>
  </si>
  <si>
    <t>3224.53万</t>
  </si>
  <si>
    <t>-920.32万</t>
  </si>
  <si>
    <t>2336.48万</t>
  </si>
  <si>
    <t>12.02亿</t>
  </si>
  <si>
    <t>861.12万</t>
  </si>
  <si>
    <t>716.82万</t>
  </si>
  <si>
    <t>7910.48万</t>
  </si>
  <si>
    <t>4156.74万</t>
  </si>
  <si>
    <t>219.56万</t>
  </si>
  <si>
    <t>1587.54万</t>
  </si>
  <si>
    <t>1.70万</t>
  </si>
  <si>
    <t>4381.14万</t>
  </si>
  <si>
    <t>5.99亿</t>
  </si>
  <si>
    <t>2120.00万</t>
  </si>
  <si>
    <t>-783.33万</t>
  </si>
  <si>
    <t>-7051.46万</t>
  </si>
  <si>
    <t>462.12万</t>
  </si>
  <si>
    <t>5131.29万</t>
  </si>
  <si>
    <t>4812.74万</t>
  </si>
  <si>
    <t>07168200</t>
  </si>
  <si>
    <t>021504600</t>
  </si>
  <si>
    <t>043009200</t>
  </si>
  <si>
    <t>071682000</t>
  </si>
  <si>
    <t>0143364000</t>
  </si>
  <si>
    <t>630.74万</t>
  </si>
  <si>
    <t>-7480.68万</t>
  </si>
  <si>
    <t>962.40万</t>
  </si>
  <si>
    <t>2397.96万</t>
  </si>
  <si>
    <t>30.82万</t>
  </si>
  <si>
    <t>68.66万</t>
  </si>
  <si>
    <t>6.06亿</t>
  </si>
  <si>
    <t>2317.59万</t>
  </si>
  <si>
    <t>8.40亿</t>
  </si>
  <si>
    <t>-6318.85万</t>
  </si>
  <si>
    <t>-4288.66万</t>
  </si>
  <si>
    <t>1056.03万</t>
  </si>
  <si>
    <t>-2.28亿</t>
  </si>
  <si>
    <t>3806.60万</t>
  </si>
  <si>
    <t>323.72万</t>
  </si>
  <si>
    <t>118.47亿</t>
  </si>
  <si>
    <t>8725.99万</t>
  </si>
  <si>
    <t>7767.13万</t>
  </si>
  <si>
    <t>4308.36万</t>
  </si>
  <si>
    <t>46.35万</t>
  </si>
  <si>
    <t>35.64亿</t>
  </si>
  <si>
    <t>36.91万</t>
  </si>
  <si>
    <t>272.32万</t>
  </si>
  <si>
    <t>-6074.57万</t>
  </si>
  <si>
    <t>-2.93亿</t>
  </si>
  <si>
    <t>-316.33万</t>
  </si>
  <si>
    <t>1992.41万</t>
  </si>
  <si>
    <t>505.68万</t>
  </si>
  <si>
    <t>18.00亿</t>
  </si>
  <si>
    <t>3116.57万</t>
  </si>
  <si>
    <t>418.50万</t>
  </si>
  <si>
    <t>1193.70万</t>
  </si>
  <si>
    <t>5.06万</t>
  </si>
  <si>
    <t>2002.30万</t>
  </si>
  <si>
    <t>2896.28万</t>
  </si>
  <si>
    <t>-2338.42万</t>
  </si>
  <si>
    <t>-87.65万</t>
  </si>
  <si>
    <t>8562.15万</t>
  </si>
  <si>
    <t>2843.83万</t>
  </si>
  <si>
    <t>688.29万</t>
  </si>
  <si>
    <t>88.57亿</t>
  </si>
  <si>
    <t>9.61亿</t>
  </si>
  <si>
    <t>6199.11万</t>
  </si>
  <si>
    <t>6532.68万</t>
  </si>
  <si>
    <t>116.50万</t>
  </si>
  <si>
    <t>1366.08万</t>
  </si>
  <si>
    <t>30.67亿</t>
  </si>
  <si>
    <t>-1.51亿</t>
  </si>
  <si>
    <t>26.25亿</t>
  </si>
  <si>
    <t>3516.49万</t>
  </si>
  <si>
    <t>1142.35万</t>
  </si>
  <si>
    <t>55.97亿</t>
  </si>
  <si>
    <t>-1165.98万</t>
  </si>
  <si>
    <t>809.38万</t>
  </si>
  <si>
    <t>2812.95万</t>
  </si>
  <si>
    <t>-3227.95万</t>
  </si>
  <si>
    <t>-2.14亿</t>
  </si>
  <si>
    <t>-2496.76万</t>
  </si>
  <si>
    <t>-2744.08万</t>
  </si>
  <si>
    <t>5589.53万</t>
  </si>
  <si>
    <t>5059.56万</t>
  </si>
  <si>
    <t>30.23亿</t>
  </si>
  <si>
    <t>4908.74万</t>
  </si>
  <si>
    <t>1125.78万</t>
  </si>
  <si>
    <t>1250.88万</t>
  </si>
  <si>
    <t>1.06万</t>
  </si>
  <si>
    <t>17.93亿</t>
  </si>
  <si>
    <t>401.04万</t>
  </si>
  <si>
    <t>2.53万</t>
  </si>
  <si>
    <t>-535.18万</t>
  </si>
  <si>
    <t>-5559.08万</t>
  </si>
  <si>
    <t>8025.15万</t>
  </si>
  <si>
    <t>-1698.75万</t>
  </si>
  <si>
    <t>049087400</t>
  </si>
  <si>
    <t>0147262200</t>
  </si>
  <si>
    <t>0294524400</t>
  </si>
  <si>
    <t>0490874000</t>
  </si>
  <si>
    <t>0981748000</t>
  </si>
  <si>
    <t>1030.39万</t>
  </si>
  <si>
    <t>34.94亿</t>
  </si>
  <si>
    <t>407.52万</t>
  </si>
  <si>
    <t>4223.44万</t>
  </si>
  <si>
    <t>6305.61万</t>
  </si>
  <si>
    <t>3.61万</t>
  </si>
  <si>
    <t>3.69亿</t>
  </si>
  <si>
    <t>-2.40亿</t>
  </si>
  <si>
    <t>-5684.55万</t>
  </si>
  <si>
    <t>2047.87万</t>
  </si>
  <si>
    <t>6194.07万</t>
  </si>
  <si>
    <t>302.93万</t>
  </si>
  <si>
    <t>28.12亿</t>
  </si>
  <si>
    <t>3610.75万</t>
  </si>
  <si>
    <t>511.73万</t>
  </si>
  <si>
    <t>3071.59万</t>
  </si>
  <si>
    <t>1843.23万</t>
  </si>
  <si>
    <t>5330.00万</t>
  </si>
  <si>
    <t>8906.69万</t>
  </si>
  <si>
    <t>3232.63万</t>
  </si>
  <si>
    <t>-5998.57万</t>
  </si>
  <si>
    <t>8.84亿</t>
  </si>
  <si>
    <t>1838.85万</t>
  </si>
  <si>
    <t>1046.91万</t>
  </si>
  <si>
    <t>44.91亿</t>
  </si>
  <si>
    <t>9195.05万</t>
  </si>
  <si>
    <t>1607.93万</t>
  </si>
  <si>
    <t>4653.32万</t>
  </si>
  <si>
    <t>1110.69万</t>
  </si>
  <si>
    <t>13.81亿</t>
  </si>
  <si>
    <t>5960.12万</t>
  </si>
  <si>
    <t>4992.76万</t>
  </si>
  <si>
    <t>-7428.29万</t>
  </si>
  <si>
    <t>9.01亿</t>
  </si>
  <si>
    <t>9606.03万</t>
  </si>
  <si>
    <t>5611.96万</t>
  </si>
  <si>
    <t>321.97万</t>
  </si>
  <si>
    <t>39.33亿</t>
  </si>
  <si>
    <t>5438.34万</t>
  </si>
  <si>
    <t>5680.33万</t>
  </si>
  <si>
    <t>2653.23万</t>
  </si>
  <si>
    <t>4.50万</t>
  </si>
  <si>
    <t>8770.33万</t>
  </si>
  <si>
    <t>-723.89万</t>
  </si>
  <si>
    <t>3034.81万</t>
  </si>
  <si>
    <t>801.77万</t>
  </si>
  <si>
    <t>11.48亿</t>
  </si>
  <si>
    <t>8963.43万</t>
  </si>
  <si>
    <t>模拟芯片设计</t>
  </si>
  <si>
    <t>1897.36万</t>
  </si>
  <si>
    <t>613.21万</t>
  </si>
  <si>
    <t>41.45亿</t>
  </si>
  <si>
    <t>5964.61万</t>
  </si>
  <si>
    <t>2319.26万</t>
  </si>
  <si>
    <t>4596.39万</t>
  </si>
  <si>
    <t>12.39亿</t>
  </si>
  <si>
    <t>-8909.45万</t>
  </si>
  <si>
    <t>-4.01亿</t>
  </si>
  <si>
    <t>2860.71万</t>
  </si>
  <si>
    <t>473.37万</t>
  </si>
  <si>
    <t>17.92亿</t>
  </si>
  <si>
    <t>-2821.06万</t>
  </si>
  <si>
    <t>485.83万</t>
  </si>
  <si>
    <t>915.03万</t>
  </si>
  <si>
    <t>99.12万</t>
  </si>
  <si>
    <t>1976.27万</t>
  </si>
  <si>
    <t>9800.00万</t>
  </si>
  <si>
    <t>-289.73万</t>
  </si>
  <si>
    <t>5994.64万</t>
  </si>
  <si>
    <t>-1769.32万</t>
  </si>
  <si>
    <t>3103.60万</t>
  </si>
  <si>
    <t>542.17万</t>
  </si>
  <si>
    <t>41.24亿</t>
  </si>
  <si>
    <t>4120.42万</t>
  </si>
  <si>
    <t>605.80万</t>
  </si>
  <si>
    <t>2080.46万</t>
  </si>
  <si>
    <t>5006.85万</t>
  </si>
  <si>
    <t>1930.66万</t>
  </si>
  <si>
    <t>33.58亿</t>
  </si>
  <si>
    <t>-3.82亿</t>
  </si>
  <si>
    <t>9054.33万</t>
  </si>
  <si>
    <t>3269.75万</t>
  </si>
  <si>
    <t>186.63万</t>
  </si>
  <si>
    <t>7.75亿</t>
  </si>
  <si>
    <t>-320.48万</t>
  </si>
  <si>
    <t>365.80万</t>
  </si>
  <si>
    <t>956.26万</t>
  </si>
  <si>
    <t>835.86万</t>
  </si>
  <si>
    <t>9030.70万</t>
  </si>
  <si>
    <t>3975.65万</t>
  </si>
  <si>
    <t>9.03亿</t>
  </si>
  <si>
    <t>5113.70万</t>
  </si>
  <si>
    <t>3083.45万</t>
  </si>
  <si>
    <t>-734.15万</t>
  </si>
  <si>
    <t>5087.87万</t>
  </si>
  <si>
    <t>792.09万</t>
  </si>
  <si>
    <t>1297.95万</t>
  </si>
  <si>
    <t>576.09万</t>
  </si>
  <si>
    <t>100.14亿</t>
  </si>
  <si>
    <t>1298.34万</t>
  </si>
  <si>
    <t>4090.09万</t>
  </si>
  <si>
    <t>15.92万</t>
  </si>
  <si>
    <t>5.77亿</t>
  </si>
  <si>
    <t>8.79亿</t>
  </si>
  <si>
    <t>7605.81万</t>
  </si>
  <si>
    <t>-5.12亿</t>
  </si>
  <si>
    <t>16.65亿</t>
  </si>
  <si>
    <t>10派2.237585元(含税)</t>
  </si>
  <si>
    <t>3571.29万</t>
  </si>
  <si>
    <t>329.62万</t>
  </si>
  <si>
    <t>8.72亿</t>
  </si>
  <si>
    <t>733.16万</t>
  </si>
  <si>
    <t>2292.16万</t>
  </si>
  <si>
    <t>1436.56万</t>
  </si>
  <si>
    <t>81.99万</t>
  </si>
  <si>
    <t>585.61万</t>
  </si>
  <si>
    <t>1908.37万</t>
  </si>
  <si>
    <t>423.38万</t>
  </si>
  <si>
    <t>1480.30万</t>
  </si>
  <si>
    <t>1683.80万</t>
  </si>
  <si>
    <t>5273.39万</t>
  </si>
  <si>
    <t>-2785.73万</t>
  </si>
  <si>
    <t>18.78万</t>
  </si>
  <si>
    <t>-23.43万</t>
  </si>
  <si>
    <t>5341.72万</t>
  </si>
  <si>
    <t>744.64万</t>
  </si>
  <si>
    <t>2023.45万</t>
  </si>
  <si>
    <t>07331600</t>
  </si>
  <si>
    <t>021994800</t>
  </si>
  <si>
    <t>043989600</t>
  </si>
  <si>
    <t>073316000</t>
  </si>
  <si>
    <t>0146632000</t>
  </si>
  <si>
    <t>627.20万</t>
  </si>
  <si>
    <t>14.51亿</t>
  </si>
  <si>
    <t>2429.78万</t>
  </si>
  <si>
    <t>9840.73万</t>
  </si>
  <si>
    <t>987.80万</t>
  </si>
  <si>
    <t>1552.82万</t>
  </si>
  <si>
    <t>13.22万</t>
  </si>
  <si>
    <t>9132.83万</t>
  </si>
  <si>
    <t>4738.99万</t>
  </si>
  <si>
    <t>-42.50万</t>
  </si>
  <si>
    <t>3903.49万</t>
  </si>
  <si>
    <t>4050.47万</t>
  </si>
  <si>
    <t>544.35万</t>
  </si>
  <si>
    <t>69.10亿</t>
  </si>
  <si>
    <t>39.72亿</t>
  </si>
  <si>
    <t>33.67亿</t>
  </si>
  <si>
    <t>1073.45万</t>
  </si>
  <si>
    <t>36.21亿</t>
  </si>
  <si>
    <t>20.28亿</t>
  </si>
  <si>
    <t>68.46亿</t>
  </si>
  <si>
    <t>21.46亿</t>
  </si>
  <si>
    <t>-7.75亿</t>
  </si>
  <si>
    <t>-2.27亿</t>
  </si>
  <si>
    <t>37.07亿</t>
  </si>
  <si>
    <t>3214.80万</t>
  </si>
  <si>
    <t>278.79万</t>
  </si>
  <si>
    <t>-830.60万</t>
  </si>
  <si>
    <t>170.98万</t>
  </si>
  <si>
    <t>625.46万</t>
  </si>
  <si>
    <t>3.62万</t>
  </si>
  <si>
    <t>8.58亿</t>
  </si>
  <si>
    <t>3063.42万</t>
  </si>
  <si>
    <t>5005.35万</t>
  </si>
  <si>
    <t>1968.17万</t>
  </si>
  <si>
    <t>1001.46万</t>
  </si>
  <si>
    <t>-5456.45万</t>
  </si>
  <si>
    <t>5241.87万</t>
  </si>
  <si>
    <t>4045.00万</t>
  </si>
  <si>
    <t>2028.35万</t>
  </si>
  <si>
    <t>100.77万</t>
  </si>
  <si>
    <t>14.66亿</t>
  </si>
  <si>
    <t>-331.57万</t>
  </si>
  <si>
    <t>6276.64万</t>
  </si>
  <si>
    <t>2274.56万</t>
  </si>
  <si>
    <t>1102.34万</t>
  </si>
  <si>
    <t>793.39万</t>
  </si>
  <si>
    <t>3.87万</t>
  </si>
  <si>
    <t>11.59亿</t>
  </si>
  <si>
    <t>1987.24万</t>
  </si>
  <si>
    <t>4429.84万</t>
  </si>
  <si>
    <t>715.80万</t>
  </si>
  <si>
    <t>1645.42万</t>
  </si>
  <si>
    <t>-1721.34万</t>
  </si>
  <si>
    <t>367.56万</t>
  </si>
  <si>
    <t>565.40万</t>
  </si>
  <si>
    <t>1880.80万</t>
  </si>
  <si>
    <t>748.38万</t>
  </si>
  <si>
    <t>9419.87万</t>
  </si>
  <si>
    <t>8-1</t>
  </si>
  <si>
    <t>315.11万</t>
  </si>
  <si>
    <t>27.76亿</t>
  </si>
  <si>
    <t>5093.37万</t>
  </si>
  <si>
    <t>452.55万</t>
  </si>
  <si>
    <t>2324.13万</t>
  </si>
  <si>
    <t>1.85万</t>
  </si>
  <si>
    <t>10.39亿</t>
  </si>
  <si>
    <t>8974.24万</t>
  </si>
  <si>
    <t>3039.81万</t>
  </si>
  <si>
    <t>1966.99万</t>
  </si>
  <si>
    <t>9-1</t>
  </si>
  <si>
    <t>5168.84万</t>
  </si>
  <si>
    <t>40.99亿</t>
  </si>
  <si>
    <t>3689.91万</t>
  </si>
  <si>
    <t>100.40万</t>
  </si>
  <si>
    <t>766.19万</t>
  </si>
  <si>
    <t>4620.33万</t>
  </si>
  <si>
    <t>611.46万</t>
  </si>
  <si>
    <t>-5956.02万</t>
  </si>
  <si>
    <t>-281.13万</t>
  </si>
  <si>
    <t>8.73亿</t>
  </si>
  <si>
    <t>-6329.97万</t>
  </si>
  <si>
    <t>30.46亿</t>
  </si>
  <si>
    <t>036899100</t>
  </si>
  <si>
    <t>0110697300</t>
  </si>
  <si>
    <t>0221394600</t>
  </si>
  <si>
    <t>0368991000</t>
  </si>
  <si>
    <t>0737982000</t>
  </si>
  <si>
    <t>有研新材</t>
  </si>
  <si>
    <t>483.22万</t>
  </si>
  <si>
    <t>46.02亿</t>
  </si>
  <si>
    <t>45.54万</t>
  </si>
  <si>
    <t>11.72亿</t>
  </si>
  <si>
    <t>7579.67万</t>
  </si>
  <si>
    <t>-5.86亿</t>
  </si>
  <si>
    <t>56.48亿</t>
  </si>
  <si>
    <t>5285.79万</t>
  </si>
  <si>
    <t>3924.53万</t>
  </si>
  <si>
    <t>4227.83万</t>
  </si>
  <si>
    <t>32.83亿</t>
  </si>
  <si>
    <t>1555.30万</t>
  </si>
  <si>
    <t>1200.58万</t>
  </si>
  <si>
    <t>3316.96万</t>
  </si>
  <si>
    <t>11162724亿</t>
  </si>
  <si>
    <t>11.45亿</t>
  </si>
  <si>
    <t>25.19亿</t>
  </si>
  <si>
    <t>-4936.73万</t>
  </si>
  <si>
    <t>-7493.77万</t>
  </si>
  <si>
    <t>1019.72万</t>
  </si>
  <si>
    <t>13.42亿</t>
  </si>
  <si>
    <t>015553000</t>
  </si>
  <si>
    <t>046659000</t>
  </si>
  <si>
    <t>093318000</t>
  </si>
  <si>
    <t>0155530000</t>
  </si>
  <si>
    <t>0311060000</t>
  </si>
  <si>
    <t>2865.42万</t>
  </si>
  <si>
    <t>135.19亿</t>
  </si>
  <si>
    <t>-1527.77万</t>
  </si>
  <si>
    <t>23.42亿</t>
  </si>
  <si>
    <t>19.20亿</t>
  </si>
  <si>
    <t>3164.31万</t>
  </si>
  <si>
    <t>22.93万</t>
  </si>
  <si>
    <t>51.46亿</t>
  </si>
  <si>
    <t>19.79亿</t>
  </si>
  <si>
    <t>51.76亿</t>
  </si>
  <si>
    <t>30.27亿</t>
  </si>
  <si>
    <t>-1.12亿</t>
  </si>
  <si>
    <t>-2.87亿</t>
  </si>
  <si>
    <t>-5.91亿</t>
  </si>
  <si>
    <t>-4121.89万</t>
  </si>
  <si>
    <t>4015.72万</t>
  </si>
  <si>
    <t>270.70亿</t>
  </si>
  <si>
    <t>66.88亿</t>
  </si>
  <si>
    <t>60.07亿</t>
  </si>
  <si>
    <t>5358.65万</t>
  </si>
  <si>
    <t>51.92万</t>
  </si>
  <si>
    <t>99.77亿</t>
  </si>
  <si>
    <t>12.20亿</t>
  </si>
  <si>
    <t>45.08亿</t>
  </si>
  <si>
    <t>81.52亿</t>
  </si>
  <si>
    <t>79.40亿</t>
  </si>
  <si>
    <t>13.73亿</t>
  </si>
  <si>
    <t>-3.67亿</t>
  </si>
  <si>
    <t>121.73亿</t>
  </si>
  <si>
    <t>1163.00万</t>
  </si>
  <si>
    <t>378.30亿</t>
  </si>
  <si>
    <t>162.26亿</t>
  </si>
  <si>
    <t>147.53亿</t>
  </si>
  <si>
    <t>88.57万</t>
  </si>
  <si>
    <t>79.77亿</t>
  </si>
  <si>
    <t>119.20亿</t>
  </si>
  <si>
    <t>255.01亿</t>
  </si>
  <si>
    <t>-7247.27万</t>
  </si>
  <si>
    <t>-9.37亿</t>
  </si>
  <si>
    <t>292.06亿</t>
  </si>
  <si>
    <t>6890.36万</t>
  </si>
  <si>
    <t>422.10万</t>
  </si>
  <si>
    <t>24.13亿</t>
  </si>
  <si>
    <t>1929.00万</t>
  </si>
  <si>
    <t>414.37万</t>
  </si>
  <si>
    <t>1078.72万</t>
  </si>
  <si>
    <t>9692.07万</t>
  </si>
  <si>
    <t>56.12万</t>
  </si>
  <si>
    <t>6047.52万</t>
  </si>
  <si>
    <t>-3766.95万</t>
  </si>
  <si>
    <t>-4170.63万</t>
  </si>
  <si>
    <t>5.67亿</t>
  </si>
  <si>
    <t>5400.97万</t>
  </si>
  <si>
    <t>2506.30万</t>
  </si>
  <si>
    <t>2.63亿</t>
  </si>
  <si>
    <t>3499.00万</t>
  </si>
  <si>
    <t>41.67亿</t>
  </si>
  <si>
    <t>4924.02万</t>
  </si>
  <si>
    <t>201.68万</t>
  </si>
  <si>
    <t>2149.27万</t>
  </si>
  <si>
    <t>26.50亿</t>
  </si>
  <si>
    <t>819.25万</t>
  </si>
  <si>
    <t>2692.64万</t>
  </si>
  <si>
    <t>4145.71万</t>
  </si>
  <si>
    <t>-1327.03万</t>
  </si>
  <si>
    <t>7792.20万</t>
  </si>
  <si>
    <t>7661.14万</t>
  </si>
  <si>
    <t>14.99亿</t>
  </si>
  <si>
    <t>7-1</t>
  </si>
  <si>
    <t>63.87万</t>
  </si>
  <si>
    <t>1489.26万</t>
  </si>
  <si>
    <t>6761.06万</t>
  </si>
  <si>
    <t>4526.11万</t>
  </si>
  <si>
    <t>834.88万</t>
  </si>
  <si>
    <t>707.16万</t>
  </si>
  <si>
    <t>1228.11万</t>
  </si>
  <si>
    <t>2855.51万</t>
  </si>
  <si>
    <t>6613.97万</t>
  </si>
  <si>
    <t>6581.68万</t>
  </si>
  <si>
    <t>-3103.72万</t>
  </si>
  <si>
    <t>9131.49万</t>
  </si>
  <si>
    <t>4495.89万</t>
  </si>
  <si>
    <t>343.63万</t>
  </si>
  <si>
    <t>2903.81万</t>
  </si>
  <si>
    <t>313.49万</t>
  </si>
  <si>
    <t>17.00亿</t>
  </si>
  <si>
    <t>121.62万</t>
  </si>
  <si>
    <t>419.08万</t>
  </si>
  <si>
    <t>498.01万</t>
  </si>
  <si>
    <t>9.50万</t>
  </si>
  <si>
    <t>7414.57万</t>
  </si>
  <si>
    <t>-126.48万</t>
  </si>
  <si>
    <t>-4740.82万</t>
  </si>
  <si>
    <t>6873.27万</t>
  </si>
  <si>
    <t>-5212.96万</t>
  </si>
  <si>
    <t>2277.97万</t>
  </si>
  <si>
    <t>343.48万</t>
  </si>
  <si>
    <t>82.49亿</t>
  </si>
  <si>
    <t>10.65亿</t>
  </si>
  <si>
    <t>4752.53万</t>
  </si>
  <si>
    <t>5077.36万</t>
  </si>
  <si>
    <t>1.50万</t>
  </si>
  <si>
    <t>35.72亿</t>
  </si>
  <si>
    <t>2973.95万</t>
  </si>
  <si>
    <t>757.39万</t>
  </si>
  <si>
    <t>2124.95万</t>
  </si>
  <si>
    <t>0162000000</t>
  </si>
  <si>
    <t>0486000000</t>
  </si>
  <si>
    <t>0972000000</t>
  </si>
  <si>
    <t>01620000000</t>
  </si>
  <si>
    <t>03240000000</t>
  </si>
  <si>
    <t>422.57万</t>
  </si>
  <si>
    <t>66.60亿</t>
  </si>
  <si>
    <t>532.07万</t>
  </si>
  <si>
    <t>1755.49万</t>
  </si>
  <si>
    <t>5.07万</t>
  </si>
  <si>
    <t>23.70亿</t>
  </si>
  <si>
    <t>-7.52亿</t>
  </si>
  <si>
    <t>6489.79万</t>
  </si>
  <si>
    <t>16.88亿</t>
  </si>
  <si>
    <t>10转4股派15.976元(含税)</t>
  </si>
  <si>
    <t>2007.14万</t>
  </si>
  <si>
    <t>116.94万</t>
  </si>
  <si>
    <t>15.76亿</t>
  </si>
  <si>
    <t>-228.42万</t>
  </si>
  <si>
    <t>9525.67万</t>
  </si>
  <si>
    <t>5278.26万</t>
  </si>
  <si>
    <t>897.31万</t>
  </si>
  <si>
    <t>1233.36万</t>
  </si>
  <si>
    <t>463.99万</t>
  </si>
  <si>
    <t>6205.00万</t>
  </si>
  <si>
    <t>8976.66万</t>
  </si>
  <si>
    <t>-3119.25万</t>
  </si>
  <si>
    <t>8913.95万</t>
  </si>
  <si>
    <t>682.35万</t>
  </si>
  <si>
    <t>6159.72万</t>
  </si>
  <si>
    <t>-11-1</t>
  </si>
  <si>
    <t>677.74万</t>
  </si>
  <si>
    <t>210.87亿</t>
  </si>
  <si>
    <t>50.09亿</t>
  </si>
  <si>
    <t>40.70亿</t>
  </si>
  <si>
    <t>860.10万</t>
  </si>
  <si>
    <t>78.73亿</t>
  </si>
  <si>
    <t>553.51万</t>
  </si>
  <si>
    <t>26.88亿</t>
  </si>
  <si>
    <t>22.97亿</t>
  </si>
  <si>
    <t>205.20万</t>
  </si>
  <si>
    <t>95.53亿</t>
  </si>
  <si>
    <t>21.07亿</t>
  </si>
  <si>
    <t>11.10亿</t>
  </si>
  <si>
    <t>-22.09亿</t>
  </si>
  <si>
    <t>88.58亿</t>
  </si>
  <si>
    <t>3301.99万</t>
  </si>
  <si>
    <t>400.82万</t>
  </si>
  <si>
    <t>51.15亿</t>
  </si>
  <si>
    <t>6358.54万</t>
  </si>
  <si>
    <t>2124.11万</t>
  </si>
  <si>
    <t>38.10万</t>
  </si>
  <si>
    <t>6.78亿</t>
  </si>
  <si>
    <t>1546.45万</t>
  </si>
  <si>
    <t>4268.30万</t>
  </si>
  <si>
    <t>50.81亿</t>
  </si>
  <si>
    <t>16.17亿</t>
  </si>
  <si>
    <t>-2.62亿</t>
  </si>
  <si>
    <t>-1.57亿</t>
  </si>
  <si>
    <t>14.80亿</t>
  </si>
  <si>
    <t>2374.88万</t>
  </si>
  <si>
    <t>292.12万</t>
  </si>
  <si>
    <t>31.31亿</t>
  </si>
  <si>
    <t>6764.97万</t>
  </si>
  <si>
    <t>1210.13万</t>
  </si>
  <si>
    <t>2135.00万</t>
  </si>
  <si>
    <t>34.04万</t>
  </si>
  <si>
    <t>5323.47万</t>
  </si>
  <si>
    <t>-318.44万</t>
  </si>
  <si>
    <t>2479.98万</t>
  </si>
  <si>
    <t>1724.43万</t>
  </si>
  <si>
    <t>067649700</t>
  </si>
  <si>
    <t>0202949100</t>
  </si>
  <si>
    <t>0405898200</t>
  </si>
  <si>
    <t>0676497000</t>
  </si>
  <si>
    <t>01352994000</t>
  </si>
  <si>
    <t>1447.50万</t>
  </si>
  <si>
    <t>153.38亿</t>
  </si>
  <si>
    <t>8126.43万</t>
  </si>
  <si>
    <t>9739.27万</t>
  </si>
  <si>
    <t>165.04万</t>
  </si>
  <si>
    <t>80.48亿</t>
  </si>
  <si>
    <t>2225.12万</t>
  </si>
  <si>
    <t>640.35万</t>
  </si>
  <si>
    <t>6.22亿</t>
  </si>
  <si>
    <t>14.87亿</t>
  </si>
  <si>
    <t>29.66亿</t>
  </si>
  <si>
    <t>7315.81万</t>
  </si>
  <si>
    <t>979.10万</t>
  </si>
  <si>
    <t>37.65亿</t>
  </si>
  <si>
    <t>405.65万</t>
  </si>
  <si>
    <t>940.95万</t>
  </si>
  <si>
    <t>27.13亿</t>
  </si>
  <si>
    <t>7015.91万</t>
  </si>
  <si>
    <t>1699.97万</t>
  </si>
  <si>
    <t>10转4股派2.1864元(含税)</t>
  </si>
  <si>
    <t>6953.25万</t>
  </si>
  <si>
    <t>896.45万</t>
  </si>
  <si>
    <t>93.95亿</t>
  </si>
  <si>
    <t>-6315.14万</t>
  </si>
  <si>
    <t>428.85万</t>
  </si>
  <si>
    <t>2803.07万</t>
  </si>
  <si>
    <t>173.87万</t>
  </si>
  <si>
    <t>25.93亿</t>
  </si>
  <si>
    <t>3935.82万</t>
  </si>
  <si>
    <t>25.34亿</t>
  </si>
  <si>
    <t>-6.00亿</t>
  </si>
  <si>
    <t>10派0.8537元(含税)</t>
  </si>
  <si>
    <t>6449.34万</t>
  </si>
  <si>
    <t>澜起科技</t>
  </si>
  <si>
    <t>1599.97万</t>
  </si>
  <si>
    <t>102.14亿</t>
  </si>
  <si>
    <t>2159.97万</t>
  </si>
  <si>
    <t>3976.78万</t>
  </si>
  <si>
    <t>57.23亿</t>
  </si>
  <si>
    <t>7.67万</t>
  </si>
  <si>
    <t>9.28亿</t>
  </si>
  <si>
    <t>8185.58万</t>
  </si>
  <si>
    <t>6424.34万</t>
  </si>
  <si>
    <t>530.46万</t>
  </si>
  <si>
    <t>179.25亿</t>
  </si>
  <si>
    <t>7260.26万</t>
  </si>
  <si>
    <t>240.00万</t>
  </si>
  <si>
    <t>67.03亿</t>
  </si>
  <si>
    <t>3356.29万</t>
  </si>
  <si>
    <t>19.40亿</t>
  </si>
  <si>
    <t>43.89亿</t>
  </si>
  <si>
    <t>25.27亿</t>
  </si>
  <si>
    <t>2414.05万</t>
  </si>
  <si>
    <t>294.17万</t>
  </si>
  <si>
    <t>18.82亿</t>
  </si>
  <si>
    <t>5391.55万</t>
  </si>
  <si>
    <t>1285.26万</t>
  </si>
  <si>
    <t>1487.18万</t>
  </si>
  <si>
    <t>4.95亿</t>
  </si>
  <si>
    <t>2130.96万</t>
  </si>
  <si>
    <t>8784.20万</t>
  </si>
  <si>
    <t>-1200.87万</t>
  </si>
  <si>
    <t>-9312.19万</t>
  </si>
  <si>
    <t>6.67亿</t>
  </si>
  <si>
    <t>6457.03万</t>
  </si>
  <si>
    <t>1872.54万</t>
  </si>
  <si>
    <t>6710.99万</t>
  </si>
  <si>
    <t>324.99万</t>
  </si>
  <si>
    <t>24.24亿</t>
  </si>
  <si>
    <t>1601.10万</t>
  </si>
  <si>
    <t>3163.19万</t>
  </si>
  <si>
    <t>3959.82万</t>
  </si>
  <si>
    <t>7.02万</t>
  </si>
  <si>
    <t>608.57万</t>
  </si>
  <si>
    <t>13.77亿</t>
  </si>
  <si>
    <t>2398.12万</t>
  </si>
  <si>
    <t>2419.73万</t>
  </si>
  <si>
    <t>1741.81万</t>
  </si>
  <si>
    <t>207.77亿</t>
  </si>
  <si>
    <t>3155.05万</t>
  </si>
  <si>
    <t>3189.65万</t>
  </si>
  <si>
    <t>24.60万</t>
  </si>
  <si>
    <t>101.47亿</t>
  </si>
  <si>
    <t>12.36亿</t>
  </si>
  <si>
    <t>9.99亿</t>
  </si>
  <si>
    <t>-6788.39万</t>
  </si>
  <si>
    <t>10派1.101元(含税)</t>
  </si>
  <si>
    <t>5528.91万</t>
  </si>
  <si>
    <t>123.21万</t>
  </si>
  <si>
    <t>13.06亿</t>
  </si>
  <si>
    <t>28.50万</t>
  </si>
  <si>
    <t>9955.68万</t>
  </si>
  <si>
    <t>355.37万</t>
  </si>
  <si>
    <t>943.89万</t>
  </si>
  <si>
    <t>864.81万</t>
  </si>
  <si>
    <t>1294.68万</t>
  </si>
  <si>
    <t>5388.23万</t>
  </si>
  <si>
    <t>1267.56万</t>
  </si>
  <si>
    <t>-5.07亿</t>
  </si>
  <si>
    <t>-2113.38万</t>
  </si>
  <si>
    <t>132.05万</t>
  </si>
  <si>
    <t>856.25万</t>
  </si>
  <si>
    <t>7778.75万</t>
  </si>
  <si>
    <t>151.04万</t>
  </si>
  <si>
    <t>-7480.85万</t>
  </si>
  <si>
    <t>8310.77万</t>
  </si>
  <si>
    <t>2107.82万</t>
  </si>
  <si>
    <t>2388.93万</t>
  </si>
  <si>
    <t>1978.70万</t>
  </si>
  <si>
    <t>3807.40万</t>
  </si>
  <si>
    <t>-872.83万</t>
  </si>
  <si>
    <t>-9973.32万</t>
  </si>
  <si>
    <t>-1.04亿</t>
  </si>
  <si>
    <t>822.16万</t>
  </si>
  <si>
    <t>9346.04万</t>
  </si>
  <si>
    <t>230.58万</t>
  </si>
  <si>
    <t>30.91亿</t>
  </si>
  <si>
    <t>-1945.01万</t>
  </si>
  <si>
    <t>7688.90万</t>
  </si>
  <si>
    <t>3886.34万</t>
  </si>
  <si>
    <t>245.41万</t>
  </si>
  <si>
    <t>896.34万</t>
  </si>
  <si>
    <t>142.12万</t>
  </si>
  <si>
    <t>5211.17万</t>
  </si>
  <si>
    <t>9462.38万</t>
  </si>
  <si>
    <t>3462.43万</t>
  </si>
  <si>
    <t>930.49万</t>
  </si>
  <si>
    <t>5008.90万</t>
  </si>
  <si>
    <t>-1063.74万</t>
  </si>
  <si>
    <t>1198.26万</t>
  </si>
  <si>
    <t>8743.78万</t>
  </si>
  <si>
    <t>333.68万</t>
  </si>
  <si>
    <t>17.88亿</t>
  </si>
  <si>
    <t>853.46万</t>
  </si>
  <si>
    <t>6466.30万</t>
  </si>
  <si>
    <t>413.73万</t>
  </si>
  <si>
    <t>954.28万</t>
  </si>
  <si>
    <t>2.09万</t>
  </si>
  <si>
    <t>4443.85万</t>
  </si>
  <si>
    <t>3290.60万</t>
  </si>
  <si>
    <t>108.31万</t>
  </si>
  <si>
    <t>9708.39万</t>
  </si>
  <si>
    <t>1006.29万</t>
  </si>
  <si>
    <t>1812.83万</t>
  </si>
  <si>
    <t>-3204.31万</t>
  </si>
  <si>
    <t>2470.30万</t>
  </si>
  <si>
    <t>1720.38万</t>
  </si>
  <si>
    <t>9613.95万</t>
  </si>
  <si>
    <t>08534600</t>
  </si>
  <si>
    <t>025603800</t>
  </si>
  <si>
    <t>051207600</t>
  </si>
  <si>
    <t>085346000</t>
  </si>
  <si>
    <t>0170692000</t>
  </si>
  <si>
    <t>251.38万</t>
  </si>
  <si>
    <t>61.27亿</t>
  </si>
  <si>
    <t>4257.44万</t>
  </si>
  <si>
    <t>6960.09万</t>
  </si>
  <si>
    <t>27.20亿</t>
  </si>
  <si>
    <t>867.29万</t>
  </si>
  <si>
    <t>1275.55万</t>
  </si>
  <si>
    <t>-934.93万</t>
  </si>
  <si>
    <t>-1.32亿</t>
  </si>
  <si>
    <t>1004.50万</t>
  </si>
  <si>
    <t>7262.74万</t>
  </si>
  <si>
    <t>96.07万</t>
  </si>
  <si>
    <t>24.96亿</t>
  </si>
  <si>
    <t>-417.51万</t>
  </si>
  <si>
    <t>8351.72万</t>
  </si>
  <si>
    <t>493.16万</t>
  </si>
  <si>
    <t>1159.71万</t>
  </si>
  <si>
    <t>3.73万</t>
  </si>
  <si>
    <t>5677.03万</t>
  </si>
  <si>
    <t>5899.17万</t>
  </si>
  <si>
    <t>5076.33万</t>
  </si>
  <si>
    <t>8344.63万</t>
  </si>
  <si>
    <t>7739.01万</t>
  </si>
  <si>
    <t>-3038.21万</t>
  </si>
  <si>
    <t>-8872.14万</t>
  </si>
  <si>
    <t>-5803.35万</t>
  </si>
  <si>
    <t>-834.34万</t>
  </si>
  <si>
    <t>687.35万</t>
  </si>
  <si>
    <t>4916.28万</t>
  </si>
  <si>
    <t>187.39万</t>
  </si>
  <si>
    <t>46.15亿</t>
  </si>
  <si>
    <t>1047.17万</t>
  </si>
  <si>
    <t>6648.75万</t>
  </si>
  <si>
    <t>2907.55万</t>
  </si>
  <si>
    <t>34.27亿</t>
  </si>
  <si>
    <t>-7.21亿</t>
  </si>
  <si>
    <t>-1.19亿</t>
  </si>
  <si>
    <t>1083.17万</t>
  </si>
  <si>
    <t>7214.89万</t>
  </si>
  <si>
    <t>156.76万</t>
  </si>
  <si>
    <t>66.24亿</t>
  </si>
  <si>
    <t>8018.34万</t>
  </si>
  <si>
    <t>9501.57万</t>
  </si>
  <si>
    <t>7762.63万</t>
  </si>
  <si>
    <t>4.53万</t>
  </si>
  <si>
    <t>143.00万</t>
  </si>
  <si>
    <t>14.28亿</t>
  </si>
  <si>
    <t>30.88亿</t>
  </si>
  <si>
    <t>-8877.77万</t>
  </si>
  <si>
    <t>10派6.2636元(含税)</t>
  </si>
  <si>
    <t>686.62万</t>
  </si>
  <si>
    <t>6417.65万</t>
  </si>
  <si>
    <t>317.52万</t>
  </si>
  <si>
    <t>56.75亿</t>
  </si>
  <si>
    <t>12.60亿</t>
  </si>
  <si>
    <t>2129.57万</t>
  </si>
  <si>
    <t>3553.65万</t>
  </si>
  <si>
    <t>2.40万</t>
  </si>
  <si>
    <t>1526.22万</t>
  </si>
  <si>
    <t>23.50亿</t>
  </si>
  <si>
    <t>2273.36万</t>
  </si>
  <si>
    <t>374.56万</t>
  </si>
  <si>
    <t>-5565.83万</t>
  </si>
  <si>
    <t>8727.60万</t>
  </si>
  <si>
    <t>573.08万</t>
  </si>
  <si>
    <t>1210.10万</t>
  </si>
  <si>
    <t>5.00万</t>
  </si>
  <si>
    <t>169.86万</t>
  </si>
  <si>
    <t>2837.37万</t>
  </si>
  <si>
    <t>8816.13万</t>
  </si>
  <si>
    <t>-5322.61万</t>
  </si>
  <si>
    <t>5347.85万</t>
  </si>
  <si>
    <t>-3430.64万</t>
  </si>
  <si>
    <t>-8033.56万</t>
  </si>
  <si>
    <t>3032.79万</t>
  </si>
  <si>
    <t>6-0</t>
  </si>
  <si>
    <t>616.17万</t>
  </si>
  <si>
    <t>-4450.46万</t>
  </si>
  <si>
    <t>9339.95万</t>
  </si>
  <si>
    <t>550.61万</t>
  </si>
  <si>
    <t>1714.77万</t>
  </si>
  <si>
    <t>22.30万</t>
  </si>
  <si>
    <t>3225.53万</t>
  </si>
  <si>
    <t>5669.60万</t>
  </si>
  <si>
    <t>-6969.23万</t>
  </si>
  <si>
    <t>-4571.60万</t>
  </si>
  <si>
    <t>-3751.82万</t>
  </si>
  <si>
    <t>-7510.75万</t>
  </si>
  <si>
    <t>4124.24万</t>
  </si>
  <si>
    <t>105.27万</t>
  </si>
  <si>
    <t>4053.41万</t>
  </si>
  <si>
    <t>4178.89万</t>
  </si>
  <si>
    <t>4.60万</t>
  </si>
  <si>
    <t>25.35亿</t>
  </si>
  <si>
    <t>539.01万</t>
  </si>
  <si>
    <t>10.96亿</t>
  </si>
  <si>
    <t>29.04亿</t>
  </si>
  <si>
    <t>-8757.61万</t>
  </si>
  <si>
    <t>-7824.14万</t>
  </si>
  <si>
    <t>827.62万</t>
  </si>
  <si>
    <t>4343.52万</t>
  </si>
  <si>
    <t>216.94万</t>
  </si>
  <si>
    <t>5109.06万</t>
  </si>
  <si>
    <t>1352.47万</t>
  </si>
  <si>
    <t>1238.13万</t>
  </si>
  <si>
    <t>7.13万</t>
  </si>
  <si>
    <t>6.13亿</t>
  </si>
  <si>
    <t>1065.82万</t>
  </si>
  <si>
    <t>606.43万</t>
  </si>
  <si>
    <t>6378.79万</t>
  </si>
  <si>
    <t>9612.80万</t>
  </si>
  <si>
    <t>5744.78万</t>
  </si>
  <si>
    <t>-149.85万</t>
  </si>
  <si>
    <t>-3724.77万</t>
  </si>
  <si>
    <t>6355.84万</t>
  </si>
  <si>
    <t>1221.55万</t>
  </si>
  <si>
    <t>9736.12万</t>
  </si>
  <si>
    <t>969.34万</t>
  </si>
  <si>
    <t>186.58亿</t>
  </si>
  <si>
    <t>-1.98亿</t>
  </si>
  <si>
    <t>9.44亿</t>
  </si>
  <si>
    <t>1891.33万</t>
  </si>
  <si>
    <t>5713.87万</t>
  </si>
  <si>
    <t>11.64万</t>
  </si>
  <si>
    <t>57.91亿</t>
  </si>
  <si>
    <t>2343.02万</t>
  </si>
  <si>
    <t>46.23亿</t>
  </si>
  <si>
    <t>2000.00万</t>
  </si>
  <si>
    <t>27.94亿</t>
  </si>
  <si>
    <t>26.22亿</t>
  </si>
  <si>
    <t>-3.44亿</t>
  </si>
  <si>
    <t>-16.79亿</t>
  </si>
  <si>
    <t>-1610.19万</t>
  </si>
  <si>
    <t>15.74亿</t>
  </si>
  <si>
    <t>4038.85万</t>
  </si>
  <si>
    <t>90.19万</t>
  </si>
  <si>
    <t>-114.29万</t>
  </si>
  <si>
    <t>3470.69万</t>
  </si>
  <si>
    <t>1011.90万</t>
  </si>
  <si>
    <t>164.16万</t>
  </si>
  <si>
    <t>733.06万</t>
  </si>
  <si>
    <t>7.61亿</t>
  </si>
  <si>
    <t>138.15万</t>
  </si>
  <si>
    <t>1062.81万</t>
  </si>
  <si>
    <t>-1130.63万</t>
  </si>
  <si>
    <t>1969.29万</t>
  </si>
  <si>
    <t>-450.99万</t>
  </si>
  <si>
    <t>6493.21万</t>
  </si>
  <si>
    <t>221.88万</t>
  </si>
  <si>
    <t>542.52万</t>
  </si>
  <si>
    <t>3980.34万</t>
  </si>
  <si>
    <t>133.94万</t>
  </si>
  <si>
    <t>11.38亿</t>
  </si>
  <si>
    <t>33.85万</t>
  </si>
  <si>
    <t>8614.51万</t>
  </si>
  <si>
    <t>431.03万</t>
  </si>
  <si>
    <t>1303.25万</t>
  </si>
  <si>
    <t>2.30万</t>
  </si>
  <si>
    <t>9545.87万</t>
  </si>
  <si>
    <t>288.44万</t>
  </si>
  <si>
    <t>14.19万</t>
  </si>
  <si>
    <t>5558.94万</t>
  </si>
  <si>
    <t>-1.30亿</t>
  </si>
  <si>
    <t>6638.35万</t>
  </si>
  <si>
    <t>2120.89万</t>
  </si>
  <si>
    <t>1414.21万</t>
  </si>
  <si>
    <t>7915.80万</t>
  </si>
  <si>
    <t>312.71万</t>
  </si>
  <si>
    <t>14.03亿</t>
  </si>
  <si>
    <t>4959.08万</t>
  </si>
  <si>
    <t>522.99万</t>
  </si>
  <si>
    <t>1248.89万</t>
  </si>
  <si>
    <t>2.46万</t>
  </si>
  <si>
    <t>901.01万</t>
  </si>
  <si>
    <t>1482.79万</t>
  </si>
  <si>
    <t>5752.03万</t>
  </si>
  <si>
    <t>-9490.01万</t>
  </si>
  <si>
    <t>9829.67万</t>
  </si>
  <si>
    <t>5336.62万</t>
  </si>
  <si>
    <t>1482.90万</t>
  </si>
  <si>
    <t>368.03万</t>
  </si>
  <si>
    <t>25.18亿</t>
  </si>
  <si>
    <t>2417.68万</t>
  </si>
  <si>
    <t>3137.68万</t>
  </si>
  <si>
    <t>26.32万</t>
  </si>
  <si>
    <t>16.52亿</t>
  </si>
  <si>
    <t>929.59万</t>
  </si>
  <si>
    <t>993.01万</t>
  </si>
  <si>
    <t>8.77亿</t>
  </si>
  <si>
    <t>-4165.02万</t>
  </si>
  <si>
    <t>-2.25亿</t>
  </si>
  <si>
    <t>9187.00万</t>
  </si>
  <si>
    <t>-1.91亿</t>
  </si>
  <si>
    <t>3070.28万</t>
  </si>
  <si>
    <t>142.82万</t>
  </si>
  <si>
    <t>40.42亿</t>
  </si>
  <si>
    <t>-537.30万</t>
  </si>
  <si>
    <t>687.24万</t>
  </si>
  <si>
    <t>3278.27万</t>
  </si>
  <si>
    <t>199.81万</t>
  </si>
  <si>
    <t>28.31亿</t>
  </si>
  <si>
    <t>-2432.58万</t>
  </si>
  <si>
    <t>-1054.21万</t>
  </si>
  <si>
    <t>-7020.10万</t>
  </si>
  <si>
    <t>876.01万</t>
  </si>
  <si>
    <t>8007.19万</t>
  </si>
  <si>
    <t>198.33万</t>
  </si>
  <si>
    <t>150.27亿</t>
  </si>
  <si>
    <t>2417.17万</t>
  </si>
  <si>
    <t>914.96万</t>
  </si>
  <si>
    <t>4423.88万</t>
  </si>
  <si>
    <t>4.19万</t>
  </si>
  <si>
    <t>61.24亿</t>
  </si>
  <si>
    <t>36.61亿</t>
  </si>
  <si>
    <t>6145.12万</t>
  </si>
  <si>
    <t>8.02亿</t>
  </si>
  <si>
    <t>-4652.85万</t>
  </si>
  <si>
    <t>245.67万</t>
  </si>
  <si>
    <t>977.30万</t>
  </si>
  <si>
    <t>408.51万</t>
  </si>
  <si>
    <t>17.39亿</t>
  </si>
  <si>
    <t>-4889.14万</t>
  </si>
  <si>
    <t>8302.26万</t>
  </si>
  <si>
    <t>1182.13万</t>
  </si>
  <si>
    <t>2402.95万</t>
  </si>
  <si>
    <t>2858.68万</t>
  </si>
  <si>
    <t>20.02万</t>
  </si>
  <si>
    <t>-7333.83万</t>
  </si>
  <si>
    <t>-1768.51万</t>
  </si>
  <si>
    <t>4010.46万</t>
  </si>
  <si>
    <t>2747.27万</t>
  </si>
  <si>
    <t>华峰测控</t>
  </si>
  <si>
    <t>104.06万</t>
  </si>
  <si>
    <t>33.43亿</t>
  </si>
  <si>
    <t>2343.83万</t>
  </si>
  <si>
    <t>3408.43万</t>
  </si>
  <si>
    <t>3374.72万</t>
  </si>
  <si>
    <t>1338.36万</t>
  </si>
  <si>
    <t>19.92亿</t>
  </si>
  <si>
    <t>5709.50万</t>
  </si>
  <si>
    <t>3119.54万</t>
  </si>
  <si>
    <t>14.55万</t>
  </si>
  <si>
    <t>-802.84万</t>
  </si>
  <si>
    <t>3738.15万</t>
  </si>
  <si>
    <t>-1664.93万</t>
  </si>
  <si>
    <t>497.90万</t>
  </si>
  <si>
    <t>3572.91万</t>
  </si>
  <si>
    <t>303.32万</t>
  </si>
  <si>
    <t>18.16亿</t>
  </si>
  <si>
    <t>396.25万</t>
  </si>
  <si>
    <t>707.02万</t>
  </si>
  <si>
    <t>1152.92万</t>
  </si>
  <si>
    <t>2.00万</t>
  </si>
  <si>
    <t>1705.09万</t>
  </si>
  <si>
    <t>6405.74万</t>
  </si>
  <si>
    <t>-4632.57万</t>
  </si>
  <si>
    <t>-3320.51万</t>
  </si>
  <si>
    <t>208.13万</t>
  </si>
  <si>
    <t>2050.53万</t>
  </si>
  <si>
    <t>249.31万</t>
  </si>
  <si>
    <t>37.88亿</t>
  </si>
  <si>
    <t>1402.61万</t>
  </si>
  <si>
    <t>8.20亿</t>
  </si>
  <si>
    <t>2213.30万</t>
  </si>
  <si>
    <t>2125.34万</t>
  </si>
  <si>
    <t>8.08亿</t>
  </si>
  <si>
    <t>3296.31万</t>
  </si>
  <si>
    <t>6248.47万</t>
  </si>
  <si>
    <t>27.25亿</t>
  </si>
  <si>
    <t>-3.81亿</t>
  </si>
  <si>
    <t>-6633.89万</t>
  </si>
  <si>
    <t>1222.48万</t>
  </si>
  <si>
    <t>324.42万</t>
  </si>
  <si>
    <t>-2110.60万</t>
  </si>
  <si>
    <t>354.63万</t>
  </si>
  <si>
    <t>745.98万</t>
  </si>
  <si>
    <t>4421.06万</t>
  </si>
  <si>
    <t>5187.59万</t>
  </si>
  <si>
    <t>-1915.94万</t>
  </si>
  <si>
    <t>-3401.85万</t>
  </si>
  <si>
    <t>5419.94万</t>
  </si>
  <si>
    <t>-6942.92万</t>
  </si>
  <si>
    <t>1985.54万</t>
  </si>
  <si>
    <t>232.12万</t>
  </si>
  <si>
    <t>62.17亿</t>
  </si>
  <si>
    <t>6.33亿</t>
  </si>
  <si>
    <t>838.03万</t>
  </si>
  <si>
    <t>3263.71万</t>
  </si>
  <si>
    <t>24.37亿</t>
  </si>
  <si>
    <t>9735.29万</t>
  </si>
  <si>
    <t>-2.29亿</t>
  </si>
  <si>
    <t>7284.79万</t>
  </si>
  <si>
    <t>4323.33万</t>
  </si>
  <si>
    <t>1076.82万</t>
  </si>
  <si>
    <t>8528.93万</t>
  </si>
  <si>
    <t>22.49亿</t>
  </si>
  <si>
    <t>2446.87万</t>
  </si>
  <si>
    <t>5837.75万</t>
  </si>
  <si>
    <t>4360.66万</t>
  </si>
  <si>
    <t>166.91万</t>
  </si>
  <si>
    <t>498.87万</t>
  </si>
  <si>
    <t>4910.46万</t>
  </si>
  <si>
    <t>2725.73万</t>
  </si>
  <si>
    <t>3350.77万</t>
  </si>
  <si>
    <t>333.46万</t>
  </si>
  <si>
    <t>-4.05亿</t>
  </si>
  <si>
    <t>-26.54万</t>
  </si>
  <si>
    <t>3826.94万</t>
  </si>
  <si>
    <t>400.01万</t>
  </si>
  <si>
    <t>4769.00万</t>
  </si>
  <si>
    <t>024468700</t>
  </si>
  <si>
    <t>073406100</t>
  </si>
  <si>
    <t>0146812200</t>
  </si>
  <si>
    <t>0244687000</t>
  </si>
  <si>
    <t>0489374000</t>
  </si>
  <si>
    <t>262.90万</t>
  </si>
  <si>
    <t>18.05亿</t>
  </si>
  <si>
    <t>146.16万</t>
  </si>
  <si>
    <t>6182.12万</t>
  </si>
  <si>
    <t>5018.52万</t>
  </si>
  <si>
    <t>99.27万</t>
  </si>
  <si>
    <t>838.40万</t>
  </si>
  <si>
    <t>201.99万</t>
  </si>
  <si>
    <t>2350.88万</t>
  </si>
  <si>
    <t>4322.58万</t>
  </si>
  <si>
    <t>8313.72万</t>
  </si>
  <si>
    <t>3422.25万</t>
  </si>
  <si>
    <t>-943.37万</t>
  </si>
  <si>
    <t>7883.48万</t>
  </si>
  <si>
    <t>-2369.94万</t>
  </si>
  <si>
    <t>1421.14万</t>
  </si>
  <si>
    <t>263.91万</t>
  </si>
  <si>
    <t>52.18亿</t>
  </si>
  <si>
    <t>4609.99万</t>
  </si>
  <si>
    <t>405.69万</t>
  </si>
  <si>
    <t>4194.90万</t>
  </si>
  <si>
    <t>6.89万</t>
  </si>
  <si>
    <t>7137.61万</t>
  </si>
  <si>
    <t>10000.00万</t>
  </si>
  <si>
    <t>-3906.00万</t>
  </si>
  <si>
    <t>3964.94万</t>
  </si>
  <si>
    <t>4697.09万</t>
  </si>
  <si>
    <t>-7205.57万</t>
  </si>
  <si>
    <t>1454.78万</t>
  </si>
  <si>
    <t>788.22万</t>
  </si>
  <si>
    <t>222.07亿</t>
  </si>
  <si>
    <t>7925.88万</t>
  </si>
  <si>
    <t>21.61亿</t>
  </si>
  <si>
    <t>16.71亿</t>
  </si>
  <si>
    <t>1368.72万</t>
  </si>
  <si>
    <t>8368.39万</t>
  </si>
  <si>
    <t>3.60万</t>
  </si>
  <si>
    <t>66.58亿</t>
  </si>
  <si>
    <t>124.49亿</t>
  </si>
  <si>
    <t>21.74亿</t>
  </si>
  <si>
    <t>76.62亿</t>
  </si>
  <si>
    <t>177.05亿</t>
  </si>
  <si>
    <t>-64.85亿</t>
  </si>
  <si>
    <t>62.98亿</t>
  </si>
  <si>
    <t>29.70亿</t>
  </si>
  <si>
    <t>-4361.02万</t>
  </si>
  <si>
    <t>4221.13万</t>
  </si>
  <si>
    <t>天德钰</t>
  </si>
  <si>
    <t>567.57万</t>
  </si>
  <si>
    <t>19.42亿</t>
  </si>
  <si>
    <t>3252.58万</t>
  </si>
  <si>
    <t>724.14万</t>
  </si>
  <si>
    <t>669.67万</t>
  </si>
  <si>
    <t>26.04万</t>
  </si>
  <si>
    <t>-3874.40万</t>
  </si>
  <si>
    <t>-1810.76万</t>
  </si>
  <si>
    <t>-4930.37万</t>
  </si>
  <si>
    <t>4662.91万</t>
  </si>
  <si>
    <t>2912.70万</t>
  </si>
  <si>
    <t>531.13万</t>
  </si>
  <si>
    <t>55.49亿</t>
  </si>
  <si>
    <t>1087.99万</t>
  </si>
  <si>
    <t>1302.14万</t>
  </si>
  <si>
    <t>9567.09万</t>
  </si>
  <si>
    <t>5.70万</t>
  </si>
  <si>
    <t>43.48亿</t>
  </si>
  <si>
    <t>51.11万</t>
  </si>
  <si>
    <t>6.45亿</t>
  </si>
  <si>
    <t>-1704.77万</t>
  </si>
  <si>
    <t>2918.60万</t>
  </si>
  <si>
    <t>90.52万</t>
  </si>
  <si>
    <t>1514.28万</t>
  </si>
  <si>
    <t>8462.02万</t>
  </si>
  <si>
    <t>112.75万</t>
  </si>
  <si>
    <t>352.34万</t>
  </si>
  <si>
    <t>905.77万</t>
  </si>
  <si>
    <t>516.50万</t>
  </si>
  <si>
    <t>-8784.91万</t>
  </si>
  <si>
    <t>-2166.53万</t>
  </si>
  <si>
    <t>5221.77万</t>
  </si>
  <si>
    <t>3405.14万</t>
  </si>
  <si>
    <t>534.74万</t>
  </si>
  <si>
    <t>3928.60万</t>
  </si>
  <si>
    <t>290.19万</t>
  </si>
  <si>
    <t>28.61亿</t>
  </si>
  <si>
    <t>429.41万</t>
  </si>
  <si>
    <t>231.30万</t>
  </si>
  <si>
    <t>503.72万</t>
  </si>
  <si>
    <t>3.15万</t>
  </si>
  <si>
    <t>16.62亿</t>
  </si>
  <si>
    <t>98.42万</t>
  </si>
  <si>
    <t>3001.93万</t>
  </si>
  <si>
    <t>7150.51万</t>
  </si>
  <si>
    <t>-1383.08万</t>
  </si>
  <si>
    <t>-550.55万</t>
  </si>
  <si>
    <t>10转3股派1.7875元(含税)</t>
  </si>
  <si>
    <t>981.93万</t>
  </si>
  <si>
    <t>6605.97万</t>
  </si>
  <si>
    <t>413.49万</t>
  </si>
  <si>
    <t>23.63亿</t>
  </si>
  <si>
    <t>-4634.76万</t>
  </si>
  <si>
    <t>1056.10万</t>
  </si>
  <si>
    <t>1115.67万</t>
  </si>
  <si>
    <t>2655.53万</t>
  </si>
  <si>
    <t>598.27万</t>
  </si>
  <si>
    <t>4000.00万</t>
  </si>
  <si>
    <t>2067.03万</t>
  </si>
  <si>
    <t>9511.34万</t>
  </si>
  <si>
    <t>-3541.25万</t>
  </si>
  <si>
    <t>3978.46万</t>
  </si>
  <si>
    <t>371.86万</t>
  </si>
  <si>
    <t>21.30亿</t>
  </si>
  <si>
    <t>-567.72万</t>
  </si>
  <si>
    <t>4739.89万</t>
  </si>
  <si>
    <t>669.98万</t>
  </si>
  <si>
    <t>396.04万</t>
  </si>
  <si>
    <t>998.65万</t>
  </si>
  <si>
    <t>5115.14万</t>
  </si>
  <si>
    <t>5803.93万</t>
  </si>
  <si>
    <t>9428.76万</t>
  </si>
  <si>
    <t>-4380.94万</t>
  </si>
  <si>
    <t>-3092.37万</t>
  </si>
  <si>
    <t>-11.28万</t>
  </si>
  <si>
    <t>3353.02万</t>
  </si>
  <si>
    <t>2316.06万</t>
  </si>
  <si>
    <t>75.40万</t>
  </si>
  <si>
    <t>24.36亿</t>
  </si>
  <si>
    <t>5056.10万</t>
  </si>
  <si>
    <t>7475.05万</t>
  </si>
  <si>
    <t>5285.31万</t>
  </si>
  <si>
    <t>369.26万</t>
  </si>
  <si>
    <t>480.52万</t>
  </si>
  <si>
    <t>27.67万</t>
  </si>
  <si>
    <t>148.75万</t>
  </si>
  <si>
    <t>562.67万</t>
  </si>
  <si>
    <t>5806.71万</t>
  </si>
  <si>
    <t>2625.53万</t>
  </si>
  <si>
    <t>-1.49亿</t>
  </si>
  <si>
    <t>-874.41万</t>
  </si>
  <si>
    <t>8319.12万</t>
  </si>
  <si>
    <t>419.80万</t>
  </si>
  <si>
    <t>1994.86万</t>
  </si>
  <si>
    <t>115.61万</t>
  </si>
  <si>
    <t>10.48亿</t>
  </si>
  <si>
    <t>-1444.65万</t>
  </si>
  <si>
    <t>6870.96万</t>
  </si>
  <si>
    <t>434.59万</t>
  </si>
  <si>
    <t>1278.20万</t>
  </si>
  <si>
    <t>35.34万</t>
  </si>
  <si>
    <t>628.47万</t>
  </si>
  <si>
    <t>6221.20万</t>
  </si>
  <si>
    <t>3900.00万</t>
  </si>
  <si>
    <t>-3112.23万</t>
  </si>
  <si>
    <t>-5843.01万</t>
  </si>
  <si>
    <t>-69.72万</t>
  </si>
  <si>
    <t>-5345.41万</t>
  </si>
  <si>
    <t>728.20万</t>
  </si>
  <si>
    <t>7682.26万</t>
  </si>
  <si>
    <t>78.63万</t>
  </si>
  <si>
    <t>741.79万</t>
  </si>
  <si>
    <t>6513.64万</t>
  </si>
  <si>
    <t>3068.86万</t>
  </si>
  <si>
    <t>495.39万</t>
  </si>
  <si>
    <t>597.96万</t>
  </si>
  <si>
    <t>173.10万</t>
  </si>
  <si>
    <t>1964.79万</t>
  </si>
  <si>
    <t>1226.25万</t>
  </si>
  <si>
    <t>5133.48万</t>
  </si>
  <si>
    <t>1902.50万</t>
  </si>
  <si>
    <t>-5514.59万</t>
  </si>
  <si>
    <t>8462.91万</t>
  </si>
  <si>
    <t>454.01万</t>
  </si>
  <si>
    <t>503.31万</t>
  </si>
  <si>
    <t>3922.29万</t>
  </si>
  <si>
    <t>123.07万</t>
  </si>
  <si>
    <t>38.32亿</t>
  </si>
  <si>
    <t>5488.68万</t>
  </si>
  <si>
    <t>142.45万</t>
  </si>
  <si>
    <t>859.63万</t>
  </si>
  <si>
    <t>27.14亿</t>
  </si>
  <si>
    <t>134.75万</t>
  </si>
  <si>
    <t>1064.90万</t>
  </si>
  <si>
    <t>-4.46亿</t>
  </si>
  <si>
    <t>814.80万</t>
  </si>
  <si>
    <t>4183.10万</t>
  </si>
  <si>
    <t>1001.41万</t>
  </si>
  <si>
    <t>602.16亿</t>
  </si>
  <si>
    <t>32.97亿</t>
  </si>
  <si>
    <t>34.22亿</t>
  </si>
  <si>
    <t>28.06亿</t>
  </si>
  <si>
    <t>1409.42万</t>
  </si>
  <si>
    <t>10016610亿</t>
  </si>
  <si>
    <t>31.52万</t>
  </si>
  <si>
    <t>209209200亿</t>
  </si>
  <si>
    <t>436.61亿</t>
  </si>
  <si>
    <t>1512073500亿</t>
  </si>
  <si>
    <t>50661751000亿</t>
  </si>
  <si>
    <t>59.29亿</t>
  </si>
  <si>
    <t>1899.45万</t>
  </si>
  <si>
    <t>68.62亿</t>
  </si>
  <si>
    <t>141.44亿</t>
  </si>
  <si>
    <t>-22.82亿</t>
  </si>
  <si>
    <t>56.10亿</t>
  </si>
  <si>
    <t>88.44亿</t>
  </si>
  <si>
    <t>15.89亿</t>
  </si>
  <si>
    <t>5532.76万</t>
  </si>
  <si>
    <t>513.13万</t>
  </si>
  <si>
    <t>59.07亿</t>
  </si>
  <si>
    <t>7668.70万</t>
  </si>
  <si>
    <t>158.17万</t>
  </si>
  <si>
    <t>3598.88万</t>
  </si>
  <si>
    <t>101.53万</t>
  </si>
  <si>
    <t>8659.10万</t>
  </si>
  <si>
    <t>-2.03亿</t>
  </si>
  <si>
    <t>2961.77万</t>
  </si>
  <si>
    <t>388.62万</t>
  </si>
  <si>
    <t>24.46亿</t>
  </si>
  <si>
    <t>3424.01万</t>
  </si>
  <si>
    <t>1730.04万</t>
  </si>
  <si>
    <t>2402.71万</t>
  </si>
  <si>
    <t>415.58万</t>
  </si>
  <si>
    <t>5235.30万</t>
  </si>
  <si>
    <t>5928.98万</t>
  </si>
  <si>
    <t>-2050.11万</t>
  </si>
  <si>
    <t>-624.18万</t>
  </si>
  <si>
    <t>4593.91万</t>
  </si>
  <si>
    <t>2204.02万</t>
  </si>
  <si>
    <t>325.42万</t>
  </si>
  <si>
    <t>39.21亿</t>
  </si>
  <si>
    <t>-3545.04万</t>
  </si>
  <si>
    <t>884.23万</t>
  </si>
  <si>
    <t>6578.81万</t>
  </si>
  <si>
    <t>6.24万</t>
  </si>
  <si>
    <t>20.52亿</t>
  </si>
  <si>
    <t>218.80万</t>
  </si>
  <si>
    <t>14.88亿</t>
  </si>
  <si>
    <t>29.98亿</t>
  </si>
  <si>
    <t>-8.85亿</t>
  </si>
  <si>
    <t>9.83亿</t>
  </si>
  <si>
    <t>-7889.89万</t>
  </si>
  <si>
    <t>2081.66万</t>
  </si>
  <si>
    <t>54.32万</t>
  </si>
  <si>
    <t>14.25亿</t>
  </si>
  <si>
    <t>-2940.02万</t>
  </si>
  <si>
    <t>1528.14万</t>
  </si>
  <si>
    <t>2819.58万</t>
  </si>
  <si>
    <t>8560.18万</t>
  </si>
  <si>
    <t>7679.10万</t>
  </si>
  <si>
    <t>7158.85万</t>
  </si>
  <si>
    <t>2362.96万</t>
  </si>
  <si>
    <t>-1.16亿</t>
  </si>
  <si>
    <t>6.15亿</t>
  </si>
  <si>
    <t>-8925.88万</t>
  </si>
  <si>
    <t>314.59万</t>
  </si>
  <si>
    <t>2723.89万</t>
  </si>
  <si>
    <t>129.39万</t>
  </si>
  <si>
    <t>24.75亿</t>
  </si>
  <si>
    <t>-30.57万</t>
  </si>
  <si>
    <t>667.84万</t>
  </si>
  <si>
    <t>1506.57万</t>
  </si>
  <si>
    <t>13.71万</t>
  </si>
  <si>
    <t>155.00万</t>
  </si>
  <si>
    <t>8858.33万</t>
  </si>
  <si>
    <t>-3.27亿</t>
  </si>
  <si>
    <t>9589.70万</t>
  </si>
  <si>
    <t>7076.34万</t>
  </si>
  <si>
    <t>811.49万</t>
  </si>
  <si>
    <t>4704.12万</t>
  </si>
  <si>
    <t>182.93万</t>
  </si>
  <si>
    <t>29.97亿</t>
  </si>
  <si>
    <t>2882.73万</t>
  </si>
  <si>
    <t>300.46万</t>
  </si>
  <si>
    <t>723.93万</t>
  </si>
  <si>
    <t>6.30万</t>
  </si>
  <si>
    <t>9.91亿</t>
  </si>
  <si>
    <t>5278.85万</t>
  </si>
  <si>
    <t>6997.25万</t>
  </si>
  <si>
    <t>743.68万</t>
  </si>
  <si>
    <t>-317.02万</t>
  </si>
  <si>
    <t>2654.03万</t>
  </si>
  <si>
    <t>1333.02万</t>
  </si>
  <si>
    <t>482.95万</t>
  </si>
  <si>
    <t>29.44亿</t>
  </si>
  <si>
    <t>1605.97万</t>
  </si>
  <si>
    <t>6969.09万</t>
  </si>
  <si>
    <t>901.26万</t>
  </si>
  <si>
    <t>1350.72万</t>
  </si>
  <si>
    <t>444.00万</t>
  </si>
  <si>
    <t>162.57万</t>
  </si>
  <si>
    <t>5238.35万</t>
  </si>
  <si>
    <t>8256.33万</t>
  </si>
  <si>
    <t>-2251.52万</t>
  </si>
  <si>
    <t>2897.00万</t>
  </si>
  <si>
    <t>2181.23万</t>
  </si>
  <si>
    <t>553.26万</t>
  </si>
  <si>
    <t>61.35亿</t>
  </si>
  <si>
    <t>7.40亿</t>
  </si>
  <si>
    <t>6003.96万</t>
  </si>
  <si>
    <t>3587.11万</t>
  </si>
  <si>
    <t>18.56亿</t>
  </si>
  <si>
    <t>1058.06万</t>
  </si>
  <si>
    <t>-2.37亿</t>
  </si>
  <si>
    <t>-2429.04万</t>
  </si>
  <si>
    <t>17.96亿</t>
  </si>
  <si>
    <t>3080.67万</t>
  </si>
  <si>
    <t>76.15万</t>
  </si>
  <si>
    <t>20.48亿</t>
  </si>
  <si>
    <t>1919.97万</t>
  </si>
  <si>
    <t>7300.97万</t>
  </si>
  <si>
    <t>95.51万</t>
  </si>
  <si>
    <t>840.99万</t>
  </si>
  <si>
    <t>2.45万</t>
  </si>
  <si>
    <t>2015.28万</t>
  </si>
  <si>
    <t>5854.59万</t>
  </si>
  <si>
    <t>9911.30万</t>
  </si>
  <si>
    <t>1081.08万</t>
  </si>
  <si>
    <t>-1160.69万</t>
  </si>
  <si>
    <t>8030.95万</t>
  </si>
  <si>
    <t>480.68万</t>
  </si>
  <si>
    <t>3528.51万</t>
  </si>
  <si>
    <t>259.72万</t>
  </si>
  <si>
    <t>237.86亿</t>
  </si>
  <si>
    <t>3319.61万</t>
  </si>
  <si>
    <t>20.00亿</t>
  </si>
  <si>
    <t>4215.99万</t>
  </si>
  <si>
    <t>88.22万</t>
  </si>
  <si>
    <t>89.79亿</t>
  </si>
  <si>
    <t>442.77万</t>
  </si>
  <si>
    <t>51.78亿</t>
  </si>
  <si>
    <t>-31.03亿</t>
  </si>
  <si>
    <t>5637.74万</t>
  </si>
  <si>
    <t>50.30亿</t>
  </si>
  <si>
    <t>1484.57万</t>
  </si>
  <si>
    <t>033196100</t>
  </si>
  <si>
    <t>099588300</t>
  </si>
  <si>
    <t>0199176600</t>
  </si>
  <si>
    <t>0331961000</t>
  </si>
  <si>
    <t>0663922000</t>
  </si>
  <si>
    <t>214.54万</t>
  </si>
  <si>
    <t>4107.46万</t>
  </si>
  <si>
    <t>309.90万</t>
  </si>
  <si>
    <t>920.18万</t>
  </si>
  <si>
    <t>753.45万</t>
  </si>
  <si>
    <t>2647.19万</t>
  </si>
  <si>
    <t>-3360.67万</t>
  </si>
  <si>
    <t>-3611.13万</t>
  </si>
  <si>
    <t>7063.13万</t>
  </si>
  <si>
    <t>1133.40万</t>
  </si>
  <si>
    <t>8542.45万</t>
  </si>
  <si>
    <t>汇成股份</t>
  </si>
  <si>
    <t>386.80万</t>
  </si>
  <si>
    <t>30.82亿</t>
  </si>
  <si>
    <t>2632.76万</t>
  </si>
  <si>
    <t>228.91万</t>
  </si>
  <si>
    <t>1670.23万</t>
  </si>
  <si>
    <t>8.30万</t>
  </si>
  <si>
    <t>7018.91万</t>
  </si>
  <si>
    <t>573.05万</t>
  </si>
  <si>
    <t>4.68亿</t>
  </si>
  <si>
    <t>2002.32万</t>
  </si>
  <si>
    <t>3162.76万</t>
  </si>
  <si>
    <t>8204.27万</t>
  </si>
  <si>
    <t>3285.74万</t>
  </si>
  <si>
    <t>3.01亿</t>
  </si>
  <si>
    <t>191.84万</t>
  </si>
  <si>
    <t>47.49亿</t>
  </si>
  <si>
    <t>6042.96万</t>
  </si>
  <si>
    <t>1186.90万</t>
  </si>
  <si>
    <t>7456.37万</t>
  </si>
  <si>
    <t>12.46万</t>
  </si>
  <si>
    <t>12.45亿</t>
  </si>
  <si>
    <t>7703.03万</t>
  </si>
  <si>
    <t>8244.97万</t>
  </si>
  <si>
    <t>-8046.50万</t>
  </si>
  <si>
    <t>-3.47亿</t>
  </si>
  <si>
    <t>9423.80万</t>
  </si>
  <si>
    <t>9568.21万</t>
  </si>
  <si>
    <t>1206.29万</t>
  </si>
  <si>
    <t>7544.37万</t>
  </si>
  <si>
    <t>227.51万</t>
  </si>
  <si>
    <t>-3305.33万</t>
  </si>
  <si>
    <t>9680.50万</t>
  </si>
  <si>
    <t>7077.18万</t>
  </si>
  <si>
    <t>398.39万</t>
  </si>
  <si>
    <t>480.12万</t>
  </si>
  <si>
    <t>17.18万</t>
  </si>
  <si>
    <t>378.18万</t>
  </si>
  <si>
    <t>6898.61万</t>
  </si>
  <si>
    <t>8221.59万</t>
  </si>
  <si>
    <t>-2998.79万</t>
  </si>
  <si>
    <t>8233.80万</t>
  </si>
  <si>
    <t>-49.00万</t>
  </si>
  <si>
    <t>-4830.10万</t>
  </si>
  <si>
    <t>983.46万</t>
  </si>
  <si>
    <t>4454.79万</t>
  </si>
  <si>
    <t>99.11万</t>
  </si>
  <si>
    <t>1860.92万</t>
  </si>
  <si>
    <t>3738.45万</t>
  </si>
  <si>
    <t>2851.50万</t>
  </si>
  <si>
    <t>408.39万</t>
  </si>
  <si>
    <t>247.19万</t>
  </si>
  <si>
    <t>250.01万</t>
  </si>
  <si>
    <t>278.88万</t>
  </si>
  <si>
    <t>2122.19万</t>
  </si>
  <si>
    <t>2085.47万</t>
  </si>
  <si>
    <t>5691.62万</t>
  </si>
  <si>
    <t>9.95万</t>
  </si>
  <si>
    <t>895.01万</t>
  </si>
  <si>
    <t>-447.94万</t>
  </si>
  <si>
    <t>8991.05万</t>
  </si>
  <si>
    <t>2303.11万</t>
  </si>
  <si>
    <t>598.41万</t>
  </si>
  <si>
    <t>6234.30万</t>
  </si>
  <si>
    <t>185.41万</t>
  </si>
  <si>
    <t>46.13亿</t>
  </si>
  <si>
    <t>5638.48万</t>
  </si>
  <si>
    <t>306.21万</t>
  </si>
  <si>
    <t>733.61万</t>
  </si>
  <si>
    <t>13.71亿</t>
  </si>
  <si>
    <t>3541.74万</t>
  </si>
  <si>
    <t>2098.24万</t>
  </si>
  <si>
    <t>8335.73万</t>
  </si>
  <si>
    <t>2577.26万</t>
  </si>
  <si>
    <t>-3600.76万</t>
  </si>
  <si>
    <t>1066.97万</t>
  </si>
  <si>
    <t>056384800</t>
  </si>
  <si>
    <t>0169154400</t>
  </si>
  <si>
    <t>0338308800</t>
  </si>
  <si>
    <t>0563848000</t>
  </si>
  <si>
    <t>01127696000</t>
  </si>
  <si>
    <t>170.85万</t>
  </si>
  <si>
    <t>20.39亿</t>
  </si>
  <si>
    <t>-1326.39万</t>
  </si>
  <si>
    <t>7385.80万</t>
  </si>
  <si>
    <t>532.80万</t>
  </si>
  <si>
    <t>787.43万</t>
  </si>
  <si>
    <t>2570.39万</t>
  </si>
  <si>
    <t>6999.57万</t>
  </si>
  <si>
    <t>-1954.10万</t>
  </si>
  <si>
    <t>-3210.14万</t>
  </si>
  <si>
    <t>1100.31万</t>
  </si>
  <si>
    <t>964.58万</t>
  </si>
  <si>
    <t>5238.13万</t>
  </si>
  <si>
    <t>3440.86万</t>
  </si>
  <si>
    <t>161.71亿</t>
  </si>
  <si>
    <t>14.43亿</t>
  </si>
  <si>
    <t>818.28万</t>
  </si>
  <si>
    <t>2989.26万</t>
  </si>
  <si>
    <t>136.71万</t>
  </si>
  <si>
    <t>58.05亿</t>
  </si>
  <si>
    <t>11.58亿</t>
  </si>
  <si>
    <t>64.87亿</t>
  </si>
  <si>
    <t>99.24亿</t>
  </si>
  <si>
    <t>-22.13亿</t>
  </si>
  <si>
    <t>37.77亿</t>
  </si>
  <si>
    <t>25.20亿</t>
  </si>
  <si>
    <t>-11.09亿</t>
  </si>
  <si>
    <t>20.38亿</t>
  </si>
  <si>
    <t>151.70万</t>
  </si>
  <si>
    <t>1481.77万</t>
  </si>
  <si>
    <t>7684.46万</t>
  </si>
  <si>
    <t>5377.61万</t>
  </si>
  <si>
    <t>231.50万</t>
  </si>
  <si>
    <t>1013.81万</t>
  </si>
  <si>
    <t>17.07万</t>
  </si>
  <si>
    <t>7436.17万</t>
  </si>
  <si>
    <t>1174.30万</t>
  </si>
  <si>
    <t>7118.51万</t>
  </si>
  <si>
    <t>-4941.82万</t>
  </si>
  <si>
    <t>-1121.36万</t>
  </si>
  <si>
    <t>1508.77万</t>
  </si>
  <si>
    <t>933.44万</t>
  </si>
  <si>
    <t>8638.15万</t>
  </si>
  <si>
    <t>490.76万</t>
  </si>
  <si>
    <t>38.27亿</t>
  </si>
  <si>
    <t>2114.63万</t>
  </si>
  <si>
    <t>5055.69万</t>
  </si>
  <si>
    <t>8.68万</t>
  </si>
  <si>
    <t>28.95亿</t>
  </si>
  <si>
    <t>49.15万</t>
  </si>
  <si>
    <t>7528.34万</t>
  </si>
  <si>
    <t>-1369.06万</t>
  </si>
  <si>
    <t>-147.23万</t>
  </si>
  <si>
    <t>2877.32万</t>
  </si>
  <si>
    <t>62.01万</t>
  </si>
  <si>
    <t>3101.00万</t>
  </si>
  <si>
    <t>8095.96万</t>
  </si>
  <si>
    <t>4786.64万</t>
  </si>
  <si>
    <t>240.57万</t>
  </si>
  <si>
    <t>650.30万</t>
  </si>
  <si>
    <t>11.04万</t>
  </si>
  <si>
    <t>579.84万</t>
  </si>
  <si>
    <t>2146.68万</t>
  </si>
  <si>
    <t>5158.36万</t>
  </si>
  <si>
    <t>-3552.47万</t>
  </si>
  <si>
    <t>6542.34万</t>
  </si>
  <si>
    <t>-2976.08万</t>
  </si>
  <si>
    <t>4194.98万</t>
  </si>
  <si>
    <t>10转4.8股派14.0255元(含税)</t>
  </si>
  <si>
    <t>372.01万</t>
  </si>
  <si>
    <t>2116.25万</t>
  </si>
  <si>
    <t>195.68万</t>
  </si>
  <si>
    <t>21.13亿</t>
  </si>
  <si>
    <t>1053.50万</t>
  </si>
  <si>
    <t>5130.13万</t>
  </si>
  <si>
    <t>3913.82万</t>
  </si>
  <si>
    <t>218.51万</t>
  </si>
  <si>
    <t>582.02万</t>
  </si>
  <si>
    <t>1278.35万</t>
  </si>
  <si>
    <t>7736.30万</t>
  </si>
  <si>
    <t>9026.68万</t>
  </si>
  <si>
    <t>2240.75万</t>
  </si>
  <si>
    <t>-1542.04万</t>
  </si>
  <si>
    <t>6131.91万</t>
  </si>
  <si>
    <t>1939.11万</t>
  </si>
  <si>
    <t>1016.40万</t>
  </si>
  <si>
    <t>7781.57万</t>
  </si>
  <si>
    <t>260.32万</t>
  </si>
  <si>
    <t>2380.46万</t>
  </si>
  <si>
    <t>572.15万</t>
  </si>
  <si>
    <t>859.11万</t>
  </si>
  <si>
    <t>6.60万</t>
  </si>
  <si>
    <t>3609.38万</t>
  </si>
  <si>
    <t>3400.35万</t>
  </si>
  <si>
    <t>4988.21万</t>
  </si>
  <si>
    <t>45.45万</t>
  </si>
  <si>
    <t>2896.08万</t>
  </si>
  <si>
    <t>-3.55亿</t>
  </si>
  <si>
    <t>5901.66万</t>
  </si>
  <si>
    <t>4807.68万</t>
  </si>
  <si>
    <t>1328.33万</t>
  </si>
  <si>
    <t>375.17万</t>
  </si>
  <si>
    <t>-8113.65万</t>
  </si>
  <si>
    <t>9641.69万</t>
  </si>
  <si>
    <t>928.76万</t>
  </si>
  <si>
    <t>1864.80万</t>
  </si>
  <si>
    <t>2.31万</t>
  </si>
  <si>
    <t>3089.35万</t>
  </si>
  <si>
    <t>7634.09万</t>
  </si>
  <si>
    <t>-8215.81万</t>
  </si>
  <si>
    <t>-3.69亿</t>
  </si>
  <si>
    <t>-162.71万</t>
  </si>
  <si>
    <t>-1.75亿</t>
  </si>
  <si>
    <t>3155.30万</t>
  </si>
  <si>
    <t>77.84万</t>
  </si>
  <si>
    <t>-5414.67万</t>
  </si>
  <si>
    <t>4271.05万</t>
  </si>
  <si>
    <t>1057.78万</t>
  </si>
  <si>
    <t>1777.12万</t>
  </si>
  <si>
    <t>711.55万</t>
  </si>
  <si>
    <t>2869.90万</t>
  </si>
  <si>
    <t>8127.99万</t>
  </si>
  <si>
    <t>-1.01亿</t>
  </si>
  <si>
    <t>6511.40万</t>
  </si>
  <si>
    <t>-675.84万</t>
  </si>
  <si>
    <t>-8276.09万</t>
  </si>
  <si>
    <t>489.02万</t>
  </si>
  <si>
    <t>4526.62万</t>
  </si>
  <si>
    <t>860.83万</t>
  </si>
  <si>
    <t>24.94亿</t>
  </si>
  <si>
    <t>-2.07亿</t>
  </si>
  <si>
    <t>3696.97万</t>
  </si>
  <si>
    <t>2939.95万</t>
  </si>
  <si>
    <t>69.90万</t>
  </si>
  <si>
    <t>7943.80万</t>
  </si>
  <si>
    <t>514.86万</t>
  </si>
  <si>
    <t>10.29亿</t>
  </si>
  <si>
    <t>-2.17亿</t>
  </si>
  <si>
    <t>4739.91万</t>
  </si>
  <si>
    <t>11.84亿</t>
  </si>
  <si>
    <t>2221.76万</t>
  </si>
  <si>
    <t>5733.25万</t>
  </si>
  <si>
    <t>1884.95万</t>
  </si>
  <si>
    <t>6077.10万</t>
  </si>
  <si>
    <t>6035.18万</t>
  </si>
  <si>
    <t>1.45万</t>
  </si>
  <si>
    <t>27.03亿</t>
  </si>
  <si>
    <t>690.08万</t>
  </si>
  <si>
    <t>37.49亿</t>
  </si>
  <si>
    <t>-9593.60万</t>
  </si>
  <si>
    <t>-9107.60万</t>
  </si>
  <si>
    <t>234.40万</t>
  </si>
  <si>
    <t>5715.57万</t>
  </si>
  <si>
    <t>191.93万</t>
  </si>
  <si>
    <t>8560.16万</t>
  </si>
  <si>
    <t>7010.97万</t>
  </si>
  <si>
    <t>-2416.87万</t>
  </si>
  <si>
    <t>-5653.00万</t>
  </si>
  <si>
    <t>7084.10万</t>
  </si>
  <si>
    <t>5048.17万</t>
  </si>
  <si>
    <t>2203.72万</t>
  </si>
  <si>
    <t>-814.13万</t>
  </si>
  <si>
    <t>4934.33万</t>
  </si>
  <si>
    <t>1557.69万</t>
  </si>
  <si>
    <t>120.13万</t>
  </si>
  <si>
    <t>1277.17万</t>
  </si>
  <si>
    <t>6541.04万</t>
  </si>
  <si>
    <t>5147.03万</t>
  </si>
  <si>
    <t>315.25万</t>
  </si>
  <si>
    <t>513.64万</t>
  </si>
  <si>
    <t>3021.76万</t>
  </si>
  <si>
    <t>3958.76万</t>
  </si>
  <si>
    <t>4567.09万</t>
  </si>
  <si>
    <t>4503.71万</t>
  </si>
  <si>
    <t>5907.47万</t>
  </si>
  <si>
    <t>-324.33万</t>
  </si>
  <si>
    <t>-296.81万</t>
  </si>
  <si>
    <t>9.29万</t>
  </si>
  <si>
    <t>1209.24万</t>
  </si>
  <si>
    <t>839.48万</t>
  </si>
  <si>
    <t>9982.71万</t>
  </si>
  <si>
    <t>158.37万</t>
  </si>
  <si>
    <t>55.08亿</t>
  </si>
  <si>
    <t>-4916.76万</t>
  </si>
  <si>
    <t>2514.92万</t>
  </si>
  <si>
    <t>2624.14万</t>
  </si>
  <si>
    <t>819.09万</t>
  </si>
  <si>
    <t>6310.86万</t>
  </si>
  <si>
    <t>1217.55万</t>
  </si>
  <si>
    <t>-3.76亿</t>
  </si>
  <si>
    <t>-3654.77万</t>
  </si>
  <si>
    <t>1408.77万</t>
  </si>
  <si>
    <t>883.23万</t>
  </si>
  <si>
    <t>7318.97万</t>
  </si>
  <si>
    <t>327.07万</t>
  </si>
  <si>
    <t>-160.22万</t>
  </si>
  <si>
    <t>3188.84万</t>
  </si>
  <si>
    <t>435.77万</t>
  </si>
  <si>
    <t>220.16万</t>
  </si>
  <si>
    <t>893.53万</t>
  </si>
  <si>
    <t>7543.09万</t>
  </si>
  <si>
    <t>231.98万</t>
  </si>
  <si>
    <t>514.39万</t>
  </si>
  <si>
    <t>7641.58万</t>
  </si>
  <si>
    <t>2880.14万</t>
  </si>
  <si>
    <t>-5716.13万</t>
  </si>
  <si>
    <t>-437.53万</t>
  </si>
  <si>
    <t>9667.83万</t>
  </si>
  <si>
    <t>4088.65万</t>
  </si>
  <si>
    <t>2154.21万</t>
  </si>
  <si>
    <t>6359.60万</t>
  </si>
  <si>
    <t>129.24万</t>
  </si>
  <si>
    <t>42.04亿</t>
  </si>
  <si>
    <t>1826.68万</t>
  </si>
  <si>
    <t>234.54万</t>
  </si>
  <si>
    <t>2497.65万</t>
  </si>
  <si>
    <t>120.77万</t>
  </si>
  <si>
    <t>4058.99万</t>
  </si>
  <si>
    <t>5638.04万</t>
  </si>
  <si>
    <t>5301.12万</t>
  </si>
  <si>
    <t>-6090.68万</t>
  </si>
  <si>
    <t>12.44亿</t>
  </si>
  <si>
    <t>10派2.9847元(含税)</t>
  </si>
  <si>
    <t>977.87万</t>
  </si>
  <si>
    <t>018266800</t>
  </si>
  <si>
    <t>054800400</t>
  </si>
  <si>
    <t>0109600800</t>
  </si>
  <si>
    <t>0182668000</t>
  </si>
  <si>
    <t>0365336000</t>
  </si>
  <si>
    <t>192.25万</t>
  </si>
  <si>
    <t>2335.65万</t>
  </si>
  <si>
    <t>6198.31万</t>
  </si>
  <si>
    <t>1280.30万</t>
  </si>
  <si>
    <t>668.25万</t>
  </si>
  <si>
    <t>6.44亿</t>
  </si>
  <si>
    <t>1227.08万</t>
  </si>
  <si>
    <t>267.07万</t>
  </si>
  <si>
    <t>1134.39万</t>
  </si>
  <si>
    <t>8778.09万</t>
  </si>
  <si>
    <t>9.90万</t>
  </si>
  <si>
    <t>411.84万</t>
  </si>
  <si>
    <t>-2.49亿</t>
  </si>
  <si>
    <t>-732.41万</t>
  </si>
  <si>
    <t>5060.34万</t>
  </si>
  <si>
    <t>1133.68万</t>
  </si>
  <si>
    <t>9941.09万</t>
  </si>
  <si>
    <t>217.04万</t>
  </si>
  <si>
    <t>23.00亿</t>
  </si>
  <si>
    <t>-440.59万</t>
  </si>
  <si>
    <t>9019.50万</t>
  </si>
  <si>
    <t>1558.83万</t>
  </si>
  <si>
    <t>1004.51万</t>
  </si>
  <si>
    <t>2796.31万</t>
  </si>
  <si>
    <t>2309.55万</t>
  </si>
  <si>
    <t>6760.89万</t>
  </si>
  <si>
    <t>894.09万</t>
  </si>
  <si>
    <t>-3972.66万</t>
  </si>
  <si>
    <t>2861.32万</t>
  </si>
  <si>
    <t>1396.81万</t>
  </si>
  <si>
    <t>XD新相微</t>
  </si>
  <si>
    <t>128.75万</t>
  </si>
  <si>
    <t>15.86亿</t>
  </si>
  <si>
    <t>-1146.45万</t>
  </si>
  <si>
    <t>8678.81万</t>
  </si>
  <si>
    <t>349.39万</t>
  </si>
  <si>
    <t>536.82万</t>
  </si>
  <si>
    <t>101.57万</t>
  </si>
  <si>
    <t>235.42万</t>
  </si>
  <si>
    <t>6859.57万</t>
  </si>
  <si>
    <t>-4134.27万</t>
  </si>
  <si>
    <t>-3086.41万</t>
  </si>
  <si>
    <t>-5324.13万</t>
  </si>
  <si>
    <t>3483.85万</t>
  </si>
  <si>
    <t>1025.13万</t>
  </si>
  <si>
    <t>236.48万</t>
  </si>
  <si>
    <t>-3542.84万</t>
  </si>
  <si>
    <t>9960.03万</t>
  </si>
  <si>
    <t>874.24万</t>
  </si>
  <si>
    <t>1764.99万</t>
  </si>
  <si>
    <t>20.00万</t>
  </si>
  <si>
    <t>1127.62万</t>
  </si>
  <si>
    <t>4425.59万</t>
  </si>
  <si>
    <t>8326.51万</t>
  </si>
  <si>
    <t>10.55万</t>
  </si>
  <si>
    <t>-4227.51万</t>
  </si>
  <si>
    <t>-4241.65万</t>
  </si>
  <si>
    <t>-4391.98万</t>
  </si>
  <si>
    <t>-7011.11万</t>
  </si>
  <si>
    <t>917.87万</t>
  </si>
  <si>
    <t>283.04万</t>
  </si>
  <si>
    <t>13.79亿</t>
  </si>
  <si>
    <t>5347.70万</t>
  </si>
  <si>
    <t>963.30万</t>
  </si>
  <si>
    <t>962.16万</t>
  </si>
  <si>
    <t>2507.99万</t>
  </si>
  <si>
    <t>27.92万</t>
  </si>
  <si>
    <t>1000.78万</t>
  </si>
  <si>
    <t>473.00万</t>
  </si>
  <si>
    <t>6551.97万</t>
  </si>
  <si>
    <t>9667.12万</t>
  </si>
  <si>
    <t>2980.74万</t>
  </si>
  <si>
    <t>-4.68亿</t>
  </si>
  <si>
    <t>-37.25万</t>
  </si>
  <si>
    <t>6844.28万</t>
  </si>
  <si>
    <t>1792.94万</t>
  </si>
  <si>
    <t>61.08亿</t>
  </si>
  <si>
    <t>2760.29万</t>
  </si>
  <si>
    <t>756.39万</t>
  </si>
  <si>
    <t>2876.38万</t>
  </si>
  <si>
    <t>13.30万</t>
  </si>
  <si>
    <t>21.65亿</t>
  </si>
  <si>
    <t>8000.34万</t>
  </si>
  <si>
    <t>2001.46万</t>
  </si>
  <si>
    <t>-9682.85万</t>
  </si>
  <si>
    <t>-1770.07万</t>
  </si>
  <si>
    <t>4925.34万</t>
  </si>
  <si>
    <t>620.38万</t>
  </si>
  <si>
    <t>3634.48万</t>
  </si>
  <si>
    <t>195.36万</t>
  </si>
  <si>
    <t>-490.81万</t>
  </si>
  <si>
    <t>8861.60万</t>
  </si>
  <si>
    <t>212.50万</t>
  </si>
  <si>
    <t>916.69万</t>
  </si>
  <si>
    <t>3.50万</t>
  </si>
  <si>
    <t>1933.99万</t>
  </si>
  <si>
    <t>7653.91万</t>
  </si>
  <si>
    <t>81.30万</t>
  </si>
  <si>
    <t>-3257.25万</t>
  </si>
  <si>
    <t>-5356.38万</t>
  </si>
  <si>
    <t>4927.37万</t>
  </si>
  <si>
    <t>1401.12万</t>
  </si>
  <si>
    <t>1799.18万</t>
  </si>
  <si>
    <t>130.70万</t>
  </si>
  <si>
    <t>19.62亿</t>
  </si>
  <si>
    <t>2804.28万</t>
  </si>
  <si>
    <t>2594.13万</t>
  </si>
  <si>
    <t>1235.16万</t>
  </si>
  <si>
    <t>2123.56万</t>
  </si>
  <si>
    <t>250.72万</t>
  </si>
  <si>
    <t>250.24万</t>
  </si>
  <si>
    <t>9000.00万</t>
  </si>
  <si>
    <t>10.02亿</t>
  </si>
  <si>
    <t>-8752.71万</t>
  </si>
  <si>
    <t>926.00万</t>
  </si>
  <si>
    <t>7816.29万</t>
  </si>
  <si>
    <t>894.45万</t>
  </si>
  <si>
    <t>8373.07万</t>
  </si>
  <si>
    <t>1282.91万</t>
  </si>
  <si>
    <t>-2406.97万</t>
  </si>
  <si>
    <t>7290.77万</t>
  </si>
  <si>
    <t>752.97万</t>
  </si>
  <si>
    <t>852.58万</t>
  </si>
  <si>
    <t>676.83万</t>
  </si>
  <si>
    <t>1924.71万</t>
  </si>
  <si>
    <t>5203.65万</t>
  </si>
  <si>
    <t>-3127.36万</t>
  </si>
  <si>
    <t>-530.36万</t>
  </si>
  <si>
    <t>-834.27万</t>
  </si>
  <si>
    <t>300.11万</t>
  </si>
  <si>
    <t>4536.45万</t>
  </si>
  <si>
    <t>126.00万</t>
  </si>
  <si>
    <t>-541.80万</t>
  </si>
  <si>
    <t>7740.61万</t>
  </si>
  <si>
    <t>562.52万</t>
  </si>
  <si>
    <t>729.92万</t>
  </si>
  <si>
    <t>3792.81万</t>
  </si>
  <si>
    <t>4179.75万</t>
  </si>
  <si>
    <t>9593.34万</t>
  </si>
  <si>
    <t>2542.46万</t>
  </si>
  <si>
    <t>1175.90万</t>
  </si>
  <si>
    <t>9863.80万</t>
  </si>
  <si>
    <t>-1693.75万</t>
  </si>
  <si>
    <t>764.38万</t>
  </si>
  <si>
    <t>6794.89万</t>
  </si>
  <si>
    <t>115.03万</t>
  </si>
  <si>
    <t>1731.63万</t>
  </si>
  <si>
    <t>624.09万</t>
  </si>
  <si>
    <t>1234.87万</t>
  </si>
  <si>
    <t>16.14万</t>
  </si>
  <si>
    <t>2206.31万</t>
  </si>
  <si>
    <t>1543.86万</t>
  </si>
  <si>
    <t>4030.00万</t>
  </si>
  <si>
    <t>-261.74万</t>
  </si>
  <si>
    <t>-9138.41万</t>
  </si>
  <si>
    <t>-496.03万</t>
  </si>
  <si>
    <t>3052.36万</t>
  </si>
  <si>
    <t>10派2.027元(含税)</t>
  </si>
  <si>
    <t>840.43万</t>
  </si>
  <si>
    <t>7497.59万</t>
  </si>
  <si>
    <t>017316300</t>
  </si>
  <si>
    <t>051948900</t>
  </si>
  <si>
    <t>0103897800</t>
  </si>
  <si>
    <t>0173163000</t>
  </si>
  <si>
    <t>0346326000</t>
  </si>
  <si>
    <t>212.88万</t>
  </si>
  <si>
    <t>5569.38万</t>
  </si>
  <si>
    <t>465.86万</t>
  </si>
  <si>
    <t>1990.77万</t>
  </si>
  <si>
    <t>9.39万</t>
  </si>
  <si>
    <t>7583.02万</t>
  </si>
  <si>
    <t>-6581.87万</t>
  </si>
  <si>
    <t>-124.26万</t>
  </si>
  <si>
    <t>10派4.28元(含税)</t>
  </si>
  <si>
    <t>918.63万</t>
  </si>
  <si>
    <t>9690.14万</t>
  </si>
  <si>
    <t>328.41万</t>
  </si>
  <si>
    <t>-1595.10万</t>
  </si>
  <si>
    <t>3544.57万</t>
  </si>
  <si>
    <t>1509.64万</t>
  </si>
  <si>
    <t>329.82万</t>
  </si>
  <si>
    <t>671.53万</t>
  </si>
  <si>
    <t>2290.48万</t>
  </si>
  <si>
    <t>290.40万</t>
  </si>
  <si>
    <t>1011.93万</t>
  </si>
  <si>
    <t>1238.24万</t>
  </si>
  <si>
    <t>216.67万</t>
  </si>
  <si>
    <t>4392.38万</t>
  </si>
  <si>
    <t>-2401.63万</t>
  </si>
  <si>
    <t>3957.05万</t>
  </si>
  <si>
    <t>-20.78万</t>
  </si>
  <si>
    <t>2931.76万</t>
  </si>
  <si>
    <t>2033.38万</t>
  </si>
  <si>
    <t>11-1</t>
  </si>
  <si>
    <t>69.24万</t>
  </si>
  <si>
    <t>115.51万</t>
  </si>
  <si>
    <t>9185.56万</t>
  </si>
  <si>
    <t>179.27万</t>
  </si>
  <si>
    <t>746.50万</t>
  </si>
  <si>
    <t>184.14万</t>
  </si>
  <si>
    <t>617.48万</t>
  </si>
  <si>
    <t>2525.91万</t>
  </si>
  <si>
    <t>-1505.48万</t>
  </si>
  <si>
    <t>3512.51万</t>
  </si>
  <si>
    <t>-1576.20万</t>
  </si>
  <si>
    <t>-8022.99万</t>
  </si>
  <si>
    <t>439.13万</t>
  </si>
  <si>
    <t>4726.04万</t>
  </si>
  <si>
    <t>115.18万</t>
  </si>
  <si>
    <t>23.71亿</t>
  </si>
  <si>
    <t>-606.88万</t>
  </si>
  <si>
    <t>997.50万</t>
  </si>
  <si>
    <t>1426.02万</t>
  </si>
  <si>
    <t>1.83万</t>
  </si>
  <si>
    <t>2455.02万</t>
  </si>
  <si>
    <t>5973.52万</t>
  </si>
  <si>
    <t>-8117.70万</t>
  </si>
  <si>
    <t>-122.14万</t>
  </si>
  <si>
    <t>3545.80万</t>
  </si>
  <si>
    <t>712.22万</t>
  </si>
  <si>
    <t>8168.87万</t>
  </si>
  <si>
    <t>-8-1</t>
  </si>
  <si>
    <t>258.83万</t>
  </si>
  <si>
    <t>28.07亿</t>
  </si>
  <si>
    <t>5862.72万</t>
  </si>
  <si>
    <t>2882.93万</t>
  </si>
  <si>
    <t>622.02万</t>
  </si>
  <si>
    <t>2764.12万</t>
  </si>
  <si>
    <t>1.80万</t>
  </si>
  <si>
    <t>907.53万</t>
  </si>
  <si>
    <t>-4614.45万</t>
  </si>
  <si>
    <t>-3126.09万</t>
  </si>
  <si>
    <t>1731.09万</t>
  </si>
  <si>
    <t>295.89万</t>
  </si>
  <si>
    <t>-171.62万</t>
  </si>
  <si>
    <t>628.81万</t>
  </si>
  <si>
    <t>1678.60万</t>
  </si>
  <si>
    <t>1.30万</t>
  </si>
  <si>
    <t>5130.78万</t>
  </si>
  <si>
    <t>8306.69万</t>
  </si>
  <si>
    <t>7.23亿</t>
  </si>
  <si>
    <t>3907.89万</t>
  </si>
  <si>
    <t>-3914.11万</t>
  </si>
  <si>
    <t>-365.27万</t>
  </si>
  <si>
    <t>6251.85万</t>
  </si>
  <si>
    <t>1530.90万</t>
  </si>
  <si>
    <t>261.80万</t>
  </si>
  <si>
    <t>751.01万</t>
  </si>
  <si>
    <t>7918.14万</t>
  </si>
  <si>
    <t>6014.45万</t>
  </si>
  <si>
    <t>607.43万</t>
  </si>
  <si>
    <t>467.02万</t>
  </si>
  <si>
    <t>96.00万</t>
  </si>
  <si>
    <t>4978.61万</t>
  </si>
  <si>
    <t>6316.41万</t>
  </si>
  <si>
    <t>7244.37万</t>
  </si>
  <si>
    <t>-1825.94万</t>
  </si>
  <si>
    <t>-1.34亿</t>
  </si>
  <si>
    <t>-2428.44万</t>
  </si>
  <si>
    <t>1694.26万</t>
  </si>
  <si>
    <t>07510100</t>
  </si>
  <si>
    <t>022530300</t>
  </si>
  <si>
    <t>045060600</t>
  </si>
  <si>
    <t>075101000</t>
  </si>
  <si>
    <t>0150202000</t>
  </si>
  <si>
    <t>688.86万</t>
  </si>
  <si>
    <t>78.90亿</t>
  </si>
  <si>
    <t>3016.34万</t>
  </si>
  <si>
    <t>3137.86万</t>
  </si>
  <si>
    <t>5391.83万</t>
  </si>
  <si>
    <t>35.21万</t>
  </si>
  <si>
    <t>4588.99万</t>
  </si>
  <si>
    <t>43.49亿</t>
  </si>
  <si>
    <t>77.83亿</t>
  </si>
  <si>
    <t>-3.71亿</t>
  </si>
  <si>
    <t>-2.30亿</t>
  </si>
  <si>
    <t>19.52亿</t>
  </si>
  <si>
    <t>-2282.97万</t>
  </si>
  <si>
    <t>4039.32万</t>
  </si>
  <si>
    <t>普冉股份</t>
  </si>
  <si>
    <t>138.78万</t>
  </si>
  <si>
    <t>19.86亿</t>
  </si>
  <si>
    <t>4992.39万</t>
  </si>
  <si>
    <t>1198.23万</t>
  </si>
  <si>
    <t>1189.03万</t>
  </si>
  <si>
    <t>10.45亿</t>
  </si>
  <si>
    <t>1771.67万</t>
  </si>
  <si>
    <t>325.58万</t>
  </si>
  <si>
    <t>-5056.95万</t>
  </si>
  <si>
    <t>-1284.88万</t>
  </si>
  <si>
    <t>-7824.95万</t>
  </si>
  <si>
    <t>1057.55万</t>
  </si>
  <si>
    <t>5533.77万</t>
  </si>
  <si>
    <t>210.49万</t>
  </si>
  <si>
    <t>36.75亿</t>
  </si>
  <si>
    <t>3582.31万</t>
  </si>
  <si>
    <t>2604.21万</t>
  </si>
  <si>
    <t>3517.66万</t>
  </si>
  <si>
    <t>6419.25万</t>
  </si>
  <si>
    <t>410.20万</t>
  </si>
  <si>
    <t>9968.50万</t>
  </si>
  <si>
    <t>-7.18亿</t>
  </si>
  <si>
    <t>-6970.29万</t>
  </si>
  <si>
    <t>1018.01万</t>
  </si>
  <si>
    <t>5877.57万</t>
  </si>
  <si>
    <t>2298.84万</t>
  </si>
  <si>
    <t>2187.18亿</t>
  </si>
  <si>
    <t>125.94亿</t>
  </si>
  <si>
    <t>123.12亿</t>
  </si>
  <si>
    <t>108.07亿</t>
  </si>
  <si>
    <t>6373.10万</t>
  </si>
  <si>
    <t>7.66亿</t>
  </si>
  <si>
    <t>-168015000亿</t>
  </si>
  <si>
    <t>269.60万</t>
  </si>
  <si>
    <t>622330000亿</t>
  </si>
  <si>
    <t>450.66亿</t>
  </si>
  <si>
    <t>3572115000亿</t>
  </si>
  <si>
    <t>92245200000亿</t>
  </si>
  <si>
    <t>737.90亿</t>
  </si>
  <si>
    <t>44.93亿</t>
  </si>
  <si>
    <t>1022.20万</t>
  </si>
  <si>
    <t>567.31亿</t>
  </si>
  <si>
    <t>580.27亿</t>
  </si>
  <si>
    <t>-92.70亿</t>
  </si>
  <si>
    <t>-15.98亿</t>
  </si>
  <si>
    <t>213.18亿</t>
  </si>
</sst>
</file>

<file path=xl/styles.xml><?xml version="1.0" encoding="utf-8"?>
<styleSheet xmlns="http://schemas.openxmlformats.org/spreadsheetml/2006/main" xmlns:mc="http://schemas.openxmlformats.org/markup-compatibility/2006" xmlns:x14ac="http://schemas.microsoft.com/office/spreadsheetml/2009/9/ac" mc:Ignorable="x14ac">
  <fonts count="29" x14ac:knownFonts="1">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theme="1"/>
      <name val="宋体"/>
      <family val="2"/>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b/>
      <sz val="9"/>
      <color theme="1"/>
      <name val="宋体"/>
      <family val="3"/>
      <charset val="134"/>
      <scheme val="minor"/>
    </font>
    <font>
      <sz val="9"/>
      <name val="宋体"/>
      <family val="3"/>
      <charset val="134"/>
      <scheme val="minor"/>
    </font>
    <font>
      <sz val="11"/>
      <color rgb="FF000000"/>
      <name val="宋体"/>
      <family val="3"/>
      <charset val="134"/>
    </font>
    <font>
      <b/>
      <i/>
      <sz val="9"/>
      <color rgb="FFFF0000"/>
      <name val="宋体"/>
      <family val="3"/>
      <charset val="134"/>
      <scheme val="minor"/>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7">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9" fontId="0" fillId="0" borderId="0" xfId="0" applyNumberFormat="1">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21" fillId="0" borderId="0" xfId="0" applyFont="1" applyAlignment="1">
      <alignment vertical="center" wrapText="1"/>
    </xf>
    <xf numFmtId="0" fontId="0" fillId="35" borderId="0" xfId="0" applyFill="1">
      <alignment vertical="center"/>
    </xf>
    <xf numFmtId="0" fontId="0" fillId="36" borderId="0" xfId="0" applyFill="1">
      <alignment vertical="center"/>
    </xf>
    <xf numFmtId="0" fontId="24"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4"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P152"/>
  <sheetViews>
    <sheetView tabSelected="1" zoomScale="85" zoomScaleNormal="85" workbookViewId="0">
      <pane xSplit="5" ySplit="1" topLeftCell="F2" activePane="bottomRight" state="frozen"/>
      <selection pane="topRight" activeCell="F1" sqref="F1"/>
      <selection pane="bottomLeft" activeCell="A2" sqref="A2"/>
      <selection pane="bottomRight" activeCell="D152" sqref="D152:EP152"/>
    </sheetView>
  </sheetViews>
  <sheetFormatPr defaultColWidth="8.81640625" defaultRowHeight="14" x14ac:dyDescent="0.25"/>
  <cols>
    <col min="1" max="1" width="34.08984375" style="7" customWidth="1"/>
    <col min="2" max="2" width="37.36328125" style="7" customWidth="1"/>
    <col min="3" max="3" width="47.1796875" style="7"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x14ac:dyDescent="0.25">
      <c r="A1" s="6" t="s">
        <v>263</v>
      </c>
      <c r="B1" s="8" t="s">
        <v>264</v>
      </c>
      <c r="C1" s="6" t="s">
        <v>262</v>
      </c>
      <c r="D1" s="3" t="s">
        <v>851</v>
      </c>
      <c r="E1" s="3" t="s">
        <v>1064</v>
      </c>
      <c r="F1" s="3" t="s">
        <v>82</v>
      </c>
      <c r="G1" s="3" t="s">
        <v>852</v>
      </c>
      <c r="H1" s="3" t="s">
        <v>1434</v>
      </c>
      <c r="I1" s="3" t="s">
        <v>29</v>
      </c>
      <c r="J1" s="3" t="s">
        <v>30</v>
      </c>
      <c r="K1" s="3" t="s">
        <v>1</v>
      </c>
      <c r="L1" s="3" t="s">
        <v>71</v>
      </c>
      <c r="M1" s="3" t="s">
        <v>98</v>
      </c>
      <c r="N1" s="3" t="s">
        <v>99</v>
      </c>
      <c r="O1" s="3" t="s">
        <v>126</v>
      </c>
      <c r="P1" s="3" t="s">
        <v>1435</v>
      </c>
      <c r="Q1" s="3" t="s">
        <v>1436</v>
      </c>
      <c r="R1" s="3" t="s">
        <v>1065</v>
      </c>
      <c r="S1" s="3" t="s">
        <v>100</v>
      </c>
      <c r="T1" s="3" t="s">
        <v>1437</v>
      </c>
      <c r="U1" s="3" t="s">
        <v>853</v>
      </c>
      <c r="V1" s="3" t="s">
        <v>101</v>
      </c>
      <c r="W1" s="3" t="s">
        <v>1438</v>
      </c>
      <c r="X1" s="3" t="s">
        <v>1439</v>
      </c>
      <c r="Y1" s="3" t="s">
        <v>1440</v>
      </c>
      <c r="Z1" s="3" t="s">
        <v>1441</v>
      </c>
      <c r="AA1" s="3" t="s">
        <v>1442</v>
      </c>
      <c r="AB1" s="3" t="s">
        <v>1443</v>
      </c>
      <c r="AC1" s="3" t="s">
        <v>1444</v>
      </c>
      <c r="AD1" s="3" t="s">
        <v>1445</v>
      </c>
      <c r="AE1" s="3" t="s">
        <v>102</v>
      </c>
      <c r="AF1" s="3" t="s">
        <v>103</v>
      </c>
      <c r="AG1" s="3" t="s">
        <v>1446</v>
      </c>
      <c r="AH1" s="3" t="s">
        <v>1447</v>
      </c>
      <c r="AI1" s="3" t="s">
        <v>1448</v>
      </c>
      <c r="AJ1" s="3" t="s">
        <v>104</v>
      </c>
      <c r="AK1" s="3" t="s">
        <v>1449</v>
      </c>
      <c r="AL1" s="3" t="s">
        <v>430</v>
      </c>
      <c r="AM1" s="3" t="s">
        <v>1450</v>
      </c>
      <c r="AN1" s="3" t="s">
        <v>1451</v>
      </c>
      <c r="AO1" s="3" t="s">
        <v>1452</v>
      </c>
      <c r="AP1" s="3" t="s">
        <v>1453</v>
      </c>
      <c r="AQ1" s="3" t="s">
        <v>1454</v>
      </c>
      <c r="AR1" s="3" t="s">
        <v>1455</v>
      </c>
      <c r="AS1" s="3" t="s">
        <v>1456</v>
      </c>
      <c r="AT1" s="3" t="s">
        <v>1457</v>
      </c>
      <c r="AU1" s="3" t="s">
        <v>1458</v>
      </c>
      <c r="AV1" s="3" t="s">
        <v>1459</v>
      </c>
      <c r="AW1" s="3" t="s">
        <v>1460</v>
      </c>
      <c r="AX1" s="3" t="s">
        <v>1461</v>
      </c>
      <c r="AY1" s="3" t="s">
        <v>1462</v>
      </c>
      <c r="AZ1" s="3" t="s">
        <v>431</v>
      </c>
      <c r="BA1" s="3" t="s">
        <v>432</v>
      </c>
      <c r="BB1" s="3" t="s">
        <v>433</v>
      </c>
      <c r="BC1" s="3" t="s">
        <v>1463</v>
      </c>
      <c r="BD1" s="3" t="s">
        <v>854</v>
      </c>
      <c r="BE1" s="3" t="s">
        <v>434</v>
      </c>
      <c r="BF1" s="3" t="s">
        <v>435</v>
      </c>
      <c r="BG1" s="3" t="s">
        <v>436</v>
      </c>
      <c r="BH1" s="3" t="s">
        <v>1464</v>
      </c>
      <c r="BI1" s="3" t="s">
        <v>1465</v>
      </c>
      <c r="BJ1" s="3" t="s">
        <v>1466</v>
      </c>
      <c r="BK1" s="3" t="s">
        <v>1467</v>
      </c>
      <c r="BL1" s="3" t="s">
        <v>1468</v>
      </c>
      <c r="BM1" s="3" t="s">
        <v>1469</v>
      </c>
      <c r="BN1" s="3" t="s">
        <v>1470</v>
      </c>
      <c r="BO1" s="3" t="s">
        <v>1066</v>
      </c>
      <c r="BP1" s="3" t="s">
        <v>855</v>
      </c>
      <c r="BQ1" s="3" t="s">
        <v>1471</v>
      </c>
      <c r="BR1" s="3" t="s">
        <v>1067</v>
      </c>
      <c r="BS1" s="3" t="s">
        <v>856</v>
      </c>
      <c r="BT1" s="3" t="s">
        <v>1472</v>
      </c>
      <c r="BU1" s="3" t="s">
        <v>1207</v>
      </c>
      <c r="BV1" s="3" t="s">
        <v>1473</v>
      </c>
      <c r="BW1" s="3" t="s">
        <v>1474</v>
      </c>
      <c r="BX1" s="3" t="s">
        <v>842</v>
      </c>
      <c r="BY1" s="3" t="s">
        <v>1475</v>
      </c>
      <c r="BZ1" s="3" t="s">
        <v>1476</v>
      </c>
      <c r="CA1" s="3" t="s">
        <v>843</v>
      </c>
      <c r="CB1" s="3" t="s">
        <v>1477</v>
      </c>
      <c r="CC1" s="3" t="s">
        <v>1478</v>
      </c>
      <c r="CD1" s="3" t="s">
        <v>1479</v>
      </c>
      <c r="CE1" s="3" t="s">
        <v>1480</v>
      </c>
      <c r="CF1" s="1" t="s">
        <v>1068</v>
      </c>
      <c r="CG1" s="1" t="s">
        <v>1069</v>
      </c>
      <c r="CH1" s="1" t="s">
        <v>718</v>
      </c>
      <c r="CI1" s="1" t="s">
        <v>719</v>
      </c>
      <c r="CJ1" s="1" t="s">
        <v>720</v>
      </c>
      <c r="CK1" s="1" t="s">
        <v>721</v>
      </c>
      <c r="CL1" s="1" t="s">
        <v>722</v>
      </c>
      <c r="CM1" s="1" t="s">
        <v>723</v>
      </c>
      <c r="CN1" s="1" t="s">
        <v>724</v>
      </c>
      <c r="CO1" s="1" t="s">
        <v>725</v>
      </c>
      <c r="CP1" s="1" t="s">
        <v>726</v>
      </c>
      <c r="CQ1" s="1" t="s">
        <v>727</v>
      </c>
      <c r="CR1" s="1" t="s">
        <v>1481</v>
      </c>
      <c r="CS1" s="1" t="s">
        <v>1482</v>
      </c>
      <c r="CT1" s="1" t="s">
        <v>1483</v>
      </c>
      <c r="CU1" s="1" t="s">
        <v>1484</v>
      </c>
      <c r="CV1" s="1" t="s">
        <v>1485</v>
      </c>
      <c r="CW1" s="1" t="s">
        <v>1486</v>
      </c>
      <c r="CX1" s="3">
        <v>1</v>
      </c>
      <c r="CY1" s="3" t="s">
        <v>1487</v>
      </c>
      <c r="CZ1" s="3" t="s">
        <v>1488</v>
      </c>
      <c r="DA1" s="3">
        <v>3</v>
      </c>
      <c r="DB1" s="3" t="s">
        <v>1489</v>
      </c>
      <c r="DC1" s="3" t="s">
        <v>1367</v>
      </c>
      <c r="DD1" s="3">
        <v>6</v>
      </c>
      <c r="DE1" s="3" t="s">
        <v>1490</v>
      </c>
      <c r="DF1" s="3" t="s">
        <v>1491</v>
      </c>
      <c r="DG1" s="3">
        <v>10</v>
      </c>
      <c r="DH1" s="3" t="s">
        <v>1492</v>
      </c>
      <c r="DI1" s="3" t="s">
        <v>1493</v>
      </c>
      <c r="DJ1" s="3">
        <v>20</v>
      </c>
      <c r="DK1" s="3" t="s">
        <v>1494</v>
      </c>
      <c r="DL1" s="3" t="s">
        <v>728</v>
      </c>
      <c r="DM1" s="3" t="s">
        <v>729</v>
      </c>
      <c r="DN1" s="2" t="s">
        <v>730</v>
      </c>
      <c r="DO1" s="3" t="s">
        <v>1495</v>
      </c>
      <c r="DP1" s="3" t="s">
        <v>1496</v>
      </c>
      <c r="DQ1" s="16" t="s">
        <v>1497</v>
      </c>
      <c r="DR1" s="1" t="s">
        <v>1498</v>
      </c>
      <c r="DS1" s="1" t="s">
        <v>1499</v>
      </c>
      <c r="DT1" s="3" t="s">
        <v>1500</v>
      </c>
      <c r="DU1" s="3" t="s">
        <v>1501</v>
      </c>
      <c r="DV1" s="3" t="s">
        <v>1502</v>
      </c>
      <c r="DW1" s="3" t="s">
        <v>1503</v>
      </c>
      <c r="DX1" s="3" t="s">
        <v>1504</v>
      </c>
      <c r="DY1" s="3" t="s">
        <v>1505</v>
      </c>
      <c r="DZ1" s="3" t="s">
        <v>1506</v>
      </c>
      <c r="EA1" s="3" t="s">
        <v>1507</v>
      </c>
      <c r="EB1" s="3" t="s">
        <v>1508</v>
      </c>
      <c r="EC1" s="3" t="s">
        <v>1509</v>
      </c>
      <c r="ED1" s="3" t="s">
        <v>1510</v>
      </c>
      <c r="EE1" s="3" t="s">
        <v>1511</v>
      </c>
      <c r="EF1" s="3" t="s">
        <v>1512</v>
      </c>
      <c r="EG1" s="3" t="s">
        <v>1513</v>
      </c>
      <c r="EH1" s="3" t="s">
        <v>1514</v>
      </c>
      <c r="EI1" s="3" t="s">
        <v>1515</v>
      </c>
      <c r="EK1" s="14" t="s">
        <v>1516</v>
      </c>
      <c r="EL1" s="3" t="s">
        <v>1517</v>
      </c>
      <c r="EM1" s="3" t="s">
        <v>1518</v>
      </c>
      <c r="EN1" s="3" t="s">
        <v>1519</v>
      </c>
      <c r="EO1" s="3" t="s">
        <v>1520</v>
      </c>
      <c r="EP1" s="3" t="s">
        <v>1521</v>
      </c>
    </row>
    <row r="2" spans="1:146" ht="96" x14ac:dyDescent="0.25">
      <c r="C2" s="7" t="str">
        <f>""&amp;CHAR(10)&amp;Basic_Fundamental_Information_Constructure(F2)&amp;CHAR(10)&amp;Basic_Fundamental_Information_Concatenate("")</f>
        <v xml:space="preserve">
市值422.51691亿, 利润3.07亿; PE18.75; 平均PE39.29; 平均PEG4.13, PB3.59; ROIC23.1867%; ROE27.4667%; 股利率1.3674%; 毛利61.49%; 净利35.9033%; 上一年度营收增-83.97%, 利润增-88.34%; 当季营收增-69.45%, 利润增-77.97%; 过往5年营收增9.51%, 利润增40.8%
Income profile:
</v>
      </c>
      <c r="D2" s="3" t="s">
        <v>54</v>
      </c>
      <c r="E2" s="3" t="s">
        <v>10</v>
      </c>
      <c r="F2" s="3">
        <v>49.73</v>
      </c>
      <c r="G2" s="3">
        <v>0.22</v>
      </c>
      <c r="H2" s="3" t="s">
        <v>2982</v>
      </c>
      <c r="I2" s="3">
        <v>42251691000</v>
      </c>
      <c r="J2" s="3">
        <v>18.75</v>
      </c>
      <c r="K2" s="3">
        <v>3.59</v>
      </c>
      <c r="L2" s="3" t="s">
        <v>2983</v>
      </c>
      <c r="M2" s="3" t="s">
        <v>1958</v>
      </c>
      <c r="N2" s="3" t="s">
        <v>2984</v>
      </c>
      <c r="O2" s="3" t="s">
        <v>1959</v>
      </c>
      <c r="P2" s="3">
        <v>-26.16</v>
      </c>
      <c r="Q2" s="3" t="s">
        <v>1959</v>
      </c>
      <c r="R2" s="3">
        <v>306697810</v>
      </c>
      <c r="S2" s="5">
        <v>-0.47439999999999999</v>
      </c>
      <c r="T2" s="3" t="s">
        <v>294</v>
      </c>
      <c r="U2" s="3">
        <v>849471930</v>
      </c>
      <c r="V2" s="3">
        <v>849621780</v>
      </c>
      <c r="W2" s="3">
        <v>1.41</v>
      </c>
      <c r="X2" s="3">
        <v>7.0000000000000007E-2</v>
      </c>
      <c r="Y2" s="3">
        <v>27.42</v>
      </c>
      <c r="Z2" s="3" t="s">
        <v>1560</v>
      </c>
      <c r="AA2" s="3" t="s">
        <v>1292</v>
      </c>
      <c r="AB2" s="3" t="s">
        <v>2985</v>
      </c>
      <c r="AC2" s="3" t="s">
        <v>2986</v>
      </c>
      <c r="AD2" s="3" t="s">
        <v>22</v>
      </c>
      <c r="AE2" s="3">
        <v>-11757796</v>
      </c>
      <c r="AF2" s="3" t="s">
        <v>1963</v>
      </c>
      <c r="AG2" s="3" t="s">
        <v>2987</v>
      </c>
      <c r="AH2" s="3" t="s">
        <v>1964</v>
      </c>
      <c r="AI2" s="3" t="s">
        <v>2988</v>
      </c>
      <c r="AJ2" s="3" t="s">
        <v>1965</v>
      </c>
      <c r="AK2" s="3" t="s">
        <v>1864</v>
      </c>
      <c r="AL2" s="3" t="s">
        <v>1966</v>
      </c>
      <c r="AM2" s="3" t="s">
        <v>22</v>
      </c>
      <c r="AN2" s="3" t="s">
        <v>2989</v>
      </c>
      <c r="AO2" s="3" t="s">
        <v>22</v>
      </c>
      <c r="AP2" s="3" t="s">
        <v>1764</v>
      </c>
      <c r="AQ2" s="3" t="s">
        <v>2990</v>
      </c>
      <c r="AR2" s="3" t="s">
        <v>2991</v>
      </c>
      <c r="AS2" s="3" t="s">
        <v>2992</v>
      </c>
      <c r="AT2" s="3" t="s">
        <v>162</v>
      </c>
      <c r="AU2" s="3" t="s">
        <v>2993</v>
      </c>
      <c r="AV2" s="3" t="s">
        <v>2994</v>
      </c>
      <c r="AW2" s="3" t="s">
        <v>2995</v>
      </c>
      <c r="AX2" s="3" t="s">
        <v>1523</v>
      </c>
      <c r="AY2" s="3" t="s">
        <v>859</v>
      </c>
      <c r="AZ2" s="3" t="s">
        <v>447</v>
      </c>
      <c r="BA2" s="3" t="s">
        <v>241</v>
      </c>
      <c r="BB2" s="3" t="s">
        <v>451</v>
      </c>
      <c r="BC2" s="3" t="s">
        <v>1524</v>
      </c>
      <c r="BD2" s="3" t="s">
        <v>860</v>
      </c>
      <c r="BE2" s="3" t="s">
        <v>448</v>
      </c>
      <c r="BF2" s="3" t="s">
        <v>128</v>
      </c>
      <c r="BG2" s="3" t="s">
        <v>158</v>
      </c>
      <c r="BH2" s="3" t="s">
        <v>1960</v>
      </c>
      <c r="BI2" s="3" t="s">
        <v>2996</v>
      </c>
      <c r="BJ2" s="3" t="s">
        <v>1523</v>
      </c>
      <c r="BK2" s="3" t="s">
        <v>1961</v>
      </c>
      <c r="BL2" s="3" t="s">
        <v>2997</v>
      </c>
      <c r="BM2" s="3" t="s">
        <v>1524</v>
      </c>
      <c r="BN2" s="3">
        <v>16.29</v>
      </c>
      <c r="BO2" s="3">
        <v>25.88</v>
      </c>
      <c r="BP2" s="3">
        <v>27.39</v>
      </c>
      <c r="BQ2" s="3">
        <v>19.399999999999999</v>
      </c>
      <c r="BR2" s="3">
        <v>31.06</v>
      </c>
      <c r="BS2" s="3">
        <v>31.94</v>
      </c>
      <c r="BT2" s="3" t="s">
        <v>1968</v>
      </c>
      <c r="BU2" s="3" t="s">
        <v>2998</v>
      </c>
      <c r="BV2" s="3">
        <v>61.19</v>
      </c>
      <c r="BW2" s="3">
        <v>63.8</v>
      </c>
      <c r="BX2" s="3">
        <v>59.48</v>
      </c>
      <c r="BY2" s="3">
        <v>33.49</v>
      </c>
      <c r="BZ2" s="3">
        <v>37.08</v>
      </c>
      <c r="CA2" s="3">
        <v>37.14</v>
      </c>
      <c r="CB2" s="3">
        <v>-5.46</v>
      </c>
      <c r="CC2" s="3">
        <v>-10.27</v>
      </c>
      <c r="CD2" s="3" t="s">
        <v>2999</v>
      </c>
      <c r="CE2" s="3" t="s">
        <v>560</v>
      </c>
      <c r="CF2" s="10">
        <v>-0.69451137884872827</v>
      </c>
      <c r="CG2" s="11">
        <v>-0.77967111350574714</v>
      </c>
      <c r="CH2" s="10">
        <v>-0.83974719047546387</v>
      </c>
      <c r="CI2" s="10">
        <v>0.33283412456512451</v>
      </c>
      <c r="CJ2" s="10">
        <v>0.63363909721374512</v>
      </c>
      <c r="CK2" s="10">
        <v>-4.6647157520055771E-2</v>
      </c>
      <c r="CL2" s="10">
        <v>0.39544346928596497</v>
      </c>
      <c r="CM2" s="11">
        <v>-0.8833586573600769</v>
      </c>
      <c r="CN2" s="11">
        <v>0.34698054194450378</v>
      </c>
      <c r="CO2" s="11">
        <v>1.4243175983428955</v>
      </c>
      <c r="CP2" s="11">
        <v>0.98522168397903442</v>
      </c>
      <c r="CQ2" s="11">
        <v>0.1666666716337204</v>
      </c>
      <c r="CR2" s="3">
        <v>39.285626220362623</v>
      </c>
      <c r="CS2" s="3">
        <v>4.1307865753256641</v>
      </c>
      <c r="CT2" s="3">
        <v>1.3673838729137342</v>
      </c>
      <c r="CU2" s="10">
        <v>9.5104468613862986E-2</v>
      </c>
      <c r="CV2" s="11">
        <v>0.40796556770801545</v>
      </c>
      <c r="CW2" s="3">
        <v>0.06</v>
      </c>
      <c r="CX2" s="3">
        <v>113.8254781571339</v>
      </c>
      <c r="CY2" s="3">
        <v>317167048.92873198</v>
      </c>
      <c r="CZ2" s="3">
        <v>9.5104468613862986E-2</v>
      </c>
      <c r="DA2" s="3">
        <v>37.036764263075753</v>
      </c>
      <c r="DB2" s="3">
        <v>974752835.95419312</v>
      </c>
      <c r="DC2" s="3">
        <v>9.0349245183169835E-2</v>
      </c>
      <c r="DD2" s="3">
        <v>18.127110710664233</v>
      </c>
      <c r="DE2" s="3">
        <v>1991585508.3712413</v>
      </c>
      <c r="DF2" s="3">
        <v>8.3691932380199424E-2</v>
      </c>
      <c r="DG2" s="3">
        <v>10.814643891918097</v>
      </c>
      <c r="DH2" s="3">
        <v>3338222817.2098384</v>
      </c>
      <c r="DI2" s="3">
        <v>7.6083574891090397E-2</v>
      </c>
      <c r="DJ2" s="3">
        <v>5.5067222733028931</v>
      </c>
      <c r="DK2" s="3">
        <v>6555930952.7964373</v>
      </c>
      <c r="DL2" s="3">
        <v>6.6573128029704082E-2</v>
      </c>
      <c r="DM2" s="3">
        <v>307000000</v>
      </c>
      <c r="DN2" s="3">
        <v>9.5104468613862986E-2</v>
      </c>
      <c r="DO2" s="3">
        <v>36101691000</v>
      </c>
      <c r="DP2" s="3">
        <v>10254884000</v>
      </c>
      <c r="DQ2" s="3">
        <v>567</v>
      </c>
      <c r="DR2" s="3">
        <v>-0.78961584746259128</v>
      </c>
      <c r="DS2" s="3">
        <v>-1.1876366812137626</v>
      </c>
      <c r="DT2" s="12">
        <v>-0.25666666666666665</v>
      </c>
      <c r="DU2" s="3">
        <v>-2.3333333333333355E-2</v>
      </c>
      <c r="DV2" s="3">
        <v>-0.28000000000000003</v>
      </c>
      <c r="DW2" s="3">
        <v>-8.5316455696202524</v>
      </c>
      <c r="DX2" s="3">
        <v>0.3343902097902105</v>
      </c>
      <c r="DY2" s="3">
        <v>-8.0554985925466944</v>
      </c>
      <c r="DZ2" s="3">
        <v>572</v>
      </c>
      <c r="EA2" s="3">
        <v>-8.0492862256314872</v>
      </c>
      <c r="EB2" s="3">
        <v>8</v>
      </c>
      <c r="EC2" s="3">
        <v>7.0279742593227779E-2</v>
      </c>
      <c r="ED2" s="3">
        <v>0.67324074484060425</v>
      </c>
      <c r="EE2" s="13">
        <v>-3.1036100000000002</v>
      </c>
      <c r="EF2" s="3">
        <v>-3.1285099999999999</v>
      </c>
      <c r="EG2" s="3">
        <v>23.104390209790211</v>
      </c>
      <c r="EH2" s="3" t="s">
        <v>1838</v>
      </c>
      <c r="EI2" s="3">
        <v>0</v>
      </c>
      <c r="EJ2" s="3">
        <v>1</v>
      </c>
      <c r="EK2" s="14">
        <v>45470</v>
      </c>
      <c r="EL2" s="15">
        <v>-2.2200000000000002</v>
      </c>
      <c r="EM2" s="15">
        <v>-4.57</v>
      </c>
      <c r="EN2" s="15">
        <v>-4.5199999999999996</v>
      </c>
      <c r="EO2" s="15">
        <v>2.69</v>
      </c>
      <c r="EP2" s="15">
        <v>-2.4900000000000002</v>
      </c>
    </row>
    <row r="3" spans="1:146" ht="180" x14ac:dyDescent="0.25">
      <c r="B3" s="7" t="s">
        <v>1184</v>
      </c>
      <c r="C3" s="7" t="str">
        <f>"公司业务主要包括集成电路、园区服务、房地产。主要产品及服务为房地产、租赁、集成电路封装、集成电路测试、商贸物流及服务业。"&amp;CHAR(10)&amp;Basic_Fundamental_Information_Constructure(F3)&amp;CHAR(10)&amp;Basic_Fundamental_Information_Concatenate("集成电路封装 2.42亿 35.38% 49.27% 38.82%
集成电路测试 1.60亿 23.37% 16.89% 20.14%
码头仓储供水等园区服务 1.23亿 17.92% 7.17% 11.15%
其他 7899.44万 11.56% 8.95% 21.59%
租赁 4410.21万 6.45% 4.69% 20.26%
环保固废填埋 3632.88万 5.31% 13.03% 68.35%")</f>
        <v>公司业务主要包括集成电路、园区服务、房地产。主要产品及服务为房地产、租赁、集成电路封装、集成电路测试、商贸物流及服务业。
市值69.235578亿, 利润1523.57万; PE255.7; 平均PE-55.64; 平均PEG-1.57, PB2.11; ROIC3.53%; ROE3.1933%; 股利率0%; 毛利21.12%; 净利18.0067%; 上一年度营收增-86.97%, 利润增-69.12%; 当季营收增-64.52%, 利润增-84.43%; 过往5年营收增-35.36%, 利润增8.68%
Income profile:
集成电路封装 2.42亿 35.38% 49.27% 38.82%
集成电路测试 1.60亿 23.37% 16.89% 20.14%
码头仓储供水等园区服务 1.23亿 17.92% 7.17% 11.15%
其他 7899.44万 11.56% 8.95% 21.59%
租赁 4410.21万 6.45% 4.69% 20.26%
环保固废填埋 3632.88万 5.31% 13.03% 68.35%</v>
      </c>
      <c r="D3" s="3" t="s">
        <v>68</v>
      </c>
      <c r="E3" s="3" t="s">
        <v>731</v>
      </c>
      <c r="F3" s="3">
        <v>11.93</v>
      </c>
      <c r="G3" s="3">
        <v>-0.5</v>
      </c>
      <c r="H3" s="3" t="s">
        <v>3000</v>
      </c>
      <c r="I3" s="3">
        <v>6923557800</v>
      </c>
      <c r="J3" s="3">
        <v>255.7</v>
      </c>
      <c r="K3" s="3">
        <v>2.11</v>
      </c>
      <c r="L3" s="3" t="s">
        <v>2983</v>
      </c>
      <c r="M3" s="3" t="s">
        <v>223</v>
      </c>
      <c r="N3" s="3" t="s">
        <v>3001</v>
      </c>
      <c r="O3" s="3" t="s">
        <v>1969</v>
      </c>
      <c r="P3" s="3">
        <v>-39.19</v>
      </c>
      <c r="Q3" s="3" t="s">
        <v>1969</v>
      </c>
      <c r="R3" s="3">
        <v>15235650</v>
      </c>
      <c r="S3" s="5">
        <v>-0.80100000000000005</v>
      </c>
      <c r="T3" s="3" t="s">
        <v>3002</v>
      </c>
      <c r="U3" s="3">
        <v>580348510</v>
      </c>
      <c r="V3" s="3">
        <v>580348510</v>
      </c>
      <c r="W3" s="3">
        <v>1.27</v>
      </c>
      <c r="X3" s="3">
        <v>0.02</v>
      </c>
      <c r="Y3" s="3">
        <v>21.55</v>
      </c>
      <c r="Z3" s="3" t="s">
        <v>3003</v>
      </c>
      <c r="AA3" s="3" t="s">
        <v>3004</v>
      </c>
      <c r="AB3" s="3" t="s">
        <v>3005</v>
      </c>
      <c r="AC3" s="3" t="s">
        <v>3006</v>
      </c>
      <c r="AD3" s="3" t="s">
        <v>22</v>
      </c>
      <c r="AE3" s="3">
        <v>7409146</v>
      </c>
      <c r="AF3" s="3" t="s">
        <v>1973</v>
      </c>
      <c r="AG3" s="3" t="s">
        <v>3007</v>
      </c>
      <c r="AH3" s="3" t="s">
        <v>1974</v>
      </c>
      <c r="AI3" s="3" t="s">
        <v>518</v>
      </c>
      <c r="AJ3" s="3" t="s">
        <v>1975</v>
      </c>
      <c r="AK3" s="3" t="s">
        <v>22</v>
      </c>
      <c r="AL3" s="3" t="s">
        <v>1976</v>
      </c>
      <c r="AM3" s="3" t="s">
        <v>22</v>
      </c>
      <c r="AN3" s="3" t="s">
        <v>146</v>
      </c>
      <c r="AO3" s="3" t="s">
        <v>173</v>
      </c>
      <c r="AP3" s="3" t="s">
        <v>3008</v>
      </c>
      <c r="AQ3" s="3" t="s">
        <v>446</v>
      </c>
      <c r="AR3" s="3" t="s">
        <v>3009</v>
      </c>
      <c r="AS3" s="3" t="s">
        <v>281</v>
      </c>
      <c r="AT3" s="3" t="s">
        <v>760</v>
      </c>
      <c r="AU3" s="3" t="s">
        <v>3010</v>
      </c>
      <c r="AV3" s="3" t="s">
        <v>3011</v>
      </c>
      <c r="AW3" s="3" t="s">
        <v>3012</v>
      </c>
      <c r="AX3" s="3" t="s">
        <v>1308</v>
      </c>
      <c r="AY3" s="3" t="s">
        <v>776</v>
      </c>
      <c r="AZ3" s="3" t="s">
        <v>332</v>
      </c>
      <c r="BA3" s="3" t="s">
        <v>242</v>
      </c>
      <c r="BB3" s="3" t="s">
        <v>454</v>
      </c>
      <c r="BC3" s="3" t="s">
        <v>1978</v>
      </c>
      <c r="BD3" s="3" t="s">
        <v>179</v>
      </c>
      <c r="BE3" s="3" t="s">
        <v>453</v>
      </c>
      <c r="BF3" s="3" t="s">
        <v>308</v>
      </c>
      <c r="BG3" s="3" t="s">
        <v>457</v>
      </c>
      <c r="BH3" s="3" t="s">
        <v>1970</v>
      </c>
      <c r="BI3" s="3" t="s">
        <v>129</v>
      </c>
      <c r="BJ3" s="3" t="s">
        <v>1308</v>
      </c>
      <c r="BK3" s="3" t="s">
        <v>1971</v>
      </c>
      <c r="BL3" s="3" t="s">
        <v>3013</v>
      </c>
      <c r="BM3" s="3" t="s">
        <v>1978</v>
      </c>
      <c r="BN3" s="3">
        <v>3.42</v>
      </c>
      <c r="BO3" s="3">
        <v>2.39</v>
      </c>
      <c r="BP3" s="3">
        <v>4.78</v>
      </c>
      <c r="BQ3" s="3">
        <v>3.56</v>
      </c>
      <c r="BR3" s="3">
        <v>1.55</v>
      </c>
      <c r="BS3" s="3">
        <v>4.47</v>
      </c>
      <c r="BT3" s="3" t="s">
        <v>1368</v>
      </c>
      <c r="BU3" s="3" t="s">
        <v>1209</v>
      </c>
      <c r="BV3" s="3">
        <v>12</v>
      </c>
      <c r="BW3" s="3">
        <v>23.48</v>
      </c>
      <c r="BX3" s="3">
        <v>27.88</v>
      </c>
      <c r="BY3" s="3">
        <v>19.45</v>
      </c>
      <c r="BZ3" s="3">
        <v>11.48</v>
      </c>
      <c r="CA3" s="3">
        <v>23.09</v>
      </c>
      <c r="CB3" s="3">
        <v>0.08</v>
      </c>
      <c r="CC3" s="3">
        <v>-1.97</v>
      </c>
      <c r="CD3" s="3" t="s">
        <v>3014</v>
      </c>
      <c r="CE3" s="3" t="s">
        <v>1603</v>
      </c>
      <c r="CF3" s="10">
        <v>-0.64519856459330138</v>
      </c>
      <c r="CG3" s="11">
        <v>-0.84425288531326992</v>
      </c>
      <c r="CH3" s="10">
        <v>-0.86967748403549194</v>
      </c>
      <c r="CI3" s="10">
        <v>-0.16812865436077118</v>
      </c>
      <c r="CJ3" s="10">
        <v>-0.20465116202831268</v>
      </c>
      <c r="CK3" s="10">
        <v>-7.7253222465515137E-2</v>
      </c>
      <c r="CL3" s="10">
        <v>-0.4485207200050354</v>
      </c>
      <c r="CM3" s="11">
        <v>-0.69116926193237305</v>
      </c>
      <c r="CN3" s="11">
        <v>-0.63725364208221436</v>
      </c>
      <c r="CO3" s="11">
        <v>0.3895714282989502</v>
      </c>
      <c r="CP3" s="11">
        <v>1.2060462236404419</v>
      </c>
      <c r="CQ3" s="11">
        <v>0.1666666716337204</v>
      </c>
      <c r="CR3" s="3">
        <v>-55.643763405673688</v>
      </c>
      <c r="CS3" s="3">
        <v>-1.5734300485090431</v>
      </c>
      <c r="CT3" s="3">
        <v>0</v>
      </c>
      <c r="CU3" s="10">
        <v>-0.35364624857902527</v>
      </c>
      <c r="CV3" s="11">
        <v>8.6772283911705023E-2</v>
      </c>
      <c r="CW3" s="3">
        <v>0.06</v>
      </c>
      <c r="CX3" s="3">
        <v>294.93609089178705</v>
      </c>
      <c r="CY3" s="3" t="s">
        <v>3015</v>
      </c>
      <c r="CZ3" s="3">
        <v>-0.35364624857902527</v>
      </c>
      <c r="DA3" s="3">
        <v>98.312030297262353</v>
      </c>
      <c r="DB3" s="3" t="s">
        <v>3016</v>
      </c>
      <c r="DC3" s="3">
        <v>-0.33596393615007397</v>
      </c>
      <c r="DD3" s="3">
        <v>49.156015148631177</v>
      </c>
      <c r="DE3" s="3" t="s">
        <v>3017</v>
      </c>
      <c r="DF3" s="3">
        <v>-0.31120869874954221</v>
      </c>
      <c r="DG3" s="3">
        <v>29.493609089178705</v>
      </c>
      <c r="DH3" s="3" t="s">
        <v>3018</v>
      </c>
      <c r="DI3" s="3">
        <v>-0.28291699886322025</v>
      </c>
      <c r="DJ3" s="3">
        <v>14.746804544589352</v>
      </c>
      <c r="DK3" s="3" t="s">
        <v>3019</v>
      </c>
      <c r="DL3" s="3">
        <v>-0.24755237400531768</v>
      </c>
      <c r="DM3" s="3">
        <v>15235700</v>
      </c>
      <c r="DN3" s="3">
        <v>-0.35364624857902527</v>
      </c>
      <c r="DO3" s="3">
        <v>4493557800</v>
      </c>
      <c r="DP3" s="3">
        <v>112831330</v>
      </c>
      <c r="DQ3" s="3">
        <v>593</v>
      </c>
      <c r="DR3" s="3">
        <v>-0.29155231601427611</v>
      </c>
      <c r="DS3" s="3">
        <v>-0.93102516922497491</v>
      </c>
      <c r="DT3" s="12">
        <v>-1.1566666666666665</v>
      </c>
      <c r="DU3" s="3">
        <v>-1.0233333333333332</v>
      </c>
      <c r="DV3" s="3">
        <v>-2.1799999999999997</v>
      </c>
      <c r="DW3" s="3">
        <v>-1.9699999999999999E-2</v>
      </c>
      <c r="DX3" s="3">
        <v>0.23205363372093032</v>
      </c>
      <c r="DY3" s="3">
        <v>-1.4194565843023256E-3</v>
      </c>
      <c r="DZ3" s="3">
        <v>3896</v>
      </c>
      <c r="EA3" s="3">
        <v>-3.3722510632935875E-4</v>
      </c>
      <c r="EB3" s="3">
        <v>0</v>
      </c>
      <c r="EC3" s="3">
        <v>8.541919061703114E-2</v>
      </c>
      <c r="ED3" s="3">
        <v>1.1854945573996563</v>
      </c>
      <c r="EE3" s="13">
        <v>7.0110000000000006E-2</v>
      </c>
      <c r="EF3" s="3">
        <v>0.10120999999999999</v>
      </c>
      <c r="EG3" s="3">
        <v>16.07205363372093</v>
      </c>
      <c r="EH3" s="3">
        <v>-1</v>
      </c>
      <c r="EI3" s="3">
        <v>0</v>
      </c>
      <c r="EJ3" s="3">
        <v>0</v>
      </c>
      <c r="EK3" s="14">
        <v>45470</v>
      </c>
      <c r="EL3" s="15">
        <v>-3.08</v>
      </c>
      <c r="EM3" s="15">
        <v>-5.68</v>
      </c>
      <c r="EN3" s="15">
        <v>-3.94</v>
      </c>
      <c r="EO3" s="15">
        <v>2.0099999999999998</v>
      </c>
      <c r="EP3" s="15">
        <v>-3.11</v>
      </c>
    </row>
    <row r="4" spans="1:146" ht="96" x14ac:dyDescent="0.25">
      <c r="C4" s="7" t="str">
        <f>""&amp;CHAR(10)&amp;Basic_Fundamental_Information_Constructure(F4)&amp;CHAR(10)&amp;Basic_Fundamental_Information_Concatenate("")</f>
        <v xml:space="preserve">
市值41.769109亿, 利润1879.96万; PE52.18; 平均PE44.55; 平均PEG4.4, PB3.18; ROIC7.82%; ROE10.19%; 股利率.2695%; 毛利15.8167%; 净利6.26%; 上一年度营收增-74.75%, 利润增-81.57%; 当季营收增-49.23%, 利润增-59.28%; 过往5年营收增-10.12%, 利润增-1.8%
Income profile:
</v>
      </c>
      <c r="D4" s="3" t="s">
        <v>59</v>
      </c>
      <c r="E4" s="3" t="s">
        <v>15</v>
      </c>
      <c r="F4" s="3">
        <v>11.13</v>
      </c>
      <c r="G4" s="3">
        <v>-2.37</v>
      </c>
      <c r="H4" s="3" t="s">
        <v>3020</v>
      </c>
      <c r="I4" s="3">
        <v>4176910900</v>
      </c>
      <c r="J4" s="3">
        <v>52.18</v>
      </c>
      <c r="K4" s="3">
        <v>3.18</v>
      </c>
      <c r="L4" s="3" t="s">
        <v>2983</v>
      </c>
      <c r="M4" s="3" t="s">
        <v>1868</v>
      </c>
      <c r="N4" s="3" t="s">
        <v>2940</v>
      </c>
      <c r="O4" s="3" t="s">
        <v>498</v>
      </c>
      <c r="P4" s="3">
        <v>11.1</v>
      </c>
      <c r="Q4" s="3" t="s">
        <v>498</v>
      </c>
      <c r="R4" s="3">
        <v>18799551</v>
      </c>
      <c r="S4" s="5">
        <v>-2.7400000000000001E-2</v>
      </c>
      <c r="T4" s="3" t="s">
        <v>3021</v>
      </c>
      <c r="U4" s="3">
        <v>375284000</v>
      </c>
      <c r="V4" s="3">
        <v>375284000</v>
      </c>
      <c r="W4" s="3">
        <v>1.78</v>
      </c>
      <c r="X4" s="3">
        <v>0.18</v>
      </c>
      <c r="Y4" s="3">
        <v>4.37</v>
      </c>
      <c r="Z4" s="3" t="s">
        <v>246</v>
      </c>
      <c r="AA4" s="3" t="s">
        <v>204</v>
      </c>
      <c r="AB4" s="3" t="s">
        <v>3022</v>
      </c>
      <c r="AC4" s="3" t="s">
        <v>3023</v>
      </c>
      <c r="AD4" s="3" t="s">
        <v>22</v>
      </c>
      <c r="AE4" s="3">
        <v>1118363</v>
      </c>
      <c r="AF4" s="3" t="s">
        <v>1980</v>
      </c>
      <c r="AG4" s="3" t="s">
        <v>3024</v>
      </c>
      <c r="AH4" s="3" t="s">
        <v>1981</v>
      </c>
      <c r="AI4" s="3" t="s">
        <v>818</v>
      </c>
      <c r="AJ4" s="3" t="s">
        <v>1982</v>
      </c>
      <c r="AK4" s="3" t="s">
        <v>3025</v>
      </c>
      <c r="AL4" s="3" t="s">
        <v>1983</v>
      </c>
      <c r="AM4" s="3" t="s">
        <v>22</v>
      </c>
      <c r="AN4" s="3" t="s">
        <v>3026</v>
      </c>
      <c r="AO4" s="3" t="s">
        <v>371</v>
      </c>
      <c r="AP4" s="3" t="s">
        <v>309</v>
      </c>
      <c r="AQ4" s="3" t="s">
        <v>118</v>
      </c>
      <c r="AR4" s="3" t="s">
        <v>3027</v>
      </c>
      <c r="AS4" s="3" t="s">
        <v>3028</v>
      </c>
      <c r="AT4" s="3" t="s">
        <v>22</v>
      </c>
      <c r="AU4" s="3" t="s">
        <v>3029</v>
      </c>
      <c r="AV4" s="3" t="s">
        <v>3030</v>
      </c>
      <c r="AW4" s="3" t="s">
        <v>3031</v>
      </c>
      <c r="AX4" s="3" t="s">
        <v>1213</v>
      </c>
      <c r="AY4" s="3" t="s">
        <v>861</v>
      </c>
      <c r="AZ4" s="3" t="s">
        <v>459</v>
      </c>
      <c r="BA4" s="3" t="s">
        <v>261</v>
      </c>
      <c r="BB4" s="3" t="s">
        <v>461</v>
      </c>
      <c r="BC4" s="3" t="s">
        <v>111</v>
      </c>
      <c r="BD4" s="3" t="s">
        <v>216</v>
      </c>
      <c r="BE4" s="3" t="s">
        <v>460</v>
      </c>
      <c r="BF4" s="3" t="s">
        <v>310</v>
      </c>
      <c r="BG4" s="3" t="s">
        <v>464</v>
      </c>
      <c r="BH4" s="3" t="s">
        <v>1791</v>
      </c>
      <c r="BI4" s="3" t="s">
        <v>589</v>
      </c>
      <c r="BJ4" s="3" t="s">
        <v>1213</v>
      </c>
      <c r="BK4" s="3" t="s">
        <v>1979</v>
      </c>
      <c r="BL4" s="3" t="s">
        <v>3032</v>
      </c>
      <c r="BM4" s="3" t="s">
        <v>111</v>
      </c>
      <c r="BN4" s="3">
        <v>3.52</v>
      </c>
      <c r="BO4" s="3">
        <v>7.16</v>
      </c>
      <c r="BP4" s="3">
        <v>12.78</v>
      </c>
      <c r="BQ4" s="3">
        <v>4.78</v>
      </c>
      <c r="BR4" s="3">
        <v>8.6300000000000008</v>
      </c>
      <c r="BS4" s="3">
        <v>17.16</v>
      </c>
      <c r="BT4" s="3" t="s">
        <v>1378</v>
      </c>
      <c r="BU4" s="3" t="s">
        <v>1211</v>
      </c>
      <c r="BV4" s="3">
        <v>12.85</v>
      </c>
      <c r="BW4" s="3">
        <v>15.75</v>
      </c>
      <c r="BX4" s="3">
        <v>18.850000000000001</v>
      </c>
      <c r="BY4" s="3">
        <v>4.53</v>
      </c>
      <c r="BZ4" s="3">
        <v>5.99</v>
      </c>
      <c r="CA4" s="3">
        <v>8.26</v>
      </c>
      <c r="CB4" s="3">
        <v>-0.62</v>
      </c>
      <c r="CC4" s="3">
        <v>7.02</v>
      </c>
      <c r="CD4" s="3" t="s">
        <v>24</v>
      </c>
      <c r="CE4" s="3" t="s">
        <v>3033</v>
      </c>
      <c r="CF4" s="10">
        <v>-0.49232585596221967</v>
      </c>
      <c r="CG4" s="11">
        <v>-0.59277039716665403</v>
      </c>
      <c r="CH4" s="10">
        <v>-0.74750441312789917</v>
      </c>
      <c r="CI4" s="10">
        <v>-0.22414578497409821</v>
      </c>
      <c r="CJ4" s="10">
        <v>0.41704335808753967</v>
      </c>
      <c r="CK4" s="10">
        <v>9.2383593320846558E-2</v>
      </c>
      <c r="CL4" s="10">
        <v>-4.3830115348100662E-2</v>
      </c>
      <c r="CM4" s="11">
        <v>-0.81569021940231323</v>
      </c>
      <c r="CN4" s="11">
        <v>-0.4364641010761261</v>
      </c>
      <c r="CO4" s="11">
        <v>1.0584322214126587</v>
      </c>
      <c r="CP4" s="11">
        <v>-5.0245821475982666E-2</v>
      </c>
      <c r="CQ4" s="11">
        <v>0.15387371182441711</v>
      </c>
      <c r="CR4" s="3">
        <v>44.549748369078593</v>
      </c>
      <c r="CS4" s="3">
        <v>4.4016848528917141</v>
      </c>
      <c r="CT4" s="3">
        <v>0.26954177897574122</v>
      </c>
      <c r="CU4" s="10">
        <v>-0.10121067240834236</v>
      </c>
      <c r="CV4" s="11">
        <v>-1.8018841743469238E-2</v>
      </c>
      <c r="CW4" s="3">
        <v>0.06</v>
      </c>
      <c r="CX4" s="3">
        <v>206.70178620821719</v>
      </c>
      <c r="CY4" s="3" t="s">
        <v>3034</v>
      </c>
      <c r="CZ4" s="3">
        <v>-0.10121067240834236</v>
      </c>
      <c r="DA4" s="3">
        <v>68.900595402739071</v>
      </c>
      <c r="DB4" s="3" t="s">
        <v>3035</v>
      </c>
      <c r="DC4" s="3">
        <v>-9.6150138787925235E-2</v>
      </c>
      <c r="DD4" s="3">
        <v>34.450297701369536</v>
      </c>
      <c r="DE4" s="3" t="s">
        <v>3036</v>
      </c>
      <c r="DF4" s="3">
        <v>-8.9065391719341275E-2</v>
      </c>
      <c r="DG4" s="3">
        <v>20.670178620821719</v>
      </c>
      <c r="DH4" s="3" t="s">
        <v>3037</v>
      </c>
      <c r="DI4" s="3">
        <v>-8.0968537926673897E-2</v>
      </c>
      <c r="DJ4" s="3">
        <v>10.33508931041086</v>
      </c>
      <c r="DK4" s="3" t="s">
        <v>3038</v>
      </c>
      <c r="DL4" s="3">
        <v>-7.0847470685839645E-2</v>
      </c>
      <c r="DM4" s="3">
        <v>18799600</v>
      </c>
      <c r="DN4" s="3">
        <v>-0.10121067240834236</v>
      </c>
      <c r="DO4" s="3">
        <v>3885910900</v>
      </c>
      <c r="DP4" s="3">
        <v>197631620</v>
      </c>
      <c r="DQ4" s="3">
        <v>631</v>
      </c>
      <c r="DR4" s="3">
        <v>-0.39111518355387731</v>
      </c>
      <c r="DS4" s="3">
        <v>-0.57475155542318479</v>
      </c>
      <c r="DT4" s="12">
        <v>-0.79</v>
      </c>
      <c r="DU4" s="3">
        <v>-0.33666666666666661</v>
      </c>
      <c r="DV4" s="3">
        <v>-1.1266666666666667</v>
      </c>
      <c r="DW4" s="3">
        <v>2.0701999999999998</v>
      </c>
      <c r="DX4" s="3">
        <v>0.39513966480446827</v>
      </c>
      <c r="DY4" s="3">
        <v>2.0087848044692738</v>
      </c>
      <c r="DZ4" s="3">
        <v>2686</v>
      </c>
      <c r="EA4" s="3">
        <v>2.0041671949184972</v>
      </c>
      <c r="EB4" s="3">
        <v>2</v>
      </c>
      <c r="EC4" s="3">
        <v>0.29844064761620537</v>
      </c>
      <c r="ED4" s="3">
        <v>2.3848605322902121</v>
      </c>
      <c r="EE4" s="13">
        <v>-2.0922100000000001</v>
      </c>
      <c r="EF4" s="3">
        <v>-2.08771</v>
      </c>
      <c r="EG4" s="3">
        <v>27.125139664804468</v>
      </c>
      <c r="EH4" s="3" t="s">
        <v>1401</v>
      </c>
      <c r="EI4" s="3">
        <v>1</v>
      </c>
      <c r="EJ4" s="3">
        <v>0</v>
      </c>
      <c r="EK4" s="14">
        <v>45470</v>
      </c>
      <c r="EL4" s="15">
        <v>-5.64</v>
      </c>
      <c r="EM4" s="15">
        <v>-5.38</v>
      </c>
      <c r="EN4" s="15">
        <v>-3.52</v>
      </c>
      <c r="EO4" s="15">
        <v>2.8</v>
      </c>
      <c r="EP4" s="15">
        <v>0.45</v>
      </c>
    </row>
    <row r="5" spans="1:146" ht="168" x14ac:dyDescent="0.25">
      <c r="A5" s="7" t="s">
        <v>1181</v>
      </c>
      <c r="B5" s="7" t="s">
        <v>1182</v>
      </c>
      <c r="C5" s="7" t="str">
        <f>"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amp;CHAR(10)&amp;Basic_Fundamental_Information_Constructure(F5)&amp;CHAR(10)&amp;Basic_Fundamental_Information_Concatenate("中国境外 107.45亿 67.95% 60.21% 15.21%
中国境内 48.10亿 30.42% 37.07% 20.92%
其他业务 2.57亿 1.63% 2.72% 28.69%")</f>
        <v>公司专业从事集成电路的封装和测试,拥有年封装15亿块集成电路、测试6亿块集成电路的生产能力,是中国国内目前规模最大、产品品种最多的集成电路封装测试企业之一。公司现有DIP、SIP、SOP、QFP、SSOP、TQFP、MCM等系列封装形式,多个产品填补国内空白。
市值321.73055亿, 利润9849.24万; PE122.2; 平均PE94.55; 平均PEG9.14, PB2.29; ROIC5.25%; ROE4.5167%; 股利率.0566%; 毛利14.2433%; 净利3.1867%; 上一年度营收增-75.35%, 利润增-80.38%; 当季营收增-46.69%, 利润增152.39%; 过往5年营收增10.34%, 利润增327.22%
Income profile:
中国境外 107.45亿 67.95% 60.21% 15.21%
中国境内 48.10亿 30.42% 37.07% 20.92%
其他业务 2.57亿 1.63% 2.72% 28.69%</v>
      </c>
      <c r="D5" s="3" t="s">
        <v>69</v>
      </c>
      <c r="E5" s="3" t="s">
        <v>11</v>
      </c>
      <c r="F5" s="3">
        <v>21.2</v>
      </c>
      <c r="G5" s="3">
        <v>-3.77</v>
      </c>
      <c r="H5" s="3" t="s">
        <v>3039</v>
      </c>
      <c r="I5" s="3">
        <v>32173055000</v>
      </c>
      <c r="J5" s="3">
        <v>122.2</v>
      </c>
      <c r="K5" s="3">
        <v>2.29</v>
      </c>
      <c r="L5" s="3" t="s">
        <v>2983</v>
      </c>
      <c r="M5" s="3" t="s">
        <v>1986</v>
      </c>
      <c r="N5" s="3" t="s">
        <v>3040</v>
      </c>
      <c r="O5" s="3" t="s">
        <v>1987</v>
      </c>
      <c r="P5" s="3">
        <v>13.79</v>
      </c>
      <c r="Q5" s="3" t="s">
        <v>1987</v>
      </c>
      <c r="R5" s="3">
        <v>98492389</v>
      </c>
      <c r="S5" s="5">
        <v>20.64</v>
      </c>
      <c r="T5" s="3" t="s">
        <v>3041</v>
      </c>
      <c r="U5" s="3">
        <v>1517430800</v>
      </c>
      <c r="V5" s="3">
        <v>1517596900</v>
      </c>
      <c r="W5" s="3">
        <v>2.36</v>
      </c>
      <c r="X5" s="3">
        <v>0.15</v>
      </c>
      <c r="Y5" s="3">
        <v>2.19</v>
      </c>
      <c r="Z5" s="3" t="s">
        <v>3042</v>
      </c>
      <c r="AA5" s="3" t="s">
        <v>3043</v>
      </c>
      <c r="AB5" s="3" t="s">
        <v>3044</v>
      </c>
      <c r="AC5" s="3" t="s">
        <v>155</v>
      </c>
      <c r="AD5" s="3" t="s">
        <v>22</v>
      </c>
      <c r="AE5" s="3">
        <v>123477775</v>
      </c>
      <c r="AF5" s="3" t="s">
        <v>1989</v>
      </c>
      <c r="AG5" s="3" t="s">
        <v>3045</v>
      </c>
      <c r="AH5" s="3" t="s">
        <v>1990</v>
      </c>
      <c r="AI5" s="3" t="s">
        <v>914</v>
      </c>
      <c r="AJ5" s="3" t="s">
        <v>1991</v>
      </c>
      <c r="AK5" s="3" t="s">
        <v>3046</v>
      </c>
      <c r="AL5" s="3" t="s">
        <v>1992</v>
      </c>
      <c r="AM5" s="3" t="s">
        <v>22</v>
      </c>
      <c r="AN5" s="3" t="s">
        <v>3047</v>
      </c>
      <c r="AO5" s="3" t="s">
        <v>2107</v>
      </c>
      <c r="AP5" s="3" t="s">
        <v>22</v>
      </c>
      <c r="AQ5" s="3" t="s">
        <v>3048</v>
      </c>
      <c r="AR5" s="3" t="s">
        <v>3049</v>
      </c>
      <c r="AS5" s="3" t="s">
        <v>3050</v>
      </c>
      <c r="AT5" s="3" t="s">
        <v>3051</v>
      </c>
      <c r="AU5" s="3" t="s">
        <v>1754</v>
      </c>
      <c r="AV5" s="3" t="s">
        <v>3052</v>
      </c>
      <c r="AW5" s="3" t="s">
        <v>205</v>
      </c>
      <c r="AX5" s="3" t="s">
        <v>1525</v>
      </c>
      <c r="AY5" s="3" t="s">
        <v>863</v>
      </c>
      <c r="AZ5" s="3" t="s">
        <v>469</v>
      </c>
      <c r="BA5" s="3" t="s">
        <v>245</v>
      </c>
      <c r="BB5" s="3" t="s">
        <v>470</v>
      </c>
      <c r="BC5" s="3" t="s">
        <v>817</v>
      </c>
      <c r="BD5" s="3" t="s">
        <v>838</v>
      </c>
      <c r="BE5" s="3" t="s">
        <v>395</v>
      </c>
      <c r="BF5" s="3" t="s">
        <v>312</v>
      </c>
      <c r="BG5" s="3" t="s">
        <v>166</v>
      </c>
      <c r="BH5" s="3" t="s">
        <v>1988</v>
      </c>
      <c r="BI5" s="3" t="s">
        <v>3053</v>
      </c>
      <c r="BJ5" s="3" t="s">
        <v>1525</v>
      </c>
      <c r="BK5" s="3" t="s">
        <v>224</v>
      </c>
      <c r="BL5" s="3" t="s">
        <v>3054</v>
      </c>
      <c r="BM5" s="3" t="s">
        <v>817</v>
      </c>
      <c r="BN5" s="3" t="s">
        <v>22</v>
      </c>
      <c r="BO5" s="3">
        <v>4</v>
      </c>
      <c r="BP5" s="3">
        <v>6.5</v>
      </c>
      <c r="BQ5" s="3">
        <v>-0.46</v>
      </c>
      <c r="BR5" s="3">
        <v>4.5</v>
      </c>
      <c r="BS5" s="3">
        <v>9.51</v>
      </c>
      <c r="BT5" s="3" t="s">
        <v>1994</v>
      </c>
      <c r="BU5" s="3" t="s">
        <v>1209</v>
      </c>
      <c r="BV5" s="3">
        <v>11.67</v>
      </c>
      <c r="BW5" s="3">
        <v>13.9</v>
      </c>
      <c r="BX5" s="3">
        <v>17.16</v>
      </c>
      <c r="BY5" s="3">
        <v>0.97</v>
      </c>
      <c r="BZ5" s="3">
        <v>2.48</v>
      </c>
      <c r="CA5" s="3">
        <v>6.11</v>
      </c>
      <c r="CB5" s="3">
        <v>-5.31</v>
      </c>
      <c r="CC5" s="3">
        <v>-0.51</v>
      </c>
      <c r="CD5" s="3" t="s">
        <v>158</v>
      </c>
      <c r="CE5" s="3" t="s">
        <v>272</v>
      </c>
      <c r="CF5" s="10">
        <v>-0.46689543802987488</v>
      </c>
      <c r="CG5" s="11">
        <v>1.5238956861702129</v>
      </c>
      <c r="CH5" s="10">
        <v>-0.75351160764694214</v>
      </c>
      <c r="CI5" s="10">
        <v>0.35523656010627747</v>
      </c>
      <c r="CJ5" s="10">
        <v>0.46828851103782654</v>
      </c>
      <c r="CK5" s="10">
        <v>0.30264917016029358</v>
      </c>
      <c r="CL5" s="10">
        <v>0.14453823864459991</v>
      </c>
      <c r="CM5" s="11">
        <v>-0.80379998683929443</v>
      </c>
      <c r="CN5" s="11">
        <v>-0.47544410824775696</v>
      </c>
      <c r="CO5" s="11">
        <v>1.831360936164856</v>
      </c>
      <c r="CP5" s="11">
        <v>16.658060073852539</v>
      </c>
      <c r="CQ5" s="11">
        <v>-0.84928029775619507</v>
      </c>
      <c r="CR5" s="3">
        <v>94.550908199109955</v>
      </c>
      <c r="CS5" s="3">
        <v>9.1406369616378367</v>
      </c>
      <c r="CT5" s="3">
        <v>5.6603773584905662E-2</v>
      </c>
      <c r="CU5" s="10">
        <v>0.10344017446041107</v>
      </c>
      <c r="CV5" s="11">
        <v>3.2721793234348295</v>
      </c>
      <c r="CW5" s="3">
        <v>0.06</v>
      </c>
      <c r="CX5" s="3">
        <v>366.10274062681418</v>
      </c>
      <c r="CY5" s="3">
        <v>102528746.26323073</v>
      </c>
      <c r="CZ5" s="3">
        <v>0.10344017446041107</v>
      </c>
      <c r="DA5" s="3">
        <v>118.28713796840695</v>
      </c>
      <c r="DB5" s="3">
        <v>317329978.93672448</v>
      </c>
      <c r="DC5" s="3">
        <v>9.8268165737390514E-2</v>
      </c>
      <c r="DD5" s="3">
        <v>57.34735646762131</v>
      </c>
      <c r="DE5" s="3">
        <v>654538540.43286371</v>
      </c>
      <c r="DF5" s="3">
        <v>9.1027353525161739E-2</v>
      </c>
      <c r="DG5" s="3">
        <v>33.846262014992099</v>
      </c>
      <c r="DH5" s="3">
        <v>1109016262.5158877</v>
      </c>
      <c r="DI5" s="3">
        <v>8.2752139568328859E-2</v>
      </c>
      <c r="DJ5" s="3">
        <v>16.825541957127857</v>
      </c>
      <c r="DK5" s="3">
        <v>2230897233.2447505</v>
      </c>
      <c r="DL5" s="3">
        <v>7.2408122122287741E-2</v>
      </c>
      <c r="DM5" s="3">
        <v>98492400</v>
      </c>
      <c r="DN5" s="3">
        <v>0.10344017446041107</v>
      </c>
      <c r="DO5" s="3">
        <v>37536055000</v>
      </c>
      <c r="DP5" s="3">
        <v>284983000</v>
      </c>
      <c r="DQ5" s="3">
        <v>666</v>
      </c>
      <c r="DR5" s="3">
        <v>-0.57033561249028597</v>
      </c>
      <c r="DS5" s="3">
        <v>-1.7482836372646167</v>
      </c>
      <c r="DT5" s="12">
        <v>-0.37333333333333335</v>
      </c>
      <c r="DU5" s="3">
        <v>0.50516666666666665</v>
      </c>
      <c r="DV5" s="3">
        <v>0.1318333333333333</v>
      </c>
      <c r="DW5" s="3">
        <v>-4.0960451977401133</v>
      </c>
      <c r="DX5" s="3">
        <v>0.41337268420288326</v>
      </c>
      <c r="DY5" s="3">
        <v>-4.0089679979177912</v>
      </c>
      <c r="DZ5" s="3">
        <v>549</v>
      </c>
      <c r="EA5" s="3">
        <v>-4.0080045085133165</v>
      </c>
      <c r="EB5" s="3">
        <v>4</v>
      </c>
      <c r="EC5" s="3">
        <v>0.22930990436261434</v>
      </c>
      <c r="ED5" s="3">
        <v>2.4558563608030566</v>
      </c>
      <c r="EE5" s="13">
        <v>-2.02271</v>
      </c>
      <c r="EF5" s="3">
        <v>-2.0444100000000001</v>
      </c>
      <c r="EG5" s="3">
        <v>32.093372684202883</v>
      </c>
      <c r="EH5" s="3" t="s">
        <v>1401</v>
      </c>
      <c r="EI5" s="3">
        <v>0</v>
      </c>
      <c r="EJ5" s="3">
        <v>1</v>
      </c>
      <c r="EK5" s="14">
        <v>45470</v>
      </c>
      <c r="EL5" s="15">
        <v>-1.2</v>
      </c>
      <c r="EM5" s="15">
        <v>-4.03</v>
      </c>
      <c r="EN5" s="15">
        <v>-3.85</v>
      </c>
      <c r="EO5" s="15">
        <v>2.78</v>
      </c>
      <c r="EP5" s="15">
        <v>-2.17</v>
      </c>
    </row>
    <row r="6" spans="1:146" ht="168" x14ac:dyDescent="0.25">
      <c r="A6" s="7" t="s">
        <v>1179</v>
      </c>
      <c r="B6" s="7" t="s">
        <v>1180</v>
      </c>
      <c r="C6" s="7" t="str">
        <f>"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amp;CHAR(10)&amp;Basic_Fundamental_Information_Constructure(F6)&amp;CHAR(10)&amp;Basic_Fundamental_Information_Concatenate("国内销售 69.07亿 57.10% 62.37% 26.88%
国外销售 51.90亿 42.90% 37.63% 21.59%")</f>
        <v>公司的主营业务为集成电路封装测试，目前公司集成电路封装产品主要有DIP/SDIP、SOT、SOP、SSOP、TSSOP/ETSSOP、QFP/LQFP/TQFP、QFN/DFN、BGA/LGA、FC、MCM(MCP)、SiP、WLP、TSV、Bumping、MEMS、Fan-Out等多个系列。产品主要应用于计算机，网络通讯，消费电子及智能移动终端，物联网，工业自动化控制，汽车电子等电子整机和智能化领域。
市值256.99967亿, 利润5703.40万; PE65.94; 平均PE42.76; 平均PEG15.32, PB1.62; ROIC4.6833%; ROE6.4833%; 股利率.2743%; 毛利16.7867%; 净利8.4167%; 上一年度营收增-73.91%, 利润增-92.44%; 当季营收增-38.97%, 利润增-9.29%; 过往5年营收增-2.79%, 利润增16.14%
Income profile:
国内销售 69.07亿 57.10% 62.37% 26.88%
国外销售 51.90亿 42.90% 37.63% 21.59%</v>
      </c>
      <c r="D6" s="3" t="s">
        <v>60</v>
      </c>
      <c r="E6" s="3" t="s">
        <v>18</v>
      </c>
      <c r="F6" s="3">
        <v>8.02</v>
      </c>
      <c r="G6" s="3">
        <v>-0.74</v>
      </c>
      <c r="H6" s="3" t="s">
        <v>3055</v>
      </c>
      <c r="I6" s="3">
        <v>25699967000</v>
      </c>
      <c r="J6" s="3">
        <v>65.94</v>
      </c>
      <c r="K6" s="3">
        <v>1.62</v>
      </c>
      <c r="L6" s="3" t="s">
        <v>2983</v>
      </c>
      <c r="M6" s="3" t="s">
        <v>1995</v>
      </c>
      <c r="N6" s="3" t="s">
        <v>3056</v>
      </c>
      <c r="O6" s="3" t="s">
        <v>1996</v>
      </c>
      <c r="P6" s="3">
        <v>38.72</v>
      </c>
      <c r="Q6" s="3" t="s">
        <v>1996</v>
      </c>
      <c r="R6" s="3">
        <v>57034044</v>
      </c>
      <c r="S6" s="5">
        <v>1.536</v>
      </c>
      <c r="T6" s="3" t="s">
        <v>3057</v>
      </c>
      <c r="U6" s="3">
        <v>3203749300</v>
      </c>
      <c r="V6" s="3">
        <v>3204484600</v>
      </c>
      <c r="W6" s="3">
        <v>1.88</v>
      </c>
      <c r="X6" s="3">
        <v>0.09</v>
      </c>
      <c r="Y6" s="3">
        <v>1.85</v>
      </c>
      <c r="Z6" s="3" t="s">
        <v>3058</v>
      </c>
      <c r="AA6" s="3" t="s">
        <v>505</v>
      </c>
      <c r="AB6" s="3" t="s">
        <v>3059</v>
      </c>
      <c r="AC6" s="3" t="s">
        <v>267</v>
      </c>
      <c r="AD6" s="3" t="s">
        <v>22</v>
      </c>
      <c r="AE6" s="3">
        <v>32706084</v>
      </c>
      <c r="AF6" s="3" t="s">
        <v>1998</v>
      </c>
      <c r="AG6" s="3" t="s">
        <v>3060</v>
      </c>
      <c r="AH6" s="3" t="s">
        <v>1999</v>
      </c>
      <c r="AI6" s="3" t="s">
        <v>3061</v>
      </c>
      <c r="AJ6" s="3" t="s">
        <v>2000</v>
      </c>
      <c r="AK6" s="3" t="s">
        <v>22</v>
      </c>
      <c r="AL6" s="3" t="s">
        <v>2001</v>
      </c>
      <c r="AM6" s="3" t="s">
        <v>22</v>
      </c>
      <c r="AN6" s="3" t="s">
        <v>3062</v>
      </c>
      <c r="AO6" s="3" t="s">
        <v>3063</v>
      </c>
      <c r="AP6" s="3" t="s">
        <v>358</v>
      </c>
      <c r="AQ6" s="3" t="s">
        <v>3064</v>
      </c>
      <c r="AR6" s="3" t="s">
        <v>3065</v>
      </c>
      <c r="AS6" s="3" t="s">
        <v>3066</v>
      </c>
      <c r="AT6" s="3" t="s">
        <v>3067</v>
      </c>
      <c r="AU6" s="3" t="s">
        <v>872</v>
      </c>
      <c r="AV6" s="3" t="s">
        <v>3068</v>
      </c>
      <c r="AW6" s="3" t="s">
        <v>3069</v>
      </c>
      <c r="AX6" s="3" t="s">
        <v>1526</v>
      </c>
      <c r="AY6" s="3" t="s">
        <v>864</v>
      </c>
      <c r="AZ6" s="3" t="s">
        <v>473</v>
      </c>
      <c r="BA6" s="3" t="s">
        <v>236</v>
      </c>
      <c r="BB6" s="3" t="s">
        <v>478</v>
      </c>
      <c r="BC6" s="3" t="s">
        <v>1223</v>
      </c>
      <c r="BD6" s="3" t="s">
        <v>845</v>
      </c>
      <c r="BE6" s="3" t="s">
        <v>474</v>
      </c>
      <c r="BF6" s="3" t="s">
        <v>209</v>
      </c>
      <c r="BG6" s="3" t="s">
        <v>479</v>
      </c>
      <c r="BH6" s="3" t="s">
        <v>1997</v>
      </c>
      <c r="BI6" s="3" t="s">
        <v>3070</v>
      </c>
      <c r="BJ6" s="3" t="s">
        <v>1526</v>
      </c>
      <c r="BK6" s="3" t="s">
        <v>441</v>
      </c>
      <c r="BL6" s="3" t="s">
        <v>3071</v>
      </c>
      <c r="BM6" s="3" t="s">
        <v>1223</v>
      </c>
      <c r="BN6" s="3">
        <v>0.61</v>
      </c>
      <c r="BO6" s="3">
        <v>4.3</v>
      </c>
      <c r="BP6" s="3">
        <v>9.14</v>
      </c>
      <c r="BQ6" s="3">
        <v>0.52</v>
      </c>
      <c r="BR6" s="3">
        <v>4.8899999999999997</v>
      </c>
      <c r="BS6" s="3">
        <v>14.04</v>
      </c>
      <c r="BT6" s="3" t="s">
        <v>2002</v>
      </c>
      <c r="BU6" s="3" t="s">
        <v>1209</v>
      </c>
      <c r="BV6" s="3">
        <v>8.91</v>
      </c>
      <c r="BW6" s="3">
        <v>16.84</v>
      </c>
      <c r="BX6" s="3">
        <v>24.61</v>
      </c>
      <c r="BY6" s="3">
        <v>2.46</v>
      </c>
      <c r="BZ6" s="3">
        <v>8.59</v>
      </c>
      <c r="CA6" s="3">
        <v>14.2</v>
      </c>
      <c r="CB6" s="3">
        <v>-1.6</v>
      </c>
      <c r="CC6" s="3">
        <v>-1.93</v>
      </c>
      <c r="CD6" s="3" t="s">
        <v>302</v>
      </c>
      <c r="CE6" s="3" t="s">
        <v>1865</v>
      </c>
      <c r="CF6" s="10">
        <v>-0.38966398113578304</v>
      </c>
      <c r="CG6" s="11">
        <v>-9.294984303085628E-2</v>
      </c>
      <c r="CH6" s="10">
        <v>-0.73912316560745239</v>
      </c>
      <c r="CI6" s="10">
        <v>-1.5789085999131203E-2</v>
      </c>
      <c r="CJ6" s="10">
        <v>0.44321167469024658</v>
      </c>
      <c r="CK6" s="10">
        <v>3.443169966340065E-2</v>
      </c>
      <c r="CL6" s="10">
        <v>0.13774223625659943</v>
      </c>
      <c r="CM6" s="11">
        <v>-0.92435812950134277</v>
      </c>
      <c r="CN6" s="11">
        <v>-0.46751412749290466</v>
      </c>
      <c r="CO6" s="11">
        <v>1.0170940160751343</v>
      </c>
      <c r="CP6" s="11">
        <v>1.4459930658340454</v>
      </c>
      <c r="CQ6" s="11">
        <v>-0.26410257816314697</v>
      </c>
      <c r="CR6" s="3">
        <v>42.761605131842906</v>
      </c>
      <c r="CS6" s="3">
        <v>15.323813727073652</v>
      </c>
      <c r="CT6" s="3">
        <v>0.27431421446384041</v>
      </c>
      <c r="CU6" s="10">
        <v>-2.7905328199267387E-2</v>
      </c>
      <c r="CV6" s="11">
        <v>0.16142244935035704</v>
      </c>
      <c r="CW6" s="3">
        <v>0.06</v>
      </c>
      <c r="CX6" s="3">
        <v>371.88285934705613</v>
      </c>
      <c r="CY6" s="3" t="s">
        <v>3072</v>
      </c>
      <c r="CZ6" s="3">
        <v>-2.7905328199267387E-2</v>
      </c>
      <c r="DA6" s="3">
        <v>123.96095311568538</v>
      </c>
      <c r="DB6" s="3" t="s">
        <v>3073</v>
      </c>
      <c r="DC6" s="3">
        <v>-2.6510061789304016E-2</v>
      </c>
      <c r="DD6" s="3">
        <v>61.980476557842692</v>
      </c>
      <c r="DE6" s="3" t="s">
        <v>3074</v>
      </c>
      <c r="DF6" s="3">
        <v>-2.4556688815355301E-2</v>
      </c>
      <c r="DG6" s="3">
        <v>37.188285934705611</v>
      </c>
      <c r="DH6" s="3" t="s">
        <v>3075</v>
      </c>
      <c r="DI6" s="3">
        <v>-2.2324262559413912E-2</v>
      </c>
      <c r="DJ6" s="3">
        <v>18.594142967352806</v>
      </c>
      <c r="DK6" s="3" t="s">
        <v>3076</v>
      </c>
      <c r="DL6" s="3">
        <v>-1.9533729739487169E-2</v>
      </c>
      <c r="DM6" s="3">
        <v>57034000</v>
      </c>
      <c r="DN6" s="3">
        <v>-2.7905328199267387E-2</v>
      </c>
      <c r="DO6" s="3">
        <v>21209967000</v>
      </c>
      <c r="DP6" s="3">
        <v>1879651800</v>
      </c>
      <c r="DQ6" s="3">
        <v>695</v>
      </c>
      <c r="DR6" s="3">
        <v>-0.36175865293651566</v>
      </c>
      <c r="DS6" s="3">
        <v>-0.25437229238121334</v>
      </c>
      <c r="DT6" s="12">
        <v>-0.64</v>
      </c>
      <c r="DU6" s="3">
        <v>-8.3333333333333329E-2</v>
      </c>
      <c r="DV6" s="3">
        <v>-0.72333333333333338</v>
      </c>
      <c r="DW6" s="3">
        <v>-1.9299999999999998E-2</v>
      </c>
      <c r="DX6" s="3">
        <v>0.32186629526462412</v>
      </c>
      <c r="DY6" s="3">
        <v>-2.3520194986072422E-3</v>
      </c>
      <c r="DZ6" s="3">
        <v>2119</v>
      </c>
      <c r="EA6" s="3">
        <v>-1.3766908650360589E-3</v>
      </c>
      <c r="EB6" s="3">
        <v>0</v>
      </c>
      <c r="EC6" s="3">
        <v>5.4610966144134382E-2</v>
      </c>
      <c r="ED6" s="3">
        <v>0.4481219850455827</v>
      </c>
      <c r="EE6" s="13">
        <v>1.6599999999999997E-2</v>
      </c>
      <c r="EF6" s="3">
        <v>6.8000000000000005E-3</v>
      </c>
      <c r="EG6" s="3">
        <v>20.121866295264624</v>
      </c>
      <c r="EH6" s="3" t="s">
        <v>1071</v>
      </c>
      <c r="EI6" s="3">
        <v>0</v>
      </c>
      <c r="EJ6" s="3">
        <v>0</v>
      </c>
      <c r="EK6" s="14">
        <v>45470</v>
      </c>
      <c r="EL6" s="15">
        <v>0.84</v>
      </c>
      <c r="EM6" s="15">
        <v>-3.93</v>
      </c>
      <c r="EN6" s="15">
        <v>-3.97</v>
      </c>
      <c r="EO6" s="15">
        <v>5.56</v>
      </c>
      <c r="EP6" s="15">
        <v>-0.98</v>
      </c>
    </row>
    <row r="7" spans="1:146" ht="204" x14ac:dyDescent="0.25">
      <c r="A7" s="7" t="s">
        <v>1914</v>
      </c>
      <c r="C7" s="7" t="str">
        <f>"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amp;CHAR(10)&amp;Basic_Fundamental_Information_Constructure(F7)&amp;CHAR(10)&amp;Basic_Fundamental_Information_Concatenate("电子工艺装备 79.49亿 82.08% 68.72% 33.00%
电子元器件 17.15亿 17.71% 30.96% 68.90%
其他业务收入 1989.07万 0.21% 0.32% 61.32%")</f>
        <v>公司主要从事半导体基础产品的研发、生产、销售和技术服务。主要产品为电子工艺装备和电子元器件。经过多年的发展，北方华创在电子工艺装备及电子元器件领域构建了坚实的技术基础，建立了有竞争力的产品体系，打造了专业的技术和管理团队，形成了较强的核心竞争能力。
市值1669.1541亿, 利润11.27亿; PE37.64; 平均PE177.66; 平均PEG7.23, PB6.52; ROIC10.7933%; ROE12.84%; 股利率.2481%; 毛利41.4467%; 净利15.96%; 上一年度营收增-60.11%, 利润增-52.1%; 当季营收增-30.47%, 利润增-37.38%; 过往5年营收增24.56%, 利润增54.55%
Income profile:
电子工艺装备 79.49亿 82.08% 68.72% 33.00%
电子元器件 17.15亿 17.71% 30.96% 68.90%
其他业务收入 1989.07万 0.21% 0.32% 61.32%</v>
      </c>
      <c r="D7" s="3" t="s">
        <v>42</v>
      </c>
      <c r="E7" s="3" t="s">
        <v>4</v>
      </c>
      <c r="F7" s="3">
        <v>314.33</v>
      </c>
      <c r="G7" s="3">
        <v>-0.78</v>
      </c>
      <c r="H7" s="3" t="s">
        <v>3077</v>
      </c>
      <c r="I7" s="3">
        <v>166915410000</v>
      </c>
      <c r="J7" s="3">
        <v>37.64</v>
      </c>
      <c r="K7" s="3">
        <v>6.52</v>
      </c>
      <c r="L7" s="3" t="s">
        <v>2983</v>
      </c>
      <c r="M7" s="3" t="s">
        <v>2003</v>
      </c>
      <c r="N7" s="3" t="s">
        <v>3078</v>
      </c>
      <c r="O7" s="3" t="s">
        <v>2004</v>
      </c>
      <c r="P7" s="3">
        <v>51.36</v>
      </c>
      <c r="Q7" s="3" t="s">
        <v>2004</v>
      </c>
      <c r="R7" s="3">
        <v>1126550630</v>
      </c>
      <c r="S7" s="5">
        <v>0.90400000000000003</v>
      </c>
      <c r="T7" s="3" t="s">
        <v>1853</v>
      </c>
      <c r="U7" s="3">
        <v>530522410</v>
      </c>
      <c r="V7" s="3">
        <v>531019660</v>
      </c>
      <c r="W7" s="3">
        <v>2.16</v>
      </c>
      <c r="X7" s="3">
        <v>0.11</v>
      </c>
      <c r="Y7" s="3">
        <v>19.09</v>
      </c>
      <c r="Z7" s="3" t="s">
        <v>3079</v>
      </c>
      <c r="AA7" s="3" t="s">
        <v>3080</v>
      </c>
      <c r="AB7" s="3" t="s">
        <v>344</v>
      </c>
      <c r="AC7" s="3" t="s">
        <v>1585</v>
      </c>
      <c r="AD7" s="3" t="s">
        <v>22</v>
      </c>
      <c r="AE7" s="3">
        <v>-3755301</v>
      </c>
      <c r="AF7" s="3" t="s">
        <v>2007</v>
      </c>
      <c r="AG7" s="3" t="s">
        <v>3081</v>
      </c>
      <c r="AH7" s="3" t="s">
        <v>2008</v>
      </c>
      <c r="AI7" s="3" t="s">
        <v>3082</v>
      </c>
      <c r="AJ7" s="3" t="s">
        <v>2009</v>
      </c>
      <c r="AK7" s="3" t="s">
        <v>571</v>
      </c>
      <c r="AL7" s="3" t="s">
        <v>2010</v>
      </c>
      <c r="AM7" s="3" t="s">
        <v>22</v>
      </c>
      <c r="AN7" s="3" t="s">
        <v>3083</v>
      </c>
      <c r="AO7" s="3" t="s">
        <v>3084</v>
      </c>
      <c r="AP7" s="3" t="s">
        <v>492</v>
      </c>
      <c r="AQ7" s="3" t="s">
        <v>3085</v>
      </c>
      <c r="AR7" s="3" t="s">
        <v>3086</v>
      </c>
      <c r="AS7" s="3" t="s">
        <v>3087</v>
      </c>
      <c r="AT7" s="3" t="s">
        <v>3088</v>
      </c>
      <c r="AU7" s="3" t="s">
        <v>279</v>
      </c>
      <c r="AV7" s="3" t="s">
        <v>3089</v>
      </c>
      <c r="AW7" s="3" t="s">
        <v>3090</v>
      </c>
      <c r="AX7" s="3" t="s">
        <v>1528</v>
      </c>
      <c r="AY7" s="3" t="s">
        <v>867</v>
      </c>
      <c r="AZ7" s="3" t="s">
        <v>484</v>
      </c>
      <c r="BA7" s="3" t="s">
        <v>255</v>
      </c>
      <c r="BB7" s="3" t="s">
        <v>487</v>
      </c>
      <c r="BC7" s="3" t="s">
        <v>1529</v>
      </c>
      <c r="BD7" s="3" t="s">
        <v>499</v>
      </c>
      <c r="BE7" s="3" t="s">
        <v>485</v>
      </c>
      <c r="BF7" s="3" t="s">
        <v>322</v>
      </c>
      <c r="BG7" s="3" t="s">
        <v>253</v>
      </c>
      <c r="BH7" s="3" t="s">
        <v>2005</v>
      </c>
      <c r="BI7" s="3" t="s">
        <v>3091</v>
      </c>
      <c r="BJ7" s="3" t="s">
        <v>1528</v>
      </c>
      <c r="BK7" s="3" t="s">
        <v>2006</v>
      </c>
      <c r="BL7" s="3" t="s">
        <v>3092</v>
      </c>
      <c r="BM7" s="3" t="s">
        <v>1529</v>
      </c>
      <c r="BN7" s="3">
        <v>11.15</v>
      </c>
      <c r="BO7" s="3">
        <v>11.89</v>
      </c>
      <c r="BP7" s="3">
        <v>9.34</v>
      </c>
      <c r="BQ7" s="3">
        <v>13.62</v>
      </c>
      <c r="BR7" s="3">
        <v>12.96</v>
      </c>
      <c r="BS7" s="3">
        <v>11.94</v>
      </c>
      <c r="BT7" s="3" t="s">
        <v>2011</v>
      </c>
      <c r="BU7" s="3" t="s">
        <v>1212</v>
      </c>
      <c r="BV7" s="3">
        <v>41.1</v>
      </c>
      <c r="BW7" s="3">
        <v>43.83</v>
      </c>
      <c r="BX7" s="3">
        <v>39.409999999999997</v>
      </c>
      <c r="BY7" s="3">
        <v>18.260000000000002</v>
      </c>
      <c r="BZ7" s="3">
        <v>17.3</v>
      </c>
      <c r="CA7" s="3">
        <v>12.32</v>
      </c>
      <c r="CB7" s="3">
        <v>-1.5</v>
      </c>
      <c r="CC7" s="3">
        <v>7.51</v>
      </c>
      <c r="CD7" s="3" t="s">
        <v>3093</v>
      </c>
      <c r="CE7" s="3" t="s">
        <v>138</v>
      </c>
      <c r="CF7" s="10">
        <v>-0.30473478106087576</v>
      </c>
      <c r="CG7" s="11">
        <v>-0.37379064480266805</v>
      </c>
      <c r="CH7" s="10">
        <v>-0.60110294818878174</v>
      </c>
      <c r="CI7" s="10">
        <v>0.51688522100448608</v>
      </c>
      <c r="CJ7" s="10">
        <v>0.59891021251678467</v>
      </c>
      <c r="CK7" s="10">
        <v>0.49236083030700684</v>
      </c>
      <c r="CL7" s="10">
        <v>0.22081825137138367</v>
      </c>
      <c r="CM7" s="11">
        <v>-0.52103692293167114</v>
      </c>
      <c r="CN7" s="11">
        <v>1.1847726106643677</v>
      </c>
      <c r="CO7" s="11">
        <v>1.0055865049362183</v>
      </c>
      <c r="CP7" s="11">
        <v>0.73786407709121704</v>
      </c>
      <c r="CQ7" s="11">
        <v>0.32051283121109009</v>
      </c>
      <c r="CR7" s="3">
        <v>177.66408728046832</v>
      </c>
      <c r="CS7" s="3">
        <v>7.2346364250852524</v>
      </c>
      <c r="CT7" s="3">
        <v>0.24814685203448605</v>
      </c>
      <c r="CU7" s="10">
        <v>0.24557431340217589</v>
      </c>
      <c r="CV7" s="11">
        <v>0.54553982019424441</v>
      </c>
      <c r="CW7" s="3">
        <v>0.06</v>
      </c>
      <c r="CX7" s="3">
        <v>128.12496877281407</v>
      </c>
      <c r="CY7" s="3">
        <v>1324304010.5700493</v>
      </c>
      <c r="CZ7" s="3">
        <v>0.24557431340217589</v>
      </c>
      <c r="DA7" s="3">
        <v>36.790930317991709</v>
      </c>
      <c r="DB7" s="3">
        <v>4611908656.1131039</v>
      </c>
      <c r="DC7" s="3">
        <v>0.23329559773206709</v>
      </c>
      <c r="DD7" s="3">
        <v>15.094971665260019</v>
      </c>
      <c r="DE7" s="3">
        <v>11240591487.196888</v>
      </c>
      <c r="DF7" s="3">
        <v>0.21610539579391477</v>
      </c>
      <c r="DG7" s="3">
        <v>7.285955985680344</v>
      </c>
      <c r="DH7" s="3">
        <v>23288146446.873718</v>
      </c>
      <c r="DI7" s="3">
        <v>0.19645945072174073</v>
      </c>
      <c r="DJ7" s="3">
        <v>2.2315232094664852</v>
      </c>
      <c r="DK7" s="3">
        <v>76036139476.481812</v>
      </c>
      <c r="DL7" s="3">
        <v>0.17190201938152311</v>
      </c>
      <c r="DM7" s="3">
        <v>1127000000</v>
      </c>
      <c r="DN7" s="3">
        <v>0.24557431340217589</v>
      </c>
      <c r="DO7" s="3">
        <v>169676410000</v>
      </c>
      <c r="DP7" s="3">
        <v>19509912000</v>
      </c>
      <c r="DQ7" s="3">
        <v>877</v>
      </c>
      <c r="DR7" s="3">
        <v>-0.55030909446305165</v>
      </c>
      <c r="DS7" s="3">
        <v>-0.91933046499691251</v>
      </c>
      <c r="DT7" s="12">
        <v>-0.27333333333333343</v>
      </c>
      <c r="DU7" s="3">
        <v>0.51333333333333342</v>
      </c>
      <c r="DV7" s="3">
        <v>0.24</v>
      </c>
      <c r="DW7" s="3">
        <v>2.0750999999999999</v>
      </c>
      <c r="DX7" s="3">
        <v>0.35233548387096647</v>
      </c>
      <c r="DY7" s="3">
        <v>2.0076853948387097</v>
      </c>
      <c r="DZ7" s="3">
        <v>15</v>
      </c>
      <c r="EA7" s="3">
        <v>2.0076628349712768</v>
      </c>
      <c r="EB7" s="3">
        <v>2</v>
      </c>
      <c r="EC7" s="3">
        <v>2.9870833784195486E-2</v>
      </c>
      <c r="ED7" s="3">
        <v>0.29189126444019042</v>
      </c>
      <c r="EE7" s="13">
        <v>3.1011099999999998</v>
      </c>
      <c r="EF7" s="3">
        <v>3.1008100000000001</v>
      </c>
      <c r="EG7" s="3">
        <v>25.102335483870966</v>
      </c>
      <c r="EH7" s="3" t="s">
        <v>1418</v>
      </c>
      <c r="EI7" s="3">
        <v>1</v>
      </c>
      <c r="EJ7" s="3">
        <v>1</v>
      </c>
      <c r="EK7" s="14">
        <v>45470</v>
      </c>
      <c r="EL7" s="15">
        <v>-0.13</v>
      </c>
      <c r="EM7" s="15">
        <v>-1.34</v>
      </c>
      <c r="EN7" s="15">
        <v>-3.4</v>
      </c>
      <c r="EO7" s="15">
        <v>1.56</v>
      </c>
      <c r="EP7" s="15">
        <v>0.03</v>
      </c>
    </row>
    <row r="8" spans="1:146" ht="264" x14ac:dyDescent="0.25">
      <c r="A8" s="7" t="s">
        <v>2975</v>
      </c>
      <c r="B8" s="7" t="s">
        <v>2974</v>
      </c>
      <c r="C8" s="7" t="str">
        <f>"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amp;CHAR(10)&amp;Basic_Fundamental_Information_Constructure(F8)&amp;CHAR(10)&amp;Basic_Fundamental_Information_Concatenate("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f>
        <v>公司是一家从事化学化工的企业.其主要业务包括电子材料、液化天然气（LNG）保温板材和阻燃剂，主要产品有阻燃剂、锡盐类、硅油及胺类、球形硅微粉、LNG保温复合材料、LDS设备、电子特种气体、半导体化学材料。公司从以前面临行业规模和市场占有率双重天花板的阻燃剂行业龙头公司转型升级，形成以电子材料业务和LNG保温板材业务为主，阻燃剂业务为辅的战略新兴平台型公司。
市值307.9728亿, 利润2.46亿; PE47.2; 平均PE95; 平均PEG7.99, PB4.36; ROIC5.9933%; ROE7.78%; 股利率.5563%; 毛利29.4333%; 净利11.4967%; 上一年度营收增-62.01%, 利润增-53.14%; 当季营收增-30.35%, 利润增-27.89%; 过往5年营收增11.9%, 利润增29.19%
Income profile:
光刻胶及配套试剂 12.15亿 32.12% 20.70% 13.76%
半导体化学材料 8.45亿 22.33% 42.78% 40.88%
阻燃剂 4.58亿 12.12% 7.97% 14.03%
LNG保温复合材料 3.94亿 10.42%
电子特种气体 3.91亿 10.35% 19.48% 40.17%
球形硅微粉 2.33亿 6.15% 9.07% 31.49%
LDS设备 1.04亿 2.76%
锡盐类 6589.05万 1.74%
其他 5101.32万 1.35%</v>
      </c>
      <c r="D8" s="3" t="s">
        <v>96</v>
      </c>
      <c r="E8" s="3" t="s">
        <v>97</v>
      </c>
      <c r="F8" s="3">
        <v>64.709999999999994</v>
      </c>
      <c r="G8" s="3">
        <v>-0.93</v>
      </c>
      <c r="H8" s="3" t="s">
        <v>2834</v>
      </c>
      <c r="I8" s="3">
        <v>30797280000</v>
      </c>
      <c r="J8" s="3">
        <v>47.2</v>
      </c>
      <c r="K8" s="3">
        <v>4.3600000000000003</v>
      </c>
      <c r="L8" s="3" t="s">
        <v>2983</v>
      </c>
      <c r="M8" s="3" t="s">
        <v>2012</v>
      </c>
      <c r="N8" s="3" t="s">
        <v>3094</v>
      </c>
      <c r="O8" s="3" t="s">
        <v>2013</v>
      </c>
      <c r="P8" s="3">
        <v>51.09</v>
      </c>
      <c r="Q8" s="3" t="s">
        <v>2013</v>
      </c>
      <c r="R8" s="3">
        <v>245896560</v>
      </c>
      <c r="S8" s="5">
        <v>0.42209999999999998</v>
      </c>
      <c r="T8" s="3" t="s">
        <v>199</v>
      </c>
      <c r="U8" s="3">
        <v>318522750</v>
      </c>
      <c r="V8" s="3">
        <v>475927680</v>
      </c>
      <c r="W8" s="3">
        <v>1.51</v>
      </c>
      <c r="X8" s="3">
        <v>0.12</v>
      </c>
      <c r="Y8" s="3">
        <v>15.47</v>
      </c>
      <c r="Z8" s="3" t="s">
        <v>1795</v>
      </c>
      <c r="AA8" s="3" t="s">
        <v>2226</v>
      </c>
      <c r="AB8" s="3" t="s">
        <v>3095</v>
      </c>
      <c r="AC8" s="3" t="s">
        <v>3096</v>
      </c>
      <c r="AD8" s="3" t="s">
        <v>22</v>
      </c>
      <c r="AE8" s="3">
        <v>-14808481</v>
      </c>
      <c r="AF8" s="3" t="s">
        <v>108</v>
      </c>
      <c r="AG8" s="3" t="s">
        <v>3097</v>
      </c>
      <c r="AH8" s="3" t="s">
        <v>2015</v>
      </c>
      <c r="AI8" s="3" t="s">
        <v>2415</v>
      </c>
      <c r="AJ8" s="3" t="s">
        <v>2016</v>
      </c>
      <c r="AK8" s="3" t="s">
        <v>3098</v>
      </c>
      <c r="AL8" s="3" t="s">
        <v>2017</v>
      </c>
      <c r="AM8" s="3" t="s">
        <v>22</v>
      </c>
      <c r="AN8" s="3" t="s">
        <v>2403</v>
      </c>
      <c r="AO8" s="3" t="s">
        <v>3099</v>
      </c>
      <c r="AP8" s="3" t="s">
        <v>3100</v>
      </c>
      <c r="AQ8" s="3" t="s">
        <v>2023</v>
      </c>
      <c r="AR8" s="3" t="s">
        <v>3101</v>
      </c>
      <c r="AS8" s="3" t="s">
        <v>3102</v>
      </c>
      <c r="AT8" s="3" t="s">
        <v>1145</v>
      </c>
      <c r="AU8" s="3" t="s">
        <v>3103</v>
      </c>
      <c r="AV8" s="3" t="s">
        <v>3104</v>
      </c>
      <c r="AW8" s="3" t="s">
        <v>184</v>
      </c>
      <c r="AX8" s="3" t="s">
        <v>1531</v>
      </c>
      <c r="AY8" s="3" t="s">
        <v>869</v>
      </c>
      <c r="AZ8" s="3" t="s">
        <v>489</v>
      </c>
      <c r="BA8" s="3" t="s">
        <v>240</v>
      </c>
      <c r="BB8" s="3" t="s">
        <v>492</v>
      </c>
      <c r="BC8" s="3" t="s">
        <v>705</v>
      </c>
      <c r="BD8" s="3" t="s">
        <v>259</v>
      </c>
      <c r="BE8" s="3" t="s">
        <v>480</v>
      </c>
      <c r="BF8" s="3" t="s">
        <v>119</v>
      </c>
      <c r="BG8" s="3" t="s">
        <v>370</v>
      </c>
      <c r="BH8" s="3" t="s">
        <v>2014</v>
      </c>
      <c r="BI8" s="3" t="s">
        <v>3105</v>
      </c>
      <c r="BJ8" s="3" t="s">
        <v>1531</v>
      </c>
      <c r="BK8" s="3" t="s">
        <v>360</v>
      </c>
      <c r="BL8" s="3" t="s">
        <v>186</v>
      </c>
      <c r="BM8" s="3" t="s">
        <v>705</v>
      </c>
      <c r="BN8" s="3">
        <v>4.82</v>
      </c>
      <c r="BO8" s="3">
        <v>7.17</v>
      </c>
      <c r="BP8" s="3">
        <v>5.99</v>
      </c>
      <c r="BQ8" s="3">
        <v>7.24</v>
      </c>
      <c r="BR8" s="3">
        <v>9.61</v>
      </c>
      <c r="BS8" s="3">
        <v>6.49</v>
      </c>
      <c r="BT8" s="3" t="s">
        <v>2018</v>
      </c>
      <c r="BU8" s="3" t="s">
        <v>1211</v>
      </c>
      <c r="BV8" s="3">
        <v>31.33</v>
      </c>
      <c r="BW8" s="3">
        <v>31.21</v>
      </c>
      <c r="BX8" s="3">
        <v>25.76</v>
      </c>
      <c r="BY8" s="3">
        <v>12.67</v>
      </c>
      <c r="BZ8" s="3">
        <v>12.8</v>
      </c>
      <c r="CA8" s="3">
        <v>9.02</v>
      </c>
      <c r="CB8" s="3">
        <v>2.86</v>
      </c>
      <c r="CC8" s="3">
        <v>12.85</v>
      </c>
      <c r="CD8" s="3" t="s">
        <v>3106</v>
      </c>
      <c r="CE8" s="3" t="s">
        <v>807</v>
      </c>
      <c r="CF8" s="10">
        <v>-0.30348687042617306</v>
      </c>
      <c r="CG8" s="11">
        <v>-0.27889571847507333</v>
      </c>
      <c r="CH8" s="10">
        <v>-0.62009859085083008</v>
      </c>
      <c r="CI8" s="10">
        <v>0.12612372636795044</v>
      </c>
      <c r="CJ8" s="10">
        <v>0.66388040781021118</v>
      </c>
      <c r="CK8" s="10">
        <v>0.24072049558162689</v>
      </c>
      <c r="CL8" s="10">
        <v>0.18422748148441315</v>
      </c>
      <c r="CM8" s="11">
        <v>-0.53142857551574707</v>
      </c>
      <c r="CN8" s="11">
        <v>0.56716418266296387</v>
      </c>
      <c r="CO8" s="11">
        <v>-0.18886198103427887</v>
      </c>
      <c r="CP8" s="11">
        <v>0.40955629944801331</v>
      </c>
      <c r="CQ8" s="11">
        <v>1.2030074596405029</v>
      </c>
      <c r="CR8" s="3">
        <v>95.004462724935721</v>
      </c>
      <c r="CS8" s="3">
        <v>7.9855342086662002</v>
      </c>
      <c r="CT8" s="3">
        <v>0.55632823365785822</v>
      </c>
      <c r="CU8" s="10">
        <v>0.11897070407867431</v>
      </c>
      <c r="CV8" s="11">
        <v>0.29188747704029083</v>
      </c>
      <c r="CW8" s="3">
        <v>0.06</v>
      </c>
      <c r="CX8" s="3">
        <v>99.841017800127247</v>
      </c>
      <c r="CY8" s="3">
        <v>259685653.96542817</v>
      </c>
      <c r="CZ8" s="3">
        <v>0.11897070407867431</v>
      </c>
      <c r="DA8" s="3">
        <v>31.839033406289353</v>
      </c>
      <c r="DB8" s="3">
        <v>814323716.08613062</v>
      </c>
      <c r="DC8" s="3">
        <v>0.11302216887474059</v>
      </c>
      <c r="DD8" s="3">
        <v>15.164012593480836</v>
      </c>
      <c r="DE8" s="3">
        <v>1709790191.7561321</v>
      </c>
      <c r="DF8" s="3">
        <v>0.1046942195892334</v>
      </c>
      <c r="DG8" s="3">
        <v>8.7686692304311933</v>
      </c>
      <c r="DH8" s="3">
        <v>2956808988.7597508</v>
      </c>
      <c r="DI8" s="3">
        <v>9.5176563262939454E-2</v>
      </c>
      <c r="DJ8" s="3">
        <v>4.1622280266282905</v>
      </c>
      <c r="DK8" s="3">
        <v>6229182984.2400532</v>
      </c>
      <c r="DL8" s="3">
        <v>8.327949285507201E-2</v>
      </c>
      <c r="DM8" s="3">
        <v>246000000</v>
      </c>
      <c r="DN8" s="3">
        <v>0.11897070407867431</v>
      </c>
      <c r="DO8" s="3">
        <v>25927280000</v>
      </c>
      <c r="DP8" s="3">
        <v>2194580900</v>
      </c>
      <c r="DQ8" s="3">
        <v>915</v>
      </c>
      <c r="DR8" s="3">
        <v>-0.42245757450484739</v>
      </c>
      <c r="DS8" s="3">
        <v>-0.57078319551536416</v>
      </c>
      <c r="DT8" s="12">
        <v>-0.29000000000000004</v>
      </c>
      <c r="DU8" s="3">
        <v>-5.3333333333333344E-2</v>
      </c>
      <c r="DV8" s="3">
        <v>-0.34333333333333338</v>
      </c>
      <c r="DW8" s="3">
        <v>8.2225680933852132</v>
      </c>
      <c r="DX8" s="3">
        <v>0.32121341853035218</v>
      </c>
      <c r="DY8" s="3">
        <v>8.0314296013227082</v>
      </c>
      <c r="DZ8" s="3">
        <v>579</v>
      </c>
      <c r="EA8" s="3">
        <v>8.0278683999203899</v>
      </c>
      <c r="EB8" s="3">
        <v>8</v>
      </c>
      <c r="EC8" s="3">
        <v>9.2870832812245743E-2</v>
      </c>
      <c r="ED8" s="3">
        <v>0.65766294576520534</v>
      </c>
      <c r="EE8" s="13">
        <v>3.12981</v>
      </c>
      <c r="EF8" s="3">
        <v>3.1293099999999998</v>
      </c>
      <c r="EG8" s="3">
        <v>18.141213418530352</v>
      </c>
      <c r="EH8" s="3" t="s">
        <v>1418</v>
      </c>
      <c r="EI8" s="3">
        <v>0</v>
      </c>
      <c r="EJ8" s="3">
        <v>1</v>
      </c>
      <c r="EK8" s="14">
        <v>45470</v>
      </c>
      <c r="EL8" s="15">
        <v>2.11</v>
      </c>
      <c r="EM8" s="15">
        <v>-1.69</v>
      </c>
      <c r="EN8" s="15">
        <v>-3.89</v>
      </c>
      <c r="EO8" s="15">
        <v>1.36</v>
      </c>
      <c r="EP8" s="15">
        <v>0.05</v>
      </c>
    </row>
    <row r="9" spans="1:146" ht="132" x14ac:dyDescent="0.25">
      <c r="A9" s="7" t="s">
        <v>1337</v>
      </c>
      <c r="C9" s="7" t="str">
        <f>"公司的主营业务为半导体硅材料的研发、生产和销售，主要产品为半导体硅片及半导体硅棒。"&amp;CHAR(10)&amp;Basic_Fundamental_Information_Constructure(F9)&amp;CHAR(10)&amp;Basic_Fundamental_Information_Concatenate("半导体单晶硅片 8795.32万 46.82% 44.99% 37.82%
半导体功率芯片及器件 5535.03万 29.47% 34.35% 45.89%
半导体单晶硅棒 4014.56万 21.37% 16.26% 29.94%")</f>
        <v>公司的主营业务为半导体硅材料的研发、生产和销售，主要产品为半导体硅片及半导体硅棒。
市值29.505747亿, 利润122.74万; PE; 平均PE47.62; 平均PEG11.41, PB4.3; ROIC9.095%; ROE5.7667%; 股利率0%; 毛利38.3267%; 净利12.2767%; 上一年度营收增-68.34%, 利润增-93.67%; 当季营收增-36.69%, 利润增109.97%; 过往5年营收增-4.17%, 利润增-19.51%
Income profile:
半导体单晶硅片 8795.32万 46.82% 44.99% 37.82%
半导体功率芯片及器件 5535.03万 29.47% 34.35% 45.89%
半导体单晶硅棒 4014.56万 21.37% 16.26% 29.94%</v>
      </c>
      <c r="D9" s="3" t="s">
        <v>508</v>
      </c>
      <c r="E9" s="3" t="s">
        <v>509</v>
      </c>
      <c r="F9" s="3">
        <v>29.32</v>
      </c>
      <c r="G9" s="3">
        <v>-0.91</v>
      </c>
      <c r="H9" s="3" t="s">
        <v>3107</v>
      </c>
      <c r="I9" s="3">
        <v>2950574700</v>
      </c>
      <c r="K9" s="3">
        <v>4.3</v>
      </c>
      <c r="L9" s="3" t="s">
        <v>2983</v>
      </c>
      <c r="M9" s="3" t="s">
        <v>1312</v>
      </c>
      <c r="N9" s="3" t="s">
        <v>3108</v>
      </c>
      <c r="O9" s="3" t="s">
        <v>327</v>
      </c>
      <c r="P9" s="3">
        <v>37.64</v>
      </c>
      <c r="Q9" s="3" t="s">
        <v>327</v>
      </c>
      <c r="R9" s="3">
        <v>1227426</v>
      </c>
      <c r="S9" s="5">
        <v>1.173</v>
      </c>
      <c r="T9" s="3" t="s">
        <v>3109</v>
      </c>
      <c r="U9" s="3">
        <v>61834833</v>
      </c>
      <c r="V9" s="3">
        <v>100633516</v>
      </c>
      <c r="W9" s="3">
        <v>1.68</v>
      </c>
      <c r="X9" s="3">
        <v>0.08</v>
      </c>
      <c r="Y9" s="3">
        <v>5.0599999999999996</v>
      </c>
      <c r="Z9" s="3" t="s">
        <v>3110</v>
      </c>
      <c r="AA9" s="3" t="s">
        <v>3111</v>
      </c>
      <c r="AB9" s="3" t="s">
        <v>3112</v>
      </c>
      <c r="AC9" s="3" t="s">
        <v>3113</v>
      </c>
      <c r="AD9" s="3" t="s">
        <v>22</v>
      </c>
      <c r="AE9" s="3">
        <v>807174</v>
      </c>
      <c r="AF9" s="3" t="s">
        <v>108</v>
      </c>
      <c r="AG9" s="3">
        <v>0.5</v>
      </c>
      <c r="AH9" s="3" t="s">
        <v>2027</v>
      </c>
      <c r="AI9" s="3" t="s">
        <v>742</v>
      </c>
      <c r="AJ9" s="3" t="s">
        <v>2028</v>
      </c>
      <c r="AK9" s="3" t="s">
        <v>3114</v>
      </c>
      <c r="AL9" s="3" t="s">
        <v>2029</v>
      </c>
      <c r="AM9" s="3" t="s">
        <v>22</v>
      </c>
      <c r="AN9" s="3" t="s">
        <v>3115</v>
      </c>
      <c r="AO9" s="3" t="s">
        <v>3116</v>
      </c>
      <c r="AP9" s="3" t="s">
        <v>3117</v>
      </c>
      <c r="AQ9" s="3" t="s">
        <v>166</v>
      </c>
      <c r="AR9" s="3" t="s">
        <v>22</v>
      </c>
      <c r="AS9" s="3" t="s">
        <v>379</v>
      </c>
      <c r="AT9" s="3" t="s">
        <v>871</v>
      </c>
      <c r="AU9" s="3" t="s">
        <v>3118</v>
      </c>
      <c r="AV9" s="3" t="s">
        <v>3119</v>
      </c>
      <c r="AW9" s="3" t="s">
        <v>3120</v>
      </c>
      <c r="AX9" s="3" t="s">
        <v>395</v>
      </c>
      <c r="AY9" s="3" t="s">
        <v>717</v>
      </c>
      <c r="AZ9" s="3" t="s">
        <v>510</v>
      </c>
      <c r="BA9" s="3" t="s">
        <v>444</v>
      </c>
      <c r="BB9" s="3" t="s">
        <v>196</v>
      </c>
      <c r="BC9" s="3" t="s">
        <v>1537</v>
      </c>
      <c r="BD9" s="3" t="s">
        <v>194</v>
      </c>
      <c r="BE9" s="3" t="s">
        <v>511</v>
      </c>
      <c r="BF9" s="3" t="s">
        <v>512</v>
      </c>
      <c r="BG9" s="3" t="s">
        <v>513</v>
      </c>
      <c r="BH9" s="3" t="s">
        <v>158</v>
      </c>
      <c r="BI9" s="3" t="s">
        <v>224</v>
      </c>
      <c r="BJ9" s="3" t="s">
        <v>395</v>
      </c>
      <c r="BK9" s="3" t="s">
        <v>2026</v>
      </c>
      <c r="BL9" s="3" t="s">
        <v>3121</v>
      </c>
      <c r="BM9" s="3" t="s">
        <v>1537</v>
      </c>
      <c r="BN9" s="3" t="s">
        <v>22</v>
      </c>
      <c r="BO9" s="3">
        <v>2.99</v>
      </c>
      <c r="BP9" s="3">
        <v>15.2</v>
      </c>
      <c r="BQ9" s="3">
        <v>-2.84</v>
      </c>
      <c r="BR9" s="3">
        <v>2.5499999999999998</v>
      </c>
      <c r="BS9" s="3">
        <v>17.59</v>
      </c>
      <c r="BT9" s="3" t="s">
        <v>2030</v>
      </c>
      <c r="BU9" s="3" t="s">
        <v>1211</v>
      </c>
      <c r="BV9" s="3">
        <v>30.2</v>
      </c>
      <c r="BW9" s="3">
        <v>38.01</v>
      </c>
      <c r="BX9" s="3">
        <v>46.77</v>
      </c>
      <c r="BY9" s="3">
        <v>-4.96</v>
      </c>
      <c r="BZ9" s="3">
        <v>10.119999999999999</v>
      </c>
      <c r="CA9" s="3">
        <v>31.67</v>
      </c>
      <c r="CB9" s="3">
        <v>1.56</v>
      </c>
      <c r="CC9" s="3">
        <v>10.89</v>
      </c>
      <c r="CD9" s="3" t="s">
        <v>3122</v>
      </c>
      <c r="CE9" s="3" t="s">
        <v>441</v>
      </c>
      <c r="CF9" s="10">
        <v>-0.36686390532544377</v>
      </c>
      <c r="CG9" s="11">
        <v>1.0997412665263568</v>
      </c>
      <c r="CH9" s="10">
        <v>-0.68343192338943481</v>
      </c>
      <c r="CI9" s="10">
        <v>-0.22654461860656738</v>
      </c>
      <c r="CJ9" s="10">
        <v>0.60073262453079224</v>
      </c>
      <c r="CK9" s="10">
        <v>0.21875</v>
      </c>
      <c r="CL9" s="10">
        <v>-0.11811023950576782</v>
      </c>
      <c r="CM9" s="11">
        <v>-0.9367489218711853</v>
      </c>
      <c r="CN9" s="11">
        <v>-0.85186868906021118</v>
      </c>
      <c r="CO9" s="11">
        <v>0.51047813892364502</v>
      </c>
      <c r="CP9" s="11">
        <v>0.29643532633781433</v>
      </c>
      <c r="CQ9" s="11">
        <v>6.2483549118041992E-3</v>
      </c>
      <c r="CR9" s="3">
        <v>47.623391712184777</v>
      </c>
      <c r="CS9" s="3">
        <v>11.414775334225583</v>
      </c>
      <c r="CT9" s="3">
        <v>0</v>
      </c>
      <c r="CU9" s="10">
        <v>-4.1720831394195558E-2</v>
      </c>
      <c r="CV9" s="11">
        <v>-0.19509115815162659</v>
      </c>
      <c r="CW9" s="3">
        <v>0.06</v>
      </c>
      <c r="CX9" s="3">
        <v>2185.5749551898321</v>
      </c>
      <c r="CY9" s="3" t="s">
        <v>3123</v>
      </c>
      <c r="CZ9" s="3">
        <v>-4.1720831394195558E-2</v>
      </c>
      <c r="DA9" s="3">
        <v>728.52498506327743</v>
      </c>
      <c r="DB9" s="3" t="s">
        <v>3124</v>
      </c>
      <c r="DC9" s="3">
        <v>-3.9634789824485775E-2</v>
      </c>
      <c r="DD9" s="3">
        <v>364.26249253163871</v>
      </c>
      <c r="DE9" s="3" t="s">
        <v>3125</v>
      </c>
      <c r="DF9" s="3">
        <v>-3.671433162689209E-2</v>
      </c>
      <c r="DG9" s="3">
        <v>218.55749551898322</v>
      </c>
      <c r="DH9" s="3" t="s">
        <v>3126</v>
      </c>
      <c r="DI9" s="3">
        <v>-3.3376665115356446E-2</v>
      </c>
      <c r="DJ9" s="3">
        <v>109.27874775949161</v>
      </c>
      <c r="DK9" s="3" t="s">
        <v>3127</v>
      </c>
      <c r="DL9" s="3">
        <v>-2.9204581975936887E-2</v>
      </c>
      <c r="DM9" s="3">
        <v>1227400</v>
      </c>
      <c r="DN9" s="3">
        <v>-4.1720831394195558E-2</v>
      </c>
      <c r="DO9" s="3">
        <v>2682574700</v>
      </c>
      <c r="DP9" s="3">
        <v>279080960</v>
      </c>
      <c r="DQ9" s="3">
        <v>1481</v>
      </c>
      <c r="DR9" s="3">
        <v>-0.32514307393124819</v>
      </c>
      <c r="DS9" s="3">
        <v>1.2948324246779834</v>
      </c>
      <c r="DT9" s="12">
        <v>-0.54</v>
      </c>
      <c r="DU9" s="3">
        <v>-0.60333333333333328</v>
      </c>
      <c r="DV9" s="3">
        <v>-1.1433333333333333</v>
      </c>
      <c r="DW9" s="3">
        <v>2.1089000000000002</v>
      </c>
      <c r="DX9" s="3">
        <v>0.32628628318583974</v>
      </c>
      <c r="DY9" s="3">
        <v>2.0126635762389382</v>
      </c>
      <c r="DZ9" s="3">
        <v>3794</v>
      </c>
      <c r="EA9" s="3">
        <v>2.0032613045656444</v>
      </c>
      <c r="EB9" s="3">
        <v>2</v>
      </c>
      <c r="EC9" s="3">
        <v>0.26115255676846272</v>
      </c>
      <c r="ED9" s="3">
        <v>2.2457726708068111</v>
      </c>
      <c r="EE9" s="13">
        <v>-3.0175100000000001</v>
      </c>
      <c r="EF9" s="3">
        <v>-3.0637099999999999</v>
      </c>
      <c r="EG9" s="3">
        <v>21.11628628318584</v>
      </c>
      <c r="EH9" s="3" t="s">
        <v>1838</v>
      </c>
      <c r="EI9" s="3">
        <v>1</v>
      </c>
      <c r="EJ9" s="3">
        <v>0</v>
      </c>
      <c r="EK9" s="14">
        <v>45470</v>
      </c>
      <c r="EL9" s="15">
        <v>-5.86</v>
      </c>
      <c r="EM9" s="15">
        <v>-8.93</v>
      </c>
      <c r="EN9" s="15">
        <v>-3</v>
      </c>
      <c r="EO9" s="15">
        <v>1.01</v>
      </c>
      <c r="EP9" s="15">
        <v>-4.62</v>
      </c>
    </row>
    <row r="10" spans="1:146" ht="180" x14ac:dyDescent="0.25">
      <c r="A10" s="7" t="s">
        <v>1948</v>
      </c>
      <c r="B10" s="7" t="s">
        <v>1947</v>
      </c>
      <c r="C10" s="7" t="str">
        <f>"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amp;CHAR(10)&amp;Basic_Fundamental_Information_Constructure(F10)&amp;CHAR(10)&amp;Basic_Fundamental_Information_Concatenate("（海外占比50%）
精密金属结构件 2.84亿 98.51% 97.65% 37.61%
半导体设备维修 333.84万 1.16% 1.54% 50.31%
其他 96.84万 0.34% 0.81% 91.75%")</f>
        <v>公司主要从事高端精密金属零部件的研发、生产和销售。公司的主要产品或服务为晶圆刻蚀气体输送中心结构件、晶圆(清洗、沉积)控制平台结构件、晶圆成膜设备(PECVD)气体输送装置结构件、超高亮度LED和功率器件外延片、芯片薄膜沉积设备零部件、晶圆检测设备(AWX)成像检测平台结构件等。
市值29.140267亿, 利润2363.42万; PE32.79; 平均PE36.78; 平均PEG227.87, PB2.69; ROIC11.6833%; ROE12.7667%; 股利率.6972%; 毛利36.6567%; 净利21.4467%; 上一年度营收增-81.58%, 利润增-84.24%; 当季营收增-53.28%, 利润增-53.15%; 过往5年营收增-.16%, 利润增4.46%
Income profile:
（海外占比50%）
精密金属结构件 2.84亿 98.51% 97.65% 37.61%
半导体设备维修 333.84万 1.16% 1.54% 50.31%
其他 96.84万 0.34% 0.81% 91.75%</v>
      </c>
      <c r="D10" s="3" t="s">
        <v>757</v>
      </c>
      <c r="E10" s="3" t="s">
        <v>758</v>
      </c>
      <c r="F10" s="3">
        <v>35.86</v>
      </c>
      <c r="G10" s="3">
        <v>0.39</v>
      </c>
      <c r="H10" s="3" t="s">
        <v>3128</v>
      </c>
      <c r="I10" s="3">
        <v>2914026700</v>
      </c>
      <c r="J10" s="3">
        <v>32.79</v>
      </c>
      <c r="K10" s="3">
        <v>2.69</v>
      </c>
      <c r="L10" s="3" t="s">
        <v>2983</v>
      </c>
      <c r="M10" s="3" t="s">
        <v>367</v>
      </c>
      <c r="N10" s="3" t="s">
        <v>3129</v>
      </c>
      <c r="O10" s="3" t="s">
        <v>349</v>
      </c>
      <c r="P10" s="3">
        <v>-2.5499999999999998</v>
      </c>
      <c r="Q10" s="3" t="s">
        <v>349</v>
      </c>
      <c r="R10" s="3">
        <v>23634206</v>
      </c>
      <c r="S10" s="5">
        <v>3.2800000000000003E-2</v>
      </c>
      <c r="T10" s="3" t="s">
        <v>3130</v>
      </c>
      <c r="U10" s="3">
        <v>48705747</v>
      </c>
      <c r="V10" s="3">
        <v>81261201</v>
      </c>
      <c r="W10" s="3">
        <v>1.32</v>
      </c>
      <c r="X10" s="3">
        <v>7.0000000000000007E-2</v>
      </c>
      <c r="Y10" s="3">
        <v>20.73</v>
      </c>
      <c r="Z10" s="3" t="s">
        <v>3131</v>
      </c>
      <c r="AA10" s="3" t="s">
        <v>3132</v>
      </c>
      <c r="AB10" s="3" t="s">
        <v>3133</v>
      </c>
      <c r="AC10" s="3" t="s">
        <v>3134</v>
      </c>
      <c r="AD10" s="3" t="s">
        <v>22</v>
      </c>
      <c r="AE10" s="3">
        <v>-2970104</v>
      </c>
      <c r="AF10" s="3" t="s">
        <v>2032</v>
      </c>
      <c r="AG10" s="3">
        <v>7.9</v>
      </c>
      <c r="AH10" s="3" t="s">
        <v>2033</v>
      </c>
      <c r="AI10" s="3" t="s">
        <v>2840</v>
      </c>
      <c r="AJ10" s="3" t="s">
        <v>2034</v>
      </c>
      <c r="AK10" s="3" t="s">
        <v>3135</v>
      </c>
      <c r="AL10" s="3" t="s">
        <v>2035</v>
      </c>
      <c r="AM10" s="3" t="s">
        <v>22</v>
      </c>
      <c r="AN10" s="3" t="s">
        <v>444</v>
      </c>
      <c r="AO10" s="3" t="s">
        <v>22</v>
      </c>
      <c r="AP10" s="3" t="s">
        <v>3136</v>
      </c>
      <c r="AQ10" s="3" t="s">
        <v>3137</v>
      </c>
      <c r="AR10" s="3" t="s">
        <v>22</v>
      </c>
      <c r="AS10" s="3" t="s">
        <v>3138</v>
      </c>
      <c r="AT10" s="3" t="s">
        <v>22</v>
      </c>
      <c r="AU10" s="3" t="s">
        <v>3139</v>
      </c>
      <c r="AV10" s="3" t="s">
        <v>3140</v>
      </c>
      <c r="AW10" s="3" t="s">
        <v>3141</v>
      </c>
      <c r="AX10" s="3" t="s">
        <v>1175</v>
      </c>
      <c r="AY10" s="3" t="s">
        <v>631</v>
      </c>
      <c r="AZ10" s="3" t="s">
        <v>145</v>
      </c>
      <c r="BA10" s="3" t="s">
        <v>369</v>
      </c>
      <c r="BB10" s="3" t="s">
        <v>299</v>
      </c>
      <c r="BC10" s="3" t="s">
        <v>850</v>
      </c>
      <c r="BD10" s="3" t="s">
        <v>181</v>
      </c>
      <c r="BE10" s="3" t="s">
        <v>759</v>
      </c>
      <c r="BF10" s="3" t="s">
        <v>761</v>
      </c>
      <c r="BG10" s="3" t="s">
        <v>762</v>
      </c>
      <c r="BH10" s="3" t="s">
        <v>558</v>
      </c>
      <c r="BI10" s="3" t="s">
        <v>144</v>
      </c>
      <c r="BJ10" s="3" t="s">
        <v>1175</v>
      </c>
      <c r="BK10" s="3" t="s">
        <v>2031</v>
      </c>
      <c r="BL10" s="3" t="s">
        <v>3142</v>
      </c>
      <c r="BM10" s="3" t="s">
        <v>850</v>
      </c>
      <c r="BN10" s="3">
        <v>4.18</v>
      </c>
      <c r="BO10" s="3">
        <v>13.5</v>
      </c>
      <c r="BP10" s="3">
        <v>17.37</v>
      </c>
      <c r="BQ10" s="3">
        <v>6.52</v>
      </c>
      <c r="BR10" s="3">
        <v>16.28</v>
      </c>
      <c r="BS10" s="3">
        <v>15.5</v>
      </c>
      <c r="BT10" s="3" t="s">
        <v>1381</v>
      </c>
      <c r="BU10" s="3" t="s">
        <v>1212</v>
      </c>
      <c r="BV10" s="3">
        <v>32.880000000000003</v>
      </c>
      <c r="BW10" s="3">
        <v>37.67</v>
      </c>
      <c r="BX10" s="3">
        <v>39.42</v>
      </c>
      <c r="BY10" s="3">
        <v>19.11</v>
      </c>
      <c r="BZ10" s="3">
        <v>24.26</v>
      </c>
      <c r="CA10" s="3">
        <v>20.97</v>
      </c>
      <c r="CB10" s="3">
        <v>-6.03</v>
      </c>
      <c r="CC10" s="3">
        <v>-1.1599999999999999</v>
      </c>
      <c r="CD10" s="3" t="s">
        <v>3143</v>
      </c>
      <c r="CE10" s="3" t="s">
        <v>3144</v>
      </c>
      <c r="CF10" s="10">
        <v>-0.53278688524590168</v>
      </c>
      <c r="CG10" s="11">
        <v>-0.53146150857215357</v>
      </c>
      <c r="CH10" s="10">
        <v>-0.81583195924758911</v>
      </c>
      <c r="CI10" s="10">
        <v>0.16792452335357666</v>
      </c>
      <c r="CJ10" s="10">
        <v>0.44021740555763245</v>
      </c>
      <c r="CK10" s="10">
        <v>0.18327973783016205</v>
      </c>
      <c r="CL10" s="10">
        <v>1.6339870169758797E-2</v>
      </c>
      <c r="CM10" s="11">
        <v>-0.84243863821029663</v>
      </c>
      <c r="CN10" s="11">
        <v>0.35135135054588318</v>
      </c>
      <c r="CO10" s="11">
        <v>0.54556924104690552</v>
      </c>
      <c r="CP10" s="11">
        <v>0.2961094081401825</v>
      </c>
      <c r="CQ10" s="11">
        <v>-0.12745395302772522</v>
      </c>
      <c r="CR10" s="3">
        <v>36.780301976891558</v>
      </c>
      <c r="CS10" s="3">
        <v>227.87098644597484</v>
      </c>
      <c r="CT10" s="3">
        <v>0.69715560513106523</v>
      </c>
      <c r="CU10" s="10">
        <v>-1.614084467291832E-3</v>
      </c>
      <c r="CV10" s="11">
        <v>4.462748169898987E-2</v>
      </c>
      <c r="CW10" s="3">
        <v>0.06</v>
      </c>
      <c r="CX10" s="3">
        <v>90.674814463785538</v>
      </c>
      <c r="CY10" s="3" t="s">
        <v>3145</v>
      </c>
      <c r="CZ10" s="3">
        <v>-1.614084467291832E-3</v>
      </c>
      <c r="DA10" s="3">
        <v>30.224938154595176</v>
      </c>
      <c r="DB10" s="3" t="s">
        <v>3146</v>
      </c>
      <c r="DC10" s="3">
        <v>-1.5333802439272404E-3</v>
      </c>
      <c r="DD10" s="3">
        <v>15.112469077297588</v>
      </c>
      <c r="DE10" s="3" t="s">
        <v>3147</v>
      </c>
      <c r="DF10" s="3">
        <v>-1.4203943312168122E-3</v>
      </c>
      <c r="DG10" s="3">
        <v>9.0674814463785527</v>
      </c>
      <c r="DH10" s="3" t="s">
        <v>3148</v>
      </c>
      <c r="DI10" s="3">
        <v>-1.2912675738334656E-3</v>
      </c>
      <c r="DJ10" s="3">
        <v>4.5337407231892763</v>
      </c>
      <c r="DK10" s="3" t="s">
        <v>3149</v>
      </c>
      <c r="DL10" s="3">
        <v>-1.1298591271042824E-3</v>
      </c>
      <c r="DM10" s="3">
        <v>23634200</v>
      </c>
      <c r="DN10" s="3">
        <v>-1.614084467291832E-3</v>
      </c>
      <c r="DO10" s="3">
        <v>2143026700</v>
      </c>
      <c r="DP10" s="3">
        <v>945058750</v>
      </c>
      <c r="DQ10" s="3">
        <v>1497</v>
      </c>
      <c r="DR10" s="3">
        <v>-0.53117280077860984</v>
      </c>
      <c r="DS10" s="3">
        <v>-0.57608899027114346</v>
      </c>
      <c r="DT10" s="12">
        <v>-0.37333333333333335</v>
      </c>
      <c r="DU10" s="3">
        <v>-0.15333333333333335</v>
      </c>
      <c r="DV10" s="3">
        <v>-0.52666666666666673</v>
      </c>
      <c r="DW10" s="3">
        <v>-5.1923714759535651</v>
      </c>
      <c r="DX10" s="3">
        <v>0.26469436349420633</v>
      </c>
      <c r="DY10" s="3">
        <v>-5.0143690649507926</v>
      </c>
      <c r="DZ10" s="3">
        <v>1656</v>
      </c>
      <c r="EA10" s="3">
        <v>-5.0097124756047045</v>
      </c>
      <c r="EB10" s="3">
        <v>5</v>
      </c>
      <c r="EC10" s="3">
        <v>6.2073904125537108E-2</v>
      </c>
      <c r="ED10" s="3">
        <v>0.83103866505738699</v>
      </c>
      <c r="EE10" s="13">
        <v>-5.0716099999999997</v>
      </c>
      <c r="EF10" s="3">
        <v>-5.0904100000000003</v>
      </c>
      <c r="EG10" s="3">
        <v>19.074694363494206</v>
      </c>
      <c r="EH10" s="3" t="s">
        <v>1911</v>
      </c>
      <c r="EI10" s="3">
        <v>0</v>
      </c>
      <c r="EJ10" s="3">
        <v>0</v>
      </c>
      <c r="EK10" s="14">
        <v>45470</v>
      </c>
      <c r="EL10" s="15">
        <v>-5.08</v>
      </c>
      <c r="EM10" s="15">
        <v>-3.99</v>
      </c>
      <c r="EN10" s="15">
        <v>-4.54</v>
      </c>
      <c r="EO10" s="15">
        <v>6.3</v>
      </c>
      <c r="EP10" s="15">
        <v>-1.88</v>
      </c>
    </row>
    <row r="11" spans="1:146" ht="96" x14ac:dyDescent="0.25">
      <c r="C11" s="7" t="str">
        <f>""&amp;CHAR(10)&amp;Basic_Fundamental_Information_Constructure(F11)&amp;CHAR(10)&amp;Basic_Fundamental_Information_Concatenate("")</f>
        <v xml:space="preserve">
市值33.918599亿, 利润-1924.95万; PE; 平均PE-354.47; 平均PEG-23.34, PB3.16; ROIC2.49%; ROE3.3833%; 股利率0%; 毛利26.5%; 净利9.29%; 上一年度营收增-77.54%, 利润增-197.56%; 当季营收增-51.8%, 利润增-182.39%; 过往5年营收增-15.19%, 利润增-91.58%
Income profile:
</v>
      </c>
      <c r="D11" s="3" t="s">
        <v>62</v>
      </c>
      <c r="E11" s="3" t="s">
        <v>19</v>
      </c>
      <c r="F11" s="3">
        <v>14.34</v>
      </c>
      <c r="G11" s="3">
        <v>-1.58</v>
      </c>
      <c r="H11" s="3" t="s">
        <v>3150</v>
      </c>
      <c r="I11" s="3">
        <v>3391859900</v>
      </c>
      <c r="K11" s="3">
        <v>3.16</v>
      </c>
      <c r="L11" s="3" t="s">
        <v>2983</v>
      </c>
      <c r="M11" s="3" t="s">
        <v>327</v>
      </c>
      <c r="N11" s="3" t="s">
        <v>3151</v>
      </c>
      <c r="O11" s="3" t="s">
        <v>2036</v>
      </c>
      <c r="P11" s="3">
        <v>0.32</v>
      </c>
      <c r="Q11" s="3" t="s">
        <v>2036</v>
      </c>
      <c r="R11" s="3">
        <v>-19249488</v>
      </c>
      <c r="S11" s="5">
        <v>-2.6080000000000001</v>
      </c>
      <c r="T11" s="3" t="s">
        <v>3152</v>
      </c>
      <c r="U11" s="3">
        <v>236531370</v>
      </c>
      <c r="V11" s="3">
        <v>236531370</v>
      </c>
      <c r="W11" s="3">
        <v>1.08</v>
      </c>
      <c r="X11" s="3">
        <v>7.0000000000000007E-2</v>
      </c>
      <c r="Y11" s="3">
        <v>-24.7</v>
      </c>
      <c r="Z11" s="3" t="s">
        <v>3153</v>
      </c>
      <c r="AA11" s="3" t="s">
        <v>3154</v>
      </c>
      <c r="AB11" s="3" t="s">
        <v>3155</v>
      </c>
      <c r="AC11" s="3" t="s">
        <v>3156</v>
      </c>
      <c r="AD11" s="3" t="s">
        <v>22</v>
      </c>
      <c r="AE11" s="3">
        <v>-3062547</v>
      </c>
      <c r="AF11" s="3" t="s">
        <v>2038</v>
      </c>
      <c r="AG11" s="3" t="s">
        <v>3007</v>
      </c>
      <c r="AH11" s="3" t="s">
        <v>2039</v>
      </c>
      <c r="AI11" s="3" t="s">
        <v>561</v>
      </c>
      <c r="AJ11" s="3" t="s">
        <v>2040</v>
      </c>
      <c r="AK11" s="3" t="s">
        <v>3157</v>
      </c>
      <c r="AL11" s="3" t="s">
        <v>2041</v>
      </c>
      <c r="AM11" s="3" t="s">
        <v>22</v>
      </c>
      <c r="AN11" s="3" t="s">
        <v>2042</v>
      </c>
      <c r="AO11" s="3" t="s">
        <v>22</v>
      </c>
      <c r="AP11" s="3" t="s">
        <v>22</v>
      </c>
      <c r="AQ11" s="3" t="s">
        <v>3158</v>
      </c>
      <c r="AR11" s="3" t="s">
        <v>22</v>
      </c>
      <c r="AS11" s="3" t="s">
        <v>3159</v>
      </c>
      <c r="AT11" s="3" t="s">
        <v>22</v>
      </c>
      <c r="AU11" s="3" t="s">
        <v>3160</v>
      </c>
      <c r="AV11" s="3" t="s">
        <v>3161</v>
      </c>
      <c r="AW11" s="3" t="s">
        <v>3162</v>
      </c>
      <c r="AX11" s="3" t="s">
        <v>858</v>
      </c>
      <c r="AY11" s="3" t="s">
        <v>157</v>
      </c>
      <c r="AZ11" s="3" t="s">
        <v>514</v>
      </c>
      <c r="BA11" s="3" t="s">
        <v>274</v>
      </c>
      <c r="BB11" s="3" t="s">
        <v>246</v>
      </c>
      <c r="BC11" s="3" t="s">
        <v>1538</v>
      </c>
      <c r="BD11" s="3" t="s">
        <v>874</v>
      </c>
      <c r="BE11" s="3" t="s">
        <v>515</v>
      </c>
      <c r="BF11" s="3" t="s">
        <v>338</v>
      </c>
      <c r="BG11" s="3" t="s">
        <v>516</v>
      </c>
      <c r="BH11" s="3" t="s">
        <v>393</v>
      </c>
      <c r="BI11" s="3" t="s">
        <v>148</v>
      </c>
      <c r="BJ11" s="3" t="s">
        <v>858</v>
      </c>
      <c r="BK11" s="3" t="s">
        <v>2037</v>
      </c>
      <c r="BL11" s="3" t="s">
        <v>3163</v>
      </c>
      <c r="BM11" s="3" t="s">
        <v>1538</v>
      </c>
      <c r="BN11" s="3">
        <v>2.67</v>
      </c>
      <c r="BO11" s="3">
        <v>0.77</v>
      </c>
      <c r="BP11" s="3">
        <v>4.03</v>
      </c>
      <c r="BQ11" s="3">
        <v>3.46</v>
      </c>
      <c r="BR11" s="3">
        <v>1.9</v>
      </c>
      <c r="BS11" s="3">
        <v>4.79</v>
      </c>
      <c r="BT11" s="3" t="s">
        <v>1368</v>
      </c>
      <c r="BU11" s="3" t="s">
        <v>1210</v>
      </c>
      <c r="BV11" s="3">
        <v>23.19</v>
      </c>
      <c r="BW11" s="3">
        <v>25.83</v>
      </c>
      <c r="BX11" s="3">
        <v>30.48</v>
      </c>
      <c r="BY11" s="3">
        <v>9.5399999999999991</v>
      </c>
      <c r="BZ11" s="3">
        <v>5.33</v>
      </c>
      <c r="CA11" s="3">
        <v>13</v>
      </c>
      <c r="CB11" s="3">
        <v>-9.24</v>
      </c>
      <c r="CC11" s="3">
        <v>34.520000000000003</v>
      </c>
      <c r="CD11" s="3" t="s">
        <v>277</v>
      </c>
      <c r="CE11" s="3" t="s">
        <v>3164</v>
      </c>
      <c r="CF11" s="10">
        <v>-0.51803780487804874</v>
      </c>
      <c r="CG11" s="11">
        <v>-1.8238670136273369</v>
      </c>
      <c r="CH11" s="10">
        <v>-0.77544945478439331</v>
      </c>
      <c r="CI11" s="10">
        <v>6.9908812642097473E-2</v>
      </c>
      <c r="CJ11" s="10">
        <v>-0.15206184983253479</v>
      </c>
      <c r="CK11" s="10">
        <v>0.46415093541145325</v>
      </c>
      <c r="CL11" s="10">
        <v>-0.36602869629859924</v>
      </c>
      <c r="CM11" s="11">
        <v>-1.9755572080612183</v>
      </c>
      <c r="CN11" s="11">
        <v>-0.55244308710098267</v>
      </c>
      <c r="CO11" s="11">
        <v>0.36729249358177185</v>
      </c>
      <c r="CP11" s="11">
        <v>1.1465663909912109</v>
      </c>
      <c r="CQ11" s="11">
        <v>-3.5649487972259521</v>
      </c>
      <c r="CR11" s="3">
        <v>-354.46583039558556</v>
      </c>
      <c r="CS11" s="3">
        <v>-23.336079447743327</v>
      </c>
      <c r="CT11" s="3">
        <v>0</v>
      </c>
      <c r="CU11" s="10">
        <v>-0.15189605057239533</v>
      </c>
      <c r="CV11" s="11">
        <v>-0.91581804156303404</v>
      </c>
      <c r="CW11" s="3">
        <v>0.06</v>
      </c>
      <c r="CX11" s="3" t="e">
        <v>#VALUE!</v>
      </c>
      <c r="CY11" s="3" t="s">
        <v>1073</v>
      </c>
      <c r="CZ11" s="3">
        <v>-0.15189605057239533</v>
      </c>
      <c r="DA11" s="3" t="e">
        <v>#VALUE!</v>
      </c>
      <c r="DB11" s="3" t="s">
        <v>1074</v>
      </c>
      <c r="DC11" s="3">
        <v>-0.14430124804377556</v>
      </c>
      <c r="DD11" s="3" t="e">
        <v>#VALUE!</v>
      </c>
      <c r="DE11" s="3" t="s">
        <v>1074</v>
      </c>
      <c r="DF11" s="3">
        <v>-0.13366852450370789</v>
      </c>
      <c r="DG11" s="3" t="e">
        <v>#VALUE!</v>
      </c>
      <c r="DH11" s="3" t="s">
        <v>1074</v>
      </c>
      <c r="DI11" s="3">
        <v>-0.12151684045791628</v>
      </c>
      <c r="DJ11" s="3" t="e">
        <v>#VALUE!</v>
      </c>
      <c r="DK11" s="3" t="s">
        <v>1074</v>
      </c>
      <c r="DL11" s="3">
        <v>-0.10632723540067672</v>
      </c>
      <c r="DM11" s="3">
        <v>-19249500</v>
      </c>
      <c r="DN11" s="3">
        <v>-0.15189605057239533</v>
      </c>
      <c r="DO11" s="3">
        <v>2409859900</v>
      </c>
      <c r="DP11" s="3">
        <v>879145080</v>
      </c>
      <c r="DQ11" s="3">
        <v>1541</v>
      </c>
      <c r="DR11" s="3">
        <v>-0.36614175430565343</v>
      </c>
      <c r="DS11" s="3">
        <v>-0.90804897206430291</v>
      </c>
      <c r="DT11" s="12">
        <v>-0.89</v>
      </c>
      <c r="DU11" s="3">
        <v>-2.0483333333333333</v>
      </c>
      <c r="DV11" s="3">
        <v>-2.9383333333333335</v>
      </c>
      <c r="DW11" s="3">
        <v>-7.2111517367458866</v>
      </c>
      <c r="DX11" s="3">
        <v>0.2831946755407671</v>
      </c>
      <c r="DY11" s="3">
        <v>-7.0175667002284428</v>
      </c>
      <c r="DZ11" s="3">
        <v>4170</v>
      </c>
      <c r="EA11" s="3">
        <v>-7.0032314477915332</v>
      </c>
      <c r="EB11" s="3">
        <v>7</v>
      </c>
      <c r="EC11" s="3">
        <v>0.42277690270005203</v>
      </c>
      <c r="ED11" s="3">
        <v>5.0817783704546251</v>
      </c>
      <c r="EE11" s="13">
        <v>-5.1056100000000004</v>
      </c>
      <c r="EF11" s="3">
        <v>-6.0174099999999999</v>
      </c>
      <c r="EG11" s="3">
        <v>20.083194675540767</v>
      </c>
      <c r="EH11" s="3" t="s">
        <v>2953</v>
      </c>
      <c r="EI11" s="3">
        <v>0</v>
      </c>
      <c r="EJ11" s="3">
        <v>0</v>
      </c>
      <c r="EK11" s="14">
        <v>45470</v>
      </c>
      <c r="EL11" s="15">
        <v>0.56999999999999995</v>
      </c>
      <c r="EM11" s="15">
        <v>-2.44</v>
      </c>
      <c r="EN11" s="15">
        <v>1.51</v>
      </c>
      <c r="EO11" s="15">
        <v>-4.6900000000000004</v>
      </c>
      <c r="EP11" s="15">
        <v>-6.18</v>
      </c>
    </row>
    <row r="12" spans="1:146" ht="96" x14ac:dyDescent="0.25">
      <c r="C12" s="7" t="str">
        <f>""&amp;CHAR(10)&amp;Basic_Fundamental_Information_Constructure(F12)&amp;CHAR(10)&amp;Basic_Fundamental_Information_Concatenate("")</f>
        <v xml:space="preserve">
市值61.255253亿, 利润716.82万; PE; 平均PE-66.43; 平均PEG-2.3, PB2.95; ROIC1.77%; ROE-5.6333%; 股利率0%; 毛利37.8067%; 净利-82.9867%; 上一年度营收增-81.75%, 利润增101.25%; 当季营收增-65.54%, 利润增-86.03%; 过往5年营收增-28.91%, 利润增-320.24%
Income profile:
</v>
      </c>
      <c r="D12" s="3" t="s">
        <v>50</v>
      </c>
      <c r="E12" s="3" t="s">
        <v>1721</v>
      </c>
      <c r="F12" s="3">
        <v>8.7899999999999991</v>
      </c>
      <c r="G12" s="3">
        <v>0.56999999999999995</v>
      </c>
      <c r="H12" s="3" t="s">
        <v>3165</v>
      </c>
      <c r="I12" s="3">
        <v>6125525300</v>
      </c>
      <c r="K12" s="3">
        <v>2.95</v>
      </c>
      <c r="L12" s="3" t="s">
        <v>2983</v>
      </c>
      <c r="M12" s="3" t="s">
        <v>536</v>
      </c>
      <c r="N12" s="3" t="s">
        <v>1739</v>
      </c>
      <c r="O12" s="3" t="s">
        <v>2043</v>
      </c>
      <c r="P12" s="3">
        <v>-35.57</v>
      </c>
      <c r="Q12" s="3" t="s">
        <v>2043</v>
      </c>
      <c r="R12" s="3">
        <v>7168176</v>
      </c>
      <c r="S12" s="5">
        <v>-0.73699999999999999</v>
      </c>
      <c r="T12" s="3" t="s">
        <v>3166</v>
      </c>
      <c r="U12" s="3">
        <v>645962680</v>
      </c>
      <c r="V12" s="3">
        <v>696874320</v>
      </c>
      <c r="W12" s="3">
        <v>1.32</v>
      </c>
      <c r="X12" s="3">
        <v>0.03</v>
      </c>
      <c r="Y12" s="3">
        <v>9.16</v>
      </c>
      <c r="Z12" s="3" t="s">
        <v>3167</v>
      </c>
      <c r="AA12" s="3" t="s">
        <v>3168</v>
      </c>
      <c r="AB12" s="3" t="s">
        <v>3169</v>
      </c>
      <c r="AC12" s="3" t="s">
        <v>3170</v>
      </c>
      <c r="AD12" s="3" t="s">
        <v>22</v>
      </c>
      <c r="AE12" s="3">
        <v>917565</v>
      </c>
      <c r="AF12" s="3" t="s">
        <v>2044</v>
      </c>
      <c r="AG12" s="3" t="s">
        <v>3171</v>
      </c>
      <c r="AH12" s="3" t="s">
        <v>2045</v>
      </c>
      <c r="AI12" s="3" t="s">
        <v>1758</v>
      </c>
      <c r="AJ12" s="3" t="s">
        <v>2046</v>
      </c>
      <c r="AK12" s="3" t="s">
        <v>3172</v>
      </c>
      <c r="AL12" s="3" t="s">
        <v>2047</v>
      </c>
      <c r="AM12" s="3" t="s">
        <v>22</v>
      </c>
      <c r="AN12" s="3" t="s">
        <v>643</v>
      </c>
      <c r="AO12" s="3" t="s">
        <v>169</v>
      </c>
      <c r="AP12" s="3" t="s">
        <v>22</v>
      </c>
      <c r="AQ12" s="3" t="s">
        <v>550</v>
      </c>
      <c r="AR12" s="3" t="s">
        <v>22</v>
      </c>
      <c r="AS12" s="3" t="s">
        <v>3173</v>
      </c>
      <c r="AT12" s="3" t="s">
        <v>3174</v>
      </c>
      <c r="AU12" s="3" t="s">
        <v>3175</v>
      </c>
      <c r="AV12" s="3" t="s">
        <v>3176</v>
      </c>
      <c r="AW12" s="3" t="s">
        <v>3177</v>
      </c>
      <c r="AX12" s="3" t="s">
        <v>1003</v>
      </c>
      <c r="AY12" s="3" t="s">
        <v>875</v>
      </c>
      <c r="AZ12" s="3" t="s">
        <v>517</v>
      </c>
      <c r="BA12" s="3" t="s">
        <v>276</v>
      </c>
      <c r="BB12" s="3" t="s">
        <v>163</v>
      </c>
      <c r="BC12" s="3" t="s">
        <v>1539</v>
      </c>
      <c r="BD12" s="3" t="s">
        <v>876</v>
      </c>
      <c r="BE12" s="3" t="s">
        <v>396</v>
      </c>
      <c r="BF12" s="3" t="s">
        <v>339</v>
      </c>
      <c r="BG12" s="3" t="s">
        <v>521</v>
      </c>
      <c r="BH12" s="3" t="s">
        <v>778</v>
      </c>
      <c r="BI12" s="3" t="s">
        <v>345</v>
      </c>
      <c r="BJ12" s="3" t="s">
        <v>1003</v>
      </c>
      <c r="BK12" s="3" t="s">
        <v>1957</v>
      </c>
      <c r="BL12" s="3" t="s">
        <v>3178</v>
      </c>
      <c r="BM12" s="3" t="s">
        <v>1539</v>
      </c>
      <c r="BN12" s="3">
        <v>2.1800000000000002</v>
      </c>
      <c r="BO12" s="3" t="s">
        <v>22</v>
      </c>
      <c r="BP12" s="3">
        <v>1.36</v>
      </c>
      <c r="BQ12" s="3">
        <v>2.2400000000000002</v>
      </c>
      <c r="BR12" s="3">
        <v>-20.54</v>
      </c>
      <c r="BS12" s="3">
        <v>1.4</v>
      </c>
      <c r="BT12" s="3" t="s">
        <v>1368</v>
      </c>
      <c r="BU12" s="3" t="s">
        <v>2998</v>
      </c>
      <c r="BV12" s="3">
        <v>43.48</v>
      </c>
      <c r="BW12" s="3">
        <v>32.44</v>
      </c>
      <c r="BX12" s="3">
        <v>37.5</v>
      </c>
      <c r="BY12" s="3">
        <v>-120.59</v>
      </c>
      <c r="BZ12" s="3">
        <v>-134.49</v>
      </c>
      <c r="CA12" s="3">
        <v>6.12</v>
      </c>
      <c r="CB12" s="3">
        <v>-3.51</v>
      </c>
      <c r="CC12" s="3">
        <v>-9.1</v>
      </c>
      <c r="CD12" s="3" t="s">
        <v>3179</v>
      </c>
      <c r="CE12" s="3" t="s">
        <v>1635</v>
      </c>
      <c r="CF12" s="10">
        <v>-0.65535733333333335</v>
      </c>
      <c r="CG12" s="11">
        <v>-0.86030460176680723</v>
      </c>
      <c r="CH12" s="10">
        <v>-0.81754207611083984</v>
      </c>
      <c r="CI12" s="10">
        <v>-0.38936781883239746</v>
      </c>
      <c r="CJ12" s="10">
        <v>-0.20000000298023224</v>
      </c>
      <c r="CK12" s="10">
        <v>2.1126760169863701E-2</v>
      </c>
      <c r="CL12" s="10">
        <v>-5.9602648019790649E-2</v>
      </c>
      <c r="CM12" s="11">
        <v>1.0125317573547363</v>
      </c>
      <c r="CN12" s="11">
        <v>-14.415735244750977</v>
      </c>
      <c r="CO12" s="11">
        <v>-0.6052175760269165</v>
      </c>
      <c r="CP12" s="11">
        <v>1.4615384340286255</v>
      </c>
      <c r="CQ12" s="11">
        <v>-3.4650964736938477</v>
      </c>
      <c r="CR12" s="3">
        <v>-66.428961989625321</v>
      </c>
      <c r="CS12" s="3">
        <v>-2.2979664890671572</v>
      </c>
      <c r="CT12" s="3">
        <v>0</v>
      </c>
      <c r="CU12" s="10">
        <v>-0.2890771571546793</v>
      </c>
      <c r="CV12" s="11">
        <v>-3.2023958206176757</v>
      </c>
      <c r="CW12" s="3">
        <v>0.06</v>
      </c>
      <c r="CX12" s="3">
        <v>660.62962807957365</v>
      </c>
      <c r="CY12" s="3" t="s">
        <v>3180</v>
      </c>
      <c r="CZ12" s="3">
        <v>-0.2890771571546793</v>
      </c>
      <c r="DA12" s="3">
        <v>220.20987602652457</v>
      </c>
      <c r="DB12" s="3" t="s">
        <v>3181</v>
      </c>
      <c r="DC12" s="3">
        <v>-0.27462329929694534</v>
      </c>
      <c r="DD12" s="3">
        <v>110.10493801326228</v>
      </c>
      <c r="DE12" s="3" t="s">
        <v>3182</v>
      </c>
      <c r="DF12" s="3">
        <v>-0.2543878982961178</v>
      </c>
      <c r="DG12" s="3">
        <v>66.062962807957362</v>
      </c>
      <c r="DH12" s="3" t="s">
        <v>3183</v>
      </c>
      <c r="DI12" s="3">
        <v>-0.23126172572374346</v>
      </c>
      <c r="DJ12" s="3">
        <v>33.031481403978681</v>
      </c>
      <c r="DK12" s="3" t="s">
        <v>3184</v>
      </c>
      <c r="DL12" s="3">
        <v>-0.20235401000827549</v>
      </c>
      <c r="DM12" s="3">
        <v>7168200.0000000009</v>
      </c>
      <c r="DN12" s="3">
        <v>-0.2890771571546793</v>
      </c>
      <c r="DO12" s="3">
        <v>4735525300</v>
      </c>
      <c r="DP12" s="3">
        <v>576401600</v>
      </c>
      <c r="DQ12" s="3">
        <v>1548</v>
      </c>
      <c r="DR12" s="3">
        <v>-0.36628017617865405</v>
      </c>
      <c r="DS12" s="3">
        <v>2.3420912188508685</v>
      </c>
      <c r="DT12" s="12">
        <v>-1.0566666666666666</v>
      </c>
      <c r="DU12" s="3">
        <v>-1.4733333333333336</v>
      </c>
      <c r="DV12" s="3">
        <v>-2.5300000000000002</v>
      </c>
      <c r="DW12" s="3">
        <v>-8.3857142857142861</v>
      </c>
      <c r="DX12" s="3">
        <v>0.27684361111111055</v>
      </c>
      <c r="DY12" s="3">
        <v>-8.0257825357142849</v>
      </c>
      <c r="DZ12" s="3">
        <v>4890</v>
      </c>
      <c r="EA12" s="3">
        <v>-8.0011100113223375</v>
      </c>
      <c r="EB12" s="3">
        <v>8</v>
      </c>
      <c r="EC12" s="3">
        <v>6.9061807299772501E-2</v>
      </c>
      <c r="ED12" s="3">
        <v>1.0331848646682804</v>
      </c>
      <c r="EE12" s="13">
        <v>-2.0257999999999998</v>
      </c>
      <c r="EF12" s="3">
        <v>-2.0033099999999999</v>
      </c>
      <c r="EG12" s="3">
        <v>21.066843611111111</v>
      </c>
      <c r="EH12" s="3" t="s">
        <v>1401</v>
      </c>
      <c r="EI12" s="3">
        <v>0</v>
      </c>
      <c r="EJ12" s="3">
        <v>0</v>
      </c>
      <c r="EK12" s="14">
        <v>45470</v>
      </c>
      <c r="EL12" s="15">
        <v>-2.1800000000000002</v>
      </c>
      <c r="EM12" s="15">
        <v>-4.66</v>
      </c>
      <c r="EN12" s="15">
        <v>-0.78</v>
      </c>
      <c r="EO12" s="15">
        <v>4.03</v>
      </c>
      <c r="EP12" s="15">
        <v>-2.91</v>
      </c>
    </row>
    <row r="13" spans="1:146" ht="120" x14ac:dyDescent="0.25">
      <c r="A13" s="7" t="s">
        <v>1899</v>
      </c>
      <c r="C13" s="7" t="str">
        <f>""&amp;CHAR(10)&amp;Basic_Fundamental_Information_Constructure(F13)&amp;CHAR(10)&amp;Basic_Fundamental_Information_Concatenate("存储芯片 15.25亿 70.30%（毛利20.73%）智能视频芯片13.43%（毛利25.25%）模拟与互联芯片8.64%（毛利48.83%）微处理器芯片5.70%（毛利55.32%）技术服务1.45%（毛利92.95%）")</f>
        <v xml:space="preserve">
市值48.691079亿, 利润-7480.68万; PE; 平均PE-21.06; 平均PEG-1.59, PB4.52; ROIC14.46%; ROE-2.8067%; 股利率0%; 毛利33.38%; 净利-12.5733%; 上一年度营收增-80.67%, 利润增-130.28%; 当季营收增-50.32%, 利润增67.19%; 过往5年营收增13.29%, 利润增324.29%
Income profile:
存储芯片 15.25亿 70.30%（毛利20.73%）智能视频芯片13.43%（毛利25.25%）模拟与互联芯片8.64%（毛利48.83%）微处理器芯片5.70%（毛利55.32%）技术服务1.45%（毛利92.95%）</v>
      </c>
      <c r="D13" s="3" t="s">
        <v>70</v>
      </c>
      <c r="E13" s="3" t="s">
        <v>20</v>
      </c>
      <c r="F13" s="3">
        <v>8.35</v>
      </c>
      <c r="G13" s="3">
        <v>0.48</v>
      </c>
      <c r="H13" s="3" t="s">
        <v>3185</v>
      </c>
      <c r="I13" s="3">
        <v>4869107900</v>
      </c>
      <c r="K13" s="3">
        <v>4.5199999999999996</v>
      </c>
      <c r="L13" s="3" t="s">
        <v>2983</v>
      </c>
      <c r="M13" s="3" t="s">
        <v>2049</v>
      </c>
      <c r="N13" s="3" t="s">
        <v>1753</v>
      </c>
      <c r="O13" s="3" t="s">
        <v>133</v>
      </c>
      <c r="P13" s="3">
        <v>6.47</v>
      </c>
      <c r="Q13" s="3" t="s">
        <v>133</v>
      </c>
      <c r="R13" s="3">
        <v>-74806782</v>
      </c>
      <c r="S13" s="5">
        <v>0.11169999999999999</v>
      </c>
      <c r="T13" s="3" t="s">
        <v>3186</v>
      </c>
      <c r="U13" s="3">
        <v>565994900</v>
      </c>
      <c r="V13" s="3">
        <v>583126700</v>
      </c>
      <c r="W13" s="3">
        <v>3.15</v>
      </c>
      <c r="X13" s="3">
        <v>0.06</v>
      </c>
      <c r="Y13" s="3">
        <v>-34.04</v>
      </c>
      <c r="Z13" s="3" t="s">
        <v>1078</v>
      </c>
      <c r="AA13" s="3" t="s">
        <v>127</v>
      </c>
      <c r="AB13" s="3" t="s">
        <v>3187</v>
      </c>
      <c r="AC13" s="3" t="s">
        <v>3188</v>
      </c>
      <c r="AD13" s="3" t="s">
        <v>22</v>
      </c>
      <c r="AE13" s="3">
        <v>16584929</v>
      </c>
      <c r="AF13" s="3" t="s">
        <v>2051</v>
      </c>
      <c r="AG13" s="3" t="s">
        <v>3189</v>
      </c>
      <c r="AH13" s="3" t="s">
        <v>2052</v>
      </c>
      <c r="AI13" s="3" t="s">
        <v>1877</v>
      </c>
      <c r="AJ13" s="3" t="s">
        <v>2053</v>
      </c>
      <c r="AK13" s="3" t="s">
        <v>3190</v>
      </c>
      <c r="AL13" s="3" t="s">
        <v>2054</v>
      </c>
      <c r="AM13" s="3" t="s">
        <v>22</v>
      </c>
      <c r="AN13" s="3" t="s">
        <v>613</v>
      </c>
      <c r="AO13" s="3" t="s">
        <v>3191</v>
      </c>
      <c r="AP13" s="3" t="s">
        <v>3192</v>
      </c>
      <c r="AQ13" s="3" t="s">
        <v>123</v>
      </c>
      <c r="AR13" s="3" t="s">
        <v>22</v>
      </c>
      <c r="AS13" s="3" t="s">
        <v>1348</v>
      </c>
      <c r="AT13" s="3" t="s">
        <v>3193</v>
      </c>
      <c r="AU13" s="3" t="s">
        <v>3194</v>
      </c>
      <c r="AV13" s="3" t="s">
        <v>3195</v>
      </c>
      <c r="AW13" s="3" t="s">
        <v>3196</v>
      </c>
      <c r="AX13" s="3" t="s">
        <v>1540</v>
      </c>
      <c r="AY13" s="3" t="s">
        <v>839</v>
      </c>
      <c r="AZ13" s="3" t="s">
        <v>522</v>
      </c>
      <c r="BA13" s="3" t="s">
        <v>256</v>
      </c>
      <c r="BB13" s="3" t="s">
        <v>525</v>
      </c>
      <c r="BC13" s="3" t="s">
        <v>1541</v>
      </c>
      <c r="BD13" s="3" t="s">
        <v>390</v>
      </c>
      <c r="BE13" s="3" t="s">
        <v>523</v>
      </c>
      <c r="BF13" s="3" t="s">
        <v>257</v>
      </c>
      <c r="BG13" s="3" t="s">
        <v>527</v>
      </c>
      <c r="BH13" s="3" t="s">
        <v>2050</v>
      </c>
      <c r="BI13" s="3" t="s">
        <v>1756</v>
      </c>
      <c r="BJ13" s="3" t="s">
        <v>1540</v>
      </c>
      <c r="BK13" s="3" t="s">
        <v>1539</v>
      </c>
      <c r="BL13" s="3" t="s">
        <v>3197</v>
      </c>
      <c r="BM13" s="3" t="s">
        <v>1541</v>
      </c>
      <c r="BN13" s="3" t="s">
        <v>22</v>
      </c>
      <c r="BO13" s="3" t="s">
        <v>22</v>
      </c>
      <c r="BP13" s="3">
        <v>14.46</v>
      </c>
      <c r="BQ13" s="3">
        <v>-22.99</v>
      </c>
      <c r="BR13" s="3">
        <v>-1.71</v>
      </c>
      <c r="BS13" s="3">
        <v>16.28</v>
      </c>
      <c r="BT13" s="3" t="s">
        <v>1368</v>
      </c>
      <c r="BU13" s="3" t="s">
        <v>2998</v>
      </c>
      <c r="BV13" s="3">
        <v>14.31</v>
      </c>
      <c r="BW13" s="3">
        <v>37.85</v>
      </c>
      <c r="BX13" s="3">
        <v>47.98</v>
      </c>
      <c r="BY13" s="3">
        <v>-57.29</v>
      </c>
      <c r="BZ13" s="3">
        <v>-1.58</v>
      </c>
      <c r="CA13" s="3">
        <v>21.15</v>
      </c>
      <c r="CB13" s="3">
        <v>-4.3499999999999996</v>
      </c>
      <c r="CC13" s="3">
        <v>-8.94</v>
      </c>
      <c r="CD13" s="3" t="s">
        <v>3198</v>
      </c>
      <c r="CE13" s="3" t="s">
        <v>1240</v>
      </c>
      <c r="CF13" s="10">
        <v>-0.50322580645161297</v>
      </c>
      <c r="CG13" s="11">
        <v>0.67190007894736836</v>
      </c>
      <c r="CH13" s="10">
        <v>-0.80669456720352173</v>
      </c>
      <c r="CI13" s="10">
        <v>0.17387039959430695</v>
      </c>
      <c r="CJ13" s="10">
        <v>1.6789473295211792</v>
      </c>
      <c r="CK13" s="10">
        <v>-3.7974681705236435E-2</v>
      </c>
      <c r="CL13" s="10">
        <v>-0.34385383129119873</v>
      </c>
      <c r="CM13" s="11">
        <v>-1.3028105497360229</v>
      </c>
      <c r="CN13" s="11">
        <v>-1.1483333110809326</v>
      </c>
      <c r="CO13" s="11">
        <v>18.493003845214844</v>
      </c>
      <c r="CP13" s="11">
        <v>-0.89197307825088501</v>
      </c>
      <c r="CQ13" s="11">
        <v>1.0644361972808838</v>
      </c>
      <c r="CR13" s="3">
        <v>-21.062326494152728</v>
      </c>
      <c r="CS13" s="3">
        <v>-1.5853150803289839</v>
      </c>
      <c r="CT13" s="3">
        <v>0</v>
      </c>
      <c r="CU13" s="10">
        <v>0.13285892978310584</v>
      </c>
      <c r="CV13" s="11">
        <v>3.2428646206855776</v>
      </c>
      <c r="CW13" s="3">
        <v>0.06</v>
      </c>
      <c r="CX13" s="3" t="e">
        <v>#VALUE!</v>
      </c>
      <c r="CY13" s="3" t="s">
        <v>1073</v>
      </c>
      <c r="CZ13" s="3">
        <v>0.13285892978310584</v>
      </c>
      <c r="DA13" s="3" t="e">
        <v>#VALUE!</v>
      </c>
      <c r="DB13" s="3" t="s">
        <v>1074</v>
      </c>
      <c r="DC13" s="3">
        <v>0.12621598329395053</v>
      </c>
      <c r="DD13" s="3" t="e">
        <v>#VALUE!</v>
      </c>
      <c r="DE13" s="3" t="s">
        <v>1074</v>
      </c>
      <c r="DF13" s="3">
        <v>0.11691585820913314</v>
      </c>
      <c r="DG13" s="3" t="e">
        <v>#VALUE!</v>
      </c>
      <c r="DH13" s="3" t="s">
        <v>1074</v>
      </c>
      <c r="DI13" s="3">
        <v>0.10628714382648469</v>
      </c>
      <c r="DJ13" s="3" t="e">
        <v>#VALUE!</v>
      </c>
      <c r="DK13" s="3" t="s">
        <v>1074</v>
      </c>
      <c r="DL13" s="3">
        <v>9.300125084817408E-2</v>
      </c>
      <c r="DM13" s="3">
        <v>-74806800</v>
      </c>
      <c r="DN13" s="3">
        <v>0.13285892978310584</v>
      </c>
      <c r="DO13" s="3">
        <v>6255107900</v>
      </c>
      <c r="DP13" s="3">
        <v>637044500</v>
      </c>
      <c r="DQ13" s="3">
        <v>1570</v>
      </c>
      <c r="DR13" s="3">
        <v>-0.63608473623471884</v>
      </c>
      <c r="DS13" s="3">
        <v>-2.570964541738209</v>
      </c>
      <c r="DT13" s="12">
        <v>-0.45666666666666672</v>
      </c>
      <c r="DU13" s="3">
        <v>-1.2650000000000001</v>
      </c>
      <c r="DV13" s="3">
        <v>-1.7216666666666669</v>
      </c>
      <c r="DW13" s="3">
        <v>-8.4865771812080535</v>
      </c>
      <c r="DX13" s="3">
        <v>0.29400546448087411</v>
      </c>
      <c r="DY13" s="3">
        <v>-8.0506066857373373</v>
      </c>
      <c r="DZ13" s="3">
        <v>4275</v>
      </c>
      <c r="EA13" s="3">
        <v>-8.0082693899394677</v>
      </c>
      <c r="EB13" s="3">
        <v>8</v>
      </c>
      <c r="EC13" s="3">
        <v>6.5279123730743252E-2</v>
      </c>
      <c r="ED13" s="3">
        <v>0.62765090331140727</v>
      </c>
      <c r="EE13" s="13">
        <v>-6.0736100000000004</v>
      </c>
      <c r="EF13" s="3">
        <v>-6.1059099999999997</v>
      </c>
      <c r="EG13" s="3">
        <v>19.104005464480874</v>
      </c>
      <c r="EH13" s="3" t="s">
        <v>2953</v>
      </c>
      <c r="EI13" s="3">
        <v>0</v>
      </c>
      <c r="EJ13" s="3">
        <v>0</v>
      </c>
      <c r="EK13" s="14">
        <v>45470</v>
      </c>
      <c r="EL13" s="15">
        <v>-0.22</v>
      </c>
      <c r="EM13" s="15">
        <v>-5.17</v>
      </c>
      <c r="EN13" s="15">
        <v>-3.98</v>
      </c>
      <c r="EO13" s="15">
        <v>6.27</v>
      </c>
      <c r="EP13" s="15">
        <v>-3.23</v>
      </c>
    </row>
    <row r="14" spans="1:146" ht="192" x14ac:dyDescent="0.25">
      <c r="B14" s="7" t="s">
        <v>1407</v>
      </c>
      <c r="C14" s="7" t="str">
        <f>"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amp;CHAR(10)&amp;Basic_Fundamental_Information_Constructure(F14)&amp;CHAR(10)&amp;Basic_Fundamental_Information_Concatenate("存储芯片 21.31亿 76.00% 74.31% 36.90%
智能视频芯片 3.30亿 11.75% 9.99% 32.08%
模拟与互联芯片 2.32亿 8.29% 12.04% 54.82%
微处理器芯片 6511.33万 2.32% 3.21% 52.12%")</f>
        <v>公司主营业务为集成电路的设计、开发及产业化，包括处理器芯片及平台式解决方案的研发。公司为集成电路设计企业，成立以来在嵌入式CPU、视频编解码、影像信号处理、神经网络处理器、AI算法等领域持续投入，形成自主创新的核心技术；基于这些核心技术，公司推出了微处理器芯片和智能视频芯片两条产品线。
市值258.26594亿, 利润8725.99万; PE50.66; 平均PE79.56; 平均PEG.63, PB2.19; ROIC6.4333%; ROE7.0633%; 股利率.3729%; 毛利37.54%; 净利14.4133%; 上一年度营收增-81.39%, 利润增-88.94%; 当季营收增-54.66%, 利润增-60.69%; 过往5年营收增126.95%, 利润增284.02%
Income profile:
存储芯片 21.31亿 76.00% 74.31% 36.90%
智能视频芯片 3.30亿 11.75% 9.99% 32.08%
模拟与互联芯片 2.32亿 8.29% 12.04% 54.82%
微处理器芯片 6511.33万 2.32% 3.21% 52.12%</v>
      </c>
      <c r="D14" s="3" t="s">
        <v>32</v>
      </c>
      <c r="E14" s="3" t="s">
        <v>3</v>
      </c>
      <c r="F14" s="3">
        <v>53.63</v>
      </c>
      <c r="G14" s="3">
        <v>0.11</v>
      </c>
      <c r="H14" s="3" t="s">
        <v>3199</v>
      </c>
      <c r="I14" s="3">
        <v>25826594000</v>
      </c>
      <c r="J14" s="3">
        <v>50.66</v>
      </c>
      <c r="K14" s="3">
        <v>2.19</v>
      </c>
      <c r="L14" s="3" t="s">
        <v>2983</v>
      </c>
      <c r="M14" s="3" t="s">
        <v>1533</v>
      </c>
      <c r="N14" s="3" t="s">
        <v>3200</v>
      </c>
      <c r="O14" s="3" t="s">
        <v>951</v>
      </c>
      <c r="P14" s="3">
        <v>-5.8</v>
      </c>
      <c r="Q14" s="3" t="s">
        <v>951</v>
      </c>
      <c r="R14" s="3">
        <v>87259946</v>
      </c>
      <c r="S14" s="5">
        <v>-0.23899999999999999</v>
      </c>
      <c r="T14" s="3" t="s">
        <v>3201</v>
      </c>
      <c r="U14" s="3">
        <v>415768390</v>
      </c>
      <c r="V14" s="3">
        <v>481569910</v>
      </c>
      <c r="W14" s="3">
        <v>1.07</v>
      </c>
      <c r="X14" s="3">
        <v>0.08</v>
      </c>
      <c r="Y14" s="3">
        <v>8.66</v>
      </c>
      <c r="Z14" s="3" t="s">
        <v>2135</v>
      </c>
      <c r="AA14" s="3" t="s">
        <v>1946</v>
      </c>
      <c r="AB14" s="3" t="s">
        <v>3202</v>
      </c>
      <c r="AC14" s="3" t="s">
        <v>3203</v>
      </c>
      <c r="AD14" s="3" t="s">
        <v>22</v>
      </c>
      <c r="AE14" s="3">
        <v>-26560511</v>
      </c>
      <c r="AF14" s="3" t="s">
        <v>2057</v>
      </c>
      <c r="AG14" s="3" t="s">
        <v>3204</v>
      </c>
      <c r="AH14" s="3" t="s">
        <v>2058</v>
      </c>
      <c r="AI14" s="3" t="s">
        <v>3205</v>
      </c>
      <c r="AJ14" s="3" t="s">
        <v>2059</v>
      </c>
      <c r="AK14" s="3" t="s">
        <v>3206</v>
      </c>
      <c r="AL14" s="3" t="s">
        <v>2060</v>
      </c>
      <c r="AM14" s="3" t="s">
        <v>22</v>
      </c>
      <c r="AN14" s="3" t="s">
        <v>3207</v>
      </c>
      <c r="AO14" s="3" t="s">
        <v>22</v>
      </c>
      <c r="AP14" s="3" t="s">
        <v>22</v>
      </c>
      <c r="AQ14" s="3" t="s">
        <v>105</v>
      </c>
      <c r="AR14" s="3" t="s">
        <v>22</v>
      </c>
      <c r="AS14" s="3" t="s">
        <v>875</v>
      </c>
      <c r="AT14" s="3" t="s">
        <v>22</v>
      </c>
      <c r="AU14" s="3" t="s">
        <v>3208</v>
      </c>
      <c r="AV14" s="3" t="s">
        <v>3209</v>
      </c>
      <c r="AW14" s="3" t="s">
        <v>3210</v>
      </c>
      <c r="AX14" s="3" t="s">
        <v>1285</v>
      </c>
      <c r="AY14" s="3" t="s">
        <v>877</v>
      </c>
      <c r="AZ14" s="3" t="s">
        <v>529</v>
      </c>
      <c r="BA14" s="3" t="s">
        <v>233</v>
      </c>
      <c r="BB14" s="3" t="s">
        <v>279</v>
      </c>
      <c r="BC14" s="3" t="s">
        <v>1542</v>
      </c>
      <c r="BD14" s="3" t="s">
        <v>746</v>
      </c>
      <c r="BE14" s="3" t="s">
        <v>530</v>
      </c>
      <c r="BF14" s="3" t="s">
        <v>342</v>
      </c>
      <c r="BG14" s="3" t="s">
        <v>532</v>
      </c>
      <c r="BH14" s="3" t="s">
        <v>2056</v>
      </c>
      <c r="BI14" s="3" t="s">
        <v>3069</v>
      </c>
      <c r="BJ14" s="3" t="s">
        <v>1285</v>
      </c>
      <c r="BK14" s="3" t="s">
        <v>485</v>
      </c>
      <c r="BL14" s="3" t="s">
        <v>266</v>
      </c>
      <c r="BM14" s="3" t="s">
        <v>1542</v>
      </c>
      <c r="BN14" s="3">
        <v>2.71</v>
      </c>
      <c r="BO14" s="3">
        <v>6.85</v>
      </c>
      <c r="BP14" s="3">
        <v>9.74</v>
      </c>
      <c r="BQ14" s="3">
        <v>3.23</v>
      </c>
      <c r="BR14" s="3">
        <v>7.33</v>
      </c>
      <c r="BS14" s="3">
        <v>10.63</v>
      </c>
      <c r="BT14" s="3" t="s">
        <v>1379</v>
      </c>
      <c r="BU14" s="3" t="s">
        <v>2998</v>
      </c>
      <c r="BV14" s="3">
        <v>37.1</v>
      </c>
      <c r="BW14" s="3">
        <v>38.56</v>
      </c>
      <c r="BX14" s="3">
        <v>36.96</v>
      </c>
      <c r="BY14" s="3">
        <v>11.38</v>
      </c>
      <c r="BZ14" s="3">
        <v>14.39</v>
      </c>
      <c r="CA14" s="3">
        <v>17.47</v>
      </c>
      <c r="CB14" s="3">
        <v>-3.26</v>
      </c>
      <c r="CC14" s="3">
        <v>-8.7899999999999991</v>
      </c>
      <c r="CD14" s="3" t="s">
        <v>3211</v>
      </c>
      <c r="CE14" s="3" t="s">
        <v>378</v>
      </c>
      <c r="CF14" s="10">
        <v>-0.54660063034669071</v>
      </c>
      <c r="CG14" s="11">
        <v>-0.60693718018018028</v>
      </c>
      <c r="CH14" s="10">
        <v>-0.81393200159072876</v>
      </c>
      <c r="CI14" s="10">
        <v>2.6166073977947235E-2</v>
      </c>
      <c r="CJ14" s="10">
        <v>1.4304147958755493</v>
      </c>
      <c r="CK14" s="10">
        <v>5.401179313659668</v>
      </c>
      <c r="CL14" s="10">
        <v>0.30384615063667297</v>
      </c>
      <c r="CM14" s="11">
        <v>-0.88940441608428955</v>
      </c>
      <c r="CN14" s="11">
        <v>-0.14794816076755524</v>
      </c>
      <c r="CO14" s="11">
        <v>11.650187492370605</v>
      </c>
      <c r="CP14" s="11">
        <v>0.24788391590118408</v>
      </c>
      <c r="CQ14" s="11">
        <v>3.3402118682861328</v>
      </c>
      <c r="CR14" s="3">
        <v>79.562918215446359</v>
      </c>
      <c r="CS14" s="3">
        <v>0.62670920125300456</v>
      </c>
      <c r="CT14" s="3">
        <v>0.37292560134253216</v>
      </c>
      <c r="CU14" s="10">
        <v>1.2695348665118218</v>
      </c>
      <c r="CV14" s="11">
        <v>2.8401861399412156</v>
      </c>
      <c r="CW14" s="3">
        <v>0.06</v>
      </c>
      <c r="CX14" s="3">
        <v>79.712172405891096</v>
      </c>
      <c r="CY14" s="3">
        <v>186829608.9606933</v>
      </c>
      <c r="CZ14" s="3">
        <v>1.2695348665118218</v>
      </c>
      <c r="DA14" s="3">
        <v>11.063138065187754</v>
      </c>
      <c r="DB14" s="3">
        <v>1346145543.17661</v>
      </c>
      <c r="DC14" s="3">
        <v>1.2060581231862306</v>
      </c>
      <c r="DD14" s="3">
        <v>1.3636999741561766</v>
      </c>
      <c r="DE14" s="3">
        <v>10920726173.083023</v>
      </c>
      <c r="DF14" s="3">
        <v>1.1171906825304032</v>
      </c>
      <c r="DG14" s="3">
        <v>0.13112707454101336</v>
      </c>
      <c r="DH14" s="3">
        <v>113573753186.58511</v>
      </c>
      <c r="DI14" s="3">
        <v>1.0156278932094576</v>
      </c>
      <c r="DJ14" s="3">
        <v>7.2004899149218516E-4</v>
      </c>
      <c r="DK14" s="3">
        <v>20682751001619.355</v>
      </c>
      <c r="DL14" s="3">
        <v>0.88867440655827523</v>
      </c>
      <c r="DM14" s="3">
        <v>87259900</v>
      </c>
      <c r="DN14" s="3">
        <v>1.2695348665118218</v>
      </c>
      <c r="DO14" s="3">
        <v>14892594000</v>
      </c>
      <c r="DP14" s="3">
        <v>6892662100</v>
      </c>
      <c r="DQ14" s="3">
        <v>1708</v>
      </c>
      <c r="DR14" s="3">
        <v>-1.8161354968585126</v>
      </c>
      <c r="DS14" s="3">
        <v>-3.447123320121396</v>
      </c>
      <c r="DT14" s="12">
        <v>3.6666666666666702E-2</v>
      </c>
      <c r="DU14" s="3">
        <v>0.18499999999999991</v>
      </c>
      <c r="DV14" s="3">
        <v>0.22166666666666662</v>
      </c>
      <c r="DW14" s="3">
        <v>-8.3708759954493743</v>
      </c>
      <c r="DX14" s="3">
        <v>0.28139495412843957</v>
      </c>
      <c r="DY14" s="3">
        <v>-8.0338961945914349</v>
      </c>
      <c r="DZ14" s="3">
        <v>328</v>
      </c>
      <c r="EA14" s="3">
        <v>-8.0317204701636484</v>
      </c>
      <c r="EB14" s="3">
        <v>8</v>
      </c>
      <c r="EC14" s="3">
        <v>4.1373224502336534E-2</v>
      </c>
      <c r="ED14" s="3">
        <v>0.45268609079001643</v>
      </c>
      <c r="EE14" s="13">
        <v>1.03501</v>
      </c>
      <c r="EF14" s="3">
        <v>1.0314099999999999</v>
      </c>
      <c r="EG14" s="3">
        <v>19.09139495412844</v>
      </c>
      <c r="EH14" s="3" t="s">
        <v>2954</v>
      </c>
      <c r="EI14" s="3">
        <v>0</v>
      </c>
      <c r="EJ14" s="3">
        <v>1</v>
      </c>
      <c r="EK14" s="14">
        <v>45470</v>
      </c>
      <c r="EL14" s="15">
        <v>0.32</v>
      </c>
      <c r="EM14" s="15">
        <v>-3.5</v>
      </c>
      <c r="EN14" s="15">
        <v>-5.39</v>
      </c>
      <c r="EO14" s="15">
        <v>2.4</v>
      </c>
      <c r="EP14" s="15">
        <v>0.36</v>
      </c>
    </row>
    <row r="15" spans="1:146" ht="96" x14ac:dyDescent="0.25">
      <c r="C15" s="7" t="str">
        <f>""&amp;CHAR(10)&amp;Basic_Fundamental_Information_Constructure(F15)&amp;CHAR(10)&amp;Basic_Fundamental_Information_Concatenate("")</f>
        <v xml:space="preserve">
市值64.130318亿, 利润3116.57万; PE34.99; 平均PE29.8; 平均PEG24.27, PB3.77; ROIC18.22%; ROE19.93%; 股利率1.0667%; 毛利42.94%; 净利18.18%; 上一年度营收增-80.09%, 利润增-90.35%; 当季营收增-49.28%, 利润增-63.6%; 过往5年营收增1.23%, 利润增-.54%
Income profile:
</v>
      </c>
      <c r="D15" s="3" t="s">
        <v>63</v>
      </c>
      <c r="E15" s="3" t="s">
        <v>14</v>
      </c>
      <c r="F15" s="3">
        <v>18.75</v>
      </c>
      <c r="G15" s="3">
        <v>0.05</v>
      </c>
      <c r="H15" s="3" t="s">
        <v>3212</v>
      </c>
      <c r="I15" s="3">
        <v>6413031800</v>
      </c>
      <c r="J15" s="3">
        <v>34.99</v>
      </c>
      <c r="K15" s="3">
        <v>3.77</v>
      </c>
      <c r="L15" s="3" t="s">
        <v>2983</v>
      </c>
      <c r="M15" s="3" t="s">
        <v>273</v>
      </c>
      <c r="N15" s="3" t="s">
        <v>3213</v>
      </c>
      <c r="O15" s="3" t="s">
        <v>320</v>
      </c>
      <c r="P15" s="3">
        <v>10.33</v>
      </c>
      <c r="Q15" s="3" t="s">
        <v>320</v>
      </c>
      <c r="R15" s="3">
        <v>31165742</v>
      </c>
      <c r="S15" s="5">
        <v>-8.8300000000000003E-2</v>
      </c>
      <c r="T15" s="3" t="s">
        <v>3214</v>
      </c>
      <c r="U15" s="3">
        <v>339256050</v>
      </c>
      <c r="V15" s="3">
        <v>342028360</v>
      </c>
      <c r="W15" s="3">
        <v>1.19</v>
      </c>
      <c r="X15" s="3">
        <v>0.15</v>
      </c>
      <c r="Y15" s="3">
        <v>7.55</v>
      </c>
      <c r="Z15" s="3" t="s">
        <v>742</v>
      </c>
      <c r="AA15" s="3" t="s">
        <v>28</v>
      </c>
      <c r="AB15" s="3" t="s">
        <v>3215</v>
      </c>
      <c r="AC15" s="3" t="s">
        <v>3216</v>
      </c>
      <c r="AD15" s="3" t="s">
        <v>22</v>
      </c>
      <c r="AE15" s="3">
        <v>-2404545</v>
      </c>
      <c r="AF15" s="3" t="s">
        <v>2065</v>
      </c>
      <c r="AG15" s="3" t="s">
        <v>3217</v>
      </c>
      <c r="AH15" s="3" t="s">
        <v>2066</v>
      </c>
      <c r="AI15" s="3" t="s">
        <v>1584</v>
      </c>
      <c r="AJ15" s="3" t="s">
        <v>2067</v>
      </c>
      <c r="AK15" s="3" t="s">
        <v>22</v>
      </c>
      <c r="AL15" s="3" t="s">
        <v>2068</v>
      </c>
      <c r="AM15" s="3" t="s">
        <v>22</v>
      </c>
      <c r="AN15" s="3" t="s">
        <v>214</v>
      </c>
      <c r="AO15" s="3" t="s">
        <v>3218</v>
      </c>
      <c r="AP15" s="3" t="s">
        <v>1779</v>
      </c>
      <c r="AQ15" s="3" t="s">
        <v>282</v>
      </c>
      <c r="AR15" s="3" t="s">
        <v>22</v>
      </c>
      <c r="AS15" s="3" t="s">
        <v>404</v>
      </c>
      <c r="AT15" s="3" t="s">
        <v>22</v>
      </c>
      <c r="AU15" s="3" t="s">
        <v>3219</v>
      </c>
      <c r="AV15" s="3" t="s">
        <v>3220</v>
      </c>
      <c r="AW15" s="3" t="s">
        <v>3221</v>
      </c>
      <c r="AX15" s="3" t="s">
        <v>504</v>
      </c>
      <c r="AY15" s="3" t="s">
        <v>879</v>
      </c>
      <c r="AZ15" s="3" t="s">
        <v>534</v>
      </c>
      <c r="BA15" s="3" t="s">
        <v>278</v>
      </c>
      <c r="BB15" s="3" t="s">
        <v>164</v>
      </c>
      <c r="BC15" s="3" t="s">
        <v>764</v>
      </c>
      <c r="BD15" s="3" t="s">
        <v>880</v>
      </c>
      <c r="BE15" s="3" t="s">
        <v>129</v>
      </c>
      <c r="BF15" s="3" t="s">
        <v>127</v>
      </c>
      <c r="BG15" s="3" t="s">
        <v>355</v>
      </c>
      <c r="BH15" s="3" t="s">
        <v>2063</v>
      </c>
      <c r="BI15" s="3" t="s">
        <v>610</v>
      </c>
      <c r="BJ15" s="3" t="s">
        <v>504</v>
      </c>
      <c r="BK15" s="3" t="s">
        <v>622</v>
      </c>
      <c r="BL15" s="3" t="s">
        <v>3222</v>
      </c>
      <c r="BM15" s="3" t="s">
        <v>764</v>
      </c>
      <c r="BN15" s="3">
        <v>3.34</v>
      </c>
      <c r="BO15" s="3">
        <v>21.14</v>
      </c>
      <c r="BP15" s="3">
        <v>30.18</v>
      </c>
      <c r="BQ15" s="3">
        <v>6.48</v>
      </c>
      <c r="BR15" s="3">
        <v>22.99</v>
      </c>
      <c r="BS15" s="3">
        <v>30.32</v>
      </c>
      <c r="BT15" s="3" t="s">
        <v>1594</v>
      </c>
      <c r="BU15" s="3" t="s">
        <v>2998</v>
      </c>
      <c r="BV15" s="3">
        <v>35.619999999999997</v>
      </c>
      <c r="BW15" s="3">
        <v>45.77</v>
      </c>
      <c r="BX15" s="3">
        <v>47.43</v>
      </c>
      <c r="BY15" s="3">
        <v>10.23</v>
      </c>
      <c r="BZ15" s="3">
        <v>19.5</v>
      </c>
      <c r="CA15" s="3">
        <v>24.81</v>
      </c>
      <c r="CB15" s="3">
        <v>-4.7300000000000004</v>
      </c>
      <c r="CC15" s="3">
        <v>-18.510000000000002</v>
      </c>
      <c r="CD15" s="3" t="s">
        <v>3223</v>
      </c>
      <c r="CE15" s="3" t="s">
        <v>491</v>
      </c>
      <c r="CF15" s="10">
        <v>-0.49284578696343401</v>
      </c>
      <c r="CG15" s="11">
        <v>-0.63600565278580734</v>
      </c>
      <c r="CH15" s="10">
        <v>-0.80087393522262573</v>
      </c>
      <c r="CI15" s="10">
        <v>7.2289153933525085E-2</v>
      </c>
      <c r="CJ15" s="10">
        <v>0.47628459334373474</v>
      </c>
      <c r="CK15" s="10">
        <v>0.21342925727367401</v>
      </c>
      <c r="CL15" s="10">
        <v>0.10026384890079498</v>
      </c>
      <c r="CM15" s="11">
        <v>-0.90351176261901855</v>
      </c>
      <c r="CN15" s="11">
        <v>-0.12938004732131958</v>
      </c>
      <c r="CO15" s="11">
        <v>0.7751196026802063</v>
      </c>
      <c r="CP15" s="11">
        <v>0.10582010447978973</v>
      </c>
      <c r="CQ15" s="11">
        <v>0.125</v>
      </c>
      <c r="CR15" s="3">
        <v>29.801125293213719</v>
      </c>
      <c r="CS15" s="3">
        <v>24.270816694201876</v>
      </c>
      <c r="CT15" s="3">
        <v>1.0666666666666667</v>
      </c>
      <c r="CU15" s="10">
        <v>1.2278583645820618E-2</v>
      </c>
      <c r="CV15" s="11">
        <v>-5.3904205560684204E-3</v>
      </c>
      <c r="CW15" s="3">
        <v>0.06</v>
      </c>
      <c r="CX15" s="3">
        <v>168.66905002175034</v>
      </c>
      <c r="CY15" s="3">
        <v>29762613.82484014</v>
      </c>
      <c r="CZ15" s="3">
        <v>1.2278583645820618E-2</v>
      </c>
      <c r="DA15" s="3">
        <v>58.902215081270043</v>
      </c>
      <c r="DB15" s="3">
        <v>85226536.779196426</v>
      </c>
      <c r="DC15" s="3">
        <v>1.1664654463529586E-2</v>
      </c>
      <c r="DD15" s="3">
        <v>31.599738951738509</v>
      </c>
      <c r="DE15" s="3">
        <v>158863078.19399929</v>
      </c>
      <c r="DF15" s="3">
        <v>1.0805153608322144E-2</v>
      </c>
      <c r="DG15" s="3">
        <v>20.828529942634923</v>
      </c>
      <c r="DH15" s="3">
        <v>241017095.96529207</v>
      </c>
      <c r="DI15" s="3">
        <v>9.822866916656495E-3</v>
      </c>
      <c r="DJ15" s="3">
        <v>13.031297139053304</v>
      </c>
      <c r="DK15" s="3">
        <v>385228864.5123086</v>
      </c>
      <c r="DL15" s="3">
        <v>8.5950085520744325E-3</v>
      </c>
      <c r="DM15" s="3">
        <v>31165700</v>
      </c>
      <c r="DN15" s="3">
        <v>1.2278583645820618E-2</v>
      </c>
      <c r="DO15" s="3">
        <v>5020031800</v>
      </c>
      <c r="DP15" s="3">
        <v>1092953800</v>
      </c>
      <c r="DQ15" s="3">
        <v>1807</v>
      </c>
      <c r="DR15" s="3">
        <v>-0.50512437060925464</v>
      </c>
      <c r="DS15" s="3">
        <v>-0.63061523222973892</v>
      </c>
      <c r="DT15" s="12">
        <v>-0.52333333333333332</v>
      </c>
      <c r="DU15" s="3">
        <v>-0.50666666666666671</v>
      </c>
      <c r="DV15" s="3">
        <v>-1.03</v>
      </c>
      <c r="DW15" s="3">
        <v>-8.2555375472717447</v>
      </c>
      <c r="DX15" s="3">
        <v>0.28644704301075219</v>
      </c>
      <c r="DY15" s="3">
        <v>-8.019535089867146</v>
      </c>
      <c r="DZ15" s="3">
        <v>2334</v>
      </c>
      <c r="EA15" s="3">
        <v>-8.0106124088984725</v>
      </c>
      <c r="EB15" s="3">
        <v>8</v>
      </c>
      <c r="EC15" s="3">
        <v>8.314602917722963E-2</v>
      </c>
      <c r="ED15" s="3">
        <v>1.0876291077149276</v>
      </c>
      <c r="EE15" s="13">
        <v>-1.0139100000000001</v>
      </c>
      <c r="EF15" s="3">
        <v>-1.0354099999999999</v>
      </c>
      <c r="EG15" s="3">
        <v>21.076447043010752</v>
      </c>
      <c r="EH15" s="3" t="s">
        <v>1386</v>
      </c>
      <c r="EI15" s="3">
        <v>0</v>
      </c>
      <c r="EJ15" s="3">
        <v>0</v>
      </c>
      <c r="EK15" s="14">
        <v>45470</v>
      </c>
      <c r="EL15" s="15">
        <v>-2.69</v>
      </c>
      <c r="EM15" s="15">
        <v>-4.71</v>
      </c>
      <c r="EN15" s="15">
        <v>-4.4400000000000004</v>
      </c>
      <c r="EO15" s="15">
        <v>4.6500000000000004</v>
      </c>
      <c r="EP15" s="15">
        <v>-2.15</v>
      </c>
    </row>
    <row r="16" spans="1:146" ht="96" x14ac:dyDescent="0.25">
      <c r="C16" s="7" t="str">
        <f>""&amp;CHAR(10)&amp;Basic_Fundamental_Information_Constructure(F16)&amp;CHAR(10)&amp;Basic_Fundamental_Information_Concatenate("")</f>
        <v xml:space="preserve">
市值196.80057亿, 利润1.81亿; PE21.33; 平均PE42.19; 平均PEG3.89, PB2.34; ROIC13.8167%; ROE14.76%; 股利率1.6565%; 毛利33.8867%; 净利18.6833%; 上一年度营收增-75.43%, 利润增-82.92%; 当季营收增-49.41%, 利润增-56.08%; 过往5年营收增10.85%, 利润增29.32%
Income profile:
</v>
      </c>
      <c r="D16" s="3" t="s">
        <v>56</v>
      </c>
      <c r="E16" s="3" t="s">
        <v>17</v>
      </c>
      <c r="F16" s="3">
        <v>36.22</v>
      </c>
      <c r="G16" s="3">
        <v>-2.4500000000000002</v>
      </c>
      <c r="H16" s="3" t="s">
        <v>3224</v>
      </c>
      <c r="I16" s="3">
        <v>19680057000</v>
      </c>
      <c r="J16" s="3">
        <v>21.33</v>
      </c>
      <c r="K16" s="3">
        <v>2.34</v>
      </c>
      <c r="L16" s="3" t="s">
        <v>2983</v>
      </c>
      <c r="M16" s="3" t="s">
        <v>2069</v>
      </c>
      <c r="N16" s="3" t="s">
        <v>3225</v>
      </c>
      <c r="O16" s="3" t="s">
        <v>191</v>
      </c>
      <c r="P16" s="3">
        <v>1.34</v>
      </c>
      <c r="Q16" s="3" t="s">
        <v>191</v>
      </c>
      <c r="R16" s="3">
        <v>180505070</v>
      </c>
      <c r="S16" s="5">
        <v>-7.43E-3</v>
      </c>
      <c r="T16" s="3" t="s">
        <v>216</v>
      </c>
      <c r="U16" s="3">
        <v>541893440</v>
      </c>
      <c r="V16" s="3">
        <v>543347790</v>
      </c>
      <c r="W16" s="3">
        <v>1.49</v>
      </c>
      <c r="X16" s="3">
        <v>0.1</v>
      </c>
      <c r="Y16" s="3">
        <v>13.45</v>
      </c>
      <c r="Z16" s="3" t="s">
        <v>1742</v>
      </c>
      <c r="AA16" s="3" t="s">
        <v>3226</v>
      </c>
      <c r="AB16" s="3" t="s">
        <v>3227</v>
      </c>
      <c r="AC16" s="3" t="s">
        <v>3228</v>
      </c>
      <c r="AD16" s="3" t="s">
        <v>22</v>
      </c>
      <c r="AE16" s="3">
        <v>-30819184</v>
      </c>
      <c r="AF16" s="3" t="s">
        <v>2072</v>
      </c>
      <c r="AG16" s="3" t="s">
        <v>3229</v>
      </c>
      <c r="AH16" s="3" t="s">
        <v>2073</v>
      </c>
      <c r="AI16" s="3" t="s">
        <v>2507</v>
      </c>
      <c r="AJ16" s="3" t="s">
        <v>2074</v>
      </c>
      <c r="AK16" s="3" t="s">
        <v>3230</v>
      </c>
      <c r="AL16" s="3" t="s">
        <v>2075</v>
      </c>
      <c r="AM16" s="3" t="s">
        <v>22</v>
      </c>
      <c r="AN16" s="3" t="s">
        <v>2618</v>
      </c>
      <c r="AO16" s="3" t="s">
        <v>592</v>
      </c>
      <c r="AP16" s="3" t="s">
        <v>476</v>
      </c>
      <c r="AQ16" s="3" t="s">
        <v>1608</v>
      </c>
      <c r="AR16" s="3" t="s">
        <v>22</v>
      </c>
      <c r="AS16" s="3" t="s">
        <v>3231</v>
      </c>
      <c r="AT16" s="3" t="s">
        <v>128</v>
      </c>
      <c r="AU16" s="3" t="s">
        <v>166</v>
      </c>
      <c r="AV16" s="3" t="s">
        <v>3232</v>
      </c>
      <c r="AW16" s="3" t="s">
        <v>439</v>
      </c>
      <c r="AX16" s="3" t="s">
        <v>1543</v>
      </c>
      <c r="AY16" s="3" t="s">
        <v>674</v>
      </c>
      <c r="AZ16" s="3" t="s">
        <v>538</v>
      </c>
      <c r="BA16" s="3" t="s">
        <v>249</v>
      </c>
      <c r="BB16" s="3" t="s">
        <v>539</v>
      </c>
      <c r="BC16" s="3" t="s">
        <v>1544</v>
      </c>
      <c r="BD16" s="3" t="s">
        <v>881</v>
      </c>
      <c r="BE16" s="3" t="s">
        <v>218</v>
      </c>
      <c r="BF16" s="3" t="s">
        <v>345</v>
      </c>
      <c r="BG16" s="3" t="s">
        <v>446</v>
      </c>
      <c r="BH16" s="3" t="s">
        <v>2070</v>
      </c>
      <c r="BI16" s="3" t="s">
        <v>3233</v>
      </c>
      <c r="BJ16" s="3" t="s">
        <v>1543</v>
      </c>
      <c r="BK16" s="3" t="s">
        <v>2071</v>
      </c>
      <c r="BL16" s="3" t="s">
        <v>1842</v>
      </c>
      <c r="BM16" s="3" t="s">
        <v>1544</v>
      </c>
      <c r="BN16" s="3">
        <v>6.08</v>
      </c>
      <c r="BO16" s="3">
        <v>16.95</v>
      </c>
      <c r="BP16" s="3">
        <v>18.420000000000002</v>
      </c>
      <c r="BQ16" s="3">
        <v>8.59</v>
      </c>
      <c r="BR16" s="3">
        <v>18.98</v>
      </c>
      <c r="BS16" s="3">
        <v>16.71</v>
      </c>
      <c r="BT16" s="3" t="s">
        <v>1374</v>
      </c>
      <c r="BU16" s="3" t="s">
        <v>1210</v>
      </c>
      <c r="BV16" s="3">
        <v>30.26</v>
      </c>
      <c r="BW16" s="3">
        <v>36.29</v>
      </c>
      <c r="BX16" s="3">
        <v>35.11</v>
      </c>
      <c r="BY16" s="3">
        <v>17.03</v>
      </c>
      <c r="BZ16" s="3">
        <v>20.239999999999998</v>
      </c>
      <c r="CA16" s="3">
        <v>18.78</v>
      </c>
      <c r="CB16" s="3">
        <v>-6.89</v>
      </c>
      <c r="CC16" s="3">
        <v>1.37</v>
      </c>
      <c r="CD16" s="3" t="s">
        <v>3234</v>
      </c>
      <c r="CE16" s="3" t="s">
        <v>1834</v>
      </c>
      <c r="CF16" s="10">
        <v>-0.49409523809523809</v>
      </c>
      <c r="CG16" s="11">
        <v>-0.5608149148418492</v>
      </c>
      <c r="CH16" s="10">
        <v>-0.75425612926483154</v>
      </c>
      <c r="CI16" s="10">
        <v>0.22901979088783264</v>
      </c>
      <c r="CJ16" s="10">
        <v>0.6801682710647583</v>
      </c>
      <c r="CK16" s="10">
        <v>0.30393615365028381</v>
      </c>
      <c r="CL16" s="10">
        <v>8.3693340420722961E-2</v>
      </c>
      <c r="CM16" s="11">
        <v>-0.82924526929855347</v>
      </c>
      <c r="CN16" s="11">
        <v>0.3802083432674408</v>
      </c>
      <c r="CO16" s="11">
        <v>1.0317460298538208</v>
      </c>
      <c r="CP16" s="11">
        <v>0.68000000715255737</v>
      </c>
      <c r="CQ16" s="11">
        <v>0.2032085508108139</v>
      </c>
      <c r="CR16" s="3">
        <v>42.186617363344048</v>
      </c>
      <c r="CS16" s="3">
        <v>3.8877272952635717</v>
      </c>
      <c r="CT16" s="3">
        <v>1.6565433462175594</v>
      </c>
      <c r="CU16" s="10">
        <v>0.10851228535175324</v>
      </c>
      <c r="CV16" s="11">
        <v>0.29318353235721589</v>
      </c>
      <c r="CW16" s="3">
        <v>0.06</v>
      </c>
      <c r="CX16" s="3">
        <v>77.994338015855433</v>
      </c>
      <c r="CY16" s="3">
        <v>189283701.55534655</v>
      </c>
      <c r="CZ16" s="3">
        <v>0.10851228535175324</v>
      </c>
      <c r="DA16" s="3">
        <v>25.092223103010216</v>
      </c>
      <c r="DB16" s="3">
        <v>588351894.50507212</v>
      </c>
      <c r="DC16" s="3">
        <v>0.10308667108416557</v>
      </c>
      <c r="DD16" s="3">
        <v>12.094828150261911</v>
      </c>
      <c r="DE16" s="3">
        <v>1220609074.9359105</v>
      </c>
      <c r="DF16" s="3">
        <v>9.5490811109542856E-2</v>
      </c>
      <c r="DG16" s="3">
        <v>7.0911770777200394</v>
      </c>
      <c r="DH16" s="3">
        <v>2081890895.9958773</v>
      </c>
      <c r="DI16" s="3">
        <v>8.6809828281402601E-2</v>
      </c>
      <c r="DJ16" s="3">
        <v>3.4730808635066048</v>
      </c>
      <c r="DK16" s="3">
        <v>4250709263.6750307</v>
      </c>
      <c r="DL16" s="3">
        <v>7.5958599746227262E-2</v>
      </c>
      <c r="DM16" s="3">
        <v>181000000</v>
      </c>
      <c r="DN16" s="3">
        <v>0.10851228535175324</v>
      </c>
      <c r="DO16" s="3">
        <v>14763057000</v>
      </c>
      <c r="DP16" s="3">
        <v>3767053000</v>
      </c>
      <c r="DQ16" s="3">
        <v>1846</v>
      </c>
      <c r="DR16" s="3">
        <v>-0.60260752344699131</v>
      </c>
      <c r="DS16" s="3">
        <v>-0.85399844719906515</v>
      </c>
      <c r="DT16" s="12">
        <v>-0.24000000000000007</v>
      </c>
      <c r="DU16" s="3">
        <v>0.19666666666666666</v>
      </c>
      <c r="DV16" s="3">
        <v>-4.3333333333333418E-2</v>
      </c>
      <c r="DW16" s="3">
        <v>-5.1988388969521049</v>
      </c>
      <c r="DX16" s="3">
        <v>0.34853364197530978</v>
      </c>
      <c r="DY16" s="3">
        <v>-5.0215807096525653</v>
      </c>
      <c r="DZ16" s="3">
        <v>311</v>
      </c>
      <c r="EA16" s="3">
        <v>-5.0202672848576633</v>
      </c>
      <c r="EB16" s="3">
        <v>5</v>
      </c>
      <c r="EC16" s="3">
        <v>6.4718952846021513E-2</v>
      </c>
      <c r="ED16" s="3">
        <v>0.59630315235109355</v>
      </c>
      <c r="EE16" s="13">
        <v>-2.0047000000000001</v>
      </c>
      <c r="EF16" s="3">
        <v>-2.0224099999999998</v>
      </c>
      <c r="EG16" s="3">
        <v>24.10853364197531</v>
      </c>
      <c r="EH16" s="3" t="s">
        <v>1401</v>
      </c>
      <c r="EI16" s="3">
        <v>0</v>
      </c>
      <c r="EJ16" s="3">
        <v>1</v>
      </c>
      <c r="EK16" s="14">
        <v>45470</v>
      </c>
      <c r="EL16" s="15">
        <v>1.56</v>
      </c>
      <c r="EM16" s="15">
        <v>-2.7</v>
      </c>
      <c r="EN16" s="15">
        <v>-2.63</v>
      </c>
      <c r="EO16" s="15">
        <v>3.3</v>
      </c>
      <c r="EP16" s="15">
        <v>-2.71</v>
      </c>
    </row>
    <row r="17" spans="1:146" ht="156" x14ac:dyDescent="0.25">
      <c r="C17" s="7" t="str">
        <f>"公司主营业务是MEMS芯片的工艺开发及晶圆制造，GaN外延材料研发生产及芯片设计。公司主要产品包括集微传感器、信号处理和控制电路、微执行器等。"&amp;CHAR(10)&amp;Basic_Fundamental_Information_Constructure(F17)&amp;CHAR(10)&amp;Basic_Fundamental_Information_Concatenate("（境外68%）
MEMS晶圆制造 3.78亿 48.14% 28.08% 18.18%
MEMS工艺开发 3.31亿 42.07% 66.37% 49.19%
其他 7692.95万 9.79% 5.55% 17.67%")</f>
        <v>公司主营业务是MEMS芯片的工艺开发及晶圆制造，GaN外延材料研发生产及芯片设计。公司主要产品包括集微传感器、信号处理和控制电路、微执行器等。
市值107.269224亿, 利润-1165.98万; PE140.2; 平均PE122.38; 平均PEG11.72, PB2.09; ROIC3.66%; ROE1.4567%; 股利率.2389%; 毛利35.33%; 净利2.2133%; 上一年度营收增-65.65%, 利润增84.11%; 当季营收增-31.99%, 利润增57.51%; 过往5年营收增-10.44%, 利润增11.01%
Income profile:
（境外68%）
MEMS晶圆制造 3.78亿 48.14% 28.08% 18.18%
MEMS工艺开发 3.31亿 42.07% 66.37% 49.19%
其他 7692.95万 9.79% 5.55% 17.67%</v>
      </c>
      <c r="D17" s="3" t="s">
        <v>121</v>
      </c>
      <c r="E17" s="3" t="s">
        <v>122</v>
      </c>
      <c r="F17" s="3">
        <v>14.65</v>
      </c>
      <c r="G17" s="3">
        <v>-1.68</v>
      </c>
      <c r="H17" s="3" t="s">
        <v>3235</v>
      </c>
      <c r="I17" s="3">
        <v>10726922400</v>
      </c>
      <c r="J17" s="3">
        <v>140.19999999999999</v>
      </c>
      <c r="K17" s="3">
        <v>2.09</v>
      </c>
      <c r="L17" s="3" t="s">
        <v>2983</v>
      </c>
      <c r="M17" s="3" t="s">
        <v>1962</v>
      </c>
      <c r="N17" s="3" t="s">
        <v>3236</v>
      </c>
      <c r="O17" s="3" t="s">
        <v>366</v>
      </c>
      <c r="P17" s="3">
        <v>41.62</v>
      </c>
      <c r="Q17" s="3" t="s">
        <v>366</v>
      </c>
      <c r="R17" s="3">
        <v>-11659793</v>
      </c>
      <c r="S17" s="5">
        <v>-1.756</v>
      </c>
      <c r="T17" s="3" t="s">
        <v>3237</v>
      </c>
      <c r="U17" s="3">
        <v>593615330</v>
      </c>
      <c r="V17" s="3">
        <v>732213130</v>
      </c>
      <c r="W17" s="3">
        <v>1.28</v>
      </c>
      <c r="X17" s="3">
        <v>0.04</v>
      </c>
      <c r="Y17" s="3">
        <v>-7.5</v>
      </c>
      <c r="Z17" s="3" t="s">
        <v>1081</v>
      </c>
      <c r="AA17" s="3" t="s">
        <v>216</v>
      </c>
      <c r="AB17" s="3" t="s">
        <v>3238</v>
      </c>
      <c r="AC17" s="3" t="s">
        <v>3239</v>
      </c>
      <c r="AD17" s="3" t="s">
        <v>22</v>
      </c>
      <c r="AE17" s="3">
        <v>-5697976</v>
      </c>
      <c r="AF17" s="3" t="s">
        <v>2077</v>
      </c>
      <c r="AG17" s="3">
        <v>0</v>
      </c>
      <c r="AH17" s="3" t="s">
        <v>2078</v>
      </c>
      <c r="AI17" s="3" t="s">
        <v>1217</v>
      </c>
      <c r="AJ17" s="3" t="s">
        <v>2079</v>
      </c>
      <c r="AK17" s="3" t="s">
        <v>22</v>
      </c>
      <c r="AL17" s="3" t="s">
        <v>2080</v>
      </c>
      <c r="AM17" s="3" t="s">
        <v>22</v>
      </c>
      <c r="AN17" s="3" t="s">
        <v>670</v>
      </c>
      <c r="AO17" s="3" t="s">
        <v>335</v>
      </c>
      <c r="AP17" s="3" t="s">
        <v>22</v>
      </c>
      <c r="AQ17" s="3" t="s">
        <v>155</v>
      </c>
      <c r="AR17" s="3" t="s">
        <v>22</v>
      </c>
      <c r="AS17" s="3" t="s">
        <v>212</v>
      </c>
      <c r="AT17" s="3" t="s">
        <v>374</v>
      </c>
      <c r="AU17" s="3" t="s">
        <v>3240</v>
      </c>
      <c r="AV17" s="3" t="s">
        <v>3241</v>
      </c>
      <c r="AW17" s="3" t="s">
        <v>3242</v>
      </c>
      <c r="AX17" s="3" t="s">
        <v>878</v>
      </c>
      <c r="AY17" s="3" t="s">
        <v>749</v>
      </c>
      <c r="AZ17" s="3" t="s">
        <v>115</v>
      </c>
      <c r="BA17" s="3" t="s">
        <v>280</v>
      </c>
      <c r="BB17" s="3" t="s">
        <v>541</v>
      </c>
      <c r="BC17" s="3" t="s">
        <v>1548</v>
      </c>
      <c r="BD17" s="3" t="s">
        <v>114</v>
      </c>
      <c r="BE17" s="3" t="s">
        <v>337</v>
      </c>
      <c r="BF17" s="3" t="s">
        <v>283</v>
      </c>
      <c r="BG17" s="3" t="s">
        <v>543</v>
      </c>
      <c r="BH17" s="3" t="s">
        <v>2063</v>
      </c>
      <c r="BI17" s="3" t="s">
        <v>636</v>
      </c>
      <c r="BJ17" s="3" t="s">
        <v>878</v>
      </c>
      <c r="BK17" s="3" t="s">
        <v>257</v>
      </c>
      <c r="BL17" s="3" t="s">
        <v>3243</v>
      </c>
      <c r="BM17" s="3" t="s">
        <v>1548</v>
      </c>
      <c r="BN17" s="3" t="s">
        <v>22</v>
      </c>
      <c r="BO17" s="3" t="s">
        <v>22</v>
      </c>
      <c r="BP17" s="3">
        <v>3.66</v>
      </c>
      <c r="BQ17" s="3">
        <v>0.25</v>
      </c>
      <c r="BR17" s="3">
        <v>-1.46</v>
      </c>
      <c r="BS17" s="3">
        <v>5.58</v>
      </c>
      <c r="BT17" s="3" t="s">
        <v>2081</v>
      </c>
      <c r="BU17" s="3" t="s">
        <v>1221</v>
      </c>
      <c r="BV17" s="3">
        <v>29.22</v>
      </c>
      <c r="BW17" s="3">
        <v>31.18</v>
      </c>
      <c r="BX17" s="3">
        <v>45.59</v>
      </c>
      <c r="BY17" s="3">
        <v>5.54</v>
      </c>
      <c r="BZ17" s="3">
        <v>-18.989999999999998</v>
      </c>
      <c r="CA17" s="3">
        <v>20.09</v>
      </c>
      <c r="CB17" s="3">
        <v>-7.69</v>
      </c>
      <c r="CC17" s="3">
        <v>-15.61</v>
      </c>
      <c r="CD17" s="3" t="s">
        <v>3244</v>
      </c>
      <c r="CE17" s="3" t="s">
        <v>202</v>
      </c>
      <c r="CF17" s="10">
        <v>-0.31989924433249373</v>
      </c>
      <c r="CG17" s="11">
        <v>0.57509281799364453</v>
      </c>
      <c r="CH17" s="10">
        <v>-0.65648853778839111</v>
      </c>
      <c r="CI17" s="10">
        <v>-0.15392895042896271</v>
      </c>
      <c r="CJ17" s="10">
        <v>0.21437908709049225</v>
      </c>
      <c r="CK17" s="10">
        <v>6.5459609031677246E-2</v>
      </c>
      <c r="CL17" s="10">
        <v>8.4269661456346512E-3</v>
      </c>
      <c r="CM17" s="11">
        <v>0.84106290340423584</v>
      </c>
      <c r="CN17" s="11">
        <v>-1.3561217784881592</v>
      </c>
      <c r="CO17" s="11">
        <v>2.4875622242689133E-2</v>
      </c>
      <c r="CP17" s="11">
        <v>0.74782609939575195</v>
      </c>
      <c r="CQ17" s="11">
        <v>0.29279139637947083</v>
      </c>
      <c r="CR17" s="3">
        <v>122.37570995138363</v>
      </c>
      <c r="CS17" s="3">
        <v>11.718402950026988</v>
      </c>
      <c r="CT17" s="3">
        <v>0.23890784982935151</v>
      </c>
      <c r="CU17" s="10">
        <v>-0.10443036518990993</v>
      </c>
      <c r="CV17" s="11">
        <v>0.11008684858679771</v>
      </c>
      <c r="CW17" s="3">
        <v>0.06</v>
      </c>
      <c r="CX17" s="3" t="e">
        <v>#VALUE!</v>
      </c>
      <c r="CY17" s="3" t="s">
        <v>1073</v>
      </c>
      <c r="CZ17" s="3">
        <v>-0.10443036518990993</v>
      </c>
      <c r="DA17" s="3" t="e">
        <v>#VALUE!</v>
      </c>
      <c r="DB17" s="3" t="s">
        <v>1074</v>
      </c>
      <c r="DC17" s="3">
        <v>-9.9208846930414429E-2</v>
      </c>
      <c r="DD17" s="3" t="e">
        <v>#VALUE!</v>
      </c>
      <c r="DE17" s="3" t="s">
        <v>1074</v>
      </c>
      <c r="DF17" s="3">
        <v>-9.1898721367120739E-2</v>
      </c>
      <c r="DG17" s="3" t="e">
        <v>#VALUE!</v>
      </c>
      <c r="DH17" s="3" t="s">
        <v>1074</v>
      </c>
      <c r="DI17" s="3">
        <v>-8.3544292151927949E-2</v>
      </c>
      <c r="DJ17" s="3" t="e">
        <v>#VALUE!</v>
      </c>
      <c r="DK17" s="3" t="s">
        <v>1074</v>
      </c>
      <c r="DL17" s="3">
        <v>-7.3101255632936943E-2</v>
      </c>
      <c r="DM17" s="3">
        <v>-11659800</v>
      </c>
      <c r="DN17" s="3">
        <v>-0.10443036518990993</v>
      </c>
      <c r="DO17" s="3">
        <v>6762922400</v>
      </c>
      <c r="DP17" s="3">
        <v>1389032300</v>
      </c>
      <c r="DQ17" s="3">
        <v>1927</v>
      </c>
      <c r="DR17" s="3">
        <v>-0.21546887914258378</v>
      </c>
      <c r="DS17" s="3">
        <v>0.4650059694068468</v>
      </c>
      <c r="DT17" s="12">
        <v>-0.79</v>
      </c>
      <c r="DU17" s="3">
        <v>-0.92499999999999993</v>
      </c>
      <c r="DV17" s="3">
        <v>-1.7149999999999999</v>
      </c>
      <c r="DW17" s="3">
        <v>-9.4926329276105061</v>
      </c>
      <c r="DX17" s="3">
        <v>0.36314838056680188</v>
      </c>
      <c r="DY17" s="3">
        <v>-9.0557406179730116</v>
      </c>
      <c r="DZ17" s="3">
        <v>3669</v>
      </c>
      <c r="EA17" s="3">
        <v>-9.0157186361055004</v>
      </c>
      <c r="EB17" s="3">
        <v>9</v>
      </c>
      <c r="EC17" s="3">
        <v>7.6337472943157958E-2</v>
      </c>
      <c r="ED17" s="3">
        <v>0.67466695113757391</v>
      </c>
      <c r="EE17" s="13">
        <v>-5.02691</v>
      </c>
      <c r="EF17" s="3">
        <v>-5.05321</v>
      </c>
      <c r="EG17" s="3">
        <v>25.113148380566802</v>
      </c>
      <c r="EH17" s="3" t="s">
        <v>1911</v>
      </c>
      <c r="EI17" s="3">
        <v>0</v>
      </c>
      <c r="EJ17" s="3">
        <v>0</v>
      </c>
      <c r="EK17" s="14">
        <v>45470</v>
      </c>
      <c r="EL17" s="15">
        <v>0.28999999999999998</v>
      </c>
      <c r="EM17" s="15">
        <v>-6.37</v>
      </c>
      <c r="EN17" s="15">
        <v>-4.37</v>
      </c>
      <c r="EO17" s="15">
        <v>3.98</v>
      </c>
      <c r="EP17" s="15">
        <v>-2.63</v>
      </c>
    </row>
    <row r="18" spans="1:146" ht="168" x14ac:dyDescent="0.25">
      <c r="A18" s="7" t="s">
        <v>1104</v>
      </c>
      <c r="B18" s="7" t="s">
        <v>1103</v>
      </c>
      <c r="C18" s="7" t="str">
        <f>"公司目前的主营业务为智能应用处理器SoC、高性能模拟器件和无线互联芯片的研发与设计。主要产品为智能应用处理器SoC、高性能模拟器件和无线互联芯片。"&amp;CHAR(10)&amp;Basic_Fundamental_Information_Constructure(F18)&amp;CHAR(10)&amp;Basic_Fundamental_Information_Concatenate("智能终端应用处理器芯片 15.93亿 77.15% 87.67% 40.60%
智能电源管理芯片 2.15亿 10.40% 12.38% 42.54%
无线通信产品 1.72亿 8.31%
其他 7658.39万 3.71%
存储芯片 859.97万 0.42%")</f>
        <v>公司目前的主营业务为智能应用处理器SoC、高性能模拟器件和无线互联芯片的研发与设计。主要产品为智能应用处理器SoC、高性能模拟器件和无线互联芯片。
市值144.33393亿, 利润4908.74万; PE127.2; 平均PE71.45; 平均PEG6.82, PB4.76; ROIC10.81%; ROE8.6633%; 股利率.6582%; 毛利37.08%; 净利13.0833%; 上一年度营收增-72.92%, 利润增-76.74%; 当季营收增-39.35%, 利润增388.96%; 过往5年营收增-10.47%, 利润增14.64%
Income profile:
智能终端应用处理器芯片 15.93亿 77.15% 87.67% 40.60%
智能电源管理芯片 2.15亿 10.40% 12.38% 42.54%
无线通信产品 1.72亿 8.31%
其他 7658.39万 3.71%
存储芯片 859.97万 0.42%</v>
      </c>
      <c r="D18" s="3" t="s">
        <v>52</v>
      </c>
      <c r="E18" s="3" t="s">
        <v>13</v>
      </c>
      <c r="F18" s="3">
        <v>22.79</v>
      </c>
      <c r="G18" s="3">
        <v>-4.72</v>
      </c>
      <c r="H18" s="3" t="s">
        <v>3245</v>
      </c>
      <c r="I18" s="3">
        <v>14433393000</v>
      </c>
      <c r="J18" s="3">
        <v>127.2</v>
      </c>
      <c r="K18" s="3">
        <v>4.76</v>
      </c>
      <c r="L18" s="3" t="s">
        <v>2983</v>
      </c>
      <c r="M18" s="3" t="s">
        <v>1308</v>
      </c>
      <c r="N18" s="3" t="s">
        <v>3246</v>
      </c>
      <c r="O18" s="3" t="s">
        <v>584</v>
      </c>
      <c r="P18" s="3">
        <v>71.67</v>
      </c>
      <c r="Q18" s="3" t="s">
        <v>584</v>
      </c>
      <c r="R18" s="3">
        <v>49087394</v>
      </c>
      <c r="S18" s="5">
        <v>2.1840000000000002</v>
      </c>
      <c r="T18" s="3" t="s">
        <v>3247</v>
      </c>
      <c r="U18" s="3">
        <v>517772030</v>
      </c>
      <c r="V18" s="3">
        <v>633321330</v>
      </c>
      <c r="W18" s="3">
        <v>1.2</v>
      </c>
      <c r="X18" s="3">
        <v>0.11</v>
      </c>
      <c r="Y18" s="3">
        <v>11.99</v>
      </c>
      <c r="Z18" s="3" t="s">
        <v>635</v>
      </c>
      <c r="AA18" s="3" t="s">
        <v>510</v>
      </c>
      <c r="AB18" s="3" t="s">
        <v>3248</v>
      </c>
      <c r="AC18" s="3" t="s">
        <v>3249</v>
      </c>
      <c r="AD18" s="3" t="s">
        <v>22</v>
      </c>
      <c r="AE18" s="3">
        <v>-12788360</v>
      </c>
      <c r="AF18" s="3" t="s">
        <v>2084</v>
      </c>
      <c r="AG18" s="3" t="s">
        <v>3250</v>
      </c>
      <c r="AH18" s="3" t="s">
        <v>2085</v>
      </c>
      <c r="AI18" s="3" t="s">
        <v>3251</v>
      </c>
      <c r="AJ18" s="3" t="s">
        <v>2086</v>
      </c>
      <c r="AK18" s="3" t="s">
        <v>3252</v>
      </c>
      <c r="AL18" s="3" t="s">
        <v>2087</v>
      </c>
      <c r="AM18" s="3" t="s">
        <v>22</v>
      </c>
      <c r="AN18" s="3">
        <v>0</v>
      </c>
      <c r="AO18" s="3" t="s">
        <v>219</v>
      </c>
      <c r="AP18" s="3" t="s">
        <v>22</v>
      </c>
      <c r="AQ18" s="3" t="s">
        <v>132</v>
      </c>
      <c r="AR18" s="3" t="s">
        <v>3253</v>
      </c>
      <c r="AS18" s="3" t="s">
        <v>2061</v>
      </c>
      <c r="AT18" s="3" t="s">
        <v>22</v>
      </c>
      <c r="AU18" s="3" t="s">
        <v>3254</v>
      </c>
      <c r="AV18" s="3" t="s">
        <v>3255</v>
      </c>
      <c r="AW18" s="3" t="s">
        <v>3256</v>
      </c>
      <c r="AX18" s="3" t="s">
        <v>1237</v>
      </c>
      <c r="AY18" s="3" t="s">
        <v>883</v>
      </c>
      <c r="AZ18" s="3" t="s">
        <v>544</v>
      </c>
      <c r="BA18" s="3" t="s">
        <v>284</v>
      </c>
      <c r="BB18" s="3" t="s">
        <v>545</v>
      </c>
      <c r="BC18" s="3" t="s">
        <v>28</v>
      </c>
      <c r="BD18" s="3" t="s">
        <v>202</v>
      </c>
      <c r="BE18" s="3" t="s">
        <v>227</v>
      </c>
      <c r="BF18" s="3" t="s">
        <v>170</v>
      </c>
      <c r="BG18" s="3" t="s">
        <v>140</v>
      </c>
      <c r="BH18" s="3" t="s">
        <v>2082</v>
      </c>
      <c r="BI18" s="3" t="s">
        <v>1302</v>
      </c>
      <c r="BJ18" s="3" t="s">
        <v>1237</v>
      </c>
      <c r="BK18" s="3" t="s">
        <v>2083</v>
      </c>
      <c r="BL18" s="3" t="s">
        <v>3257</v>
      </c>
      <c r="BM18" s="3" t="s">
        <v>28</v>
      </c>
      <c r="BN18" s="3" t="s">
        <v>22</v>
      </c>
      <c r="BO18" s="3">
        <v>5.58</v>
      </c>
      <c r="BP18" s="3">
        <v>16.04</v>
      </c>
      <c r="BQ18" s="3">
        <v>-0.7</v>
      </c>
      <c r="BR18" s="3">
        <v>7.39</v>
      </c>
      <c r="BS18" s="3">
        <v>19.3</v>
      </c>
      <c r="BT18" s="3" t="s">
        <v>1371</v>
      </c>
      <c r="BU18" s="3" t="s">
        <v>2998</v>
      </c>
      <c r="BV18" s="3">
        <v>32.409999999999997</v>
      </c>
      <c r="BW18" s="3">
        <v>38.32</v>
      </c>
      <c r="BX18" s="3">
        <v>40.51</v>
      </c>
      <c r="BY18" s="3">
        <v>1.37</v>
      </c>
      <c r="BZ18" s="3">
        <v>13.94</v>
      </c>
      <c r="CA18" s="3">
        <v>23.94</v>
      </c>
      <c r="CB18" s="3">
        <v>-3.06</v>
      </c>
      <c r="CC18" s="3">
        <v>20.45</v>
      </c>
      <c r="CD18" s="3" t="s">
        <v>568</v>
      </c>
      <c r="CE18" s="3" t="s">
        <v>577</v>
      </c>
      <c r="CF18" s="10">
        <v>-0.3934911242603551</v>
      </c>
      <c r="CG18" s="11">
        <v>3.8896184841795436</v>
      </c>
      <c r="CH18" s="10">
        <v>-0.72919416427612305</v>
      </c>
      <c r="CI18" s="10">
        <v>-0.26682806015014648</v>
      </c>
      <c r="CJ18" s="10">
        <v>0.37209305167198181</v>
      </c>
      <c r="CK18" s="10">
        <v>2.8708044439554214E-2</v>
      </c>
      <c r="CL18" s="10">
        <v>7.1794971823692322E-2</v>
      </c>
      <c r="CM18" s="11">
        <v>-0.76735830307006836</v>
      </c>
      <c r="CN18" s="11">
        <v>-0.57287448644638062</v>
      </c>
      <c r="CO18" s="11">
        <v>1.409756064414978</v>
      </c>
      <c r="CP18" s="11">
        <v>0.51851850748062134</v>
      </c>
      <c r="CQ18" s="11">
        <v>0.14406779408454895</v>
      </c>
      <c r="CR18" s="3">
        <v>71.447288372109142</v>
      </c>
      <c r="CS18" s="3">
        <v>6.8249635107155759</v>
      </c>
      <c r="CT18" s="3">
        <v>0.65818341377797285</v>
      </c>
      <c r="CU18" s="10">
        <v>-0.10468523129820824</v>
      </c>
      <c r="CV18" s="11">
        <v>0.14642191529273987</v>
      </c>
      <c r="CW18" s="3">
        <v>0.06</v>
      </c>
      <c r="CX18" s="3">
        <v>244.04211671426884</v>
      </c>
      <c r="CY18" s="3" t="s">
        <v>3258</v>
      </c>
      <c r="CZ18" s="3">
        <v>-0.10468523129820824</v>
      </c>
      <c r="DA18" s="3">
        <v>81.347372238089605</v>
      </c>
      <c r="DB18" s="3" t="s">
        <v>3259</v>
      </c>
      <c r="DC18" s="3">
        <v>-9.9450969733297825E-2</v>
      </c>
      <c r="DD18" s="3">
        <v>40.673686119044802</v>
      </c>
      <c r="DE18" s="3" t="s">
        <v>3260</v>
      </c>
      <c r="DF18" s="3">
        <v>-9.2123003542423254E-2</v>
      </c>
      <c r="DG18" s="3">
        <v>24.404211671426882</v>
      </c>
      <c r="DH18" s="3" t="s">
        <v>3261</v>
      </c>
      <c r="DI18" s="3">
        <v>-8.3748185038566597E-2</v>
      </c>
      <c r="DJ18" s="3">
        <v>12.202105835713441</v>
      </c>
      <c r="DK18" s="3" t="s">
        <v>3262</v>
      </c>
      <c r="DL18" s="3">
        <v>-7.3279661908745769E-2</v>
      </c>
      <c r="DM18" s="3">
        <v>49087400</v>
      </c>
      <c r="DN18" s="3">
        <v>-0.10468523129820824</v>
      </c>
      <c r="DO18" s="3">
        <v>11979393000</v>
      </c>
      <c r="DP18" s="3">
        <v>2055636900</v>
      </c>
      <c r="DQ18" s="3">
        <v>1929</v>
      </c>
      <c r="DR18" s="3">
        <v>-0.28880589296214687</v>
      </c>
      <c r="DS18" s="3">
        <v>3.7431965688868036</v>
      </c>
      <c r="DT18" s="12">
        <v>-0.79</v>
      </c>
      <c r="DU18" s="3">
        <v>-0.10000000000000002</v>
      </c>
      <c r="DV18" s="3">
        <v>-0.89</v>
      </c>
      <c r="DW18" s="3">
        <v>-6.1301573798383666</v>
      </c>
      <c r="DX18" s="3">
        <v>0.519189189189186</v>
      </c>
      <c r="DY18" s="3">
        <v>-6.0246243691586097</v>
      </c>
      <c r="DZ18" s="3">
        <v>2966</v>
      </c>
      <c r="EA18" s="3">
        <v>-6.0103316335569588</v>
      </c>
      <c r="EB18" s="3">
        <v>6</v>
      </c>
      <c r="EC18" s="3">
        <v>0.32053239072178413</v>
      </c>
      <c r="ED18" s="3">
        <v>1.6942426366722876</v>
      </c>
      <c r="EE18" s="13">
        <v>-1.0389999999999999</v>
      </c>
      <c r="EF18" s="3">
        <v>-1.0228999999999999</v>
      </c>
      <c r="EG18" s="3">
        <v>33.189189189189186</v>
      </c>
      <c r="EH18" s="3" t="s">
        <v>1929</v>
      </c>
      <c r="EI18" s="3">
        <v>0</v>
      </c>
      <c r="EJ18" s="3">
        <v>0</v>
      </c>
      <c r="EK18" s="14">
        <v>45470</v>
      </c>
      <c r="EL18" s="15">
        <v>5.46</v>
      </c>
      <c r="EM18" s="15">
        <v>2.25</v>
      </c>
      <c r="EN18" s="15">
        <v>-5.24</v>
      </c>
      <c r="EO18" s="15">
        <v>12.68</v>
      </c>
      <c r="EP18" s="15">
        <v>-1.61</v>
      </c>
    </row>
    <row r="19" spans="1:146" ht="144" x14ac:dyDescent="0.25">
      <c r="C19" s="7" t="str">
        <f>"公司主要从事集成电路专用测试设备的研发、生产和销售,是一家致力于提升我国集成电路专用测试技术水平、积极推动集成电路装备业升级的国家高新技术企业和软件企业。公司主要产品包括集成电路测试机、分选机。"&amp;CHAR(10)&amp;Basic_Fundamental_Information_Constructure(F19)&amp;CHAR(10)&amp;Basic_Fundamental_Information_Concatenate("分选机 6.43亿 54.06% 44.24% 45.67%
测试机 4.79亿 40.29% 48.93% 67.79%")</f>
        <v>公司主要从事集成电路专用测试设备的研发、生产和销售,是一家致力于提升我国集成电路专用测试技术水平、积极推动集成电路装备业升级的国家高新技术企业和软件企业。公司主要产品包括集成电路测试机、分选机。
市值177.37973亿, 利润407.52万; PE166.6; 平均PE130.37; 平均PEG2.45, PB6.11; ROIC9.82%; ROE12.9133%; 股利率.3534%; 毛利55.2133%; 净利12.2533%; 上一年度营收增-78.31%, 利润增-99.12%; 当季营收增-26.64%, 利润增-80.1%; 过往5年营收增53.28%, 利润增142.59%
Income profile:
分选机 6.43亿 54.06% 44.24% 45.67%
测试机 4.79亿 40.29% 48.93% 67.79%</v>
      </c>
      <c r="D19" s="3" t="s">
        <v>770</v>
      </c>
      <c r="E19" s="3" t="s">
        <v>771</v>
      </c>
      <c r="F19" s="3">
        <v>28.3</v>
      </c>
      <c r="G19" s="3">
        <v>-0.32</v>
      </c>
      <c r="H19" s="3" t="s">
        <v>3263</v>
      </c>
      <c r="I19" s="3">
        <v>17737973000</v>
      </c>
      <c r="J19" s="3">
        <v>166.6</v>
      </c>
      <c r="K19" s="3">
        <v>6.11</v>
      </c>
      <c r="L19" s="3" t="s">
        <v>2983</v>
      </c>
      <c r="M19" s="3" t="s">
        <v>2062</v>
      </c>
      <c r="N19" s="3" t="s">
        <v>3264</v>
      </c>
      <c r="O19" s="3" t="s">
        <v>1312</v>
      </c>
      <c r="P19" s="3">
        <v>74.81</v>
      </c>
      <c r="Q19" s="3" t="s">
        <v>1312</v>
      </c>
      <c r="R19" s="3">
        <v>4075181</v>
      </c>
      <c r="S19" s="5">
        <v>1.071</v>
      </c>
      <c r="T19" s="3" t="s">
        <v>3265</v>
      </c>
      <c r="U19" s="3">
        <v>466731930</v>
      </c>
      <c r="V19" s="3">
        <v>626783500</v>
      </c>
      <c r="W19" s="3">
        <v>1.69</v>
      </c>
      <c r="X19" s="3">
        <v>0.09</v>
      </c>
      <c r="Y19" s="3">
        <v>0.66</v>
      </c>
      <c r="Z19" s="3" t="s">
        <v>1748</v>
      </c>
      <c r="AA19" s="3" t="s">
        <v>196</v>
      </c>
      <c r="AB19" s="3" t="s">
        <v>3266</v>
      </c>
      <c r="AC19" s="3" t="s">
        <v>3267</v>
      </c>
      <c r="AD19" s="3" t="s">
        <v>22</v>
      </c>
      <c r="AE19" s="3">
        <v>-5621679</v>
      </c>
      <c r="AF19" s="3" t="s">
        <v>2092</v>
      </c>
      <c r="AG19" s="3" t="s">
        <v>3268</v>
      </c>
      <c r="AH19" s="3" t="s">
        <v>2093</v>
      </c>
      <c r="AI19" s="3" t="s">
        <v>1812</v>
      </c>
      <c r="AJ19" s="3" t="s">
        <v>2094</v>
      </c>
      <c r="AK19" s="3" t="s">
        <v>22</v>
      </c>
      <c r="AL19" s="3" t="s">
        <v>2095</v>
      </c>
      <c r="AM19" s="3" t="s">
        <v>22</v>
      </c>
      <c r="AN19" s="3" t="s">
        <v>753</v>
      </c>
      <c r="AO19" s="3" t="s">
        <v>1781</v>
      </c>
      <c r="AP19" s="3" t="s">
        <v>3269</v>
      </c>
      <c r="AQ19" s="3" t="s">
        <v>1977</v>
      </c>
      <c r="AR19" s="3" t="s">
        <v>22</v>
      </c>
      <c r="AS19" s="3" t="s">
        <v>678</v>
      </c>
      <c r="AT19" s="3" t="s">
        <v>1869</v>
      </c>
      <c r="AU19" s="3" t="s">
        <v>3270</v>
      </c>
      <c r="AV19" s="3" t="s">
        <v>3271</v>
      </c>
      <c r="AW19" s="3" t="s">
        <v>850</v>
      </c>
      <c r="AX19" s="3" t="s">
        <v>1048</v>
      </c>
      <c r="AY19" s="3" t="s">
        <v>885</v>
      </c>
      <c r="AZ19" s="3" t="s">
        <v>772</v>
      </c>
      <c r="BA19" s="3" t="s">
        <v>316</v>
      </c>
      <c r="BB19" s="3" t="s">
        <v>476</v>
      </c>
      <c r="BC19" s="3" t="s">
        <v>558</v>
      </c>
      <c r="BD19" s="3" t="s">
        <v>378</v>
      </c>
      <c r="BE19" s="3" t="s">
        <v>773</v>
      </c>
      <c r="BF19" s="3" t="s">
        <v>774</v>
      </c>
      <c r="BG19" s="3" t="s">
        <v>775</v>
      </c>
      <c r="BH19" s="3" t="s">
        <v>1863</v>
      </c>
      <c r="BI19" s="3" t="s">
        <v>1546</v>
      </c>
      <c r="BJ19" s="3" t="s">
        <v>1048</v>
      </c>
      <c r="BK19" s="3" t="s">
        <v>2091</v>
      </c>
      <c r="BL19" s="3" t="s">
        <v>3272</v>
      </c>
      <c r="BM19" s="3" t="s">
        <v>558</v>
      </c>
      <c r="BN19" s="3">
        <v>0.27</v>
      </c>
      <c r="BO19" s="3">
        <v>17.5</v>
      </c>
      <c r="BP19" s="3">
        <v>11.69</v>
      </c>
      <c r="BQ19" s="3">
        <v>0.06</v>
      </c>
      <c r="BR19" s="3">
        <v>22.79</v>
      </c>
      <c r="BS19" s="3">
        <v>15.89</v>
      </c>
      <c r="BT19" s="3" t="s">
        <v>1369</v>
      </c>
      <c r="BU19" s="3" t="s">
        <v>1212</v>
      </c>
      <c r="BV19" s="3">
        <v>57.06</v>
      </c>
      <c r="BW19" s="3">
        <v>56.75</v>
      </c>
      <c r="BX19" s="3">
        <v>51.83</v>
      </c>
      <c r="BY19" s="3">
        <v>3.42</v>
      </c>
      <c r="BZ19" s="3">
        <v>18.64</v>
      </c>
      <c r="CA19" s="3">
        <v>14.7</v>
      </c>
      <c r="CB19" s="3">
        <v>4.16</v>
      </c>
      <c r="CC19" s="3">
        <v>-3.25</v>
      </c>
      <c r="CD19" s="3" t="s">
        <v>3273</v>
      </c>
      <c r="CE19" s="3" t="s">
        <v>485</v>
      </c>
      <c r="CF19" s="10">
        <v>-0.26640419947506561</v>
      </c>
      <c r="CG19" s="11">
        <v>-0.80100392114733843</v>
      </c>
      <c r="CH19" s="10">
        <v>-0.7830810546875</v>
      </c>
      <c r="CI19" s="10">
        <v>0.70549291372299194</v>
      </c>
      <c r="CJ19" s="10">
        <v>0.87935328483581543</v>
      </c>
      <c r="CK19" s="10">
        <v>1.0150375366210937</v>
      </c>
      <c r="CL19" s="10">
        <v>0.84722220897674561</v>
      </c>
      <c r="CM19" s="11">
        <v>-0.99116009473800659</v>
      </c>
      <c r="CN19" s="11">
        <v>1.1146788597106934</v>
      </c>
      <c r="CO19" s="11">
        <v>1.5689551830291748</v>
      </c>
      <c r="CP19" s="11">
        <v>6.1099510192871094</v>
      </c>
      <c r="CQ19" s="11">
        <v>-0.67274636030197144</v>
      </c>
      <c r="CR19" s="3">
        <v>130.37179071000966</v>
      </c>
      <c r="CS19" s="3">
        <v>2.4468951327250648</v>
      </c>
      <c r="CT19" s="3">
        <v>0.35335689045936397</v>
      </c>
      <c r="CU19" s="10">
        <v>0.5328049778938293</v>
      </c>
      <c r="CV19" s="11">
        <v>1.4259357213974</v>
      </c>
      <c r="CW19" s="3">
        <v>0.06</v>
      </c>
      <c r="CX19" s="3">
        <v>2829.6659892216107</v>
      </c>
      <c r="CY19" s="3">
        <v>5892912.1187857864</v>
      </c>
      <c r="CZ19" s="3">
        <v>0.5328049778938293</v>
      </c>
      <c r="DA19" s="3">
        <v>648.59983863048171</v>
      </c>
      <c r="DB19" s="3">
        <v>25709184.626393367</v>
      </c>
      <c r="DC19" s="3">
        <v>0.50616472899913778</v>
      </c>
      <c r="DD19" s="3">
        <v>187.31807632636779</v>
      </c>
      <c r="DE19" s="3">
        <v>89019561.41673632</v>
      </c>
      <c r="DF19" s="3">
        <v>0.46886838054656976</v>
      </c>
      <c r="DG19" s="3">
        <v>56.955896270267942</v>
      </c>
      <c r="DH19" s="3">
        <v>292769916.58376646</v>
      </c>
      <c r="DI19" s="3">
        <v>0.42624398231506344</v>
      </c>
      <c r="DJ19" s="3">
        <v>5.3107302287607281</v>
      </c>
      <c r="DK19" s="3">
        <v>3139864440.8061271</v>
      </c>
      <c r="DL19" s="3">
        <v>0.37296348452568051</v>
      </c>
      <c r="DM19" s="3">
        <v>4075200</v>
      </c>
      <c r="DN19" s="3">
        <v>0.5328049778938293</v>
      </c>
      <c r="DO19" s="3">
        <v>16674973000</v>
      </c>
      <c r="DP19" s="3">
        <v>2410928300</v>
      </c>
      <c r="DQ19" s="3">
        <v>2071</v>
      </c>
      <c r="DR19" s="3">
        <v>-0.79920917736889496</v>
      </c>
      <c r="DS19" s="3">
        <v>-2.2269396425447385</v>
      </c>
      <c r="DT19" s="12">
        <v>0.22666666666666649</v>
      </c>
      <c r="DU19" s="3">
        <v>6.6666666666666652E-2</v>
      </c>
      <c r="DV19" s="3">
        <v>0.29333333333333311</v>
      </c>
      <c r="DW19" s="3">
        <v>4.78125</v>
      </c>
      <c r="DX19" s="3">
        <v>0.30534581005586731</v>
      </c>
      <c r="DY19" s="3">
        <v>4.0901139141061451</v>
      </c>
      <c r="DZ19" s="3">
        <v>81</v>
      </c>
      <c r="EA19" s="3">
        <v>4.0886854939412531</v>
      </c>
      <c r="EB19" s="3">
        <v>4</v>
      </c>
      <c r="EC19" s="3">
        <v>9.8823118349477934E-2</v>
      </c>
      <c r="ED19" s="3">
        <v>0.85675516346553471</v>
      </c>
      <c r="EE19" s="13">
        <v>-2.0310999999999999</v>
      </c>
      <c r="EF19" s="3">
        <v>-2.0055100000000001</v>
      </c>
      <c r="EG19" s="3">
        <v>19.115345810055867</v>
      </c>
      <c r="EH19" s="3" t="s">
        <v>1401</v>
      </c>
      <c r="EI19" s="3">
        <v>0</v>
      </c>
      <c r="EJ19" s="3">
        <v>1</v>
      </c>
      <c r="EK19" s="14">
        <v>45470</v>
      </c>
      <c r="EL19" s="15">
        <v>0.03</v>
      </c>
      <c r="EM19" s="15">
        <v>-4.78</v>
      </c>
      <c r="EN19" s="15">
        <v>-4.01</v>
      </c>
      <c r="EO19" s="15">
        <v>1.38</v>
      </c>
      <c r="EP19" s="15">
        <v>-3.66</v>
      </c>
    </row>
    <row r="20" spans="1:146" ht="96" x14ac:dyDescent="0.25">
      <c r="C20" s="7" t="str">
        <f>""&amp;CHAR(10)&amp;Basic_Fundamental_Information_Constructure(F20)&amp;CHAR(10)&amp;Basic_Fundamental_Information_Concatenate("")</f>
        <v xml:space="preserve">
市值70.665662亿, 利润3610.75万; PE30.71; 平均PE41.49; 平均PEG1.26, PB2.83; ROIC12.6933%; ROE16.83%; 股利率.3919%; 毛利39.7733%; 净利18.0133%; 上一年度营收增-83.04%, 利润增-90.93%; 当季营收增-59.5%, 利润增-71.79%; 过往5年营收增32.99%, 利润增58.16%
Income profile:
</v>
      </c>
      <c r="D20" s="3" t="s">
        <v>49</v>
      </c>
      <c r="E20" s="3" t="s">
        <v>5</v>
      </c>
      <c r="F20" s="3">
        <v>30.62</v>
      </c>
      <c r="G20" s="3">
        <v>-0.62</v>
      </c>
      <c r="H20" s="3" t="s">
        <v>3274</v>
      </c>
      <c r="I20" s="3">
        <v>7066566200</v>
      </c>
      <c r="J20" s="3">
        <v>30.71</v>
      </c>
      <c r="K20" s="3">
        <v>2.83</v>
      </c>
      <c r="L20" s="3" t="s">
        <v>2983</v>
      </c>
      <c r="M20" s="3" t="s">
        <v>2022</v>
      </c>
      <c r="N20" s="3" t="s">
        <v>3275</v>
      </c>
      <c r="O20" s="3" t="s">
        <v>565</v>
      </c>
      <c r="P20" s="3">
        <v>-13.91</v>
      </c>
      <c r="Q20" s="3" t="s">
        <v>565</v>
      </c>
      <c r="R20" s="3">
        <v>36107529</v>
      </c>
      <c r="S20" s="5">
        <v>-0.38279999999999997</v>
      </c>
      <c r="T20" s="3" t="s">
        <v>3276</v>
      </c>
      <c r="U20" s="3">
        <v>217577670</v>
      </c>
      <c r="V20" s="3">
        <v>230782700</v>
      </c>
      <c r="W20" s="3">
        <v>1.28</v>
      </c>
      <c r="X20" s="3">
        <v>0.1</v>
      </c>
      <c r="Y20" s="3">
        <v>6.75</v>
      </c>
      <c r="Z20" s="3" t="s">
        <v>551</v>
      </c>
      <c r="AA20" s="3" t="s">
        <v>1147</v>
      </c>
      <c r="AB20" s="3" t="s">
        <v>3277</v>
      </c>
      <c r="AC20" s="3" t="s">
        <v>3278</v>
      </c>
      <c r="AD20" s="3" t="s">
        <v>22</v>
      </c>
      <c r="AE20" s="3">
        <v>1108940</v>
      </c>
      <c r="AF20" s="3" t="s">
        <v>2096</v>
      </c>
      <c r="AG20" s="3" t="s">
        <v>22</v>
      </c>
      <c r="AH20" s="3" t="s">
        <v>2097</v>
      </c>
      <c r="AI20" s="3" t="s">
        <v>3251</v>
      </c>
      <c r="AJ20" s="3" t="s">
        <v>2098</v>
      </c>
      <c r="AK20" s="3" t="s">
        <v>3279</v>
      </c>
      <c r="AL20" s="3" t="s">
        <v>2099</v>
      </c>
      <c r="AM20" s="3" t="s">
        <v>22</v>
      </c>
      <c r="AN20" s="3">
        <v>0</v>
      </c>
      <c r="AO20" s="3" t="s">
        <v>3280</v>
      </c>
      <c r="AP20" s="3" t="s">
        <v>22</v>
      </c>
      <c r="AQ20" s="3" t="s">
        <v>3281</v>
      </c>
      <c r="AR20" s="3" t="s">
        <v>22</v>
      </c>
      <c r="AS20" s="3" t="s">
        <v>215</v>
      </c>
      <c r="AT20" s="3" t="s">
        <v>22</v>
      </c>
      <c r="AU20" s="3" t="s">
        <v>221</v>
      </c>
      <c r="AV20" s="3" t="s">
        <v>3282</v>
      </c>
      <c r="AW20" s="3" t="s">
        <v>3283</v>
      </c>
      <c r="AX20" s="3" t="s">
        <v>1550</v>
      </c>
      <c r="AY20" s="3" t="s">
        <v>886</v>
      </c>
      <c r="AZ20" s="3" t="s">
        <v>217</v>
      </c>
      <c r="BA20" s="3" t="s">
        <v>154</v>
      </c>
      <c r="BB20" s="3" t="s">
        <v>116</v>
      </c>
      <c r="BC20" s="3" t="s">
        <v>884</v>
      </c>
      <c r="BD20" s="3" t="s">
        <v>185</v>
      </c>
      <c r="BE20" s="3" t="s">
        <v>554</v>
      </c>
      <c r="BF20" s="3" t="s">
        <v>353</v>
      </c>
      <c r="BG20" s="3" t="s">
        <v>556</v>
      </c>
      <c r="BH20" s="3" t="s">
        <v>1784</v>
      </c>
      <c r="BI20" s="3" t="s">
        <v>3284</v>
      </c>
      <c r="BJ20" s="3" t="s">
        <v>1550</v>
      </c>
      <c r="BK20" s="3" t="s">
        <v>340</v>
      </c>
      <c r="BL20" s="3" t="s">
        <v>318</v>
      </c>
      <c r="BM20" s="3" t="s">
        <v>884</v>
      </c>
      <c r="BN20" s="3">
        <v>5.49</v>
      </c>
      <c r="BO20" s="3">
        <v>13.45</v>
      </c>
      <c r="BP20" s="3">
        <v>19.14</v>
      </c>
      <c r="BQ20" s="3">
        <v>7.61</v>
      </c>
      <c r="BR20" s="3">
        <v>19.86</v>
      </c>
      <c r="BS20" s="3">
        <v>23.02</v>
      </c>
      <c r="BT20" s="3" t="s">
        <v>1372</v>
      </c>
      <c r="BU20" s="3" t="s">
        <v>2998</v>
      </c>
      <c r="BV20" s="3">
        <v>38.78</v>
      </c>
      <c r="BW20" s="3">
        <v>38.090000000000003</v>
      </c>
      <c r="BX20" s="3">
        <v>42.45</v>
      </c>
      <c r="BY20" s="3">
        <v>13.85</v>
      </c>
      <c r="BZ20" s="3">
        <v>17.93</v>
      </c>
      <c r="CA20" s="3">
        <v>22.26</v>
      </c>
      <c r="CB20" s="3">
        <v>-6.96</v>
      </c>
      <c r="CC20" s="3">
        <v>0.28999999999999998</v>
      </c>
      <c r="CD20" s="3" t="s">
        <v>3285</v>
      </c>
      <c r="CE20" s="3" t="s">
        <v>1758</v>
      </c>
      <c r="CF20" s="10">
        <v>-0.59502262443438914</v>
      </c>
      <c r="CG20" s="11">
        <v>-0.7179099296875</v>
      </c>
      <c r="CH20" s="10">
        <v>-0.83041214942932129</v>
      </c>
      <c r="CI20" s="10">
        <v>0.22946999967098236</v>
      </c>
      <c r="CJ20" s="10">
        <v>1.8147542476654053</v>
      </c>
      <c r="CK20" s="10">
        <v>0.16858237981796265</v>
      </c>
      <c r="CL20" s="10">
        <v>0.2669903039932251</v>
      </c>
      <c r="CM20" s="11">
        <v>-0.90927767753601074</v>
      </c>
      <c r="CN20" s="11">
        <v>9.3406595289707184E-2</v>
      </c>
      <c r="CO20" s="11">
        <v>3.1516399383544922</v>
      </c>
      <c r="CP20" s="11">
        <v>7.3481842875480652E-2</v>
      </c>
      <c r="CQ20" s="11">
        <v>0.49864950776100159</v>
      </c>
      <c r="CR20" s="3">
        <v>41.488431559406941</v>
      </c>
      <c r="CS20" s="3">
        <v>1.2576941420602348</v>
      </c>
      <c r="CT20" s="3">
        <v>0.39190071848465052</v>
      </c>
      <c r="CU20" s="10">
        <v>0.32987695634365083</v>
      </c>
      <c r="CV20" s="11">
        <v>0.58158004134893415</v>
      </c>
      <c r="CW20" s="3">
        <v>0.06</v>
      </c>
      <c r="CX20" s="3">
        <v>113.63154852671862</v>
      </c>
      <c r="CY20" s="3">
        <v>45300502.076583363</v>
      </c>
      <c r="CZ20" s="3">
        <v>0.32987695634365083</v>
      </c>
      <c r="DA20" s="3">
        <v>30.485046617828928</v>
      </c>
      <c r="DB20" s="3">
        <v>168855447.87028432</v>
      </c>
      <c r="DC20" s="3">
        <v>0.31338310852646828</v>
      </c>
      <c r="DD20" s="3">
        <v>11.293326648679725</v>
      </c>
      <c r="DE20" s="3">
        <v>455806013.59846342</v>
      </c>
      <c r="DF20" s="3">
        <v>0.29029172158241273</v>
      </c>
      <c r="DG20" s="3">
        <v>4.782888816887402</v>
      </c>
      <c r="DH20" s="3">
        <v>1076246259.7551916</v>
      </c>
      <c r="DI20" s="3">
        <v>0.26390156507492069</v>
      </c>
      <c r="DJ20" s="3">
        <v>1.0484108697608503</v>
      </c>
      <c r="DK20" s="3">
        <v>4909874886.3355408</v>
      </c>
      <c r="DL20" s="3">
        <v>0.23091386944055556</v>
      </c>
      <c r="DM20" s="3">
        <v>36107500</v>
      </c>
      <c r="DN20" s="3">
        <v>0.32987695634365083</v>
      </c>
      <c r="DO20" s="3">
        <v>5147566200</v>
      </c>
      <c r="DP20" s="3">
        <v>2456742200</v>
      </c>
      <c r="DQ20" s="3">
        <v>2080</v>
      </c>
      <c r="DR20" s="3">
        <v>-0.92489958077804002</v>
      </c>
      <c r="DS20" s="3">
        <v>-1.2994899710364343</v>
      </c>
      <c r="DT20" s="12">
        <v>-2.4999999999999984E-2</v>
      </c>
      <c r="DU20" s="3">
        <v>-0.3066666666666667</v>
      </c>
      <c r="DV20" s="3">
        <v>-0.33166666666666667</v>
      </c>
      <c r="DW20" s="3">
        <v>-5.041666666666667</v>
      </c>
      <c r="DX20" s="3">
        <v>0.27592757009345675</v>
      </c>
      <c r="DY20" s="3">
        <v>-5.0035803154205611</v>
      </c>
      <c r="DZ20" s="3">
        <v>807</v>
      </c>
      <c r="EA20" s="3">
        <v>-5.0030148918306603</v>
      </c>
      <c r="EB20" s="3">
        <v>5</v>
      </c>
      <c r="EC20" s="3">
        <v>7.9678849411156036E-2</v>
      </c>
      <c r="ED20" s="3">
        <v>0.92727921113670997</v>
      </c>
      <c r="EE20" s="13">
        <v>-2.0442100000000001</v>
      </c>
      <c r="EF20" s="3">
        <v>-2.0533100000000002</v>
      </c>
      <c r="EG20" s="3">
        <v>19.085927570093457</v>
      </c>
      <c r="EH20" s="3" t="s">
        <v>1401</v>
      </c>
      <c r="EI20" s="3">
        <v>0</v>
      </c>
      <c r="EJ20" s="3">
        <v>1</v>
      </c>
      <c r="EK20" s="14">
        <v>45470</v>
      </c>
      <c r="EL20" s="15">
        <v>-2.89</v>
      </c>
      <c r="EM20" s="15">
        <v>-6.04</v>
      </c>
      <c r="EN20" s="15">
        <v>-4.87</v>
      </c>
      <c r="EO20" s="15">
        <v>3.36</v>
      </c>
      <c r="EP20" s="15">
        <v>-0.91</v>
      </c>
    </row>
    <row r="21" spans="1:146" ht="96" x14ac:dyDescent="0.25">
      <c r="C21" s="7" t="str">
        <f>""&amp;CHAR(10)&amp;Basic_Fundamental_Information_Constructure(F21)&amp;CHAR(10)&amp;Basic_Fundamental_Information_Concatenate("")</f>
        <v xml:space="preserve">
市值121.1061亿, 利润9195.05万; PE43.36; 平均PE45.79; 平均PEG2.78, PB3.42; ROIC7.1867%; ROE10.77%; 股利率.3519%; 毛利40.7467%; 净利18.9867%; 上一年度营收增-71.49%, 利润增-74.39%; 当季营收增-42.29%, 利润增-4.28%; 过往5年营收增16.45%, 利润增7.37%
Income profile:
</v>
      </c>
      <c r="D21" s="3" t="s">
        <v>64</v>
      </c>
      <c r="E21" s="3" t="s">
        <v>16</v>
      </c>
      <c r="F21" s="3">
        <v>16.48</v>
      </c>
      <c r="G21" s="3">
        <v>-0.9</v>
      </c>
      <c r="H21" s="3" t="s">
        <v>3286</v>
      </c>
      <c r="I21" s="3">
        <v>12110610000</v>
      </c>
      <c r="J21" s="3">
        <v>43.36</v>
      </c>
      <c r="K21" s="3">
        <v>3.42</v>
      </c>
      <c r="L21" s="3" t="s">
        <v>2983</v>
      </c>
      <c r="M21" s="3" t="s">
        <v>2100</v>
      </c>
      <c r="N21" s="3" t="s">
        <v>3287</v>
      </c>
      <c r="O21" s="3" t="s">
        <v>1252</v>
      </c>
      <c r="P21" s="3">
        <v>28.8</v>
      </c>
      <c r="Q21" s="3" t="s">
        <v>1252</v>
      </c>
      <c r="R21" s="3">
        <v>91950520</v>
      </c>
      <c r="S21" s="5">
        <v>1.895</v>
      </c>
      <c r="T21" s="3" t="s">
        <v>3288</v>
      </c>
      <c r="U21" s="3">
        <v>670236450</v>
      </c>
      <c r="V21" s="3">
        <v>734867110</v>
      </c>
      <c r="W21" s="3">
        <v>1.72</v>
      </c>
      <c r="X21" s="3">
        <v>7.0000000000000007E-2</v>
      </c>
      <c r="Y21" s="3">
        <v>18.149999999999999</v>
      </c>
      <c r="Z21" s="3" t="s">
        <v>506</v>
      </c>
      <c r="AA21" s="3" t="s">
        <v>555</v>
      </c>
      <c r="AB21" s="3" t="s">
        <v>3289</v>
      </c>
      <c r="AC21" s="3" t="s">
        <v>3290</v>
      </c>
      <c r="AD21" s="3" t="s">
        <v>22</v>
      </c>
      <c r="AE21" s="3">
        <v>7919157</v>
      </c>
      <c r="AF21" s="3" t="s">
        <v>2102</v>
      </c>
      <c r="AG21" s="3">
        <v>1068.78</v>
      </c>
      <c r="AH21" s="3" t="s">
        <v>2103</v>
      </c>
      <c r="AI21" s="3" t="s">
        <v>2658</v>
      </c>
      <c r="AJ21" s="3" t="s">
        <v>2104</v>
      </c>
      <c r="AK21" s="3" t="s">
        <v>3291</v>
      </c>
      <c r="AL21" s="3" t="s">
        <v>2105</v>
      </c>
      <c r="AM21" s="3" t="s">
        <v>22</v>
      </c>
      <c r="AN21" s="3" t="s">
        <v>3292</v>
      </c>
      <c r="AO21" s="3" t="s">
        <v>3293</v>
      </c>
      <c r="AP21" s="3" t="s">
        <v>1743</v>
      </c>
      <c r="AQ21" s="3" t="s">
        <v>1644</v>
      </c>
      <c r="AR21" s="3" t="s">
        <v>22</v>
      </c>
      <c r="AS21" s="3" t="s">
        <v>1557</v>
      </c>
      <c r="AT21" s="3" t="s">
        <v>911</v>
      </c>
      <c r="AU21" s="3" t="s">
        <v>181</v>
      </c>
      <c r="AV21" s="3" t="s">
        <v>3294</v>
      </c>
      <c r="AW21" s="3" t="s">
        <v>3295</v>
      </c>
      <c r="AX21" s="3" t="s">
        <v>595</v>
      </c>
      <c r="AY21" s="3" t="s">
        <v>887</v>
      </c>
      <c r="AZ21" s="3" t="s">
        <v>557</v>
      </c>
      <c r="BA21" s="3" t="s">
        <v>252</v>
      </c>
      <c r="BB21" s="3" t="s">
        <v>485</v>
      </c>
      <c r="BC21" s="3" t="s">
        <v>438</v>
      </c>
      <c r="BD21" s="3" t="s">
        <v>374</v>
      </c>
      <c r="BE21" s="3" t="s">
        <v>397</v>
      </c>
      <c r="BF21" s="3" t="s">
        <v>358</v>
      </c>
      <c r="BG21" s="3" t="s">
        <v>131</v>
      </c>
      <c r="BH21" s="3" t="s">
        <v>2101</v>
      </c>
      <c r="BI21" s="3" t="s">
        <v>3296</v>
      </c>
      <c r="BJ21" s="3" t="s">
        <v>595</v>
      </c>
      <c r="BK21" s="3" t="s">
        <v>390</v>
      </c>
      <c r="BL21" s="3" t="s">
        <v>3297</v>
      </c>
      <c r="BM21" s="3" t="s">
        <v>438</v>
      </c>
      <c r="BN21" s="3">
        <v>2.16</v>
      </c>
      <c r="BO21" s="3">
        <v>6.35</v>
      </c>
      <c r="BP21" s="3">
        <v>13.05</v>
      </c>
      <c r="BQ21" s="3">
        <v>3.93</v>
      </c>
      <c r="BR21" s="3">
        <v>10.5</v>
      </c>
      <c r="BS21" s="3">
        <v>17.88</v>
      </c>
      <c r="BT21" s="3" t="s">
        <v>2106</v>
      </c>
      <c r="BU21" s="3" t="s">
        <v>1210</v>
      </c>
      <c r="BV21" s="3">
        <v>34.130000000000003</v>
      </c>
      <c r="BW21" s="3">
        <v>40.409999999999997</v>
      </c>
      <c r="BX21" s="3">
        <v>47.7</v>
      </c>
      <c r="BY21" s="3">
        <v>9.69</v>
      </c>
      <c r="BZ21" s="3">
        <v>19.489999999999998</v>
      </c>
      <c r="CA21" s="3">
        <v>27.78</v>
      </c>
      <c r="CB21" s="3">
        <v>-4.74</v>
      </c>
      <c r="CC21" s="3">
        <v>5.63</v>
      </c>
      <c r="CD21" s="3" t="s">
        <v>3298</v>
      </c>
      <c r="CE21" s="3" t="s">
        <v>1755</v>
      </c>
      <c r="CF21" s="10">
        <v>-0.42286348501664817</v>
      </c>
      <c r="CG21" s="11">
        <v>-4.2783335051004422E-2</v>
      </c>
      <c r="CH21" s="10">
        <v>-0.7149122953414917</v>
      </c>
      <c r="CI21" s="10">
        <v>2.8764842078089714E-2</v>
      </c>
      <c r="CJ21" s="10">
        <v>0.75370913743972778</v>
      </c>
      <c r="CK21" s="10">
        <v>0.5</v>
      </c>
      <c r="CL21" s="10">
        <v>0.25512105226516724</v>
      </c>
      <c r="CM21" s="11">
        <v>-0.74387049674987793</v>
      </c>
      <c r="CN21" s="11">
        <v>-0.27766600251197815</v>
      </c>
      <c r="CO21" s="11">
        <v>0.75618374347686768</v>
      </c>
      <c r="CP21" s="11">
        <v>0.48947367072105408</v>
      </c>
      <c r="CQ21" s="11">
        <v>0.14457830786705017</v>
      </c>
      <c r="CR21" s="3">
        <v>45.788233470420153</v>
      </c>
      <c r="CS21" s="3">
        <v>2.7828609646336298</v>
      </c>
      <c r="CT21" s="3">
        <v>0.35194174757281549</v>
      </c>
      <c r="CU21" s="10">
        <v>0.16453654728829861</v>
      </c>
      <c r="CV21" s="11">
        <v>7.3739844560623172E-2</v>
      </c>
      <c r="CW21" s="3">
        <v>0.06</v>
      </c>
      <c r="CX21" s="3">
        <v>108.35242041446888</v>
      </c>
      <c r="CY21" s="3">
        <v>101018601.69003086</v>
      </c>
      <c r="CZ21" s="3">
        <v>0.16453654728829861</v>
      </c>
      <c r="DA21" s="3">
        <v>33.260888767700528</v>
      </c>
      <c r="DB21" s="3">
        <v>329083509.35676813</v>
      </c>
      <c r="DC21" s="3">
        <v>0.15630971992388368</v>
      </c>
      <c r="DD21" s="3">
        <v>15.025124187323911</v>
      </c>
      <c r="DE21" s="3">
        <v>728487156.81394291</v>
      </c>
      <c r="DF21" s="3">
        <v>0.14479216161370279</v>
      </c>
      <c r="DG21" s="3">
        <v>8.1632428582357619</v>
      </c>
      <c r="DH21" s="3">
        <v>1340840912.1329956</v>
      </c>
      <c r="DI21" s="3">
        <v>0.1316292378306389</v>
      </c>
      <c r="DJ21" s="3">
        <v>3.3483429785668437</v>
      </c>
      <c r="DK21" s="3">
        <v>3268963206.5962772</v>
      </c>
      <c r="DL21" s="3">
        <v>0.11517558310180902</v>
      </c>
      <c r="DM21" s="3">
        <v>91950500</v>
      </c>
      <c r="DN21" s="3">
        <v>0.16453654728829861</v>
      </c>
      <c r="DO21" s="3">
        <v>10945610000</v>
      </c>
      <c r="DP21" s="3">
        <v>910612800</v>
      </c>
      <c r="DQ21" s="3">
        <v>2090</v>
      </c>
      <c r="DR21" s="3">
        <v>-0.58740003230494675</v>
      </c>
      <c r="DS21" s="3">
        <v>-0.11652317961162759</v>
      </c>
      <c r="DT21" s="12">
        <v>-0.29000000000000004</v>
      </c>
      <c r="DU21" s="3">
        <v>-0.10000000000000002</v>
      </c>
      <c r="DV21" s="3">
        <v>-0.39000000000000007</v>
      </c>
      <c r="DW21" s="3">
        <v>-6.4570877531340409</v>
      </c>
      <c r="DX21" s="3">
        <v>0.31140000000000012</v>
      </c>
      <c r="DY21" s="3">
        <v>-6.041777820636451</v>
      </c>
      <c r="DZ21" s="3">
        <v>1102</v>
      </c>
      <c r="EA21" s="3">
        <v>-6.0327682006087855</v>
      </c>
      <c r="EB21" s="3">
        <v>6</v>
      </c>
      <c r="EC21" s="3">
        <v>7.6367004641152064E-2</v>
      </c>
      <c r="ED21" s="3">
        <v>0.83552521489225451</v>
      </c>
      <c r="EE21" s="13">
        <v>-2.0175999999999998</v>
      </c>
      <c r="EF21" s="3">
        <v>-2.00421</v>
      </c>
      <c r="EG21" s="3">
        <v>22.0914</v>
      </c>
      <c r="EH21" s="3" t="s">
        <v>1401</v>
      </c>
      <c r="EI21" s="3">
        <v>0</v>
      </c>
      <c r="EJ21" s="3">
        <v>1</v>
      </c>
      <c r="EK21" s="14">
        <v>45470</v>
      </c>
      <c r="EL21" s="15">
        <v>-0.49</v>
      </c>
      <c r="EM21" s="15">
        <v>-3.75</v>
      </c>
      <c r="EN21" s="15">
        <v>-3.67</v>
      </c>
      <c r="EO21" s="15">
        <v>2.2200000000000002</v>
      </c>
      <c r="EP21" s="15">
        <v>-2.1800000000000002</v>
      </c>
    </row>
    <row r="22" spans="1:146" ht="132" x14ac:dyDescent="0.25">
      <c r="A22" s="7" t="s">
        <v>1100</v>
      </c>
      <c r="B22" s="7" t="s">
        <v>1101</v>
      </c>
      <c r="C22" s="7" t="str">
        <f>"公司主营业务为模拟集成电路芯片设计及销售。主要产品为信号链产品、电源管理产品"&amp;CHAR(10)&amp;Basic_Fundamental_Information_Constructure(F22)&amp;CHAR(10)&amp;Basic_Fundamental_Information_Concatenate("电源管理产品 15.29亿 68.29% 65.25% 53.03%
信号链产品 7.09亿 31.67% 34.69% 60.77%
技术及服务 83.22万 0.04% 0.06% 88.24%")</f>
        <v>公司主营业务为模拟集成电路芯片设计及销售。主要产品为信号链产品、电源管理产品
市值345.09003亿, 利润5438.34万; PE113.2; 平均PE94.27; 平均PEG3.32, PB8.74; ROIC22.1067%; ROE23.6167%; 股利率.1364%; 毛利54.6933%; 净利22.6733%; 上一年度营收增-77.13%, 利润增-93.78%; 当季营收增-36.5%, 利润增-39.33%; 过往5年营收增28.38%, 利润增41.31%
Income profile:
电源管理产品 15.29亿 68.29% 65.25% 53.03%
信号链产品 7.09亿 31.67% 34.69% 60.77%
技术及服务 83.22万 0.04% 0.06% 88.24%</v>
      </c>
      <c r="D22" s="3" t="s">
        <v>40</v>
      </c>
      <c r="E22" s="3" t="s">
        <v>8</v>
      </c>
      <c r="F22" s="3">
        <v>73.31</v>
      </c>
      <c r="G22" s="3">
        <v>-1.6</v>
      </c>
      <c r="H22" s="3" t="s">
        <v>3299</v>
      </c>
      <c r="I22" s="3">
        <v>34509003000</v>
      </c>
      <c r="J22" s="3">
        <v>113.2</v>
      </c>
      <c r="K22" s="3">
        <v>8.74</v>
      </c>
      <c r="L22" s="3" t="s">
        <v>2983</v>
      </c>
      <c r="M22" s="3" t="s">
        <v>2108</v>
      </c>
      <c r="N22" s="3" t="s">
        <v>3300</v>
      </c>
      <c r="O22" s="3" t="s">
        <v>894</v>
      </c>
      <c r="P22" s="3">
        <v>42.03</v>
      </c>
      <c r="Q22" s="3" t="s">
        <v>894</v>
      </c>
      <c r="R22" s="3">
        <v>54383430</v>
      </c>
      <c r="S22" s="5">
        <v>0.8004</v>
      </c>
      <c r="T22" s="3" t="s">
        <v>3301</v>
      </c>
      <c r="U22" s="3">
        <v>451201190</v>
      </c>
      <c r="V22" s="3">
        <v>470727090</v>
      </c>
      <c r="W22" s="3">
        <v>1.21</v>
      </c>
      <c r="X22" s="3">
        <v>0.15</v>
      </c>
      <c r="Y22" s="3">
        <v>7.06</v>
      </c>
      <c r="Z22" s="3" t="s">
        <v>1946</v>
      </c>
      <c r="AA22" s="3" t="s">
        <v>210</v>
      </c>
      <c r="AB22" s="3" t="s">
        <v>3302</v>
      </c>
      <c r="AC22" s="3" t="s">
        <v>3303</v>
      </c>
      <c r="AD22" s="3" t="s">
        <v>22</v>
      </c>
      <c r="AE22" s="3">
        <v>-10894371</v>
      </c>
      <c r="AF22" s="3" t="s">
        <v>2110</v>
      </c>
      <c r="AG22" s="3" t="s">
        <v>3304</v>
      </c>
      <c r="AH22" s="3" t="s">
        <v>2111</v>
      </c>
      <c r="AI22" s="3" t="s">
        <v>2416</v>
      </c>
      <c r="AJ22" s="3" t="s">
        <v>2112</v>
      </c>
      <c r="AK22" s="3" t="s">
        <v>22</v>
      </c>
      <c r="AL22" s="3" t="s">
        <v>2113</v>
      </c>
      <c r="AM22" s="3" t="s">
        <v>22</v>
      </c>
      <c r="AN22" s="3" t="s">
        <v>3305</v>
      </c>
      <c r="AO22" s="3" t="s">
        <v>22</v>
      </c>
      <c r="AP22" s="3" t="s">
        <v>22</v>
      </c>
      <c r="AQ22" s="3" t="s">
        <v>136</v>
      </c>
      <c r="AR22" s="3" t="s">
        <v>22</v>
      </c>
      <c r="AS22" s="3" t="s">
        <v>583</v>
      </c>
      <c r="AT22" s="3" t="s">
        <v>22</v>
      </c>
      <c r="AU22" s="3" t="s">
        <v>3306</v>
      </c>
      <c r="AV22" s="3" t="s">
        <v>3307</v>
      </c>
      <c r="AW22" s="3" t="s">
        <v>3308</v>
      </c>
      <c r="AX22" s="3" t="s">
        <v>1552</v>
      </c>
      <c r="AY22" s="3" t="s">
        <v>888</v>
      </c>
      <c r="AZ22" s="3" t="s">
        <v>463</v>
      </c>
      <c r="BA22" s="3" t="s">
        <v>247</v>
      </c>
      <c r="BB22" s="3" t="s">
        <v>560</v>
      </c>
      <c r="BC22" s="3" t="s">
        <v>297</v>
      </c>
      <c r="BD22" s="3" t="s">
        <v>750</v>
      </c>
      <c r="BE22" s="3" t="s">
        <v>321</v>
      </c>
      <c r="BF22" s="3" t="s">
        <v>248</v>
      </c>
      <c r="BG22" s="3" t="s">
        <v>257</v>
      </c>
      <c r="BH22" s="3" t="s">
        <v>2109</v>
      </c>
      <c r="BI22" s="3" t="s">
        <v>3309</v>
      </c>
      <c r="BJ22" s="3" t="s">
        <v>1552</v>
      </c>
      <c r="BK22" s="3" t="s">
        <v>585</v>
      </c>
      <c r="BL22" s="3" t="s">
        <v>3310</v>
      </c>
      <c r="BM22" s="3" t="s">
        <v>297</v>
      </c>
      <c r="BN22" s="3">
        <v>3.16</v>
      </c>
      <c r="BO22" s="3">
        <v>28.55</v>
      </c>
      <c r="BP22" s="3">
        <v>34.61</v>
      </c>
      <c r="BQ22" s="3">
        <v>3.98</v>
      </c>
      <c r="BR22" s="3">
        <v>29.95</v>
      </c>
      <c r="BS22" s="3">
        <v>36.92</v>
      </c>
      <c r="BT22" s="3" t="s">
        <v>1369</v>
      </c>
      <c r="BU22" s="3" t="s">
        <v>3311</v>
      </c>
      <c r="BV22" s="3">
        <v>49.6</v>
      </c>
      <c r="BW22" s="3">
        <v>58.98</v>
      </c>
      <c r="BX22" s="3">
        <v>55.5</v>
      </c>
      <c r="BY22" s="3">
        <v>10.32</v>
      </c>
      <c r="BZ22" s="3">
        <v>26.92</v>
      </c>
      <c r="CA22" s="3">
        <v>30.78</v>
      </c>
      <c r="CB22" s="3">
        <v>-11.44</v>
      </c>
      <c r="CC22" s="3">
        <v>-1.03</v>
      </c>
      <c r="CD22" s="3" t="s">
        <v>3312</v>
      </c>
      <c r="CE22" s="3" t="s">
        <v>140</v>
      </c>
      <c r="CF22" s="10">
        <v>-0.36498257839721254</v>
      </c>
      <c r="CG22" s="11">
        <v>-0.39327433806031842</v>
      </c>
      <c r="CH22" s="10">
        <v>-0.77132999897003174</v>
      </c>
      <c r="CI22" s="10">
        <v>0.42448607087135315</v>
      </c>
      <c r="CJ22" s="10">
        <v>0.86967438459396362</v>
      </c>
      <c r="CK22" s="10">
        <v>0.51136356592178345</v>
      </c>
      <c r="CL22" s="10">
        <v>0.38461539149284363</v>
      </c>
      <c r="CM22" s="11">
        <v>-0.93777638673782349</v>
      </c>
      <c r="CN22" s="11">
        <v>0.25035765767097473</v>
      </c>
      <c r="CO22" s="11">
        <v>1.4186850786209106</v>
      </c>
      <c r="CP22" s="11">
        <v>0.64204543828964233</v>
      </c>
      <c r="CQ22" s="11">
        <v>0.69230771064758301</v>
      </c>
      <c r="CR22" s="3">
        <v>94.270434751965439</v>
      </c>
      <c r="CS22" s="3">
        <v>3.3221669460233496</v>
      </c>
      <c r="CT22" s="3">
        <v>0.13640703860319192</v>
      </c>
      <c r="CU22" s="10">
        <v>0.28376188278198244</v>
      </c>
      <c r="CV22" s="11">
        <v>0.41312389969825747</v>
      </c>
      <c r="CW22" s="3">
        <v>0.06</v>
      </c>
      <c r="CX22" s="3">
        <v>477.33556981542233</v>
      </c>
      <c r="CY22" s="3">
        <v>65863524.505741186</v>
      </c>
      <c r="CZ22" s="3">
        <v>0.28376188278198244</v>
      </c>
      <c r="DA22" s="3">
        <v>132.88556792677522</v>
      </c>
      <c r="DB22" s="3">
        <v>236587038.68672955</v>
      </c>
      <c r="DC22" s="3">
        <v>0.26957378864288328</v>
      </c>
      <c r="DD22" s="3">
        <v>52.066906284060728</v>
      </c>
      <c r="DE22" s="3">
        <v>603819301.81291449</v>
      </c>
      <c r="DF22" s="3">
        <v>0.24971045684814455</v>
      </c>
      <c r="DG22" s="3">
        <v>23.704987511718347</v>
      </c>
      <c r="DH22" s="3">
        <v>1326261107.8980072</v>
      </c>
      <c r="DI22" s="3">
        <v>0.22700950622558597</v>
      </c>
      <c r="DJ22" s="3">
        <v>6.2579207192514943</v>
      </c>
      <c r="DK22" s="3">
        <v>5023873649.1631994</v>
      </c>
      <c r="DL22" s="3">
        <v>0.1986333179473877</v>
      </c>
      <c r="DM22" s="3">
        <v>54383400</v>
      </c>
      <c r="DN22" s="3">
        <v>0.28376188278198244</v>
      </c>
      <c r="DO22" s="3">
        <v>31439003000</v>
      </c>
      <c r="DP22" s="3">
        <v>2661442300</v>
      </c>
      <c r="DQ22" s="3">
        <v>2127</v>
      </c>
      <c r="DR22" s="3">
        <v>-0.64874446117919504</v>
      </c>
      <c r="DS22" s="3">
        <v>-0.80639823775857589</v>
      </c>
      <c r="DT22" s="12">
        <v>-0.14000000000000004</v>
      </c>
      <c r="DU22" s="3">
        <v>0.29666666666666658</v>
      </c>
      <c r="DV22" s="3">
        <v>0.15666666666666654</v>
      </c>
      <c r="DW22" s="3">
        <v>-5.090034965034965</v>
      </c>
      <c r="DX22" s="3">
        <v>0.36079322033898437</v>
      </c>
      <c r="DY22" s="3">
        <v>-5.0144770119710795</v>
      </c>
      <c r="DZ22" s="3">
        <v>213</v>
      </c>
      <c r="EA22" s="3">
        <v>-5.013873567049389</v>
      </c>
      <c r="EB22" s="3">
        <v>5</v>
      </c>
      <c r="EC22" s="3">
        <v>4.0307006762665819E-2</v>
      </c>
      <c r="ED22" s="3">
        <v>0.25067603396269378</v>
      </c>
      <c r="EE22" s="13">
        <v>-2.07951</v>
      </c>
      <c r="EF22" s="3">
        <v>-2.0752100000000002</v>
      </c>
      <c r="EG22" s="3">
        <v>20.160793220338984</v>
      </c>
      <c r="EH22" s="3" t="s">
        <v>1401</v>
      </c>
      <c r="EI22" s="3">
        <v>0</v>
      </c>
      <c r="EJ22" s="3">
        <v>1</v>
      </c>
      <c r="EK22" s="14">
        <v>45470</v>
      </c>
      <c r="EL22" s="15">
        <v>-1.04</v>
      </c>
      <c r="EM22" s="15">
        <v>1.1399999999999999</v>
      </c>
      <c r="EN22" s="15">
        <v>-4.0199999999999996</v>
      </c>
      <c r="EO22" s="15">
        <v>0</v>
      </c>
      <c r="EP22" s="15">
        <v>0.43</v>
      </c>
    </row>
    <row r="23" spans="1:146" ht="324" customHeight="1" x14ac:dyDescent="0.25">
      <c r="A23" s="7" t="s">
        <v>1932</v>
      </c>
      <c r="B23" s="7" t="s">
        <v>1933</v>
      </c>
      <c r="C23" s="7" t="str">
        <f>"公司从事高纯溅射靶材的研发、生产和销售业务。公司主要产品包括铝靶、钛靶及钛环、钽靶及钽环等。公司被国家知识产权局评为“国家知识产权优势企业”，并获得“浙江省技术发明一等奖”荣誉。"&amp;CHAR(10)&amp;Basic_Fundamental_Information_Constructure(F23)&amp;CHAR(10)&amp;Basic_Fundamental_Information_Concatenate("超高纯靶材 7.79亿 65.03% 5.55亿 65.12% 28.70%
其他 2.16亿 18.00% 1.60亿 16.27% 25.90%
精密零部件 2.03亿 16.97% 1.39亿 18.61% 31.43%")</f>
        <v>公司从事高纯溅射靶材的研发、生产和销售业务。公司主要产品包括铝靶、钛靶及钛环、钽靶及钽环等。公司被国家知识产权局评为“国家知识产权优势企业”，并获得“浙江省技术发明一等奖”荣誉。
市值124.178457亿, 利润5964.61万; PE47.86; 平均PE106.34; 平均PEG6.33, PB2.95; ROIC5.9433%; ROE8.29%; 股利率.4274%; 毛利28.23%; 净利8.3033%; 上一年度营收增-66.8%, 利润增-77.41%; 当季营收增-35.51%, 利润增-61.02%; 过往5年营收增16.81%, 利润增36.06%
Income profile:
超高纯靶材 7.79亿 65.03% 5.55亿 65.12% 28.70%
其他 2.16亿 18.00% 1.60亿 16.27% 25.90%
精密零部件 2.03亿 16.97% 1.39亿 18.61% 31.43%</v>
      </c>
      <c r="D23" s="3" t="s">
        <v>33</v>
      </c>
      <c r="E23" s="3" t="s">
        <v>34</v>
      </c>
      <c r="F23" s="3">
        <v>46.8</v>
      </c>
      <c r="G23" s="3">
        <v>-1.56</v>
      </c>
      <c r="H23" s="3" t="s">
        <v>3313</v>
      </c>
      <c r="I23" s="3">
        <v>12417845700</v>
      </c>
      <c r="J23" s="3">
        <v>47.86</v>
      </c>
      <c r="K23" s="3">
        <v>2.95</v>
      </c>
      <c r="L23" s="3" t="s">
        <v>2983</v>
      </c>
      <c r="M23" s="3" t="s">
        <v>2114</v>
      </c>
      <c r="N23" s="3" t="s">
        <v>3314</v>
      </c>
      <c r="O23" s="3" t="s">
        <v>2115</v>
      </c>
      <c r="P23" s="3">
        <v>36.65</v>
      </c>
      <c r="Q23" s="3" t="s">
        <v>2115</v>
      </c>
      <c r="R23" s="3">
        <v>59646090</v>
      </c>
      <c r="S23" s="5">
        <v>7.1599999999999997E-2</v>
      </c>
      <c r="T23" s="3" t="s">
        <v>3315</v>
      </c>
      <c r="U23" s="3">
        <v>209370810</v>
      </c>
      <c r="V23" s="3">
        <v>265338580</v>
      </c>
      <c r="W23" s="3">
        <v>1.57</v>
      </c>
      <c r="X23" s="3">
        <v>0.12</v>
      </c>
      <c r="Y23" s="3">
        <v>5.28</v>
      </c>
      <c r="Z23" s="3" t="s">
        <v>1570</v>
      </c>
      <c r="AA23" s="3" t="s">
        <v>705</v>
      </c>
      <c r="AB23" s="3" t="s">
        <v>3316</v>
      </c>
      <c r="AC23" s="3" t="s">
        <v>3317</v>
      </c>
      <c r="AD23" s="3" t="s">
        <v>22</v>
      </c>
      <c r="AE23" s="3">
        <v>1928812</v>
      </c>
      <c r="AF23" s="3" t="s">
        <v>2117</v>
      </c>
      <c r="AG23" s="3">
        <v>7773.74</v>
      </c>
      <c r="AH23" s="3" t="s">
        <v>2118</v>
      </c>
      <c r="AI23" s="3" t="s">
        <v>307</v>
      </c>
      <c r="AJ23" s="3" t="s">
        <v>2119</v>
      </c>
      <c r="AK23" s="3" t="s">
        <v>22</v>
      </c>
      <c r="AL23" s="3" t="s">
        <v>2120</v>
      </c>
      <c r="AM23" s="3" t="s">
        <v>22</v>
      </c>
      <c r="AN23" s="3" t="s">
        <v>1344</v>
      </c>
      <c r="AO23" s="3" t="s">
        <v>230</v>
      </c>
      <c r="AP23" s="3" t="s">
        <v>22</v>
      </c>
      <c r="AQ23" s="3" t="s">
        <v>1536</v>
      </c>
      <c r="AR23" s="3" t="s">
        <v>22</v>
      </c>
      <c r="AS23" s="3" t="s">
        <v>3318</v>
      </c>
      <c r="AT23" s="3" t="s">
        <v>1852</v>
      </c>
      <c r="AU23" s="3" t="s">
        <v>3319</v>
      </c>
      <c r="AV23" s="3" t="s">
        <v>3320</v>
      </c>
      <c r="AW23" s="3" t="s">
        <v>116</v>
      </c>
      <c r="AX23" s="3" t="s">
        <v>1832</v>
      </c>
      <c r="AY23" s="3" t="s">
        <v>754</v>
      </c>
      <c r="AZ23" s="3" t="s">
        <v>213</v>
      </c>
      <c r="BA23" s="3" t="s">
        <v>160</v>
      </c>
      <c r="BB23" s="3" t="s">
        <v>381</v>
      </c>
      <c r="BC23" s="3" t="s">
        <v>136</v>
      </c>
      <c r="BD23" s="3" t="s">
        <v>327</v>
      </c>
      <c r="BE23" s="3" t="s">
        <v>472</v>
      </c>
      <c r="BF23" s="3" t="s">
        <v>361</v>
      </c>
      <c r="BG23" s="3" t="s">
        <v>566</v>
      </c>
      <c r="BH23" s="3" t="s">
        <v>2116</v>
      </c>
      <c r="BI23" s="3" t="s">
        <v>463</v>
      </c>
      <c r="BJ23" s="3" t="s">
        <v>1832</v>
      </c>
      <c r="BK23" s="3" t="s">
        <v>134</v>
      </c>
      <c r="BL23" s="3" t="s">
        <v>343</v>
      </c>
      <c r="BM23" s="3" t="s">
        <v>136</v>
      </c>
      <c r="BN23" s="3">
        <v>3.22</v>
      </c>
      <c r="BO23" s="3">
        <v>8.23</v>
      </c>
      <c r="BP23" s="3">
        <v>6.38</v>
      </c>
      <c r="BQ23" s="3">
        <v>4.6900000000000004</v>
      </c>
      <c r="BR23" s="3">
        <v>11.41</v>
      </c>
      <c r="BS23" s="3">
        <v>8.77</v>
      </c>
      <c r="BT23" s="3" t="s">
        <v>1379</v>
      </c>
      <c r="BU23" s="3" t="s">
        <v>1211</v>
      </c>
      <c r="BV23" s="3">
        <v>29.2</v>
      </c>
      <c r="BW23" s="3">
        <v>29.93</v>
      </c>
      <c r="BX23" s="3">
        <v>25.56</v>
      </c>
      <c r="BY23" s="3">
        <v>8.4700000000000006</v>
      </c>
      <c r="BZ23" s="3">
        <v>10.210000000000001</v>
      </c>
      <c r="CA23" s="3">
        <v>6.23</v>
      </c>
      <c r="CB23" s="3">
        <v>-1.6</v>
      </c>
      <c r="CC23" s="3">
        <v>4.7</v>
      </c>
      <c r="CD23" s="3" t="s">
        <v>3321</v>
      </c>
      <c r="CE23" s="3" t="s">
        <v>269</v>
      </c>
      <c r="CF23" s="10">
        <v>-0.35505430242272346</v>
      </c>
      <c r="CG23" s="11">
        <v>-0.61015627450980392</v>
      </c>
      <c r="CH23" s="10">
        <v>-0.66795700788497925</v>
      </c>
      <c r="CI23" s="10">
        <v>0.4585946798324585</v>
      </c>
      <c r="CJ23" s="10">
        <v>0.36589539051055908</v>
      </c>
      <c r="CK23" s="10">
        <v>0.41454553604125977</v>
      </c>
      <c r="CL23" s="10">
        <v>0.26923078298568726</v>
      </c>
      <c r="CM23" s="11">
        <v>-0.77406781911849976</v>
      </c>
      <c r="CN23" s="11">
        <v>1.4672896862030029</v>
      </c>
      <c r="CO23" s="11">
        <v>-0.27210885286331177</v>
      </c>
      <c r="CP23" s="11">
        <v>1.2902190685272217</v>
      </c>
      <c r="CQ23" s="11">
        <v>9.1439008712768555E-2</v>
      </c>
      <c r="CR23" s="3">
        <v>106.34134471491593</v>
      </c>
      <c r="CS23" s="3">
        <v>6.3275114534000974</v>
      </c>
      <c r="CT23" s="3">
        <v>0.42735042735042739</v>
      </c>
      <c r="CU23" s="10">
        <v>0.16806187629699706</v>
      </c>
      <c r="CV23" s="11">
        <v>0.36055421829223633</v>
      </c>
      <c r="CW23" s="3">
        <v>0.06</v>
      </c>
      <c r="CX23" s="3">
        <v>158.45677168012338</v>
      </c>
      <c r="CY23" s="3">
        <v>65726731.584715381</v>
      </c>
      <c r="CZ23" s="3">
        <v>0.16806187629699706</v>
      </c>
      <c r="DA23" s="3">
        <v>48.49899476877286</v>
      </c>
      <c r="DB23" s="3">
        <v>214743537.46205533</v>
      </c>
      <c r="DC23" s="3">
        <v>0.15965878248214721</v>
      </c>
      <c r="DD23" s="3">
        <v>21.818353515003476</v>
      </c>
      <c r="DE23" s="3">
        <v>477343338.15969157</v>
      </c>
      <c r="DF23" s="3">
        <v>0.14789445114135741</v>
      </c>
      <c r="DG23" s="3">
        <v>11.795387566463377</v>
      </c>
      <c r="DH23" s="3">
        <v>882959177.16272998</v>
      </c>
      <c r="DI23" s="3">
        <v>0.13444950103759765</v>
      </c>
      <c r="DJ23" s="3">
        <v>4.7808949447438698</v>
      </c>
      <c r="DK23" s="3">
        <v>2178430151.7543516</v>
      </c>
      <c r="DL23" s="3">
        <v>0.11764331340789794</v>
      </c>
      <c r="DM23" s="3">
        <v>59646100</v>
      </c>
      <c r="DN23" s="3">
        <v>0.16806187629699706</v>
      </c>
      <c r="DO23" s="3">
        <v>10414845700</v>
      </c>
      <c r="DP23" s="3">
        <v>1758706200</v>
      </c>
      <c r="DQ23" s="3">
        <v>2132</v>
      </c>
      <c r="DR23" s="3">
        <v>-0.52311617871972049</v>
      </c>
      <c r="DS23" s="3">
        <v>-0.97071049280204025</v>
      </c>
      <c r="DT23" s="12">
        <v>-0.27333333333333343</v>
      </c>
      <c r="DU23" s="3">
        <v>-0.37333333333333335</v>
      </c>
      <c r="DV23" s="3">
        <v>-0.64666666666666672</v>
      </c>
      <c r="DW23" s="3">
        <v>1.0469999999999999</v>
      </c>
      <c r="DX23" s="3">
        <v>0.3901978991596633</v>
      </c>
      <c r="DY23" s="3">
        <v>1.0056493012605041</v>
      </c>
      <c r="DZ23" s="3">
        <v>771</v>
      </c>
      <c r="EA23" s="3">
        <v>1.0047969311485963</v>
      </c>
      <c r="EB23" s="3">
        <v>1</v>
      </c>
      <c r="EC23" s="3">
        <v>0.1078135716261088</v>
      </c>
      <c r="ED23" s="3">
        <v>0.89696718811112952</v>
      </c>
      <c r="EE23" s="13">
        <v>-2.0221</v>
      </c>
      <c r="EF23" s="3">
        <v>-2.0096099999999999</v>
      </c>
      <c r="EG23" s="3">
        <v>27.120197899159663</v>
      </c>
      <c r="EH23" s="3" t="s">
        <v>1401</v>
      </c>
      <c r="EI23" s="3">
        <v>0</v>
      </c>
      <c r="EJ23" s="3">
        <v>1</v>
      </c>
      <c r="EK23" s="14">
        <v>45470</v>
      </c>
      <c r="EL23" s="15">
        <v>-1.95</v>
      </c>
      <c r="EM23" s="15">
        <v>-2.21</v>
      </c>
      <c r="EN23" s="15">
        <v>-4.28</v>
      </c>
      <c r="EO23" s="15">
        <v>2.36</v>
      </c>
      <c r="EP23" s="15">
        <v>-3.17</v>
      </c>
    </row>
    <row r="24" spans="1:146" ht="144" x14ac:dyDescent="0.25">
      <c r="C24" s="7" t="s">
        <v>1102</v>
      </c>
      <c r="D24" s="3" t="s">
        <v>45</v>
      </c>
      <c r="E24" s="3" t="s">
        <v>849</v>
      </c>
      <c r="F24" s="3">
        <v>23.45</v>
      </c>
      <c r="G24" s="3">
        <v>-2.41</v>
      </c>
      <c r="H24" s="3" t="s">
        <v>3322</v>
      </c>
      <c r="I24" s="3">
        <v>5105638900</v>
      </c>
      <c r="K24" s="3">
        <v>2.84</v>
      </c>
      <c r="L24" s="3" t="s">
        <v>2983</v>
      </c>
      <c r="M24" s="3" t="s">
        <v>2121</v>
      </c>
      <c r="N24" s="3" t="s">
        <v>3323</v>
      </c>
      <c r="O24" s="3" t="s">
        <v>153</v>
      </c>
      <c r="P24" s="3">
        <v>5.95</v>
      </c>
      <c r="Q24" s="3" t="s">
        <v>153</v>
      </c>
      <c r="R24" s="3">
        <v>-28210611</v>
      </c>
      <c r="S24" s="5">
        <v>0.4718</v>
      </c>
      <c r="T24" s="3" t="s">
        <v>3324</v>
      </c>
      <c r="U24" s="3">
        <v>217019670</v>
      </c>
      <c r="V24" s="3">
        <v>217724470</v>
      </c>
      <c r="W24" s="3">
        <v>1.55</v>
      </c>
      <c r="X24" s="3">
        <v>0.05</v>
      </c>
      <c r="Y24" s="3">
        <v>-19.41</v>
      </c>
      <c r="Z24" s="3" t="s">
        <v>1174</v>
      </c>
      <c r="AA24" s="3" t="s">
        <v>166</v>
      </c>
      <c r="AB24" s="3" t="s">
        <v>3325</v>
      </c>
      <c r="AC24" s="3" t="s">
        <v>3326</v>
      </c>
      <c r="AD24" s="3" t="s">
        <v>22</v>
      </c>
      <c r="AE24" s="3">
        <v>1678695</v>
      </c>
      <c r="AF24" s="3" t="s">
        <v>2123</v>
      </c>
      <c r="AG24" s="3" t="s">
        <v>3327</v>
      </c>
      <c r="AH24" s="3" t="s">
        <v>2124</v>
      </c>
      <c r="AI24" s="3" t="s">
        <v>134</v>
      </c>
      <c r="AJ24" s="3" t="s">
        <v>2125</v>
      </c>
      <c r="AK24" s="3" t="s">
        <v>138</v>
      </c>
      <c r="AL24" s="3" t="s">
        <v>2126</v>
      </c>
      <c r="AM24" s="3" t="s">
        <v>22</v>
      </c>
      <c r="AN24" s="3" t="s">
        <v>2380</v>
      </c>
      <c r="AO24" s="3" t="s">
        <v>1951</v>
      </c>
      <c r="AP24" s="3" t="s">
        <v>3328</v>
      </c>
      <c r="AQ24" s="3" t="s">
        <v>358</v>
      </c>
      <c r="AR24" s="3" t="s">
        <v>22</v>
      </c>
      <c r="AS24" s="3" t="s">
        <v>1599</v>
      </c>
      <c r="AT24" s="3" t="s">
        <v>3329</v>
      </c>
      <c r="AU24" s="3" t="s">
        <v>3330</v>
      </c>
      <c r="AV24" s="3" t="s">
        <v>3331</v>
      </c>
      <c r="AW24" s="3" t="s">
        <v>3332</v>
      </c>
      <c r="AX24" s="3" t="s">
        <v>1297</v>
      </c>
      <c r="AY24" s="3" t="s">
        <v>456</v>
      </c>
      <c r="AZ24" s="3" t="s">
        <v>567</v>
      </c>
      <c r="BA24" s="3" t="s">
        <v>244</v>
      </c>
      <c r="BB24" s="3" t="s">
        <v>374</v>
      </c>
      <c r="BC24" s="3" t="s">
        <v>1553</v>
      </c>
      <c r="BD24" s="3" t="s">
        <v>389</v>
      </c>
      <c r="BE24" s="3" t="s">
        <v>277</v>
      </c>
      <c r="BF24" s="3" t="s">
        <v>362</v>
      </c>
      <c r="BG24" s="3" t="s">
        <v>569</v>
      </c>
      <c r="BH24" s="3" t="s">
        <v>474</v>
      </c>
      <c r="BI24" s="3" t="s">
        <v>553</v>
      </c>
      <c r="BJ24" s="3" t="s">
        <v>1297</v>
      </c>
      <c r="BK24" s="3" t="s">
        <v>2122</v>
      </c>
      <c r="BL24" s="3" t="s">
        <v>1780</v>
      </c>
      <c r="BM24" s="3" t="s">
        <v>1553</v>
      </c>
      <c r="BN24" s="3" t="s">
        <v>22</v>
      </c>
      <c r="BO24" s="3" t="s">
        <v>22</v>
      </c>
      <c r="BP24" s="3">
        <v>23.44</v>
      </c>
      <c r="BQ24" s="3">
        <v>-6.35</v>
      </c>
      <c r="BR24" s="3">
        <v>-7.33</v>
      </c>
      <c r="BS24" s="3">
        <v>35.29</v>
      </c>
      <c r="BT24" s="3" t="s">
        <v>1368</v>
      </c>
      <c r="BU24" s="3" t="s">
        <v>3311</v>
      </c>
      <c r="BV24" s="3">
        <v>7.3</v>
      </c>
      <c r="BW24" s="3">
        <v>19.350000000000001</v>
      </c>
      <c r="BX24" s="3">
        <v>53.97</v>
      </c>
      <c r="BY24" s="3">
        <v>-48.65</v>
      </c>
      <c r="BZ24" s="3">
        <v>-25.22</v>
      </c>
      <c r="CA24" s="3">
        <v>33.049999999999997</v>
      </c>
      <c r="CB24" s="3">
        <v>-7.75</v>
      </c>
      <c r="CC24" s="3">
        <v>3.76</v>
      </c>
      <c r="CD24" s="3" t="s">
        <v>3333</v>
      </c>
      <c r="CE24" s="3" t="s">
        <v>159</v>
      </c>
      <c r="CF24" s="10">
        <v>-0.56060606060606055</v>
      </c>
      <c r="CG24" s="11">
        <v>0.72342538235294118</v>
      </c>
      <c r="CH24" s="10">
        <v>-0.81193256378173828</v>
      </c>
      <c r="CI24" s="10">
        <v>-0.43722626566886902</v>
      </c>
      <c r="CJ24" s="10">
        <v>0.63875597715377808</v>
      </c>
      <c r="CK24" s="10">
        <v>0.3979932963848114</v>
      </c>
      <c r="CL24" s="10">
        <v>0.20321930944919586</v>
      </c>
      <c r="CM24" s="11">
        <v>0.83693301677703857</v>
      </c>
      <c r="CN24" s="11">
        <v>-1.3793859481811523</v>
      </c>
      <c r="CO24" s="11">
        <v>3.559999942779541</v>
      </c>
      <c r="CP24" s="11">
        <v>1.7136673927307129</v>
      </c>
      <c r="CQ24" s="11">
        <v>-0.31991451978683472</v>
      </c>
      <c r="CR24" s="3">
        <v>68.712686367969511</v>
      </c>
      <c r="CS24" s="3">
        <v>373.83484026211073</v>
      </c>
      <c r="CT24" s="3">
        <v>0</v>
      </c>
      <c r="CU24" s="10">
        <v>-1.838049292564392E-3</v>
      </c>
      <c r="CV24" s="11">
        <v>0.88225997686386104</v>
      </c>
      <c r="CW24" s="3">
        <v>0.06</v>
      </c>
      <c r="CX24" s="3" t="e">
        <v>#VALUE!</v>
      </c>
      <c r="CY24" s="3" t="s">
        <v>1073</v>
      </c>
      <c r="CZ24" s="3">
        <v>-1.838049292564392E-3</v>
      </c>
      <c r="DA24" s="3" t="e">
        <v>#VALUE!</v>
      </c>
      <c r="DB24" s="3" t="s">
        <v>1074</v>
      </c>
      <c r="DC24" s="3">
        <v>-1.7461468279361724E-3</v>
      </c>
      <c r="DD24" s="3" t="e">
        <v>#VALUE!</v>
      </c>
      <c r="DE24" s="3" t="s">
        <v>1074</v>
      </c>
      <c r="DF24" s="3">
        <v>-1.617483377456665E-3</v>
      </c>
      <c r="DG24" s="3" t="e">
        <v>#VALUE!</v>
      </c>
      <c r="DH24" s="3" t="s">
        <v>1074</v>
      </c>
      <c r="DI24" s="3">
        <v>-1.4704394340515137E-3</v>
      </c>
      <c r="DJ24" s="3" t="e">
        <v>#VALUE!</v>
      </c>
      <c r="DK24" s="3" t="s">
        <v>1074</v>
      </c>
      <c r="DL24" s="3">
        <v>-1.2866345047950743E-3</v>
      </c>
      <c r="DM24" s="3">
        <v>-28210600</v>
      </c>
      <c r="DN24" s="3">
        <v>-1.838049292564392E-3</v>
      </c>
      <c r="DO24" s="3">
        <v>4406638900</v>
      </c>
      <c r="DP24" s="3">
        <v>678601300.00000012</v>
      </c>
      <c r="DQ24" s="3">
        <v>2137</v>
      </c>
      <c r="DR24" s="3">
        <v>-0.55876801131349618</v>
      </c>
      <c r="DS24" s="3">
        <v>-0.15883459451091986</v>
      </c>
      <c r="DT24" s="12">
        <v>-0.44</v>
      </c>
      <c r="DU24" s="3">
        <v>-0.36499999999999999</v>
      </c>
      <c r="DV24" s="3">
        <v>-0.80499999999999994</v>
      </c>
      <c r="DW24" s="3">
        <v>-5.4851612903225808</v>
      </c>
      <c r="DX24" s="3">
        <v>0.2602209302325581</v>
      </c>
      <c r="DY24" s="3">
        <v>-5.0437717029257314</v>
      </c>
      <c r="DZ24" s="3">
        <v>3967</v>
      </c>
      <c r="EA24" s="3">
        <v>-5.0097908133941509</v>
      </c>
      <c r="EB24" s="3">
        <v>5</v>
      </c>
      <c r="EC24" s="3">
        <v>0.14254713767359267</v>
      </c>
      <c r="ED24" s="3">
        <v>1.5799785848600298</v>
      </c>
      <c r="EE24" s="13">
        <v>-4.0505000000000004</v>
      </c>
      <c r="EF24" s="3">
        <v>-4.0188100000000002</v>
      </c>
      <c r="EG24" s="3">
        <v>17.090220930232558</v>
      </c>
      <c r="EH24" s="3" t="s">
        <v>1903</v>
      </c>
      <c r="EI24" s="3">
        <v>0</v>
      </c>
      <c r="EJ24" s="3">
        <v>0</v>
      </c>
      <c r="EK24" s="14">
        <v>45470</v>
      </c>
      <c r="EL24" s="15">
        <v>-1.23</v>
      </c>
      <c r="EM24" s="15">
        <v>1.35</v>
      </c>
      <c r="EN24" s="15">
        <v>-5.53</v>
      </c>
      <c r="EO24" s="15">
        <v>2.19</v>
      </c>
      <c r="EP24" s="15">
        <v>-6.93</v>
      </c>
    </row>
    <row r="25" spans="1:146" ht="156" x14ac:dyDescent="0.25">
      <c r="C25" s="7" t="str">
        <f>"公司是国家高新技术企业和经工业和信息化部认定的集成电路设计企业，长期致力于大规模集成电路的设计、研发及销售。"&amp;CHAR(10)&amp;Basic_Fundamental_Information_Constructure(F25)&amp;CHAR(10)&amp;Basic_Fundamental_Information_Concatenate("视频解码系列芯片产品 15.91亿 62.60% 63.64% 10.28%
视频编码系列芯片产品 7.16亿 28.17% 25.26% 9.06%
固态存储系列芯片产品 1.37亿 5.39% 3.54% 6.64%
物联网系列芯片产品 8706.61万 3.43% 6.27% 18.49%
研发设计及服务 1050.00万 0.41% 1.30% 31.77%")</f>
        <v>公司是国家高新技术企业和经工业和信息化部认定的集成电路设计企业，长期致力于大规模集成电路的设计、研发及销售。
市值107.8972亿, 利润4120.42万; PE117; 平均PE95.01; 平均PEG1.88, PB2.61; ROIC7.41%; ROE9.5167%; 股利率.6037%; 毛利18.9833%; 净利6.2833%; 上一年度营收增-90.49%, 利润增-72.89%; 当季营收增-86.5%, 利润增-54.49%; 过往5年营收增50.56%, 利润增43.56%
Income profile:
视频解码系列芯片产品 15.91亿 62.60% 63.64% 10.28%
视频编码系列芯片产品 7.16亿 28.17% 25.26% 9.06%
固态存储系列芯片产品 1.37亿 5.39% 3.54% 6.64%
物联网系列芯片产品 8706.61万 3.43% 6.27% 18.49%
研发设计及服务 1050.00万 0.41% 1.30% 31.77%</v>
      </c>
      <c r="D25" s="3" t="s">
        <v>53</v>
      </c>
      <c r="E25" s="3" t="s">
        <v>21</v>
      </c>
      <c r="F25" s="3">
        <v>49.69</v>
      </c>
      <c r="G25" s="3">
        <v>-1.1499999999999999</v>
      </c>
      <c r="H25" s="3" t="s">
        <v>3334</v>
      </c>
      <c r="I25" s="3">
        <v>10789720000</v>
      </c>
      <c r="J25" s="3">
        <v>117</v>
      </c>
      <c r="K25" s="3">
        <v>2.61</v>
      </c>
      <c r="L25" s="3" t="s">
        <v>2983</v>
      </c>
      <c r="M25" s="3" t="s">
        <v>2127</v>
      </c>
      <c r="N25" s="3" t="s">
        <v>3335</v>
      </c>
      <c r="O25" s="3" t="s">
        <v>319</v>
      </c>
      <c r="P25" s="3">
        <v>-80.12</v>
      </c>
      <c r="Q25" s="3" t="s">
        <v>319</v>
      </c>
      <c r="R25" s="3">
        <v>41204164</v>
      </c>
      <c r="S25" s="5">
        <v>-8.5699999999999998E-2</v>
      </c>
      <c r="T25" s="3" t="s">
        <v>3336</v>
      </c>
      <c r="U25" s="3">
        <v>210099860</v>
      </c>
      <c r="V25" s="3">
        <v>217140670</v>
      </c>
      <c r="W25" s="3">
        <v>1.93</v>
      </c>
      <c r="X25" s="3">
        <v>0.04</v>
      </c>
      <c r="Y25" s="3">
        <v>11.85</v>
      </c>
      <c r="Z25" s="3" t="s">
        <v>865</v>
      </c>
      <c r="AA25" s="3" t="s">
        <v>501</v>
      </c>
      <c r="AB25" s="3" t="s">
        <v>3337</v>
      </c>
      <c r="AC25" s="3" t="s">
        <v>3338</v>
      </c>
      <c r="AD25" s="3" t="s">
        <v>22</v>
      </c>
      <c r="AE25" s="3">
        <v>3199827</v>
      </c>
      <c r="AF25" s="3" t="s">
        <v>2129</v>
      </c>
      <c r="AG25" s="3" t="s">
        <v>22</v>
      </c>
      <c r="AH25" s="3" t="s">
        <v>2131</v>
      </c>
      <c r="AI25" s="3" t="s">
        <v>2801</v>
      </c>
      <c r="AJ25" s="3" t="s">
        <v>2132</v>
      </c>
      <c r="AK25" s="3" t="s">
        <v>3339</v>
      </c>
      <c r="AL25" s="3" t="s">
        <v>2133</v>
      </c>
      <c r="AM25" s="3" t="s">
        <v>22</v>
      </c>
      <c r="AN25" s="3" t="s">
        <v>3340</v>
      </c>
      <c r="AO25" s="3" t="s">
        <v>2024</v>
      </c>
      <c r="AP25" s="3" t="s">
        <v>1812</v>
      </c>
      <c r="AQ25" s="3" t="s">
        <v>1085</v>
      </c>
      <c r="AR25" s="3" t="s">
        <v>22</v>
      </c>
      <c r="AS25" s="3" t="s">
        <v>3341</v>
      </c>
      <c r="AT25" s="3" t="s">
        <v>1304</v>
      </c>
      <c r="AU25" s="3" t="s">
        <v>1780</v>
      </c>
      <c r="AV25" s="3" t="s">
        <v>3342</v>
      </c>
      <c r="AW25" s="3" t="s">
        <v>152</v>
      </c>
      <c r="AX25" s="3" t="s">
        <v>1554</v>
      </c>
      <c r="AY25" s="3" t="s">
        <v>471</v>
      </c>
      <c r="AZ25" s="3" t="s">
        <v>571</v>
      </c>
      <c r="BA25" s="3" t="s">
        <v>286</v>
      </c>
      <c r="BB25" s="3" t="s">
        <v>341</v>
      </c>
      <c r="BC25" s="3" t="s">
        <v>579</v>
      </c>
      <c r="BD25" s="3" t="s">
        <v>119</v>
      </c>
      <c r="BE25" s="3" t="s">
        <v>572</v>
      </c>
      <c r="BF25" s="3" t="s">
        <v>365</v>
      </c>
      <c r="BG25" s="3" t="s">
        <v>573</v>
      </c>
      <c r="BH25" s="3" t="s">
        <v>1839</v>
      </c>
      <c r="BI25" s="3" t="s">
        <v>920</v>
      </c>
      <c r="BJ25" s="3" t="s">
        <v>1554</v>
      </c>
      <c r="BK25" s="3" t="s">
        <v>2128</v>
      </c>
      <c r="BL25" s="3" t="s">
        <v>3343</v>
      </c>
      <c r="BM25" s="3" t="s">
        <v>579</v>
      </c>
      <c r="BN25" s="3">
        <v>2.27</v>
      </c>
      <c r="BO25" s="3">
        <v>5.16</v>
      </c>
      <c r="BP25" s="3">
        <v>14.8</v>
      </c>
      <c r="BQ25" s="3">
        <v>1.94</v>
      </c>
      <c r="BR25" s="3">
        <v>5.49</v>
      </c>
      <c r="BS25" s="3">
        <v>21.12</v>
      </c>
      <c r="BT25" s="3" t="s">
        <v>1370</v>
      </c>
      <c r="BU25" s="3" t="s">
        <v>2998</v>
      </c>
      <c r="BV25" s="3">
        <v>12.44</v>
      </c>
      <c r="BW25" s="3">
        <v>18.829999999999998</v>
      </c>
      <c r="BX25" s="3">
        <v>25.68</v>
      </c>
      <c r="BY25" s="3">
        <v>2.02</v>
      </c>
      <c r="BZ25" s="3">
        <v>4.24</v>
      </c>
      <c r="CA25" s="3">
        <v>12.59</v>
      </c>
      <c r="CB25" s="3">
        <v>-5.96</v>
      </c>
      <c r="CC25" s="3">
        <v>7.69</v>
      </c>
      <c r="CD25" s="3" t="s">
        <v>3344</v>
      </c>
      <c r="CE25" s="3" t="s">
        <v>479</v>
      </c>
      <c r="CF25" s="10">
        <v>-0.86501377410468316</v>
      </c>
      <c r="CG25" s="11">
        <v>-0.54492310308990288</v>
      </c>
      <c r="CH25" s="10">
        <v>-0.90485435724258423</v>
      </c>
      <c r="CI25" s="10">
        <v>0.55254095792770386</v>
      </c>
      <c r="CJ25" s="10">
        <v>2.1764702796936035</v>
      </c>
      <c r="CK25" s="10">
        <v>0.34622466564178467</v>
      </c>
      <c r="CL25" s="10">
        <v>0.35749998688697815</v>
      </c>
      <c r="CM25" s="11">
        <v>-0.72891974449157715</v>
      </c>
      <c r="CN25" s="11">
        <v>-0.48122867941856384</v>
      </c>
      <c r="CO25" s="11">
        <v>3.1351706981658936</v>
      </c>
      <c r="CP25" s="11">
        <v>4.0039453655481339E-2</v>
      </c>
      <c r="CQ25" s="11">
        <v>0.21286429464817047</v>
      </c>
      <c r="CR25" s="3">
        <v>95.013580220459531</v>
      </c>
      <c r="CS25" s="3">
        <v>1.8793123606385551</v>
      </c>
      <c r="CT25" s="3">
        <v>0.60374320788891123</v>
      </c>
      <c r="CU25" s="10">
        <v>0.50557630658149721</v>
      </c>
      <c r="CV25" s="11">
        <v>0.43558520451188087</v>
      </c>
      <c r="CW25" s="3">
        <v>0.06</v>
      </c>
      <c r="CX25" s="3">
        <v>169.18904864527227</v>
      </c>
      <c r="CY25" s="3">
        <v>58524591.746835202</v>
      </c>
      <c r="CZ25" s="3">
        <v>0.50557630658149721</v>
      </c>
      <c r="DA25" s="3">
        <v>39.587898446061885</v>
      </c>
      <c r="DB25" s="3">
        <v>250119869.67408726</v>
      </c>
      <c r="DC25" s="3">
        <v>0.48029749125242233</v>
      </c>
      <c r="DD25" s="3">
        <v>11.821633896178394</v>
      </c>
      <c r="DE25" s="3">
        <v>837593186.09933865</v>
      </c>
      <c r="DF25" s="3">
        <v>0.44490714979171753</v>
      </c>
      <c r="DG25" s="3">
        <v>3.7602896024390153</v>
      </c>
      <c r="DH25" s="3">
        <v>2633233353.5101933</v>
      </c>
      <c r="DI25" s="3">
        <v>0.40446104526519777</v>
      </c>
      <c r="DJ25" s="3">
        <v>0.39356272078166327</v>
      </c>
      <c r="DK25" s="3">
        <v>25159191857.231762</v>
      </c>
      <c r="DL25" s="3">
        <v>0.35390341460704805</v>
      </c>
      <c r="DM25" s="3">
        <v>41204200</v>
      </c>
      <c r="DN25" s="3">
        <v>0.50557630658149721</v>
      </c>
      <c r="DO25" s="3">
        <v>9901720000</v>
      </c>
      <c r="DP25" s="3">
        <v>862120700</v>
      </c>
      <c r="DQ25" s="3">
        <v>2138</v>
      </c>
      <c r="DR25" s="3">
        <v>-1.3705900806861804</v>
      </c>
      <c r="DS25" s="3">
        <v>-0.98050830760178376</v>
      </c>
      <c r="DT25" s="12">
        <v>-2.4999999999999984E-2</v>
      </c>
      <c r="DU25" s="3">
        <v>-0.25166666666666676</v>
      </c>
      <c r="DV25" s="3">
        <v>-0.27666666666666673</v>
      </c>
      <c r="DW25" s="3">
        <v>-6.4366300366300369</v>
      </c>
      <c r="DX25" s="3">
        <v>0.273839743589742</v>
      </c>
      <c r="DY25" s="3">
        <v>-6.0366069503146429</v>
      </c>
      <c r="DZ25" s="3">
        <v>482</v>
      </c>
      <c r="EA25" s="3">
        <v>-6.0331540050990542</v>
      </c>
      <c r="EB25" s="3">
        <v>6</v>
      </c>
      <c r="EC25" s="3">
        <v>0.15058210882374085</v>
      </c>
      <c r="ED25" s="3">
        <v>1.7960707222649723</v>
      </c>
      <c r="EE25" s="13">
        <v>-2.0966100000000001</v>
      </c>
      <c r="EF25" s="3">
        <v>-2.1245099999999999</v>
      </c>
      <c r="EG25" s="3">
        <v>19.083839743589742</v>
      </c>
      <c r="EH25" s="3" t="s">
        <v>1401</v>
      </c>
      <c r="EI25" s="3">
        <v>0</v>
      </c>
      <c r="EJ25" s="3">
        <v>1</v>
      </c>
      <c r="EK25" s="14">
        <v>45470</v>
      </c>
      <c r="EL25" s="15">
        <v>-3.15</v>
      </c>
      <c r="EM25" s="15">
        <v>-4.82</v>
      </c>
      <c r="EN25" s="15">
        <v>-4.46</v>
      </c>
      <c r="EO25" s="15">
        <v>2.73</v>
      </c>
      <c r="EP25" s="15">
        <v>-2.79</v>
      </c>
    </row>
    <row r="26" spans="1:146" ht="149.65" customHeight="1" x14ac:dyDescent="0.25">
      <c r="C26" s="7" t="str">
        <f>"公司专业从事各种PVD镀膜材料研发、生产和销售，主导产品为溅射靶材和蒸镀材料两个系列产品，主要应用于光学光电子产业，用以制备各种薄膜材料。"&amp;CHAR(10)&amp;Basic_Fundamental_Information_Constructure(F26)&amp;CHAR(10)&amp;Basic_Fundamental_Information_Concatenate("溅射靶材 2.08亿 45.93% 3902.15万 69.04% 18.80%
合金及金属材料 1.73亿 38.36% 803.16万 14.21% 4.63%
蒸镀材料 6387.26万 14.14% 459.11万 8.12% 7.19%")</f>
        <v>公司专业从事各种PVD镀膜材料研发、生产和销售，主导产品为溅射靶材和蒸镀材料两个系列产品，主要应用于光学光电子产业，用以制备各种薄膜材料。
市值27.574591亿, 利润-320.48万; PE227.7; 平均PE215.48; 平均PEG17.82, PB3.67; ROIC2.9167%; ROE2.3267%; 股利率.1663%; 毛利14.4933%; 净利2.7567%; 上一年度营收增-61.29%, 利润增-122.76%; 当季营收增-40.49%, 利润增-140.46%; 过往5年营收增12.09%, 利润增-9.8%
Income profile:
溅射靶材 2.08亿 45.93% 3902.15万 69.04% 18.80%
合金及金属材料 1.73亿 38.36% 803.16万 14.21% 4.63%
蒸镀材料 6387.26万 14.14% 459.11万 8.12% 7.19%</v>
      </c>
      <c r="D26" s="3" t="s">
        <v>35</v>
      </c>
      <c r="E26" s="3" t="s">
        <v>36</v>
      </c>
      <c r="F26" s="3">
        <v>18.04</v>
      </c>
      <c r="G26" s="3">
        <v>0.45</v>
      </c>
      <c r="H26" s="3" t="s">
        <v>3345</v>
      </c>
      <c r="I26" s="3">
        <v>2757459100</v>
      </c>
      <c r="J26" s="3">
        <v>227.7</v>
      </c>
      <c r="K26" s="3">
        <v>3.67</v>
      </c>
      <c r="L26" s="3" t="s">
        <v>2983</v>
      </c>
      <c r="M26" s="3" t="s">
        <v>2135</v>
      </c>
      <c r="N26" s="3" t="s">
        <v>3346</v>
      </c>
      <c r="O26" s="3" t="s">
        <v>533</v>
      </c>
      <c r="P26" s="3">
        <v>28.89</v>
      </c>
      <c r="Q26" s="3" t="s">
        <v>533</v>
      </c>
      <c r="R26" s="3">
        <v>-3204815</v>
      </c>
      <c r="S26" s="5">
        <v>-5.3999999999999999E-2</v>
      </c>
      <c r="T26" s="3" t="s">
        <v>3347</v>
      </c>
      <c r="U26" s="3">
        <v>113270499</v>
      </c>
      <c r="V26" s="3">
        <v>152852500</v>
      </c>
      <c r="W26" s="3">
        <v>2.2999999999999998</v>
      </c>
      <c r="X26" s="3">
        <v>0.15</v>
      </c>
      <c r="Y26" s="3">
        <v>-1.04</v>
      </c>
      <c r="Z26" s="3" t="s">
        <v>207</v>
      </c>
      <c r="AA26" s="3" t="s">
        <v>767</v>
      </c>
      <c r="AB26" s="3" t="s">
        <v>3348</v>
      </c>
      <c r="AC26" s="3" t="s">
        <v>3349</v>
      </c>
      <c r="AD26" s="3" t="s">
        <v>22</v>
      </c>
      <c r="AE26" s="3">
        <v>4302851</v>
      </c>
      <c r="AF26" s="3" t="s">
        <v>2139</v>
      </c>
      <c r="AG26" s="3">
        <v>1.85</v>
      </c>
      <c r="AH26" s="3" t="s">
        <v>2140</v>
      </c>
      <c r="AI26" s="3" t="s">
        <v>209</v>
      </c>
      <c r="AJ26" s="3" t="s">
        <v>2141</v>
      </c>
      <c r="AK26" s="3" t="s">
        <v>3350</v>
      </c>
      <c r="AL26" s="3" t="s">
        <v>2142</v>
      </c>
      <c r="AM26" s="3" t="s">
        <v>22</v>
      </c>
      <c r="AN26" s="3" t="s">
        <v>3351</v>
      </c>
      <c r="AO26" s="3" t="s">
        <v>1798</v>
      </c>
      <c r="AP26" s="3" t="s">
        <v>3352</v>
      </c>
      <c r="AQ26" s="3" t="s">
        <v>304</v>
      </c>
      <c r="AR26" s="3">
        <v>1834.87</v>
      </c>
      <c r="AS26" s="3" t="s">
        <v>3353</v>
      </c>
      <c r="AT26" s="3" t="s">
        <v>3354</v>
      </c>
      <c r="AU26" s="3" t="s">
        <v>3355</v>
      </c>
      <c r="AV26" s="3" t="s">
        <v>3356</v>
      </c>
      <c r="AW26" s="3" t="s">
        <v>3357</v>
      </c>
      <c r="AX26" s="3" t="s">
        <v>526</v>
      </c>
      <c r="AY26" s="3" t="s">
        <v>217</v>
      </c>
      <c r="AZ26" s="3" t="s">
        <v>189</v>
      </c>
      <c r="BA26" s="3" t="s">
        <v>287</v>
      </c>
      <c r="BB26" s="3" t="s">
        <v>329</v>
      </c>
      <c r="BC26" s="3" t="s">
        <v>1555</v>
      </c>
      <c r="BD26" s="3" t="s">
        <v>889</v>
      </c>
      <c r="BE26" s="3" t="s">
        <v>574</v>
      </c>
      <c r="BF26" s="3" t="s">
        <v>368</v>
      </c>
      <c r="BG26" s="3" t="s">
        <v>575</v>
      </c>
      <c r="BH26" s="3" t="s">
        <v>2137</v>
      </c>
      <c r="BI26" s="3" t="s">
        <v>562</v>
      </c>
      <c r="BJ26" s="3" t="s">
        <v>526</v>
      </c>
      <c r="BK26" s="3" t="s">
        <v>2138</v>
      </c>
      <c r="BL26" s="3" t="s">
        <v>3358</v>
      </c>
      <c r="BM26" s="3" t="s">
        <v>1555</v>
      </c>
      <c r="BN26" s="3">
        <v>2.13</v>
      </c>
      <c r="BO26" s="3">
        <v>2.2400000000000002</v>
      </c>
      <c r="BP26" s="3">
        <v>4.38</v>
      </c>
      <c r="BQ26" s="3">
        <v>1.85</v>
      </c>
      <c r="BR26" s="3">
        <v>1.91</v>
      </c>
      <c r="BS26" s="3">
        <v>3.22</v>
      </c>
      <c r="BT26" s="3" t="s">
        <v>2144</v>
      </c>
      <c r="BU26" s="3" t="s">
        <v>1211</v>
      </c>
      <c r="BV26" s="3">
        <v>11.63</v>
      </c>
      <c r="BW26" s="3">
        <v>14.24</v>
      </c>
      <c r="BX26" s="3">
        <v>17.61</v>
      </c>
      <c r="BY26" s="3">
        <v>1.64</v>
      </c>
      <c r="BZ26" s="3">
        <v>2.34</v>
      </c>
      <c r="CA26" s="3">
        <v>4.29</v>
      </c>
      <c r="CB26" s="3">
        <v>-5.3</v>
      </c>
      <c r="CC26" s="3">
        <v>-11.22</v>
      </c>
      <c r="CD26" s="3" t="s">
        <v>3359</v>
      </c>
      <c r="CE26" s="3" t="s">
        <v>248</v>
      </c>
      <c r="CF26" s="10">
        <v>-0.40486725663716805</v>
      </c>
      <c r="CG26" s="11">
        <v>-1.4046023810425583</v>
      </c>
      <c r="CH26" s="10">
        <v>-0.6129496693611145</v>
      </c>
      <c r="CI26" s="10">
        <v>0.13934426009654999</v>
      </c>
      <c r="CJ26" s="10">
        <v>0.72316384315490723</v>
      </c>
      <c r="CK26" s="10">
        <v>0.11671924591064453</v>
      </c>
      <c r="CL26" s="10">
        <v>0.23828125</v>
      </c>
      <c r="CM26" s="11">
        <v>-1.227555513381958</v>
      </c>
      <c r="CN26" s="11">
        <v>-0.20255027711391449</v>
      </c>
      <c r="CO26" s="11">
        <v>2.0113730430603027</v>
      </c>
      <c r="CP26" s="11">
        <v>-0.59950697422027588</v>
      </c>
      <c r="CQ26" s="11">
        <v>-0.47195276618003845</v>
      </c>
      <c r="CR26" s="3">
        <v>215.48316875011395</v>
      </c>
      <c r="CS26" s="3">
        <v>17.821518972604387</v>
      </c>
      <c r="CT26" s="3">
        <v>0.16629711751662971</v>
      </c>
      <c r="CU26" s="10">
        <v>0.12091178596019744</v>
      </c>
      <c r="CV26" s="11">
        <v>-9.8038497567176822E-2</v>
      </c>
      <c r="CW26" s="3">
        <v>0.06</v>
      </c>
      <c r="CX26" s="3" t="e">
        <v>#VALUE!</v>
      </c>
      <c r="CY26" s="3" t="s">
        <v>1073</v>
      </c>
      <c r="CZ26" s="3">
        <v>0.12091178596019744</v>
      </c>
      <c r="DA26" s="3" t="e">
        <v>#VALUE!</v>
      </c>
      <c r="DB26" s="3" t="s">
        <v>1074</v>
      </c>
      <c r="DC26" s="3">
        <v>0.11486619666218757</v>
      </c>
      <c r="DD26" s="3" t="e">
        <v>#VALUE!</v>
      </c>
      <c r="DE26" s="3" t="s">
        <v>1074</v>
      </c>
      <c r="DF26" s="3">
        <v>0.10640237164497375</v>
      </c>
      <c r="DG26" s="3" t="e">
        <v>#VALUE!</v>
      </c>
      <c r="DH26" s="3" t="s">
        <v>1074</v>
      </c>
      <c r="DI26" s="3">
        <v>9.672942876815796E-2</v>
      </c>
      <c r="DJ26" s="3" t="e">
        <v>#VALUE!</v>
      </c>
      <c r="DK26" s="3" t="s">
        <v>1074</v>
      </c>
      <c r="DL26" s="3">
        <v>8.4638250172138205E-2</v>
      </c>
      <c r="DM26" s="3">
        <v>-3204800</v>
      </c>
      <c r="DN26" s="3">
        <v>0.12091178596019744</v>
      </c>
      <c r="DO26" s="3">
        <v>2889459100</v>
      </c>
      <c r="DP26" s="3">
        <v>132061060.00000012</v>
      </c>
      <c r="DQ26" s="3">
        <v>2171</v>
      </c>
      <c r="DR26" s="3">
        <v>-0.52577904259736552</v>
      </c>
      <c r="DS26" s="3">
        <v>-1.3065638834753814</v>
      </c>
      <c r="DT26" s="12">
        <v>-0.40666666666666668</v>
      </c>
      <c r="DU26" s="3">
        <v>-1.7050000000000001</v>
      </c>
      <c r="DV26" s="3">
        <v>-2.1116666666666668</v>
      </c>
      <c r="DW26" s="3">
        <v>-8.4723707664884138</v>
      </c>
      <c r="DX26" s="3">
        <v>0.23374715909091023</v>
      </c>
      <c r="DY26" s="3">
        <v>-8.0348360020661165</v>
      </c>
      <c r="DZ26" s="3">
        <v>2567</v>
      </c>
      <c r="EA26" s="3">
        <v>-8.017336194374586</v>
      </c>
      <c r="EB26" s="3">
        <v>8</v>
      </c>
      <c r="EC26" s="3">
        <v>8.4915196022309083E-2</v>
      </c>
      <c r="ED26" s="3">
        <v>1.1514368427078392</v>
      </c>
      <c r="EE26" s="13">
        <v>1.0394000000000001</v>
      </c>
      <c r="EF26" s="3">
        <v>1.0205</v>
      </c>
      <c r="EG26" s="3">
        <v>16.07374715909091</v>
      </c>
      <c r="EH26" s="3" t="s">
        <v>1927</v>
      </c>
      <c r="EI26" s="3">
        <v>0</v>
      </c>
      <c r="EJ26" s="3">
        <v>0</v>
      </c>
      <c r="EK26" s="14">
        <v>45470</v>
      </c>
      <c r="EL26" s="15">
        <v>-2.48</v>
      </c>
      <c r="EM26" s="15">
        <v>-5.83</v>
      </c>
      <c r="EN26" s="15">
        <v>-3.44</v>
      </c>
      <c r="EO26" s="15">
        <v>4.1100000000000003</v>
      </c>
      <c r="EP26" s="15">
        <v>-1.89</v>
      </c>
    </row>
    <row r="27" spans="1:146" ht="96" x14ac:dyDescent="0.25">
      <c r="C27" s="7" t="str">
        <f>""&amp;CHAR(10)&amp;Basic_Fundamental_Information_Constructure(F27)&amp;CHAR(10)&amp;Basic_Fundamental_Information_Concatenate("")</f>
        <v xml:space="preserve">
市值382.98982亿, 利润1.98亿; PE31.82; 平均PE44.76; 平均PEG.96, PB3.82; ROIC20.9967%; ROE18.62%; 股利率.3123%; 毛利52.36%; 净利33.6533%; 上一年度营收增-67.64%, 利润增-81.48%; 当季营收增-28.53%, 利润增-46.11%; 过往5年营收增46.47%, 利润增58.05%
Income profile:
</v>
      </c>
      <c r="D27" s="3" t="s">
        <v>37</v>
      </c>
      <c r="E27" s="3" t="s">
        <v>38</v>
      </c>
      <c r="F27" s="3">
        <v>71.650000000000006</v>
      </c>
      <c r="G27" s="3">
        <v>-1.1599999999999999</v>
      </c>
      <c r="H27" s="3" t="s">
        <v>3360</v>
      </c>
      <c r="I27" s="3">
        <v>38298982000</v>
      </c>
      <c r="J27" s="3">
        <v>31.82</v>
      </c>
      <c r="K27" s="3">
        <v>3.82</v>
      </c>
      <c r="L27" s="3" t="s">
        <v>2983</v>
      </c>
      <c r="M27" s="3" t="s">
        <v>1742</v>
      </c>
      <c r="N27" s="3" t="s">
        <v>3361</v>
      </c>
      <c r="O27" s="3" t="s">
        <v>2146</v>
      </c>
      <c r="P27" s="3">
        <v>67.16</v>
      </c>
      <c r="Q27" s="3" t="s">
        <v>2146</v>
      </c>
      <c r="R27" s="3">
        <v>197772190</v>
      </c>
      <c r="S27" s="5">
        <v>0.69830000000000003</v>
      </c>
      <c r="T27" s="3" t="s">
        <v>697</v>
      </c>
      <c r="U27" s="3">
        <v>447433020</v>
      </c>
      <c r="V27" s="3">
        <v>534528710</v>
      </c>
      <c r="W27" s="3">
        <v>1.19</v>
      </c>
      <c r="X27" s="3">
        <v>0.1</v>
      </c>
      <c r="Y27" s="3">
        <v>16.559999999999999</v>
      </c>
      <c r="Z27" s="3" t="s">
        <v>2150</v>
      </c>
      <c r="AA27" s="3" t="s">
        <v>1781</v>
      </c>
      <c r="AB27" s="3" t="s">
        <v>3362</v>
      </c>
      <c r="AC27" s="3" t="s">
        <v>3363</v>
      </c>
      <c r="AD27" s="3" t="s">
        <v>22</v>
      </c>
      <c r="AE27" s="3">
        <v>1278529</v>
      </c>
      <c r="AF27" s="3" t="s">
        <v>2148</v>
      </c>
      <c r="AG27" s="3" t="s">
        <v>3364</v>
      </c>
      <c r="AH27" s="3" t="s">
        <v>2149</v>
      </c>
      <c r="AI27" s="3" t="s">
        <v>779</v>
      </c>
      <c r="AJ27" s="3" t="s">
        <v>2151</v>
      </c>
      <c r="AK27" s="3" t="s">
        <v>22</v>
      </c>
      <c r="AL27" s="3" t="s">
        <v>2152</v>
      </c>
      <c r="AM27" s="3" t="s">
        <v>22</v>
      </c>
      <c r="AN27" s="3" t="s">
        <v>2976</v>
      </c>
      <c r="AO27" s="3" t="s">
        <v>3365</v>
      </c>
      <c r="AP27" s="3" t="s">
        <v>22</v>
      </c>
      <c r="AQ27" s="3" t="s">
        <v>3366</v>
      </c>
      <c r="AR27" s="3" t="s">
        <v>22</v>
      </c>
      <c r="AS27" s="3" t="s">
        <v>902</v>
      </c>
      <c r="AT27" s="3" t="s">
        <v>22</v>
      </c>
      <c r="AU27" s="3" t="s">
        <v>3367</v>
      </c>
      <c r="AV27" s="3" t="s">
        <v>3368</v>
      </c>
      <c r="AW27" s="3" t="s">
        <v>1830</v>
      </c>
      <c r="AX27" s="3" t="s">
        <v>1556</v>
      </c>
      <c r="AY27" s="3" t="s">
        <v>890</v>
      </c>
      <c r="AZ27" s="3" t="s">
        <v>576</v>
      </c>
      <c r="BA27" s="3" t="s">
        <v>237</v>
      </c>
      <c r="BB27" s="3" t="s">
        <v>125</v>
      </c>
      <c r="BC27" s="3" t="s">
        <v>1290</v>
      </c>
      <c r="BD27" s="3" t="s">
        <v>891</v>
      </c>
      <c r="BE27" s="3" t="s">
        <v>577</v>
      </c>
      <c r="BF27" s="3" t="s">
        <v>374</v>
      </c>
      <c r="BG27" s="3" t="s">
        <v>482</v>
      </c>
      <c r="BH27" s="3" t="s">
        <v>1829</v>
      </c>
      <c r="BI27" s="3" t="s">
        <v>3369</v>
      </c>
      <c r="BJ27" s="3" t="s">
        <v>1556</v>
      </c>
      <c r="BK27" s="3" t="s">
        <v>2147</v>
      </c>
      <c r="BL27" s="3" t="s">
        <v>323</v>
      </c>
      <c r="BM27" s="3" t="s">
        <v>1290</v>
      </c>
      <c r="BN27" s="3">
        <v>8.64</v>
      </c>
      <c r="BO27" s="3">
        <v>13.06</v>
      </c>
      <c r="BP27" s="3">
        <v>41.29</v>
      </c>
      <c r="BQ27" s="3">
        <v>9.02</v>
      </c>
      <c r="BR27" s="3">
        <v>13.12</v>
      </c>
      <c r="BS27" s="3">
        <v>33.72</v>
      </c>
      <c r="BT27" s="3" t="s">
        <v>3370</v>
      </c>
      <c r="BU27" s="3" t="s">
        <v>3311</v>
      </c>
      <c r="BV27" s="3">
        <v>46.45</v>
      </c>
      <c r="BW27" s="3">
        <v>52.91</v>
      </c>
      <c r="BX27" s="3">
        <v>57.72</v>
      </c>
      <c r="BY27" s="3">
        <v>25.57</v>
      </c>
      <c r="BZ27" s="3">
        <v>29.32</v>
      </c>
      <c r="CA27" s="3">
        <v>46.07</v>
      </c>
      <c r="CB27" s="3">
        <v>-7.83</v>
      </c>
      <c r="CC27" s="3">
        <v>-18</v>
      </c>
      <c r="CD27" s="3" t="s">
        <v>3371</v>
      </c>
      <c r="CE27" s="3" t="s">
        <v>501</v>
      </c>
      <c r="CF27" s="10">
        <v>-0.28528528528528518</v>
      </c>
      <c r="CG27" s="11">
        <v>-0.46111119891008173</v>
      </c>
      <c r="CH27" s="10">
        <v>-0.67636662721633911</v>
      </c>
      <c r="CI27" s="10">
        <v>-0.20651704072952271</v>
      </c>
      <c r="CJ27" s="10">
        <v>0.65974205732345581</v>
      </c>
      <c r="CK27" s="10">
        <v>0.84656083583831787</v>
      </c>
      <c r="CL27" s="10">
        <v>1.7000000476837158</v>
      </c>
      <c r="CM27" s="11">
        <v>-0.81478017568588257</v>
      </c>
      <c r="CN27" s="11">
        <v>-0.49929744005203247</v>
      </c>
      <c r="CO27" s="11">
        <v>0.98974841833114624</v>
      </c>
      <c r="CP27" s="11">
        <v>1.1589536666870117</v>
      </c>
      <c r="CQ27" s="11">
        <v>2.0679011344909668</v>
      </c>
      <c r="CR27" s="3">
        <v>44.75923100895988</v>
      </c>
      <c r="CS27" s="3">
        <v>0.96321898356942592</v>
      </c>
      <c r="CT27" s="3">
        <v>0.31229378925331475</v>
      </c>
      <c r="CU27" s="10">
        <v>0.46468385457992556</v>
      </c>
      <c r="CV27" s="11">
        <v>0.58050512075424199</v>
      </c>
      <c r="CW27" s="3">
        <v>0.06</v>
      </c>
      <c r="CX27" s="3">
        <v>107.60180800538127</v>
      </c>
      <c r="CY27" s="3">
        <v>273591889.81775963</v>
      </c>
      <c r="CZ27" s="3">
        <v>0.46468385457992556</v>
      </c>
      <c r="DA27" s="3">
        <v>25.976317533326469</v>
      </c>
      <c r="DB27" s="3">
        <v>1133300821.4975462</v>
      </c>
      <c r="DC27" s="3">
        <v>0.44144966185092926</v>
      </c>
      <c r="DD27" s="3">
        <v>8.156683206649312</v>
      </c>
      <c r="DE27" s="3">
        <v>3609185407.1274214</v>
      </c>
      <c r="DF27" s="3">
        <v>0.40892179203033452</v>
      </c>
      <c r="DG27" s="3">
        <v>2.7758209923069721</v>
      </c>
      <c r="DH27" s="3">
        <v>10605504490.955448</v>
      </c>
      <c r="DI27" s="3">
        <v>0.37174708366394049</v>
      </c>
      <c r="DJ27" s="3">
        <v>0.34565322662038783</v>
      </c>
      <c r="DK27" s="3">
        <v>85169122498.402817</v>
      </c>
      <c r="DL27" s="3">
        <v>0.32527869820594785</v>
      </c>
      <c r="DM27" s="3">
        <v>198000000</v>
      </c>
      <c r="DN27" s="3">
        <v>0.46468385457992556</v>
      </c>
      <c r="DO27" s="3">
        <v>29438982000</v>
      </c>
      <c r="DP27" s="3">
        <v>1999207800</v>
      </c>
      <c r="DQ27" s="3">
        <v>2240</v>
      </c>
      <c r="DR27" s="3">
        <v>-0.74996913986521074</v>
      </c>
      <c r="DS27" s="3">
        <v>-1.0416163196643238</v>
      </c>
      <c r="DT27" s="12">
        <v>-0.22333333333333347</v>
      </c>
      <c r="DU27" s="3">
        <v>0.29833333333333339</v>
      </c>
      <c r="DV27" s="3">
        <v>7.4999999999999928E-2</v>
      </c>
      <c r="DW27" s="3">
        <v>-9.4350000000000005</v>
      </c>
      <c r="DX27" s="3">
        <v>0.32425902255639244</v>
      </c>
      <c r="DY27" s="3">
        <v>-9.0584026748120294</v>
      </c>
      <c r="DZ27" s="3">
        <v>2579</v>
      </c>
      <c r="EA27" s="3">
        <v>-9.0289270391290106</v>
      </c>
      <c r="EB27" s="3">
        <v>9</v>
      </c>
      <c r="EC27" s="3">
        <v>6.6811939811427523E-2</v>
      </c>
      <c r="ED27" s="3">
        <v>0.49763463593938667</v>
      </c>
      <c r="EE27" s="13">
        <v>1.0943000000000001</v>
      </c>
      <c r="EF27" s="3">
        <v>2.0333999999999999</v>
      </c>
      <c r="EG27" s="3">
        <v>19.134259022556392</v>
      </c>
      <c r="EH27" s="3" t="s">
        <v>1397</v>
      </c>
      <c r="EI27" s="3">
        <v>0</v>
      </c>
      <c r="EJ27" s="3">
        <v>0</v>
      </c>
      <c r="EK27" s="14">
        <v>45470</v>
      </c>
      <c r="EL27" s="15">
        <v>-0.65</v>
      </c>
      <c r="EM27" s="15">
        <v>-4.75</v>
      </c>
      <c r="EN27" s="15">
        <v>-1.1499999999999999</v>
      </c>
      <c r="EO27" s="15">
        <v>19.989999999999998</v>
      </c>
      <c r="EP27" s="15">
        <v>8.91</v>
      </c>
    </row>
    <row r="28" spans="1:146" ht="96" x14ac:dyDescent="0.25">
      <c r="C28" s="7" t="str">
        <f>""&amp;CHAR(10)&amp;Basic_Fundamental_Information_Constructure(F28)&amp;CHAR(10)&amp;Basic_Fundamental_Information_Concatenate("")</f>
        <v xml:space="preserve">
市值34.112亿, 利润733.16万; PE122; 平均PE77.22; 平均PEG4.32, PB3.91; ROIC3.9167%; ROE4.5633%; 股利率.1129%; 毛利46.5267%; 净利26.7367%; 上一年度营收增-80.56%, 利润增-86.66%; 当季营收增-35.96%, 利润增-1.54%; 过往5年营收增-17.86%, 利润增-9.24%
Income profile:
</v>
      </c>
      <c r="D28" s="3" t="s">
        <v>83</v>
      </c>
      <c r="E28" s="3" t="s">
        <v>84</v>
      </c>
      <c r="F28" s="3">
        <v>10.66</v>
      </c>
      <c r="G28" s="3">
        <v>-0.28000000000000003</v>
      </c>
      <c r="H28" s="3" t="s">
        <v>3372</v>
      </c>
      <c r="I28" s="3">
        <v>3411200000</v>
      </c>
      <c r="J28" s="3">
        <v>122</v>
      </c>
      <c r="K28" s="3">
        <v>3.91</v>
      </c>
      <c r="L28" s="3" t="s">
        <v>2983</v>
      </c>
      <c r="M28" s="3" t="s">
        <v>2153</v>
      </c>
      <c r="N28" s="3" t="s">
        <v>3373</v>
      </c>
      <c r="O28" s="3" t="s">
        <v>2154</v>
      </c>
      <c r="P28" s="3">
        <v>109.31</v>
      </c>
      <c r="Q28" s="3" t="s">
        <v>2154</v>
      </c>
      <c r="R28" s="3">
        <v>7331566</v>
      </c>
      <c r="S28" s="5">
        <v>4.24</v>
      </c>
      <c r="T28" s="3" t="s">
        <v>3374</v>
      </c>
      <c r="U28" s="3">
        <v>184484240</v>
      </c>
      <c r="V28" s="3">
        <v>320000000</v>
      </c>
      <c r="W28" s="3">
        <v>1.06</v>
      </c>
      <c r="X28" s="3">
        <v>0.04</v>
      </c>
      <c r="Y28" s="3">
        <v>21.41</v>
      </c>
      <c r="Z28" s="3" t="s">
        <v>3375</v>
      </c>
      <c r="AA28" s="3" t="s">
        <v>3376</v>
      </c>
      <c r="AB28" s="3" t="s">
        <v>3377</v>
      </c>
      <c r="AC28" s="3" t="s">
        <v>3378</v>
      </c>
      <c r="AD28" s="3" t="s">
        <v>22</v>
      </c>
      <c r="AE28" s="3">
        <v>-2200603</v>
      </c>
      <c r="AF28" s="3" t="s">
        <v>2156</v>
      </c>
      <c r="AG28" s="3" t="s">
        <v>22</v>
      </c>
      <c r="AH28" s="3" t="s">
        <v>2157</v>
      </c>
      <c r="AI28" s="3" t="s">
        <v>452</v>
      </c>
      <c r="AJ28" s="3" t="s">
        <v>2158</v>
      </c>
      <c r="AK28" s="3" t="s">
        <v>3379</v>
      </c>
      <c r="AL28" s="3" t="s">
        <v>2159</v>
      </c>
      <c r="AM28" s="3" t="s">
        <v>22</v>
      </c>
      <c r="AN28" s="3" t="s">
        <v>3380</v>
      </c>
      <c r="AO28" s="3" t="s">
        <v>22</v>
      </c>
      <c r="AP28" s="3" t="s">
        <v>3381</v>
      </c>
      <c r="AQ28" s="3" t="s">
        <v>3382</v>
      </c>
      <c r="AR28" s="3" t="s">
        <v>22</v>
      </c>
      <c r="AS28" s="3" t="s">
        <v>3383</v>
      </c>
      <c r="AT28" s="3" t="s">
        <v>22</v>
      </c>
      <c r="AU28" s="3" t="s">
        <v>3384</v>
      </c>
      <c r="AV28" s="3" t="s">
        <v>3385</v>
      </c>
      <c r="AW28" s="3" t="s">
        <v>3386</v>
      </c>
      <c r="AX28" s="3" t="s">
        <v>248</v>
      </c>
      <c r="AY28" s="3" t="s">
        <v>797</v>
      </c>
      <c r="AZ28" s="3" t="s">
        <v>141</v>
      </c>
      <c r="BA28" s="3" t="s">
        <v>253</v>
      </c>
      <c r="BB28" s="3" t="s">
        <v>581</v>
      </c>
      <c r="BC28" s="3" t="s">
        <v>2160</v>
      </c>
      <c r="BD28" s="3" t="s">
        <v>892</v>
      </c>
      <c r="BE28" s="3" t="s">
        <v>580</v>
      </c>
      <c r="BF28" s="3" t="s">
        <v>376</v>
      </c>
      <c r="BG28" s="3" t="s">
        <v>582</v>
      </c>
      <c r="BH28" s="3" t="s">
        <v>450</v>
      </c>
      <c r="BI28" s="3" t="s">
        <v>3387</v>
      </c>
      <c r="BJ28" s="3" t="s">
        <v>248</v>
      </c>
      <c r="BK28" s="3" t="s">
        <v>2155</v>
      </c>
      <c r="BL28" s="3" t="s">
        <v>3388</v>
      </c>
      <c r="BM28" s="3" t="s">
        <v>2160</v>
      </c>
      <c r="BN28" s="3">
        <v>-0.18</v>
      </c>
      <c r="BO28" s="3">
        <v>5.88</v>
      </c>
      <c r="BP28" s="3">
        <v>6.05</v>
      </c>
      <c r="BQ28" s="3">
        <v>0.24</v>
      </c>
      <c r="BR28" s="3">
        <v>6.63</v>
      </c>
      <c r="BS28" s="3">
        <v>6.82</v>
      </c>
      <c r="BT28" s="3" t="s">
        <v>2161</v>
      </c>
      <c r="BU28" s="3" t="s">
        <v>1210</v>
      </c>
      <c r="BV28" s="3">
        <v>44.64</v>
      </c>
      <c r="BW28" s="3">
        <v>49.51</v>
      </c>
      <c r="BX28" s="3">
        <v>45.43</v>
      </c>
      <c r="BY28" s="3">
        <v>18.899999999999999</v>
      </c>
      <c r="BZ28" s="3">
        <v>31.28</v>
      </c>
      <c r="CA28" s="3">
        <v>30.03</v>
      </c>
      <c r="CB28" s="3">
        <v>-5.75</v>
      </c>
      <c r="CC28" s="3">
        <v>0</v>
      </c>
      <c r="CD28" s="3" t="s">
        <v>3389</v>
      </c>
      <c r="CE28" s="3" t="s">
        <v>1226</v>
      </c>
      <c r="CF28" s="10">
        <v>-0.35958455328995154</v>
      </c>
      <c r="CG28" s="11">
        <v>-1.5421411688869789E-2</v>
      </c>
      <c r="CH28" s="10">
        <v>-0.80562955141067505</v>
      </c>
      <c r="CI28" s="10">
        <v>-1.123595517128706E-2</v>
      </c>
      <c r="CJ28" s="10">
        <v>0.45901638269424438</v>
      </c>
      <c r="CK28" s="10">
        <v>-0.47863247990608215</v>
      </c>
      <c r="CL28" s="10">
        <v>-5.6451611220836639E-2</v>
      </c>
      <c r="CM28" s="11">
        <v>-0.86664921045303345</v>
      </c>
      <c r="CN28" s="11">
        <v>3.0008617788553238E-2</v>
      </c>
      <c r="CO28" s="11">
        <v>0.82658743858337402</v>
      </c>
      <c r="CP28" s="11">
        <v>-0.53149592876434326</v>
      </c>
      <c r="CQ28" s="11">
        <v>7.9772882163524628E-2</v>
      </c>
      <c r="CR28" s="3">
        <v>77.219156592596065</v>
      </c>
      <c r="CS28" s="3">
        <v>4.3239043690031354</v>
      </c>
      <c r="CT28" s="3">
        <v>0.11285178236397748</v>
      </c>
      <c r="CU28" s="10">
        <v>-0.17858664300292731</v>
      </c>
      <c r="CV28" s="11">
        <v>-9.2355240136384964E-2</v>
      </c>
      <c r="CW28" s="3">
        <v>0.06</v>
      </c>
      <c r="CX28" s="3">
        <v>355.74597632167604</v>
      </c>
      <c r="CY28" s="3" t="s">
        <v>3390</v>
      </c>
      <c r="CZ28" s="3">
        <v>-0.17858664300292731</v>
      </c>
      <c r="DA28" s="3">
        <v>118.58199210722535</v>
      </c>
      <c r="DB28" s="3" t="s">
        <v>3391</v>
      </c>
      <c r="DC28" s="3">
        <v>-0.16965731085278093</v>
      </c>
      <c r="DD28" s="3">
        <v>59.290996053612673</v>
      </c>
      <c r="DE28" s="3" t="s">
        <v>3392</v>
      </c>
      <c r="DF28" s="3">
        <v>-0.15715624584257604</v>
      </c>
      <c r="DG28" s="3">
        <v>35.574597632167603</v>
      </c>
      <c r="DH28" s="3" t="s">
        <v>3393</v>
      </c>
      <c r="DI28" s="3">
        <v>-0.14286931440234185</v>
      </c>
      <c r="DJ28" s="3">
        <v>17.787298816083801</v>
      </c>
      <c r="DK28" s="3" t="s">
        <v>3394</v>
      </c>
      <c r="DL28" s="3">
        <v>-0.12501065010204912</v>
      </c>
      <c r="DM28" s="3">
        <v>7331600</v>
      </c>
      <c r="DN28" s="3">
        <v>-0.17858664300292731</v>
      </c>
      <c r="DO28" s="3">
        <v>2608187200</v>
      </c>
      <c r="DP28" s="3">
        <v>726769830</v>
      </c>
      <c r="DQ28" s="3">
        <v>2288</v>
      </c>
      <c r="DR28" s="3">
        <v>-0.18099791028702422</v>
      </c>
      <c r="DS28" s="3">
        <v>7.6933828447515173E-2</v>
      </c>
      <c r="DT28" s="12">
        <v>-0.75666666666666671</v>
      </c>
      <c r="DU28" s="3">
        <v>-0.18333333333333332</v>
      </c>
      <c r="DV28" s="3">
        <v>-0.94000000000000006</v>
      </c>
      <c r="DW28" s="3">
        <v>-4</v>
      </c>
      <c r="DX28" s="3">
        <v>0.24589640883977865</v>
      </c>
      <c r="DY28" s="3">
        <v>-4</v>
      </c>
      <c r="DZ28" s="3">
        <v>4017</v>
      </c>
      <c r="EA28" s="3">
        <v>-4</v>
      </c>
      <c r="EB28" s="3">
        <v>4</v>
      </c>
      <c r="EC28" s="3">
        <v>6.3232812499999999E-2</v>
      </c>
      <c r="ED28" s="3">
        <v>1.1312500000000001</v>
      </c>
      <c r="EE28" s="13">
        <v>-1.1337999999999999</v>
      </c>
      <c r="EF28" s="3">
        <v>-1.1455</v>
      </c>
      <c r="EG28" s="3">
        <v>19.055896408839779</v>
      </c>
      <c r="EH28" s="3" t="s">
        <v>1929</v>
      </c>
      <c r="EI28" s="3">
        <v>0</v>
      </c>
      <c r="EJ28" s="3">
        <v>0</v>
      </c>
      <c r="EK28" s="14">
        <v>45470</v>
      </c>
      <c r="EL28" s="15">
        <v>-1</v>
      </c>
      <c r="EM28" s="15">
        <v>-1.52</v>
      </c>
      <c r="EN28" s="15">
        <v>-3.6</v>
      </c>
      <c r="EO28" s="15">
        <v>6.76</v>
      </c>
      <c r="EP28" s="15">
        <v>1.17</v>
      </c>
    </row>
    <row r="29" spans="1:146" ht="96" x14ac:dyDescent="0.25">
      <c r="A29" s="3"/>
      <c r="B29" s="3"/>
      <c r="C29" s="7" t="str">
        <f>""&amp;CHAR(10)&amp;Basic_Fundamental_Information_Constructure(F29)&amp;CHAR(10)&amp;Basic_Fundamental_Information_Concatenate("")</f>
        <v xml:space="preserve">
市值65.884533亿, 利润2429.78万; PE68.64; 平均PE114.34; 平均PEG4.03, PB4.54; ROIC8.7067%; ROE10.7367%; 股利率.4109%; 毛利37.0267%; 净利14.8567%; 上一年度营收增-74.2%, 利润增-72.41%; 当季营收增-42.5%, 利润增-37.75%; 过往5年营收增28.36%, 利润增17.66%
Income profile:
</v>
      </c>
      <c r="D29" s="3" t="s">
        <v>1384</v>
      </c>
      <c r="E29" s="3" t="s">
        <v>1385</v>
      </c>
      <c r="F29" s="3">
        <v>19.47</v>
      </c>
      <c r="G29" s="3">
        <v>-0.92</v>
      </c>
      <c r="H29" s="3" t="s">
        <v>3395</v>
      </c>
      <c r="I29" s="3">
        <v>6588453300</v>
      </c>
      <c r="J29" s="3">
        <v>68.64</v>
      </c>
      <c r="K29" s="3">
        <v>4.54</v>
      </c>
      <c r="L29" s="3" t="s">
        <v>2983</v>
      </c>
      <c r="M29" s="3" t="s">
        <v>183</v>
      </c>
      <c r="N29" s="3" t="s">
        <v>3396</v>
      </c>
      <c r="O29" s="3" t="s">
        <v>1085</v>
      </c>
      <c r="P29" s="5">
        <v>18.3</v>
      </c>
      <c r="Q29" s="3" t="s">
        <v>1085</v>
      </c>
      <c r="R29" s="3">
        <v>24297792</v>
      </c>
      <c r="S29" s="3">
        <v>0.3831</v>
      </c>
      <c r="T29" s="3" t="s">
        <v>3397</v>
      </c>
      <c r="U29" s="3">
        <v>138390000</v>
      </c>
      <c r="V29" s="3">
        <v>338390000</v>
      </c>
      <c r="W29" s="3">
        <v>1.1399999999999999</v>
      </c>
      <c r="X29" s="3">
        <v>0.1</v>
      </c>
      <c r="Y29" s="3">
        <v>15.1</v>
      </c>
      <c r="Z29" s="3" t="s">
        <v>305</v>
      </c>
      <c r="AA29" s="3" t="s">
        <v>3398</v>
      </c>
      <c r="AB29" s="3" t="s">
        <v>3399</v>
      </c>
      <c r="AC29" s="3" t="s">
        <v>3400</v>
      </c>
      <c r="AD29" s="3" t="s">
        <v>22</v>
      </c>
      <c r="AE29" s="3">
        <v>-1301478</v>
      </c>
      <c r="AF29" s="3" t="s">
        <v>2166</v>
      </c>
      <c r="AG29" s="3" t="s">
        <v>3401</v>
      </c>
      <c r="AH29" s="3" t="s">
        <v>2167</v>
      </c>
      <c r="AI29" s="3" t="s">
        <v>748</v>
      </c>
      <c r="AJ29" s="3" t="s">
        <v>2168</v>
      </c>
      <c r="AK29" s="3" t="s">
        <v>22</v>
      </c>
      <c r="AL29" s="3" t="s">
        <v>2169</v>
      </c>
      <c r="AM29" s="3" t="s">
        <v>22</v>
      </c>
      <c r="AN29" s="3" t="s">
        <v>3402</v>
      </c>
      <c r="AO29" s="3" t="s">
        <v>22</v>
      </c>
      <c r="AP29" s="3" t="s">
        <v>22</v>
      </c>
      <c r="AQ29" s="3" t="s">
        <v>140</v>
      </c>
      <c r="AR29" s="3" t="s">
        <v>22</v>
      </c>
      <c r="AS29" s="3" t="s">
        <v>107</v>
      </c>
      <c r="AT29" s="3" t="s">
        <v>22</v>
      </c>
      <c r="AU29" s="3" t="s">
        <v>3403</v>
      </c>
      <c r="AV29" s="3" t="s">
        <v>2912</v>
      </c>
      <c r="AW29" s="3" t="s">
        <v>3404</v>
      </c>
      <c r="AX29" s="3" t="s">
        <v>1562</v>
      </c>
      <c r="AY29" s="3" t="s">
        <v>1308</v>
      </c>
      <c r="AZ29" s="3" t="s">
        <v>1292</v>
      </c>
      <c r="BA29" s="3" t="s">
        <v>555</v>
      </c>
      <c r="BB29" s="3" t="s">
        <v>170</v>
      </c>
      <c r="BC29" s="3" t="s">
        <v>1563</v>
      </c>
      <c r="BD29" s="3" t="s">
        <v>1564</v>
      </c>
      <c r="BE29" s="3" t="s">
        <v>1565</v>
      </c>
      <c r="BF29" s="3" t="s">
        <v>1566</v>
      </c>
      <c r="BG29" s="3" t="s">
        <v>1567</v>
      </c>
      <c r="BH29" s="3" t="s">
        <v>1772</v>
      </c>
      <c r="BI29" s="3" t="s">
        <v>394</v>
      </c>
      <c r="BJ29" s="3" t="s">
        <v>1562</v>
      </c>
      <c r="BK29" s="3" t="s">
        <v>2165</v>
      </c>
      <c r="BL29" s="3" t="s">
        <v>3405</v>
      </c>
      <c r="BM29" s="3" t="s">
        <v>1563</v>
      </c>
      <c r="BN29" s="3">
        <v>4.0199999999999996</v>
      </c>
      <c r="BO29" s="3">
        <v>8.23</v>
      </c>
      <c r="BP29" s="3">
        <v>13.87</v>
      </c>
      <c r="BQ29" s="3">
        <v>4.6100000000000003</v>
      </c>
      <c r="BR29" s="3">
        <v>12.86</v>
      </c>
      <c r="BS29" s="3">
        <v>14.74</v>
      </c>
      <c r="BT29" s="3" t="s">
        <v>1373</v>
      </c>
      <c r="BU29" s="3" t="s">
        <v>1212</v>
      </c>
      <c r="BV29" s="3">
        <v>38.270000000000003</v>
      </c>
      <c r="BW29" s="3">
        <v>35.57</v>
      </c>
      <c r="BX29" s="3">
        <v>37.24</v>
      </c>
      <c r="BY29" s="3">
        <v>15.02</v>
      </c>
      <c r="BZ29" s="3">
        <v>14.12</v>
      </c>
      <c r="CA29" s="3">
        <v>15.43</v>
      </c>
      <c r="CB29" s="3">
        <v>-4.1399999999999997</v>
      </c>
      <c r="CC29" s="10">
        <v>-4.79</v>
      </c>
      <c r="CD29" s="11" t="s">
        <v>3406</v>
      </c>
      <c r="CE29" s="10" t="s">
        <v>1547</v>
      </c>
      <c r="CF29" s="10">
        <v>-0.42499999999999999</v>
      </c>
      <c r="CG29" s="10">
        <v>-0.37753671714286446</v>
      </c>
      <c r="CH29" s="10">
        <v>-0.74198716878890991</v>
      </c>
      <c r="CI29" s="10">
        <v>9.6660807728767395E-2</v>
      </c>
      <c r="CJ29" s="11">
        <v>0.17805382609367371</v>
      </c>
      <c r="CK29" s="11">
        <v>0.5</v>
      </c>
      <c r="CL29" s="11">
        <v>1.3851852416992187</v>
      </c>
      <c r="CM29" s="11">
        <v>-0.72413378953933716</v>
      </c>
      <c r="CN29" s="11">
        <v>2.2953122388571501E-3</v>
      </c>
      <c r="CO29" s="3">
        <v>0.15629097819328308</v>
      </c>
      <c r="CP29" s="3">
        <v>0.73059982061386108</v>
      </c>
      <c r="CQ29" s="3">
        <v>0.71772223711013794</v>
      </c>
      <c r="CR29" s="10">
        <v>114.33943007185059</v>
      </c>
      <c r="CS29" s="11">
        <v>4.031962952617838</v>
      </c>
      <c r="CT29" s="3">
        <v>0.41088854648176687</v>
      </c>
      <c r="CU29" s="3">
        <v>0.28358254134654998</v>
      </c>
      <c r="CV29" s="3">
        <v>0.17655491172336041</v>
      </c>
      <c r="CW29" s="3">
        <v>0.06</v>
      </c>
      <c r="CX29" s="3">
        <v>181.30301586194037</v>
      </c>
      <c r="CY29" s="3">
        <v>29422860.257670008</v>
      </c>
      <c r="CZ29" s="3">
        <v>0.28358254134654998</v>
      </c>
      <c r="DA29" s="3">
        <v>50.480298314705799</v>
      </c>
      <c r="DB29" s="3">
        <v>105673965.44972438</v>
      </c>
      <c r="DC29" s="3">
        <v>0.26940341427922249</v>
      </c>
      <c r="DD29" s="3">
        <v>19.783366545715438</v>
      </c>
      <c r="DE29" s="3">
        <v>269643353.55527765</v>
      </c>
      <c r="DF29" s="3">
        <v>0.24955263638496397</v>
      </c>
      <c r="DG29" s="3">
        <v>9.0094603395536126</v>
      </c>
      <c r="DH29" s="3">
        <v>592094653.72531998</v>
      </c>
      <c r="DI29" s="3">
        <v>0.22686603307723999</v>
      </c>
      <c r="DJ29" s="3">
        <v>2.3801134533704227</v>
      </c>
      <c r="DK29" s="3">
        <v>2241260093.0623732</v>
      </c>
      <c r="DL29" s="3">
        <v>0.19850777894258498</v>
      </c>
      <c r="DM29" s="3">
        <v>24297800.000000004</v>
      </c>
      <c r="DN29" s="3">
        <v>0.28358254134654998</v>
      </c>
      <c r="DO29" s="3">
        <v>5334453300</v>
      </c>
      <c r="DP29" s="3">
        <v>724055000</v>
      </c>
      <c r="DQ29" s="12">
        <v>2702</v>
      </c>
      <c r="DR29" s="3">
        <v>-0.70858254134654997</v>
      </c>
      <c r="DS29" s="3">
        <v>-0.55409162886622487</v>
      </c>
      <c r="DT29" s="3">
        <v>-0.32333333333333331</v>
      </c>
      <c r="DU29" s="3">
        <v>1.3333333333333234E-2</v>
      </c>
      <c r="DV29" s="3">
        <v>-0.31000000000000005</v>
      </c>
      <c r="DW29" s="3">
        <v>-8.8643006263048019</v>
      </c>
      <c r="DX29" s="3">
        <v>0.25864990291261974</v>
      </c>
      <c r="DY29" s="3">
        <v>-8.0679771603461905</v>
      </c>
      <c r="DZ29" s="3">
        <v>1095</v>
      </c>
      <c r="EA29" s="3">
        <v>-8.0534106259862916</v>
      </c>
      <c r="EB29" s="13">
        <v>8</v>
      </c>
      <c r="EC29" s="3">
        <v>0.11969827713584917</v>
      </c>
      <c r="ED29" s="3">
        <v>1.5219125860693286</v>
      </c>
      <c r="EE29" s="3">
        <v>-1.0283</v>
      </c>
      <c r="EF29" s="3">
        <v>-1.0174000000000001</v>
      </c>
      <c r="EG29" s="3">
        <v>18.07864990291262</v>
      </c>
      <c r="EH29" s="14" t="s">
        <v>1929</v>
      </c>
      <c r="EI29" s="15">
        <v>0</v>
      </c>
      <c r="EJ29" s="15">
        <v>1</v>
      </c>
      <c r="EK29" s="15">
        <v>45470</v>
      </c>
      <c r="EL29" s="15">
        <v>-0.93</v>
      </c>
      <c r="EM29" s="15">
        <v>-4.9800000000000004</v>
      </c>
      <c r="EN29" s="15">
        <v>-0.56999999999999995</v>
      </c>
      <c r="EO29" s="15">
        <v>4.2699999999999996</v>
      </c>
      <c r="EP29" s="15">
        <v>-1.0900000000000001</v>
      </c>
    </row>
    <row r="30" spans="1:146" ht="96" x14ac:dyDescent="0.25">
      <c r="C30" s="7" t="str">
        <f>""&amp;CHAR(10)&amp;Basic_Fundamental_Information_Constructure(F30)&amp;CHAR(10)&amp;Basic_Fundamental_Information_Concatenate("")</f>
        <v xml:space="preserve">
市值392.72819亿, 利润3.84亿; PE; 平均PE129.67; 平均PEG18.32, PB6.01; ROIC12.015%; ROE4.4%; 股利率0%; 毛利13.52%; 净利.9967%; 上一年度营收增-46.54%, 利润增427.49%; 当季营收增20.12%, 利润增164.45%; 过往5年营收增7.08%, 利润增208.74%
Income profile:
</v>
      </c>
      <c r="D30" s="3" t="s">
        <v>1228</v>
      </c>
      <c r="E30" s="3" t="s">
        <v>1229</v>
      </c>
      <c r="F30" s="3">
        <v>94.41</v>
      </c>
      <c r="G30" s="3">
        <v>0.1</v>
      </c>
      <c r="H30" s="3" t="s">
        <v>3407</v>
      </c>
      <c r="I30" s="3">
        <v>39272819000</v>
      </c>
      <c r="K30" s="3">
        <v>6.01</v>
      </c>
      <c r="L30" s="3" t="s">
        <v>2983</v>
      </c>
      <c r="M30" s="3" t="s">
        <v>2170</v>
      </c>
      <c r="N30" s="3" t="s">
        <v>3408</v>
      </c>
      <c r="O30" s="3" t="s">
        <v>2171</v>
      </c>
      <c r="P30" s="3">
        <v>200.54</v>
      </c>
      <c r="Q30" s="3" t="s">
        <v>2171</v>
      </c>
      <c r="R30" s="3">
        <v>384102980</v>
      </c>
      <c r="S30" s="5">
        <v>2.3690000000000002</v>
      </c>
      <c r="T30" s="3" t="s">
        <v>1802</v>
      </c>
      <c r="U30" s="3">
        <v>115839860</v>
      </c>
      <c r="V30" s="3">
        <v>415981560</v>
      </c>
      <c r="W30" s="3">
        <v>2.33</v>
      </c>
      <c r="X30" s="3">
        <v>0.3</v>
      </c>
      <c r="Y30" s="3">
        <v>8.6</v>
      </c>
      <c r="Z30" s="3" t="s">
        <v>3409</v>
      </c>
      <c r="AA30" s="3" t="s">
        <v>3410</v>
      </c>
      <c r="AB30" s="3" t="s">
        <v>153</v>
      </c>
      <c r="AC30" s="3" t="s">
        <v>282</v>
      </c>
      <c r="AD30" s="3" t="s">
        <v>22</v>
      </c>
      <c r="AE30" s="3">
        <v>77701023</v>
      </c>
      <c r="AF30" s="3" t="s">
        <v>2174</v>
      </c>
      <c r="AG30" s="3" t="s">
        <v>3411</v>
      </c>
      <c r="AH30" s="3" t="s">
        <v>2175</v>
      </c>
      <c r="AI30" s="3" t="s">
        <v>2951</v>
      </c>
      <c r="AJ30" s="3" t="s">
        <v>2176</v>
      </c>
      <c r="AK30" s="3" t="s">
        <v>22</v>
      </c>
      <c r="AL30" s="3" t="s">
        <v>2177</v>
      </c>
      <c r="AM30" s="3" t="s">
        <v>22</v>
      </c>
      <c r="AN30" s="3" t="s">
        <v>1547</v>
      </c>
      <c r="AO30" s="3" t="s">
        <v>3412</v>
      </c>
      <c r="AP30" s="3" t="s">
        <v>22</v>
      </c>
      <c r="AQ30" s="3" t="s">
        <v>3413</v>
      </c>
      <c r="AR30" s="3" t="s">
        <v>22</v>
      </c>
      <c r="AS30" s="3" t="s">
        <v>3414</v>
      </c>
      <c r="AT30" s="3" t="s">
        <v>3415</v>
      </c>
      <c r="AU30" s="3" t="s">
        <v>3416</v>
      </c>
      <c r="AV30" s="3" t="s">
        <v>3417</v>
      </c>
      <c r="AW30" s="3" t="s">
        <v>2914</v>
      </c>
      <c r="AX30" s="3" t="s">
        <v>1568</v>
      </c>
      <c r="AY30" s="3" t="s">
        <v>1230</v>
      </c>
      <c r="AZ30" s="3" t="s">
        <v>1232</v>
      </c>
      <c r="BA30" s="3" t="s">
        <v>1233</v>
      </c>
      <c r="BB30" s="3" t="s">
        <v>1234</v>
      </c>
      <c r="BC30" s="3" t="s">
        <v>1569</v>
      </c>
      <c r="BD30" s="3" t="s">
        <v>1231</v>
      </c>
      <c r="BE30" s="3" t="s">
        <v>465</v>
      </c>
      <c r="BF30" s="3" t="s">
        <v>318</v>
      </c>
      <c r="BG30" s="3" t="s">
        <v>1235</v>
      </c>
      <c r="BH30" s="3" t="s">
        <v>2172</v>
      </c>
      <c r="BI30" s="3" t="s">
        <v>3418</v>
      </c>
      <c r="BJ30" s="3" t="s">
        <v>1568</v>
      </c>
      <c r="BK30" s="3" t="s">
        <v>2173</v>
      </c>
      <c r="BL30" s="3" t="s">
        <v>1855</v>
      </c>
      <c r="BM30" s="3" t="s">
        <v>1569</v>
      </c>
      <c r="BN30" s="3" t="s">
        <v>22</v>
      </c>
      <c r="BO30" s="3">
        <v>1.33</v>
      </c>
      <c r="BP30" s="3">
        <v>22.7</v>
      </c>
      <c r="BQ30" s="3">
        <v>-14.04</v>
      </c>
      <c r="BR30" s="3">
        <v>1.35</v>
      </c>
      <c r="BS30" s="3">
        <v>25.89</v>
      </c>
      <c r="BT30" s="3" t="s">
        <v>1368</v>
      </c>
      <c r="BU30" s="3" t="s">
        <v>2998</v>
      </c>
      <c r="BV30" s="3">
        <v>8.19</v>
      </c>
      <c r="BW30" s="3">
        <v>12.4</v>
      </c>
      <c r="BX30" s="3">
        <v>19.97</v>
      </c>
      <c r="BY30" s="3">
        <v>-8.27</v>
      </c>
      <c r="BZ30" s="3">
        <v>0.87</v>
      </c>
      <c r="CA30" s="3">
        <v>10.39</v>
      </c>
      <c r="CB30" s="3">
        <v>-0.35</v>
      </c>
      <c r="CC30" s="3">
        <v>4.7300000000000004</v>
      </c>
      <c r="CD30" s="3" t="s">
        <v>3419</v>
      </c>
      <c r="CE30" s="3" t="s">
        <v>129</v>
      </c>
      <c r="CF30" s="10">
        <v>0.20124089560291342</v>
      </c>
      <c r="CG30" s="11">
        <v>1.6444680872483222</v>
      </c>
      <c r="CH30" s="10">
        <v>-0.46542614698410034</v>
      </c>
      <c r="CI30" s="10">
        <v>-0.14555342495441437</v>
      </c>
      <c r="CJ30" s="10">
        <v>0.33988451957702637</v>
      </c>
      <c r="CK30" s="10">
        <v>0.27180567383766174</v>
      </c>
      <c r="CL30" s="10">
        <v>0.35312202572822571</v>
      </c>
      <c r="CM30" s="11">
        <v>4.2749428749084473</v>
      </c>
      <c r="CN30" s="11">
        <v>-0.92813724279403687</v>
      </c>
      <c r="CO30" s="11">
        <v>2.6702897548675537</v>
      </c>
      <c r="CP30" s="11">
        <v>1.15625</v>
      </c>
      <c r="CQ30" s="11">
        <v>3.2638959884643555</v>
      </c>
      <c r="CR30" s="3">
        <v>129.66623603603077</v>
      </c>
      <c r="CS30" s="3">
        <v>18.323102328249298</v>
      </c>
      <c r="CT30" s="3">
        <v>0</v>
      </c>
      <c r="CU30" s="10">
        <v>7.0766529440879827E-2</v>
      </c>
      <c r="CV30" s="11">
        <v>2.087448275089264</v>
      </c>
      <c r="CW30" s="3">
        <v>0.06</v>
      </c>
      <c r="CX30" s="3">
        <v>102.06956833529885</v>
      </c>
      <c r="CY30" s="3">
        <v>387900327.64650738</v>
      </c>
      <c r="CZ30" s="3">
        <v>7.0766529440879827E-2</v>
      </c>
      <c r="DA30" s="3">
        <v>33.904270396381264</v>
      </c>
      <c r="DB30" s="3">
        <v>1167782657.969419</v>
      </c>
      <c r="DC30" s="3">
        <v>6.7228202968835832E-2</v>
      </c>
      <c r="DD30" s="3">
        <v>17.055829873544759</v>
      </c>
      <c r="DE30" s="3">
        <v>2321365732.0428772</v>
      </c>
      <c r="DF30" s="3">
        <v>6.2274545907974245E-2</v>
      </c>
      <c r="DG30" s="3">
        <v>10.493270869960636</v>
      </c>
      <c r="DH30" s="3">
        <v>3773162771.7095733</v>
      </c>
      <c r="DI30" s="3">
        <v>5.6613223552703866E-2</v>
      </c>
      <c r="DJ30" s="3">
        <v>5.7119176570026937</v>
      </c>
      <c r="DK30" s="3">
        <v>6931615856.0969477</v>
      </c>
      <c r="DL30" s="3">
        <v>4.9536570608615875E-2</v>
      </c>
      <c r="DM30" s="3">
        <v>384000000</v>
      </c>
      <c r="DN30" s="3">
        <v>7.0766529440879827E-2</v>
      </c>
      <c r="DO30" s="3">
        <v>39592819000</v>
      </c>
      <c r="DP30" s="3">
        <v>4573377100.000001</v>
      </c>
      <c r="DQ30" s="3">
        <v>2712</v>
      </c>
      <c r="DR30" s="3">
        <v>0.13047436616203359</v>
      </c>
      <c r="DS30" s="3">
        <v>-0.44298018784094184</v>
      </c>
      <c r="DT30" s="12">
        <v>-0.25666666666666677</v>
      </c>
      <c r="DU30" s="3">
        <v>1.5336666666666667</v>
      </c>
      <c r="DV30" s="3">
        <v>1.2769999999999999</v>
      </c>
      <c r="DW30" s="3">
        <v>1.0472999999999999</v>
      </c>
      <c r="DX30" s="3">
        <v>0.3538181818181812</v>
      </c>
      <c r="DY30" s="3">
        <v>1.0072756</v>
      </c>
      <c r="DZ30" s="3">
        <v>2202</v>
      </c>
      <c r="EA30" s="3">
        <v>1.0041404001565557</v>
      </c>
      <c r="EB30" s="3">
        <v>1</v>
      </c>
      <c r="EC30" s="3">
        <v>7.7282271839165181E-2</v>
      </c>
      <c r="ED30" s="3">
        <v>0.50242611715769325</v>
      </c>
      <c r="EE30" s="13">
        <v>-4.0865999999999998</v>
      </c>
      <c r="EF30" s="3">
        <v>-4.0112100000000002</v>
      </c>
      <c r="EG30" s="3">
        <v>20.153818181818181</v>
      </c>
      <c r="EH30" s="3" t="s">
        <v>1903</v>
      </c>
      <c r="EI30" s="3">
        <v>0</v>
      </c>
      <c r="EJ30" s="3">
        <v>0</v>
      </c>
      <c r="EK30" s="14">
        <v>45470</v>
      </c>
      <c r="EL30" s="15">
        <v>5.78</v>
      </c>
      <c r="EM30" s="15">
        <v>-3.94</v>
      </c>
      <c r="EN30" s="15">
        <v>0.28000000000000003</v>
      </c>
      <c r="EO30" s="15">
        <v>4.1900000000000004</v>
      </c>
      <c r="EP30" s="15">
        <v>-9.7799999999999994</v>
      </c>
    </row>
    <row r="31" spans="1:146" ht="96" x14ac:dyDescent="0.25">
      <c r="A31" s="3"/>
      <c r="B31" s="3"/>
      <c r="C31" s="7" t="str">
        <f>""&amp;CHAR(10)&amp;Basic_Fundamental_Information_Constructure(F31)&amp;CHAR(10)&amp;Basic_Fundamental_Information_Concatenate("")</f>
        <v xml:space="preserve">
市值58.52亿, 利润-830.60万; PE170.6; 平均PE95.71; 平均PEG14.49, PB3.75; ROIC8.3133%; ROE7.84%; 股利率.9569%; 毛利19.9767%; 净利9.3067%; 上一年度营收增-81.65%, 利润增-111.63%; 当季营收增-63%, 利润增-120.53%; 过往5年营收增-6.6%, 利润增99.6%
Income profile:
</v>
      </c>
      <c r="D31" s="3" t="s">
        <v>1723</v>
      </c>
      <c r="E31" s="3" t="s">
        <v>1737</v>
      </c>
      <c r="F31" s="3">
        <v>29.26</v>
      </c>
      <c r="G31" s="3">
        <v>-0.81</v>
      </c>
      <c r="H31" s="3" t="s">
        <v>3420</v>
      </c>
      <c r="I31" s="3">
        <v>5852000000</v>
      </c>
      <c r="J31" s="3">
        <v>170.6</v>
      </c>
      <c r="K31" s="3">
        <v>3.75</v>
      </c>
      <c r="L31" s="3" t="s">
        <v>2983</v>
      </c>
      <c r="M31" s="3" t="s">
        <v>1306</v>
      </c>
      <c r="N31" s="3" t="s">
        <v>2474</v>
      </c>
      <c r="O31" s="3" t="s">
        <v>221</v>
      </c>
      <c r="P31" s="5">
        <v>-21.17</v>
      </c>
      <c r="Q31" s="3" t="s">
        <v>221</v>
      </c>
      <c r="R31" s="3">
        <v>-8305958</v>
      </c>
      <c r="S31" s="3">
        <v>-1.5269999999999999</v>
      </c>
      <c r="T31" s="3" t="s">
        <v>3421</v>
      </c>
      <c r="U31" s="3">
        <v>50000000</v>
      </c>
      <c r="V31" s="3">
        <v>200000000</v>
      </c>
      <c r="W31" s="3">
        <v>1.26</v>
      </c>
      <c r="X31" s="3">
        <v>7.0000000000000007E-2</v>
      </c>
      <c r="Y31" s="3">
        <v>-6.03</v>
      </c>
      <c r="Z31" s="3" t="s">
        <v>188</v>
      </c>
      <c r="AA31" s="3" t="s">
        <v>221</v>
      </c>
      <c r="AB31" s="3" t="s">
        <v>3422</v>
      </c>
      <c r="AC31" s="3" t="s">
        <v>3423</v>
      </c>
      <c r="AD31" s="3" t="s">
        <v>22</v>
      </c>
      <c r="AE31" s="3">
        <v>-5066692</v>
      </c>
      <c r="AF31" s="3" t="s">
        <v>108</v>
      </c>
      <c r="AG31" s="3" t="s">
        <v>3424</v>
      </c>
      <c r="AH31" s="3" t="s">
        <v>2179</v>
      </c>
      <c r="AI31" s="3" t="s">
        <v>3425</v>
      </c>
      <c r="AJ31" s="3" t="s">
        <v>2180</v>
      </c>
      <c r="AK31" s="3" t="s">
        <v>179</v>
      </c>
      <c r="AL31" s="3" t="s">
        <v>2181</v>
      </c>
      <c r="AM31" s="3" t="s">
        <v>22</v>
      </c>
      <c r="AN31" s="3" t="s">
        <v>3426</v>
      </c>
      <c r="AO31" s="3" t="s">
        <v>3427</v>
      </c>
      <c r="AP31" s="3" t="s">
        <v>697</v>
      </c>
      <c r="AQ31" s="3" t="s">
        <v>309</v>
      </c>
      <c r="AR31" s="3" t="s">
        <v>22</v>
      </c>
      <c r="AS31" s="3" t="s">
        <v>801</v>
      </c>
      <c r="AT31" s="3" t="s">
        <v>3428</v>
      </c>
      <c r="AU31" s="3" t="s">
        <v>3429</v>
      </c>
      <c r="AV31" s="3" t="s">
        <v>3430</v>
      </c>
      <c r="AW31" s="3" t="s">
        <v>3431</v>
      </c>
      <c r="AX31" s="3" t="s">
        <v>1724</v>
      </c>
      <c r="AY31" s="3" t="s">
        <v>1535</v>
      </c>
      <c r="AZ31" s="3" t="s">
        <v>1057</v>
      </c>
      <c r="BA31" s="3" t="s">
        <v>502</v>
      </c>
      <c r="BB31" s="3" t="s">
        <v>1775</v>
      </c>
      <c r="BC31" s="3" t="s">
        <v>1725</v>
      </c>
      <c r="BD31" s="3" t="s">
        <v>1776</v>
      </c>
      <c r="BE31" s="3" t="s">
        <v>352</v>
      </c>
      <c r="BF31" s="3" t="s">
        <v>1777</v>
      </c>
      <c r="BG31" s="3" t="s">
        <v>1778</v>
      </c>
      <c r="BH31" s="3" t="s">
        <v>520</v>
      </c>
      <c r="BI31" s="3" t="s">
        <v>440</v>
      </c>
      <c r="BJ31" s="3" t="s">
        <v>1724</v>
      </c>
      <c r="BK31" s="3" t="s">
        <v>2178</v>
      </c>
      <c r="BL31" s="3" t="s">
        <v>3432</v>
      </c>
      <c r="BM31" s="3" t="s">
        <v>1725</v>
      </c>
      <c r="BN31" s="3">
        <v>4</v>
      </c>
      <c r="BO31" s="3">
        <v>9.6</v>
      </c>
      <c r="BP31" s="3">
        <v>11.34</v>
      </c>
      <c r="BQ31" s="3">
        <v>5.83</v>
      </c>
      <c r="BR31" s="3">
        <v>9.85</v>
      </c>
      <c r="BS31" s="3" t="s">
        <v>22</v>
      </c>
      <c r="BT31" s="3" t="s">
        <v>2076</v>
      </c>
      <c r="BU31" s="3" t="s">
        <v>1209</v>
      </c>
      <c r="BV31" s="3">
        <v>15.63</v>
      </c>
      <c r="BW31" s="3">
        <v>20.52</v>
      </c>
      <c r="BX31" s="3">
        <v>23.78</v>
      </c>
      <c r="BY31" s="3">
        <v>7.92</v>
      </c>
      <c r="BZ31" s="3">
        <v>9.5</v>
      </c>
      <c r="CA31" s="3">
        <v>10.5</v>
      </c>
      <c r="CB31" s="3">
        <v>-3.72</v>
      </c>
      <c r="CC31" s="10">
        <v>-11.31</v>
      </c>
      <c r="CD31" s="11" t="s">
        <v>3433</v>
      </c>
      <c r="CE31" s="10" t="s">
        <v>378</v>
      </c>
      <c r="CF31" s="10">
        <v>-0.63002680965147451</v>
      </c>
      <c r="CG31" s="10">
        <v>-1.2053388875154512</v>
      </c>
      <c r="CH31" s="10">
        <v>-0.81648933887481689</v>
      </c>
      <c r="CI31" s="10">
        <v>2.1739130839705467E-2</v>
      </c>
      <c r="CJ31" s="11">
        <v>0.28896671533584595</v>
      </c>
      <c r="CK31" s="11">
        <v>0.16530612111091614</v>
      </c>
      <c r="CL31" s="11">
        <v>1.0309278033673763E-2</v>
      </c>
      <c r="CM31" s="11">
        <v>-1.1162904500961304</v>
      </c>
      <c r="CN31" s="11">
        <v>-7.5656197965145111E-2</v>
      </c>
      <c r="CO31" s="3">
        <v>-0.58005106449127197</v>
      </c>
      <c r="CP31" s="3">
        <v>4.8042335510253906</v>
      </c>
      <c r="CQ31" s="3">
        <v>1.9478060007095337</v>
      </c>
      <c r="CR31" s="10">
        <v>95.71363109635341</v>
      </c>
      <c r="CS31" s="11">
        <v>14.494682097515172</v>
      </c>
      <c r="CT31" s="3">
        <v>0.95693779904306209</v>
      </c>
      <c r="CU31" s="3">
        <v>-6.6033618710935119E-2</v>
      </c>
      <c r="CV31" s="3">
        <v>0.99600836783647539</v>
      </c>
      <c r="CW31" s="3">
        <v>0.06</v>
      </c>
      <c r="CX31" s="3" t="e">
        <v>#VALUE!</v>
      </c>
      <c r="CY31" s="3" t="s">
        <v>1073</v>
      </c>
      <c r="CZ31" s="3">
        <v>-6.6033618710935119E-2</v>
      </c>
      <c r="DA31" s="3" t="e">
        <v>#VALUE!</v>
      </c>
      <c r="DB31" s="3" t="s">
        <v>1074</v>
      </c>
      <c r="DC31" s="3">
        <v>-6.2731937775388366E-2</v>
      </c>
      <c r="DD31" s="3" t="e">
        <v>#VALUE!</v>
      </c>
      <c r="DE31" s="3" t="s">
        <v>1074</v>
      </c>
      <c r="DF31" s="3">
        <v>-5.8109584465622907E-2</v>
      </c>
      <c r="DG31" s="3" t="e">
        <v>#VALUE!</v>
      </c>
      <c r="DH31" s="3" t="s">
        <v>1074</v>
      </c>
      <c r="DI31" s="3">
        <v>-5.2826894968748095E-2</v>
      </c>
      <c r="DJ31" s="3" t="e">
        <v>#VALUE!</v>
      </c>
      <c r="DK31" s="3" t="s">
        <v>1074</v>
      </c>
      <c r="DL31" s="3">
        <v>-4.6223533097654583E-2</v>
      </c>
      <c r="DM31" s="3">
        <v>-8306000</v>
      </c>
      <c r="DN31" s="3">
        <v>-6.6033618710935119E-2</v>
      </c>
      <c r="DO31" s="3">
        <v>4643000000</v>
      </c>
      <c r="DP31" s="3">
        <v>1108452000</v>
      </c>
      <c r="DQ31" s="12">
        <v>2743</v>
      </c>
      <c r="DR31" s="3">
        <v>-0.56399319094053935</v>
      </c>
      <c r="DS31" s="3">
        <v>-2.2013472553519264</v>
      </c>
      <c r="DT31" s="3">
        <v>-0.52333333333333332</v>
      </c>
      <c r="DU31" s="3">
        <v>-1.0171666666666668</v>
      </c>
      <c r="DV31" s="3">
        <v>-1.5405000000000002</v>
      </c>
      <c r="DW31" s="3">
        <v>-8.3289124668435015</v>
      </c>
      <c r="DX31" s="3">
        <v>0.24304357798165163</v>
      </c>
      <c r="DY31" s="3">
        <v>-8.0306031927578907</v>
      </c>
      <c r="DZ31" s="3">
        <v>165</v>
      </c>
      <c r="EA31" s="3">
        <v>-8.0296150270426168</v>
      </c>
      <c r="EB31" s="13">
        <v>8</v>
      </c>
      <c r="EC31" s="13">
        <v>0.10141749999999999</v>
      </c>
      <c r="ED31" s="3">
        <v>1.0900000000000001</v>
      </c>
      <c r="EE31" s="3">
        <v>-2.0237099999999999</v>
      </c>
      <c r="EF31" s="3">
        <v>-2.0479099999999999</v>
      </c>
      <c r="EG31" s="3">
        <v>15.093043577981652</v>
      </c>
      <c r="EH31" s="14" t="s">
        <v>1401</v>
      </c>
      <c r="EI31" s="3">
        <v>0</v>
      </c>
      <c r="EJ31" s="3">
        <v>1</v>
      </c>
      <c r="EK31" s="3">
        <v>45470</v>
      </c>
      <c r="EL31" s="3">
        <v>2.2999999999999998</v>
      </c>
      <c r="EM31" s="3">
        <v>-17.5</v>
      </c>
      <c r="EN31" s="15">
        <v>-1.55</v>
      </c>
      <c r="EO31" s="15">
        <v>0.74</v>
      </c>
      <c r="EP31" s="15">
        <v>-2.42</v>
      </c>
    </row>
    <row r="32" spans="1:146" ht="96" x14ac:dyDescent="0.25">
      <c r="C32" s="7" t="str">
        <f>""&amp;CHAR(10)&amp;Basic_Fundamental_Information_Constructure(F32)&amp;CHAR(10)&amp;Basic_Fundamental_Information_Concatenate("")</f>
        <v xml:space="preserve">
市值27.948367亿, 利润-331.57万; PE139.4; 平均PE43.3; 平均PEG10.9, PB1.91; ROIC14.76%; ROE15.85%; 股利率.4493%; 毛利64.7633%; 净利27.9033%; 上一年度营收增-83.53%, 利润增-102.63%; 当季营收增-49.44%, 利润增-117.63%; 过往5年营收增3.97%, 利润增13.98%
Income profile:
</v>
      </c>
      <c r="D32" s="3" t="s">
        <v>1255</v>
      </c>
      <c r="E32" s="3" t="s">
        <v>1298</v>
      </c>
      <c r="F32" s="3">
        <v>40.06</v>
      </c>
      <c r="G32" s="3">
        <v>-1.45</v>
      </c>
      <c r="H32" s="3" t="s">
        <v>3434</v>
      </c>
      <c r="I32" s="3">
        <v>2794836700</v>
      </c>
      <c r="J32" s="3">
        <v>139.4</v>
      </c>
      <c r="K32" s="3">
        <v>1.91</v>
      </c>
      <c r="L32" s="3" t="s">
        <v>2983</v>
      </c>
      <c r="M32" s="3" t="s">
        <v>130</v>
      </c>
      <c r="N32" s="3" t="s">
        <v>3435</v>
      </c>
      <c r="O32" s="3" t="s">
        <v>2182</v>
      </c>
      <c r="P32" s="3">
        <v>35.340000000000003</v>
      </c>
      <c r="Q32" s="3" t="s">
        <v>2182</v>
      </c>
      <c r="R32" s="3">
        <v>-3315655</v>
      </c>
      <c r="S32" s="3">
        <v>-3.7269999999999999</v>
      </c>
      <c r="T32" s="3" t="s">
        <v>3436</v>
      </c>
      <c r="U32" s="3">
        <v>24262768</v>
      </c>
      <c r="V32" s="3">
        <v>69766268</v>
      </c>
      <c r="W32" s="3">
        <v>1.08</v>
      </c>
      <c r="X32" s="3">
        <v>0.04</v>
      </c>
      <c r="Y32" s="3">
        <v>-5.93</v>
      </c>
      <c r="Z32" s="3" t="s">
        <v>3437</v>
      </c>
      <c r="AA32" s="3" t="s">
        <v>3438</v>
      </c>
      <c r="AB32" s="3" t="s">
        <v>3439</v>
      </c>
      <c r="AC32" s="3" t="s">
        <v>3440</v>
      </c>
      <c r="AD32" s="3" t="s">
        <v>22</v>
      </c>
      <c r="AE32" s="3">
        <v>-5445237</v>
      </c>
      <c r="AF32" s="3" t="s">
        <v>2184</v>
      </c>
      <c r="AG32" s="3" t="s">
        <v>3441</v>
      </c>
      <c r="AH32" s="3" t="s">
        <v>2185</v>
      </c>
      <c r="AI32" s="3" t="s">
        <v>3442</v>
      </c>
      <c r="AJ32" s="3" t="s">
        <v>2186</v>
      </c>
      <c r="AK32" s="3" t="s">
        <v>3443</v>
      </c>
      <c r="AL32" s="3" t="s">
        <v>2187</v>
      </c>
      <c r="AM32" s="3" t="s">
        <v>22</v>
      </c>
      <c r="AN32" s="3" t="s">
        <v>3444</v>
      </c>
      <c r="AO32" s="3" t="s">
        <v>22</v>
      </c>
      <c r="AP32" s="3" t="s">
        <v>3445</v>
      </c>
      <c r="AQ32" s="3" t="s">
        <v>3446</v>
      </c>
      <c r="AR32" s="3" t="s">
        <v>22</v>
      </c>
      <c r="AS32" s="3" t="s">
        <v>275</v>
      </c>
      <c r="AT32" s="3" t="s">
        <v>22</v>
      </c>
      <c r="AU32" s="3" t="s">
        <v>3447</v>
      </c>
      <c r="AV32" s="3" t="s">
        <v>3448</v>
      </c>
      <c r="AW32" s="3" t="s">
        <v>3449</v>
      </c>
      <c r="AX32" s="3" t="s">
        <v>1306</v>
      </c>
      <c r="AY32" s="3" t="s">
        <v>159</v>
      </c>
      <c r="AZ32" s="3" t="s">
        <v>258</v>
      </c>
      <c r="BA32" s="3" t="s">
        <v>177</v>
      </c>
      <c r="BB32" s="3" t="s">
        <v>107</v>
      </c>
      <c r="BC32" s="3" t="s">
        <v>176</v>
      </c>
      <c r="BD32" s="3" t="s">
        <v>318</v>
      </c>
      <c r="BE32" s="3" t="s">
        <v>1256</v>
      </c>
      <c r="BF32" s="3" t="s">
        <v>1257</v>
      </c>
      <c r="BG32" s="3" t="s">
        <v>1258</v>
      </c>
      <c r="BH32" s="3" t="s">
        <v>147</v>
      </c>
      <c r="BI32" s="3" t="s">
        <v>349</v>
      </c>
      <c r="BJ32" s="3" t="s">
        <v>1306</v>
      </c>
      <c r="BK32" s="3" t="s">
        <v>2183</v>
      </c>
      <c r="BL32" s="3" t="s">
        <v>3450</v>
      </c>
      <c r="BM32" s="3" t="s">
        <v>176</v>
      </c>
      <c r="BN32" s="3">
        <v>-0.34</v>
      </c>
      <c r="BO32" s="3">
        <v>11.55</v>
      </c>
      <c r="BP32" s="3">
        <v>33.07</v>
      </c>
      <c r="BQ32" s="3">
        <v>0.94</v>
      </c>
      <c r="BR32" s="3">
        <v>16.559999999999999</v>
      </c>
      <c r="BS32" s="3">
        <v>30.05</v>
      </c>
      <c r="BT32" s="3" t="s">
        <v>1380</v>
      </c>
      <c r="BU32" s="3" t="s">
        <v>1212</v>
      </c>
      <c r="BV32" s="3">
        <v>61.86</v>
      </c>
      <c r="BW32" s="3">
        <v>65.400000000000006</v>
      </c>
      <c r="BX32" s="3">
        <v>67.03</v>
      </c>
      <c r="BY32" s="3">
        <v>10.39</v>
      </c>
      <c r="BZ32" s="3">
        <v>36.130000000000003</v>
      </c>
      <c r="CA32" s="3">
        <v>37.19</v>
      </c>
      <c r="CB32" s="3">
        <v>-5.98</v>
      </c>
      <c r="CC32" s="10">
        <v>-2.5499999999999998</v>
      </c>
      <c r="CD32" s="11" t="s">
        <v>3451</v>
      </c>
      <c r="CE32" s="10" t="s">
        <v>3452</v>
      </c>
      <c r="CF32" s="10">
        <v>-0.49440789473684205</v>
      </c>
      <c r="CG32" s="10">
        <v>-1.1762896108039131</v>
      </c>
      <c r="CH32" s="10">
        <v>-0.83532142639160156</v>
      </c>
      <c r="CI32" s="10">
        <v>1.744186133146286E-2</v>
      </c>
      <c r="CJ32" s="11">
        <v>0.70297032594680786</v>
      </c>
      <c r="CK32" s="11">
        <v>0.36486485600471497</v>
      </c>
      <c r="CL32" s="11">
        <v>-5.128205195069313E-2</v>
      </c>
      <c r="CM32" s="11">
        <v>-1.0263150930404663</v>
      </c>
      <c r="CN32" s="11">
        <v>-1.5625E-2</v>
      </c>
      <c r="CO32" s="3">
        <v>1.1065520048141479</v>
      </c>
      <c r="CP32" s="3">
        <v>0.91438591480255127</v>
      </c>
      <c r="CQ32" s="3">
        <v>-0.27983218431472778</v>
      </c>
      <c r="CR32" s="10">
        <v>43.301665236104697</v>
      </c>
      <c r="CS32" s="11">
        <v>10.897691710779769</v>
      </c>
      <c r="CT32" s="3">
        <v>0.4493260109835247</v>
      </c>
      <c r="CU32" s="3">
        <v>3.9734712988138202E-2</v>
      </c>
      <c r="CV32" s="3">
        <v>0.13983312845230103</v>
      </c>
      <c r="CW32" s="3">
        <v>0.06</v>
      </c>
      <c r="CX32" s="3" t="e">
        <v>#VALUE!</v>
      </c>
      <c r="CY32" s="3" t="s">
        <v>1073</v>
      </c>
      <c r="CZ32" s="3">
        <v>3.9734712988138202E-2</v>
      </c>
      <c r="DA32" s="3" t="e">
        <v>#VALUE!</v>
      </c>
      <c r="DB32" s="3" t="s">
        <v>1074</v>
      </c>
      <c r="DC32" s="3">
        <v>3.7747977338731288E-2</v>
      </c>
      <c r="DD32" s="3" t="e">
        <v>#VALUE!</v>
      </c>
      <c r="DE32" s="3" t="s">
        <v>1074</v>
      </c>
      <c r="DF32" s="3">
        <v>3.4966547429561616E-2</v>
      </c>
      <c r="DG32" s="3" t="e">
        <v>#VALUE!</v>
      </c>
      <c r="DH32" s="3" t="s">
        <v>1074</v>
      </c>
      <c r="DI32" s="3">
        <v>3.1787770390510561E-2</v>
      </c>
      <c r="DJ32" s="3" t="e">
        <v>#VALUE!</v>
      </c>
      <c r="DK32" s="3" t="s">
        <v>1074</v>
      </c>
      <c r="DL32" s="3">
        <v>2.7814299091696738E-2</v>
      </c>
      <c r="DM32" s="3">
        <v>-3315700</v>
      </c>
      <c r="DN32" s="3">
        <v>3.9734712988138202E-2</v>
      </c>
      <c r="DO32" s="3">
        <v>1457836700</v>
      </c>
      <c r="DP32" s="3">
        <v>1347045600</v>
      </c>
      <c r="DQ32" s="12">
        <v>2759</v>
      </c>
      <c r="DR32" s="3">
        <v>-0.53414260772498023</v>
      </c>
      <c r="DS32" s="3">
        <v>-1.3161227392562143</v>
      </c>
      <c r="DT32" s="3">
        <v>-0.39000000000000007</v>
      </c>
      <c r="DU32" s="3">
        <v>-1.2483333333333333</v>
      </c>
      <c r="DV32" s="3">
        <v>-1.6383333333333334</v>
      </c>
      <c r="DW32" s="3">
        <v>-4.4264214046822739</v>
      </c>
      <c r="DX32" s="3">
        <v>0.22944695290075287</v>
      </c>
      <c r="DY32" s="3">
        <v>-4.033877881253666</v>
      </c>
      <c r="DZ32" s="3">
        <v>3136</v>
      </c>
      <c r="EA32" s="3">
        <v>-4.0130870719363481</v>
      </c>
      <c r="EB32" s="13">
        <v>4</v>
      </c>
      <c r="EC32" s="3">
        <v>0.10726960484685809</v>
      </c>
      <c r="ED32" s="3">
        <v>1.3502040843004532</v>
      </c>
      <c r="EE32" s="3">
        <v>8.0030099999999997</v>
      </c>
      <c r="EF32" s="3">
        <v>8.0032099999999993</v>
      </c>
      <c r="EG32" s="3">
        <v>15.079446952900753</v>
      </c>
      <c r="EH32" s="14" t="s">
        <v>3453</v>
      </c>
      <c r="EI32" s="15">
        <v>0</v>
      </c>
      <c r="EJ32" s="15">
        <v>0</v>
      </c>
      <c r="EK32" s="15">
        <v>45470</v>
      </c>
      <c r="EL32" s="15">
        <v>0.96</v>
      </c>
      <c r="EM32" s="15">
        <v>-2.0099999999999998</v>
      </c>
      <c r="EN32" s="15">
        <v>1.53</v>
      </c>
      <c r="EO32" s="15">
        <v>2.15</v>
      </c>
      <c r="EP32" s="15">
        <v>-0.02</v>
      </c>
    </row>
    <row r="33" spans="1:146" ht="96" x14ac:dyDescent="0.25">
      <c r="A33" s="3"/>
      <c r="B33" s="3"/>
      <c r="C33" s="7" t="str">
        <f>""&amp;CHAR(10)&amp;Basic_Fundamental_Information_Constructure(F33)&amp;CHAR(10)&amp;Basic_Fundamental_Information_Concatenate("")</f>
        <v xml:space="preserve">
市值138.65506亿, 利润5093.37万; PE66.37; 平均PE42.04; 平均PEG1.63, PB4.99; ROIC45.04%; ROE0%; 股利率.3037%; 毛利41.3967%; 净利20.6767%; 上一年度营收增-77.74%, 利润增-90.97%; 当季营收增-46.55%, 利润增-56.09%; 过往5年营收增25.84%, 利润增93.73%
Income profile:
</v>
      </c>
      <c r="D33" s="3" t="s">
        <v>1938</v>
      </c>
      <c r="E33" s="3" t="s">
        <v>1949</v>
      </c>
      <c r="F33" s="3">
        <v>32.93</v>
      </c>
      <c r="G33" s="3">
        <v>-1.7</v>
      </c>
      <c r="H33" s="3" t="s">
        <v>3454</v>
      </c>
      <c r="I33" s="3">
        <v>13865506000</v>
      </c>
      <c r="J33" s="3">
        <v>66.37</v>
      </c>
      <c r="K33" s="3">
        <v>4.99</v>
      </c>
      <c r="L33" s="3" t="s">
        <v>2983</v>
      </c>
      <c r="M33" s="3" t="s">
        <v>2188</v>
      </c>
      <c r="N33" s="3" t="s">
        <v>3455</v>
      </c>
      <c r="O33" s="3" t="s">
        <v>1950</v>
      </c>
      <c r="P33" s="5">
        <v>20.54</v>
      </c>
      <c r="Q33" s="3" t="s">
        <v>1950</v>
      </c>
      <c r="R33" s="3">
        <v>50933685</v>
      </c>
      <c r="S33" s="3">
        <v>9.0200000000000002E-2</v>
      </c>
      <c r="T33" s="3" t="s">
        <v>3456</v>
      </c>
      <c r="U33" s="3">
        <v>35583688</v>
      </c>
      <c r="V33" s="3">
        <v>421060000</v>
      </c>
      <c r="W33" s="3">
        <v>1.44</v>
      </c>
      <c r="X33" s="3">
        <v>0.14000000000000001</v>
      </c>
      <c r="Y33" s="3">
        <v>9.67</v>
      </c>
      <c r="Z33" s="3" t="s">
        <v>1236</v>
      </c>
      <c r="AA33" s="3" t="s">
        <v>259</v>
      </c>
      <c r="AB33" s="3" t="s">
        <v>3457</v>
      </c>
      <c r="AC33" s="3" t="s">
        <v>3458</v>
      </c>
      <c r="AD33" s="3" t="s">
        <v>22</v>
      </c>
      <c r="AE33" s="3">
        <v>-2680410</v>
      </c>
      <c r="AF33" s="3" t="s">
        <v>2189</v>
      </c>
      <c r="AG33" s="3" t="s">
        <v>3459</v>
      </c>
      <c r="AH33" s="3" t="s">
        <v>2190</v>
      </c>
      <c r="AI33" s="3" t="s">
        <v>3460</v>
      </c>
      <c r="AJ33" s="3" t="s">
        <v>2191</v>
      </c>
      <c r="AK33" s="3" t="s">
        <v>22</v>
      </c>
      <c r="AL33" s="3" t="s">
        <v>2192</v>
      </c>
      <c r="AM33" s="3" t="s">
        <v>22</v>
      </c>
      <c r="AN33" s="3" t="s">
        <v>153</v>
      </c>
      <c r="AO33" s="3" t="s">
        <v>563</v>
      </c>
      <c r="AP33" s="3" t="s">
        <v>22</v>
      </c>
      <c r="AQ33" s="3" t="s">
        <v>170</v>
      </c>
      <c r="AR33" s="3" t="s">
        <v>22</v>
      </c>
      <c r="AS33" s="3" t="s">
        <v>292</v>
      </c>
      <c r="AT33" s="3" t="s">
        <v>319</v>
      </c>
      <c r="AU33" s="3" t="s">
        <v>3461</v>
      </c>
      <c r="AV33" s="3" t="s">
        <v>3462</v>
      </c>
      <c r="AW33" s="3" t="s">
        <v>2048</v>
      </c>
      <c r="AX33" s="3" t="s">
        <v>1530</v>
      </c>
      <c r="AY33" s="3" t="s">
        <v>2193</v>
      </c>
      <c r="AZ33" s="3" t="s">
        <v>2194</v>
      </c>
      <c r="BA33" s="3" t="s">
        <v>1761</v>
      </c>
      <c r="BB33" s="3" t="s">
        <v>22</v>
      </c>
      <c r="BC33" s="3" t="s">
        <v>203</v>
      </c>
      <c r="BD33" s="3" t="s">
        <v>1223</v>
      </c>
      <c r="BE33" s="3" t="s">
        <v>215</v>
      </c>
      <c r="BF33" s="3" t="s">
        <v>2195</v>
      </c>
      <c r="BG33" s="3" t="s">
        <v>22</v>
      </c>
      <c r="BH33" s="3" t="s">
        <v>1858</v>
      </c>
      <c r="BI33" s="3" t="s">
        <v>792</v>
      </c>
      <c r="BJ33" s="3" t="s">
        <v>1530</v>
      </c>
      <c r="BK33" s="3" t="s">
        <v>227</v>
      </c>
      <c r="BL33" s="3" t="s">
        <v>118</v>
      </c>
      <c r="BM33" s="3" t="s">
        <v>203</v>
      </c>
      <c r="BN33" s="3" t="s">
        <v>22</v>
      </c>
      <c r="BO33" s="3">
        <v>29.25</v>
      </c>
      <c r="BP33" s="3">
        <v>60.83</v>
      </c>
      <c r="BQ33" s="3" t="s">
        <v>22</v>
      </c>
      <c r="BR33" s="3" t="s">
        <v>22</v>
      </c>
      <c r="BS33" s="3" t="s">
        <v>22</v>
      </c>
      <c r="BT33" s="3" t="s">
        <v>1369</v>
      </c>
      <c r="BU33" s="3" t="s">
        <v>2998</v>
      </c>
      <c r="BV33" s="3">
        <v>36.46</v>
      </c>
      <c r="BW33" s="3">
        <v>41</v>
      </c>
      <c r="BX33" s="3">
        <v>46.73</v>
      </c>
      <c r="BY33" s="3">
        <v>10.130000000000001</v>
      </c>
      <c r="BZ33" s="3">
        <v>23.84</v>
      </c>
      <c r="CA33" s="3">
        <v>28.06</v>
      </c>
      <c r="CB33" s="3">
        <v>-6.05</v>
      </c>
      <c r="CC33" s="10">
        <v>-15.02</v>
      </c>
      <c r="CD33" s="11" t="s">
        <v>3463</v>
      </c>
      <c r="CE33" s="10" t="s">
        <v>178</v>
      </c>
      <c r="CF33" s="10">
        <v>-0.46551724137931039</v>
      </c>
      <c r="CG33" s="10">
        <v>-0.56091650862068965</v>
      </c>
      <c r="CH33" s="10">
        <v>-0.77744930982589722</v>
      </c>
      <c r="CI33" s="10">
        <v>-0.11839170008897781</v>
      </c>
      <c r="CJ33" s="11">
        <v>1.2514671087265015</v>
      </c>
      <c r="CK33" s="11">
        <v>0.67791831493377686</v>
      </c>
      <c r="CL33" s="11" t="s">
        <v>22</v>
      </c>
      <c r="CM33" s="11">
        <v>-0.90969204902648926</v>
      </c>
      <c r="CN33" s="11">
        <v>-0.25198939442634583</v>
      </c>
      <c r="CO33" s="3">
        <v>2.4746544361114502</v>
      </c>
      <c r="CP33" s="3">
        <v>2.4363064765930176</v>
      </c>
      <c r="CQ33" s="3" t="s">
        <v>22</v>
      </c>
      <c r="CR33" s="10">
        <v>42.040051473458369</v>
      </c>
      <c r="CS33" s="11">
        <v>1.6270244767174271</v>
      </c>
      <c r="CT33" s="3">
        <v>0.30367446097783174</v>
      </c>
      <c r="CU33" s="3">
        <v>0.25838610343635082</v>
      </c>
      <c r="CV33" s="3">
        <v>0.93731986731290817</v>
      </c>
      <c r="CW33" s="3">
        <v>0.06</v>
      </c>
      <c r="CX33" s="3">
        <v>205.72632093883149</v>
      </c>
      <c r="CY33" s="3">
        <v>60466283.279807605</v>
      </c>
      <c r="CZ33" s="3">
        <v>0.25838610343635082</v>
      </c>
      <c r="DA33" s="3">
        <v>58.461302091738887</v>
      </c>
      <c r="DB33" s="3">
        <v>212781883.99703494</v>
      </c>
      <c r="DC33" s="3">
        <v>0.24546679826453327</v>
      </c>
      <c r="DD33" s="3">
        <v>23.619244359974338</v>
      </c>
      <c r="DE33" s="3">
        <v>526668246.04601848</v>
      </c>
      <c r="DF33" s="3">
        <v>0.22737977102398874</v>
      </c>
      <c r="DG33" s="3">
        <v>11.180943300438393</v>
      </c>
      <c r="DH33" s="3">
        <v>1112563194.8703523</v>
      </c>
      <c r="DI33" s="3">
        <v>0.20670888274908067</v>
      </c>
      <c r="DJ33" s="3">
        <v>3.2600520952221044</v>
      </c>
      <c r="DK33" s="3">
        <v>3815738410.5092063</v>
      </c>
      <c r="DL33" s="3">
        <v>0.18087027240544556</v>
      </c>
      <c r="DM33" s="3">
        <v>50933700</v>
      </c>
      <c r="DN33" s="3">
        <v>0.25838610343635082</v>
      </c>
      <c r="DO33" s="3">
        <v>12439506000</v>
      </c>
      <c r="DP33" s="3">
        <v>1472927400</v>
      </c>
      <c r="DQ33" s="12">
        <v>2826</v>
      </c>
      <c r="DR33" s="3">
        <v>-0.72390334481566121</v>
      </c>
      <c r="DS33" s="3">
        <v>-1.4982363759335979</v>
      </c>
      <c r="DT33" s="3">
        <v>-0.32800000000000001</v>
      </c>
      <c r="DU33" s="3">
        <v>5.4199999999999936E-2</v>
      </c>
      <c r="DV33" s="3">
        <v>-0.2738000000000001</v>
      </c>
      <c r="DW33" s="3">
        <v>-9.4027962716378166</v>
      </c>
      <c r="DX33" s="3">
        <v>0.27820582959641144</v>
      </c>
      <c r="DY33" s="3">
        <v>-9.0355289792981548</v>
      </c>
      <c r="DZ33" s="3">
        <v>521</v>
      </c>
      <c r="EA33" s="3">
        <v>-9.0319065530331173</v>
      </c>
      <c r="EB33" s="13">
        <v>9</v>
      </c>
      <c r="EC33" s="13">
        <v>4.6715194984087778E-2</v>
      </c>
      <c r="ED33" s="3">
        <v>0.52961573172469478</v>
      </c>
      <c r="EE33" s="3">
        <v>9.0592100000000002</v>
      </c>
      <c r="EF33" s="3">
        <v>9.0789100000000005</v>
      </c>
      <c r="EG33" s="3">
        <v>19.088205829596411</v>
      </c>
      <c r="EH33" s="14" t="s">
        <v>3464</v>
      </c>
      <c r="EI33" s="3">
        <v>0</v>
      </c>
      <c r="EJ33" s="3">
        <v>1</v>
      </c>
      <c r="EK33" s="3">
        <v>45470</v>
      </c>
      <c r="EL33" s="3">
        <v>-0.27</v>
      </c>
      <c r="EM33" s="3">
        <v>-5.0999999999999996</v>
      </c>
      <c r="EN33" s="15">
        <v>3.43</v>
      </c>
      <c r="EO33" s="15">
        <v>3.6</v>
      </c>
      <c r="EP33" s="15">
        <v>-1.97</v>
      </c>
    </row>
    <row r="34" spans="1:146" ht="192" x14ac:dyDescent="0.25">
      <c r="A34" s="7" t="s">
        <v>1097</v>
      </c>
      <c r="B34" s="7" t="s">
        <v>1098</v>
      </c>
      <c r="C34" s="7" t="str">
        <f>"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amp;CHAR(10)&amp;Basic_Fundamental_Information_Constructure(C34)&amp;CHAR(10)&amp;Basic_Fundamental_Information_Concatenate("集成电路产品 14.24亿 70.34% 83.64% 40.58%
集成电路贸易 5.36亿 26.50% 8.35% 10.75%
其他业务 6397.86万 3.16% 8.01% 86.51%")</f>
        <v>公司是集成电路设计企业，提供模拟和数模混合集成电路及系统解决方案。公司集成电路产品业务布局在功率链（电源管理、功率器件业务）和信号链（数据转换器、电力专用芯片、物联网前端、非挥发存储器、标准信号产品业务）2 大类、7 个细分产品领域，主要目标市场为网络通信、手机、机顶盒、液晶电视、高端及便携式医疗设备、安防设备、工控设备、智能电表、智能穿戴、物联网、5G、汽车电子等应用市场。
市值133.277581亿, 利润-6021.98万; PE; 平均PE40.15; 平均PEG1.69, PB3.26; ROIC13.68%; ROE9.5567%; 股利率.5319%; 毛利32.8567%; 净利15.6167%; 上一年度营收增4.55%, 利润增-115.09%; 当季营收增11.9%, 利润增12.41%; 过往5年营收增23.77%, 利润增12.23%
Income profile:
集成电路产品 14.24亿 70.34% 83.64% 40.58%
集成电路贸易 5.36亿 26.50% 8.35% 10.75%
其他业务 6397.86万 3.16% 8.01% 86.51%</v>
      </c>
      <c r="D34" s="3" t="s">
        <v>57</v>
      </c>
      <c r="E34" s="3" t="s">
        <v>7</v>
      </c>
      <c r="F34" s="3">
        <v>15.97</v>
      </c>
      <c r="G34" s="3">
        <v>0.76</v>
      </c>
      <c r="H34" s="3" t="s">
        <v>3465</v>
      </c>
      <c r="I34" s="3">
        <v>11321505100</v>
      </c>
      <c r="K34" s="3">
        <v>2.77</v>
      </c>
      <c r="L34" s="3" t="s">
        <v>2983</v>
      </c>
      <c r="M34" s="3" t="s">
        <v>2196</v>
      </c>
      <c r="N34" s="3" t="s">
        <v>3466</v>
      </c>
      <c r="O34" s="3" t="s">
        <v>898</v>
      </c>
      <c r="P34" s="3">
        <v>12.08</v>
      </c>
      <c r="Q34" s="3" t="s">
        <v>898</v>
      </c>
      <c r="R34" s="3">
        <v>36899127</v>
      </c>
      <c r="S34" s="5">
        <v>0.1241</v>
      </c>
      <c r="T34" s="3" t="s">
        <v>3467</v>
      </c>
      <c r="U34" s="3">
        <v>708923300</v>
      </c>
      <c r="V34" s="3">
        <v>708923300</v>
      </c>
      <c r="W34" s="3">
        <v>1.18</v>
      </c>
      <c r="X34" s="3" t="s">
        <v>22</v>
      </c>
      <c r="Y34" s="3">
        <v>8.34</v>
      </c>
      <c r="Z34" s="3" t="s">
        <v>22</v>
      </c>
      <c r="AA34" s="3" t="s">
        <v>22</v>
      </c>
      <c r="AB34" s="3" t="s">
        <v>22</v>
      </c>
      <c r="AC34" s="3" t="s">
        <v>22</v>
      </c>
      <c r="AD34" s="3" t="s">
        <v>22</v>
      </c>
      <c r="AE34" s="3">
        <v>-7177086</v>
      </c>
      <c r="AF34" s="3" t="s">
        <v>2199</v>
      </c>
      <c r="AG34" s="3" t="s">
        <v>3468</v>
      </c>
      <c r="AH34" s="3" t="s">
        <v>2200</v>
      </c>
      <c r="AI34" s="3" t="s">
        <v>1049</v>
      </c>
      <c r="AJ34" s="3" t="s">
        <v>2201</v>
      </c>
      <c r="AK34" s="3" t="s">
        <v>22</v>
      </c>
      <c r="AL34" s="3" t="s">
        <v>2202</v>
      </c>
      <c r="AM34" s="3" t="s">
        <v>22</v>
      </c>
      <c r="AN34" s="3" t="s">
        <v>3469</v>
      </c>
      <c r="AO34" s="3" t="s">
        <v>22</v>
      </c>
      <c r="AP34" s="3" t="s">
        <v>3470</v>
      </c>
      <c r="AQ34" s="3" t="s">
        <v>148</v>
      </c>
      <c r="AR34" s="3" t="s">
        <v>3471</v>
      </c>
      <c r="AS34" s="3" t="s">
        <v>22</v>
      </c>
      <c r="AT34" s="3" t="s">
        <v>22</v>
      </c>
      <c r="AU34" s="3" t="s">
        <v>3472</v>
      </c>
      <c r="AV34" s="3" t="s">
        <v>130</v>
      </c>
      <c r="AW34" s="3" t="s">
        <v>3473</v>
      </c>
      <c r="AX34" s="3" t="s">
        <v>1300</v>
      </c>
      <c r="AY34" s="3" t="s">
        <v>22</v>
      </c>
      <c r="AZ34" s="3" t="s">
        <v>586</v>
      </c>
      <c r="BA34" s="3" t="s">
        <v>392</v>
      </c>
      <c r="BB34" s="3" t="s">
        <v>442</v>
      </c>
      <c r="BC34" s="3" t="s">
        <v>316</v>
      </c>
      <c r="BD34" s="3" t="s">
        <v>22</v>
      </c>
      <c r="BE34" s="3" t="s">
        <v>22</v>
      </c>
      <c r="BF34" s="3" t="s">
        <v>22</v>
      </c>
      <c r="BG34" s="3" t="s">
        <v>22</v>
      </c>
      <c r="BH34" s="3" t="s">
        <v>990</v>
      </c>
      <c r="BI34" s="3" t="s">
        <v>3474</v>
      </c>
      <c r="BJ34" s="3" t="s">
        <v>1300</v>
      </c>
      <c r="BK34" s="3" t="s">
        <v>2197</v>
      </c>
      <c r="BL34" s="3" t="s">
        <v>3475</v>
      </c>
      <c r="BM34" s="3" t="s">
        <v>316</v>
      </c>
      <c r="BN34" s="3" t="s">
        <v>22</v>
      </c>
      <c r="BO34" s="3">
        <v>8.66</v>
      </c>
      <c r="BP34" s="3">
        <v>18.7</v>
      </c>
      <c r="BQ34" s="3">
        <v>-3.18</v>
      </c>
      <c r="BR34" s="3">
        <v>9.8800000000000008</v>
      </c>
      <c r="BS34" s="3">
        <v>20.32</v>
      </c>
      <c r="BT34" s="3" t="s">
        <v>1369</v>
      </c>
      <c r="BU34" s="3" t="s">
        <v>3311</v>
      </c>
      <c r="BV34" s="3">
        <v>29.47</v>
      </c>
      <c r="BW34" s="3">
        <v>34.090000000000003</v>
      </c>
      <c r="BX34" s="3">
        <v>34.130000000000003</v>
      </c>
      <c r="BY34" s="3">
        <v>-2.82</v>
      </c>
      <c r="BZ34" s="3">
        <v>19.55</v>
      </c>
      <c r="CA34" s="3">
        <v>36.43</v>
      </c>
      <c r="CB34" s="3">
        <v>-4.26</v>
      </c>
      <c r="CC34" s="3">
        <v>32.42</v>
      </c>
      <c r="CD34" s="3" t="s">
        <v>518</v>
      </c>
      <c r="CE34" s="3" t="s">
        <v>3476</v>
      </c>
      <c r="CF34" s="10">
        <v>-0.49369988545246279</v>
      </c>
      <c r="CG34" s="11">
        <v>1.5829273598453073</v>
      </c>
      <c r="CH34" s="10">
        <v>-0.78375732898712158</v>
      </c>
      <c r="CI34" s="10" t="s">
        <v>22</v>
      </c>
      <c r="CJ34" s="10" t="s">
        <v>22</v>
      </c>
      <c r="CK34" s="10">
        <v>0.21311475336551666</v>
      </c>
      <c r="CL34" s="10">
        <v>0.40051019191741943</v>
      </c>
      <c r="CM34" s="11">
        <v>-0.90752106904983521</v>
      </c>
      <c r="CN34" s="11" t="s">
        <v>22</v>
      </c>
      <c r="CO34" s="11" t="s">
        <v>22</v>
      </c>
      <c r="CP34" s="11" t="s">
        <v>22</v>
      </c>
      <c r="CQ34" s="11" t="s">
        <v>22</v>
      </c>
      <c r="CR34" s="3">
        <v>51.945530972649408</v>
      </c>
      <c r="CS34" s="3">
        <v>9.1597254752455708</v>
      </c>
      <c r="CT34" s="3">
        <v>0.6261740763932373</v>
      </c>
      <c r="CU34" s="10">
        <v>-5.6710794568061829E-2</v>
      </c>
      <c r="CV34" s="11">
        <v>-0.90752106904983521</v>
      </c>
      <c r="CW34" s="3">
        <v>0.06</v>
      </c>
      <c r="CX34" s="3">
        <v>217.68837451319951</v>
      </c>
      <c r="CY34" s="3" t="s">
        <v>3477</v>
      </c>
      <c r="CZ34" s="3">
        <v>-5.6710794568061829E-2</v>
      </c>
      <c r="DA34" s="3">
        <v>72.56279150439984</v>
      </c>
      <c r="DB34" s="3" t="s">
        <v>3478</v>
      </c>
      <c r="DC34" s="3">
        <v>-5.3875254839658736E-2</v>
      </c>
      <c r="DD34" s="3">
        <v>36.28139575219992</v>
      </c>
      <c r="DE34" s="3" t="s">
        <v>3479</v>
      </c>
      <c r="DF34" s="3">
        <v>-4.9905499219894407E-2</v>
      </c>
      <c r="DG34" s="3">
        <v>21.76883745131995</v>
      </c>
      <c r="DH34" s="3" t="s">
        <v>3480</v>
      </c>
      <c r="DI34" s="3">
        <v>-4.5368635654449464E-2</v>
      </c>
      <c r="DJ34" s="3">
        <v>10.884418725659975</v>
      </c>
      <c r="DK34" s="3" t="s">
        <v>3481</v>
      </c>
      <c r="DL34" s="3">
        <v>-3.9697556197643279E-2</v>
      </c>
      <c r="DM34" s="3">
        <v>36899100</v>
      </c>
      <c r="DN34" s="3">
        <v>-5.6710794568061829E-2</v>
      </c>
      <c r="DO34" s="3">
        <v>8032505100</v>
      </c>
      <c r="DP34" s="3">
        <v>2624603900</v>
      </c>
      <c r="DQ34" s="3">
        <v>2976</v>
      </c>
      <c r="DR34" s="3">
        <v>-0.43698909088440097</v>
      </c>
      <c r="DS34" s="3">
        <v>2.4904484288951423</v>
      </c>
      <c r="DT34" s="12">
        <v>-1.1599999999999999</v>
      </c>
      <c r="DU34" s="3">
        <v>-2.3199999999999998</v>
      </c>
      <c r="DV34" s="3">
        <v>-3.4799999999999995</v>
      </c>
      <c r="DW34" s="3">
        <v>-6.1161395856052341</v>
      </c>
      <c r="DX34" s="3">
        <v>0.30750492039375299</v>
      </c>
      <c r="DY34" s="3">
        <v>-6.0113241810490017</v>
      </c>
      <c r="DZ34" s="3">
        <v>2693</v>
      </c>
      <c r="EA34" s="3">
        <v>-6.0053562711537056</v>
      </c>
      <c r="EB34" s="3">
        <v>6</v>
      </c>
      <c r="EC34" s="3">
        <v>0.41894518067046183</v>
      </c>
      <c r="ED34" s="3">
        <v>4.2966566340815717</v>
      </c>
      <c r="EE34" s="13">
        <v>-1.0680000000000001</v>
      </c>
      <c r="EF34" s="3">
        <v>-1.0588</v>
      </c>
      <c r="EG34" s="3">
        <v>21.097504920393753</v>
      </c>
      <c r="EH34" s="3" t="s">
        <v>1929</v>
      </c>
      <c r="EI34" s="3">
        <v>0</v>
      </c>
      <c r="EJ34" s="3">
        <v>0</v>
      </c>
      <c r="EK34" s="14">
        <v>45470</v>
      </c>
      <c r="EL34" s="15">
        <v>0.46</v>
      </c>
      <c r="EM34" s="15">
        <v>-1.38</v>
      </c>
      <c r="EN34" s="15">
        <v>0.93</v>
      </c>
      <c r="EO34" s="15">
        <v>0.93</v>
      </c>
      <c r="EP34" s="15">
        <v>-0.92</v>
      </c>
    </row>
    <row r="35" spans="1:146" ht="216" x14ac:dyDescent="0.25">
      <c r="B35" s="7" t="s">
        <v>1934</v>
      </c>
      <c r="C35" s="7" t="str">
        <f>"公司主要从事电子薄膜及贵金属材料、稀土材料、红外光学及光电材料、生物医用材料研究、开发、生产、销售。主要产品有集成电路用薄膜材料、贵金属、稀土金属、磁性材料及磁、特种红外光学、发光材料、生物医用材料及口腔医疗器械。"&amp;CHAR(10)&amp;Basic_Fundamental_Information_Constructure(F35)&amp;CHAR(10)&amp;Basic_Fundamental_Information_Concatenate("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f>
        <v>公司主要从事电子薄膜及贵金属材料、稀土材料、红外光学及光电材料、生物医用材料研究、开发、生产、销售。主要产品有集成电路用薄膜材料、贵金属、稀土金属、磁性材料及磁、特种红外光学、发光材料、生物医用材料及口腔医疗器械。
市值73.311519亿, 利润45.54万; PE38.97; 平均PE54.21; 平均PEG2.8, PB1.89; ROIC5.51%; ROE6.2333%; 股利率1.5935%; 毛利5.2933%; 净利1.81%; 上一年度营收增-85.17%, 利润增-99.83%; 当季营收增-59.95%, 利润增-99.14%; 过往5年营收增19.37%, 利润增-99.83%
Income profile:
铂族 93.47亿 61.28% 1.39亿 18.01% 1.49%
稀土材料 39.89亿 26.15% 2.67亿 34.56% 6.68%
薄膜材料 9.43亿 6.18% 2.05亿 26.55% 21.72%
贵金属、有色金属及高端制造 6.16亿 4.04% 5319.70万 6.90% 8.64%
红外光学、光纤光电材料 2.55亿 1.67% 8012.04万 10.38% 31.47%
医疗器械材料 5777.44万 0.38% 2445.35万 3.17% 42.33%</v>
      </c>
      <c r="D35" s="3" t="s">
        <v>781</v>
      </c>
      <c r="E35" s="3" t="s">
        <v>3482</v>
      </c>
      <c r="F35" s="3">
        <v>8.66</v>
      </c>
      <c r="G35" s="3">
        <v>0.35</v>
      </c>
      <c r="H35" s="3" t="s">
        <v>3483</v>
      </c>
      <c r="I35" s="3">
        <v>7331151900</v>
      </c>
      <c r="J35" s="3">
        <v>38.97</v>
      </c>
      <c r="K35" s="3">
        <v>1.89</v>
      </c>
      <c r="L35" s="3" t="s">
        <v>2983</v>
      </c>
      <c r="M35" s="3" t="s">
        <v>2203</v>
      </c>
      <c r="N35" s="3" t="s">
        <v>3484</v>
      </c>
      <c r="O35" s="3" t="s">
        <v>2204</v>
      </c>
      <c r="P35" s="3">
        <v>-25.21</v>
      </c>
      <c r="Q35" s="3" t="s">
        <v>2204</v>
      </c>
      <c r="R35" s="3">
        <v>455360</v>
      </c>
      <c r="S35" s="5">
        <v>-0.98829999999999996</v>
      </c>
      <c r="T35" s="3" t="s">
        <v>3485</v>
      </c>
      <c r="U35" s="3">
        <v>846553330</v>
      </c>
      <c r="V35" s="3">
        <v>846553330</v>
      </c>
      <c r="W35" s="3">
        <v>1.51</v>
      </c>
      <c r="X35" s="3" t="s">
        <v>22</v>
      </c>
      <c r="Y35" s="3">
        <v>-0.63</v>
      </c>
      <c r="Z35" s="3" t="s">
        <v>22</v>
      </c>
      <c r="AA35" s="3" t="s">
        <v>22</v>
      </c>
      <c r="AB35" s="3" t="s">
        <v>22</v>
      </c>
      <c r="AC35" s="3" t="s">
        <v>22</v>
      </c>
      <c r="AD35" s="3" t="s">
        <v>22</v>
      </c>
      <c r="AE35" s="3">
        <v>5923610</v>
      </c>
      <c r="AF35" s="3" t="s">
        <v>2206</v>
      </c>
      <c r="AG35" s="3">
        <v>6717.03</v>
      </c>
      <c r="AH35" s="3" t="s">
        <v>2207</v>
      </c>
      <c r="AI35" s="3" t="s">
        <v>3486</v>
      </c>
      <c r="AJ35" s="3" t="s">
        <v>2208</v>
      </c>
      <c r="AK35" s="3" t="s">
        <v>22</v>
      </c>
      <c r="AL35" s="3" t="s">
        <v>2209</v>
      </c>
      <c r="AM35" s="3" t="s">
        <v>22</v>
      </c>
      <c r="AN35" s="3" t="s">
        <v>317</v>
      </c>
      <c r="AO35" s="3" t="s">
        <v>22</v>
      </c>
      <c r="AP35" s="3" t="s">
        <v>3487</v>
      </c>
      <c r="AQ35" s="3" t="s">
        <v>341</v>
      </c>
      <c r="AR35" s="3" t="s">
        <v>22</v>
      </c>
      <c r="AS35" s="3" t="s">
        <v>22</v>
      </c>
      <c r="AT35" s="3" t="s">
        <v>22</v>
      </c>
      <c r="AU35" s="3" t="s">
        <v>2366</v>
      </c>
      <c r="AV35" s="3" t="s">
        <v>3488</v>
      </c>
      <c r="AW35" s="3" t="s">
        <v>442</v>
      </c>
      <c r="AX35" s="3" t="s">
        <v>1571</v>
      </c>
      <c r="AY35" s="3" t="s">
        <v>22</v>
      </c>
      <c r="AZ35" s="3" t="s">
        <v>782</v>
      </c>
      <c r="BA35" s="3" t="s">
        <v>783</v>
      </c>
      <c r="BB35" s="3" t="s">
        <v>784</v>
      </c>
      <c r="BC35" s="3" t="s">
        <v>366</v>
      </c>
      <c r="BD35" s="3" t="s">
        <v>22</v>
      </c>
      <c r="BE35" s="3" t="s">
        <v>22</v>
      </c>
      <c r="BF35" s="3" t="s">
        <v>22</v>
      </c>
      <c r="BG35" s="3" t="s">
        <v>22</v>
      </c>
      <c r="BH35" s="3" t="s">
        <v>2205</v>
      </c>
      <c r="BI35" s="3" t="s">
        <v>3489</v>
      </c>
      <c r="BJ35" s="3" t="s">
        <v>1571</v>
      </c>
      <c r="BK35" s="3" t="s">
        <v>441</v>
      </c>
      <c r="BL35" s="3" t="s">
        <v>3490</v>
      </c>
      <c r="BM35" s="3" t="s">
        <v>366</v>
      </c>
      <c r="BN35" s="3">
        <v>2.97</v>
      </c>
      <c r="BO35" s="3">
        <v>6.87</v>
      </c>
      <c r="BP35" s="3">
        <v>6.69</v>
      </c>
      <c r="BQ35" s="3">
        <v>3.81</v>
      </c>
      <c r="BR35" s="3">
        <v>7.7</v>
      </c>
      <c r="BS35" s="3">
        <v>7.19</v>
      </c>
      <c r="BT35" s="3" t="s">
        <v>2210</v>
      </c>
      <c r="BU35" s="3" t="s">
        <v>1211</v>
      </c>
      <c r="BV35" s="3">
        <v>6.49</v>
      </c>
      <c r="BW35" s="3">
        <v>5.0599999999999996</v>
      </c>
      <c r="BX35" s="3">
        <v>4.33</v>
      </c>
      <c r="BY35" s="3">
        <v>1.98</v>
      </c>
      <c r="BZ35" s="3">
        <v>1.89</v>
      </c>
      <c r="CA35" s="3">
        <v>1.56</v>
      </c>
      <c r="CB35" s="3">
        <v>-2.7</v>
      </c>
      <c r="CC35" s="3">
        <v>-7.4</v>
      </c>
      <c r="CD35" s="3" t="s">
        <v>3491</v>
      </c>
      <c r="CE35" s="3" t="s">
        <v>369</v>
      </c>
      <c r="CF35" s="10">
        <v>-0.5995042492917847</v>
      </c>
      <c r="CG35" s="11">
        <v>-0.99138520448220602</v>
      </c>
      <c r="CH35" s="10">
        <v>-0.85171103477478027</v>
      </c>
      <c r="CI35" s="10" t="s">
        <v>22</v>
      </c>
      <c r="CJ35" s="10" t="s">
        <v>22</v>
      </c>
      <c r="CK35" s="10">
        <v>0.2408151775598526</v>
      </c>
      <c r="CL35" s="10">
        <v>1.192113995552063</v>
      </c>
      <c r="CM35" s="11">
        <v>-0.99831336736679077</v>
      </c>
      <c r="CN35" s="11" t="s">
        <v>22</v>
      </c>
      <c r="CO35" s="11" t="s">
        <v>22</v>
      </c>
      <c r="CP35" s="11" t="s">
        <v>22</v>
      </c>
      <c r="CQ35" s="11" t="s">
        <v>22</v>
      </c>
      <c r="CR35" s="3">
        <v>54.213388972821399</v>
      </c>
      <c r="CS35" s="3">
        <v>2.7982637875648138</v>
      </c>
      <c r="CT35" s="3">
        <v>1.5935334872979214</v>
      </c>
      <c r="CU35" s="10">
        <v>0.19373937944571176</v>
      </c>
      <c r="CV35" s="11">
        <v>-0.99831336736679077</v>
      </c>
      <c r="CW35" s="3">
        <v>0.06</v>
      </c>
      <c r="CX35" s="3">
        <v>9622.8528046574447</v>
      </c>
      <c r="CY35" s="3">
        <v>512857.46547129919</v>
      </c>
      <c r="CZ35" s="3">
        <v>0.19373937944571176</v>
      </c>
      <c r="DA35" s="3">
        <v>2883.266232259019</v>
      </c>
      <c r="DB35" s="3">
        <v>1711653.2093997241</v>
      </c>
      <c r="DC35" s="3">
        <v>0.18405241047342616</v>
      </c>
      <c r="DD35" s="3">
        <v>1258.4354785892465</v>
      </c>
      <c r="DE35" s="3">
        <v>3921656.6792383278</v>
      </c>
      <c r="DF35" s="3">
        <v>0.17049065391222634</v>
      </c>
      <c r="DG35" s="3">
        <v>655.83071985872084</v>
      </c>
      <c r="DH35" s="3">
        <v>7525039.2373555349</v>
      </c>
      <c r="DI35" s="3">
        <v>0.15499150355656943</v>
      </c>
      <c r="DJ35" s="3">
        <v>243.16269384816817</v>
      </c>
      <c r="DK35" s="3">
        <v>20295678.674630616</v>
      </c>
      <c r="DL35" s="3">
        <v>0.13561756561199823</v>
      </c>
      <c r="DM35" s="3">
        <v>455400</v>
      </c>
      <c r="DN35" s="3">
        <v>0.19373937944571176</v>
      </c>
      <c r="DO35" s="3">
        <v>4935151900</v>
      </c>
      <c r="DP35" s="3">
        <v>4986157100</v>
      </c>
      <c r="DQ35" s="3">
        <v>3005</v>
      </c>
      <c r="DR35" s="3">
        <v>-0.79324362873749643</v>
      </c>
      <c r="DS35" s="3">
        <v>6.9281628845847543E-3</v>
      </c>
      <c r="DT35" s="12">
        <v>-1.1599999999999999</v>
      </c>
      <c r="DU35" s="3">
        <v>-2.3199999999999998</v>
      </c>
      <c r="DV35" s="3">
        <v>-3.4799999999999995</v>
      </c>
      <c r="DW35" s="3">
        <v>-8.3648648648648649</v>
      </c>
      <c r="DX35" s="3">
        <v>0.26619067524115836</v>
      </c>
      <c r="DY35" s="3">
        <v>-8.0460425436690706</v>
      </c>
      <c r="DZ35" s="3">
        <v>4979</v>
      </c>
      <c r="EA35" s="3">
        <v>-8.0011803470099121</v>
      </c>
      <c r="EB35" s="3">
        <v>8</v>
      </c>
      <c r="EC35" s="3">
        <v>4.6358922242973159E-2</v>
      </c>
      <c r="ED35" s="3">
        <v>0.36737201187313268</v>
      </c>
      <c r="EE35" s="13">
        <v>2.0499999999999998</v>
      </c>
      <c r="EF35" s="3">
        <v>2.0419</v>
      </c>
      <c r="EG35" s="3">
        <v>14.126190675241158</v>
      </c>
      <c r="EH35" s="3" t="s">
        <v>1397</v>
      </c>
      <c r="EI35" s="3">
        <v>0</v>
      </c>
      <c r="EJ35" s="3">
        <v>0</v>
      </c>
      <c r="EK35" s="14">
        <v>45470</v>
      </c>
      <c r="EL35" s="15">
        <v>0.49</v>
      </c>
      <c r="EM35" s="15">
        <v>-2.2799999999999998</v>
      </c>
      <c r="EN35" s="15">
        <v>0</v>
      </c>
      <c r="EO35" s="15">
        <v>3.51</v>
      </c>
      <c r="EP35" s="15">
        <v>-0.81</v>
      </c>
    </row>
    <row r="36" spans="1:146" ht="96" x14ac:dyDescent="0.25">
      <c r="C36" s="7" t="str">
        <f>""&amp;CHAR(10)&amp;Basic_Fundamental_Information_Constructure(F36)&amp;CHAR(10)&amp;Basic_Fundamental_Information_Concatenate("")</f>
        <v xml:space="preserve">
市值28.232682亿, 利润1555.30万; PE59.8; 平均PE42.94; 平均PEG3.77, PB.861; ROIC2.7433%; ROE2.0367%; 股利率.3946%; 毛利22.0267%; 净利3.5067%; 上一年度营收增-74.6%, 利润增-73.07%; 当季营收增-43.05%, 利润增52.52%; 过往5年营收增-11.39%, 利润增6%
Income profile:
</v>
      </c>
      <c r="D36" s="3" t="s">
        <v>58</v>
      </c>
      <c r="E36" s="3" t="s">
        <v>2956</v>
      </c>
      <c r="F36" s="3">
        <v>2.94</v>
      </c>
      <c r="G36" s="3">
        <v>4.26</v>
      </c>
      <c r="H36" s="3" t="s">
        <v>3492</v>
      </c>
      <c r="I36" s="3">
        <v>2823268200</v>
      </c>
      <c r="J36" s="3">
        <v>59.8</v>
      </c>
      <c r="K36" s="3">
        <v>0.86099999999999999</v>
      </c>
      <c r="L36" s="3" t="s">
        <v>2983</v>
      </c>
      <c r="M36" s="3" t="s">
        <v>2212</v>
      </c>
      <c r="N36" s="3" t="s">
        <v>3493</v>
      </c>
      <c r="O36" s="3" t="s">
        <v>1859</v>
      </c>
      <c r="P36" s="3">
        <v>20.100000000000001</v>
      </c>
      <c r="Q36" s="3" t="s">
        <v>1859</v>
      </c>
      <c r="R36" s="3">
        <v>15553048</v>
      </c>
      <c r="S36" s="5">
        <v>1.9830000000000001</v>
      </c>
      <c r="T36" s="3" t="s">
        <v>3494</v>
      </c>
      <c r="U36" s="3">
        <v>960295300</v>
      </c>
      <c r="V36" s="3">
        <v>960295300</v>
      </c>
      <c r="W36" s="3">
        <v>2.16</v>
      </c>
      <c r="X36" s="3">
        <v>7.0000000000000007E-2</v>
      </c>
      <c r="Y36" s="3">
        <v>3.47</v>
      </c>
      <c r="Z36" s="3" t="s">
        <v>1970</v>
      </c>
      <c r="AA36" s="3" t="s">
        <v>1240</v>
      </c>
      <c r="AB36" s="3" t="s">
        <v>3495</v>
      </c>
      <c r="AC36" s="3" t="s">
        <v>3496</v>
      </c>
      <c r="AD36" s="3" t="s">
        <v>22</v>
      </c>
      <c r="AE36" s="3">
        <v>25670636</v>
      </c>
      <c r="AF36" s="3" t="s">
        <v>2215</v>
      </c>
      <c r="AG36" s="3" t="s">
        <v>22</v>
      </c>
      <c r="AH36" s="3" t="s">
        <v>3497</v>
      </c>
      <c r="AI36" s="3" t="s">
        <v>586</v>
      </c>
      <c r="AJ36" s="3" t="s">
        <v>22</v>
      </c>
      <c r="AK36" s="3" t="s">
        <v>351</v>
      </c>
      <c r="AL36" s="3" t="s">
        <v>2217</v>
      </c>
      <c r="AM36" s="3" t="s">
        <v>22</v>
      </c>
      <c r="AN36" s="3" t="s">
        <v>3498</v>
      </c>
      <c r="AO36" s="3" t="s">
        <v>748</v>
      </c>
      <c r="AP36" s="3" t="s">
        <v>206</v>
      </c>
      <c r="AQ36" s="3" t="s">
        <v>795</v>
      </c>
      <c r="AR36" s="3" t="s">
        <v>22</v>
      </c>
      <c r="AS36" s="3" t="s">
        <v>3499</v>
      </c>
      <c r="AT36" s="3" t="s">
        <v>2216</v>
      </c>
      <c r="AU36" s="3" t="s">
        <v>3500</v>
      </c>
      <c r="AV36" s="3" t="s">
        <v>3501</v>
      </c>
      <c r="AW36" s="3" t="s">
        <v>760</v>
      </c>
      <c r="AX36" s="3" t="s">
        <v>1574</v>
      </c>
      <c r="AY36" s="3" t="s">
        <v>897</v>
      </c>
      <c r="AZ36" s="3" t="s">
        <v>593</v>
      </c>
      <c r="BA36" s="3" t="s">
        <v>288</v>
      </c>
      <c r="BB36" s="3" t="s">
        <v>596</v>
      </c>
      <c r="BC36" s="3" t="s">
        <v>1575</v>
      </c>
      <c r="BD36" s="3" t="s">
        <v>118</v>
      </c>
      <c r="BE36" s="3" t="s">
        <v>594</v>
      </c>
      <c r="BF36" s="3" t="s">
        <v>386</v>
      </c>
      <c r="BG36" s="3" t="s">
        <v>490</v>
      </c>
      <c r="BH36" s="3" t="s">
        <v>2213</v>
      </c>
      <c r="BI36" s="3" t="s">
        <v>347</v>
      </c>
      <c r="BJ36" s="3" t="s">
        <v>1574</v>
      </c>
      <c r="BK36" s="3" t="s">
        <v>2214</v>
      </c>
      <c r="BL36" s="3" t="s">
        <v>3502</v>
      </c>
      <c r="BM36" s="3" t="s">
        <v>1575</v>
      </c>
      <c r="BN36" s="3">
        <v>1.72</v>
      </c>
      <c r="BO36" s="3">
        <v>2.98</v>
      </c>
      <c r="BP36" s="3">
        <v>3.53</v>
      </c>
      <c r="BQ36" s="3">
        <v>0.67</v>
      </c>
      <c r="BR36" s="3">
        <v>1.79</v>
      </c>
      <c r="BS36" s="3">
        <v>3.65</v>
      </c>
      <c r="BT36" s="3" t="s">
        <v>2957</v>
      </c>
      <c r="BU36" s="3" t="s">
        <v>1210</v>
      </c>
      <c r="BV36" s="3">
        <v>23.62</v>
      </c>
      <c r="BW36" s="3">
        <v>21.14</v>
      </c>
      <c r="BX36" s="3">
        <v>21.32</v>
      </c>
      <c r="BY36" s="3">
        <v>2.21</v>
      </c>
      <c r="BZ36" s="3">
        <v>3.06</v>
      </c>
      <c r="CA36" s="3">
        <v>5.25</v>
      </c>
      <c r="CB36" s="3">
        <v>9.6999999999999993</v>
      </c>
      <c r="CC36" s="3">
        <v>-6.07</v>
      </c>
      <c r="CD36" s="3" t="s">
        <v>356</v>
      </c>
      <c r="CE36" s="3" t="s">
        <v>3503</v>
      </c>
      <c r="CF36" s="10">
        <v>-0.43053960964408733</v>
      </c>
      <c r="CG36" s="11">
        <v>0.52522731730278904</v>
      </c>
      <c r="CH36" s="10">
        <v>-0.74603176116943359</v>
      </c>
      <c r="CI36" s="10">
        <v>-0.11628957092761993</v>
      </c>
      <c r="CJ36" s="10">
        <v>0.28563106060028076</v>
      </c>
      <c r="CK36" s="10">
        <v>3.8043517619371414E-2</v>
      </c>
      <c r="CL36" s="10">
        <v>-3.1012251973152161E-2</v>
      </c>
      <c r="CM36" s="11">
        <v>-0.73067837953567505</v>
      </c>
      <c r="CN36" s="11">
        <v>-0.50216549634933472</v>
      </c>
      <c r="CO36" s="11">
        <v>2.3935990333557129</v>
      </c>
      <c r="CP36" s="11">
        <v>-0.47409394383430481</v>
      </c>
      <c r="CQ36" s="11">
        <v>-0.38682642579078674</v>
      </c>
      <c r="CR36" s="3">
        <v>42.941595547761331</v>
      </c>
      <c r="CS36" s="3">
        <v>3.7690614127696938</v>
      </c>
      <c r="CT36" s="3">
        <v>0.39455782312925175</v>
      </c>
      <c r="CU36" s="10">
        <v>-0.1139318011701107</v>
      </c>
      <c r="CV36" s="11">
        <v>5.9966957569122313E-2</v>
      </c>
      <c r="CW36" s="3">
        <v>0.06</v>
      </c>
      <c r="CX36" s="3">
        <v>190.01274352215006</v>
      </c>
      <c r="CY36" s="3" t="s">
        <v>3504</v>
      </c>
      <c r="CZ36" s="3">
        <v>-0.1139318011701107</v>
      </c>
      <c r="DA36" s="3">
        <v>63.337581174050023</v>
      </c>
      <c r="DB36" s="3" t="s">
        <v>3505</v>
      </c>
      <c r="DC36" s="3">
        <v>-0.10823521111160517</v>
      </c>
      <c r="DD36" s="3">
        <v>31.668790587025011</v>
      </c>
      <c r="DE36" s="3" t="s">
        <v>3506</v>
      </c>
      <c r="DF36" s="3">
        <v>-0.10025998502969742</v>
      </c>
      <c r="DG36" s="3">
        <v>19.001274352215006</v>
      </c>
      <c r="DH36" s="3" t="s">
        <v>3507</v>
      </c>
      <c r="DI36" s="3">
        <v>-9.1145440936088562E-2</v>
      </c>
      <c r="DJ36" s="3">
        <v>9.500637176107503</v>
      </c>
      <c r="DK36" s="3" t="s">
        <v>3508</v>
      </c>
      <c r="DL36" s="3">
        <v>-7.9752260819077492E-2</v>
      </c>
      <c r="DM36" s="3">
        <v>15553000</v>
      </c>
      <c r="DN36" s="3">
        <v>-0.1139318011701107</v>
      </c>
      <c r="DO36" s="3">
        <v>2955268200</v>
      </c>
      <c r="DP36" s="3">
        <v>187744400</v>
      </c>
      <c r="DQ36" s="3">
        <v>3125</v>
      </c>
      <c r="DR36" s="3">
        <v>-0.31660780847397663</v>
      </c>
      <c r="DS36" s="3">
        <v>0.46526035973366675</v>
      </c>
      <c r="DT36" s="12">
        <v>-0.64</v>
      </c>
      <c r="DU36" s="3">
        <v>-0.34833333333333333</v>
      </c>
      <c r="DV36" s="3">
        <v>-0.98833333333333329</v>
      </c>
      <c r="DW36" s="3">
        <v>5.6257731958762891</v>
      </c>
      <c r="DX36" s="3">
        <v>0.44891207153501939</v>
      </c>
      <c r="DY36" s="3">
        <v>5.080669718991504</v>
      </c>
      <c r="DZ36" s="3">
        <v>975</v>
      </c>
      <c r="EA36" s="3">
        <v>5.0652777471682722</v>
      </c>
      <c r="EB36" s="3">
        <v>5</v>
      </c>
      <c r="EC36" s="3">
        <v>0.18015291754525925</v>
      </c>
      <c r="ED36" s="3">
        <v>1.3974867939059996</v>
      </c>
      <c r="EE36" s="13">
        <v>-1.026</v>
      </c>
      <c r="EF36" s="3">
        <v>-1.0313000000000001</v>
      </c>
      <c r="EG36" s="3">
        <v>32.128912071535019</v>
      </c>
      <c r="EH36" s="3" t="s">
        <v>1929</v>
      </c>
      <c r="EI36" s="3">
        <v>1</v>
      </c>
      <c r="EJ36" s="3">
        <v>1</v>
      </c>
      <c r="EK36" s="14">
        <v>45470</v>
      </c>
      <c r="EL36" s="15">
        <v>0.54</v>
      </c>
      <c r="EM36" s="15">
        <v>-2.84</v>
      </c>
      <c r="EN36" s="15">
        <v>0.91</v>
      </c>
      <c r="EO36" s="15">
        <v>1.63</v>
      </c>
      <c r="EP36" s="15">
        <v>0.53</v>
      </c>
    </row>
    <row r="37" spans="1:146" ht="96" x14ac:dyDescent="0.25">
      <c r="C37" s="7" t="str">
        <f>""&amp;CHAR(10)&amp;Basic_Fundamental_Information_Constructure(F37)&amp;CHAR(10)&amp;Basic_Fundamental_Information_Concatenate("")</f>
        <v xml:space="preserve">
市值288.71647亿, 利润-1527.77万; PE; 平均PE61.72; 平均PEG5.78, PB2.4; ROIC13.42%; ROE15.18%; 股利率0%; 毛利28.2833%; 净利11.02%; 上一年度营收增-70.24%, 利润增-101.45%; 当季营收增-44.93%, 利润增62.94%; 过往5年营收增10.67%, 利润增457.44%
Income profile:
</v>
      </c>
      <c r="D37" s="3" t="s">
        <v>39</v>
      </c>
      <c r="E37" s="3" t="s">
        <v>6</v>
      </c>
      <c r="F37" s="3">
        <v>17.350000000000001</v>
      </c>
      <c r="G37" s="3">
        <v>0.12</v>
      </c>
      <c r="H37" s="3" t="s">
        <v>3509</v>
      </c>
      <c r="I37" s="3">
        <v>28871647000</v>
      </c>
      <c r="K37" s="3">
        <v>2.4</v>
      </c>
      <c r="L37" s="3" t="s">
        <v>2983</v>
      </c>
      <c r="M37" s="3" t="s">
        <v>2218</v>
      </c>
      <c r="N37" s="3" t="s">
        <v>3510</v>
      </c>
      <c r="O37" s="3" t="s">
        <v>1833</v>
      </c>
      <c r="P37" s="3">
        <v>19.3</v>
      </c>
      <c r="Q37" s="3" t="s">
        <v>1833</v>
      </c>
      <c r="R37" s="3">
        <v>-15277738</v>
      </c>
      <c r="S37" s="5">
        <v>-1.0720000000000001</v>
      </c>
      <c r="T37" s="3" t="s">
        <v>3511</v>
      </c>
      <c r="U37" s="3">
        <v>1664071800</v>
      </c>
      <c r="V37" s="3">
        <v>1664071800</v>
      </c>
      <c r="W37" s="3">
        <v>1.71</v>
      </c>
      <c r="X37" s="3">
        <v>0.1</v>
      </c>
      <c r="Y37" s="3">
        <v>-2.2000000000000002</v>
      </c>
      <c r="Z37" s="3" t="s">
        <v>3512</v>
      </c>
      <c r="AA37" s="3" t="s">
        <v>3513</v>
      </c>
      <c r="AB37" s="3" t="s">
        <v>3514</v>
      </c>
      <c r="AC37" s="3" t="s">
        <v>327</v>
      </c>
      <c r="AD37" s="3" t="s">
        <v>22</v>
      </c>
      <c r="AE37" s="3">
        <v>48942819</v>
      </c>
      <c r="AF37" s="3" t="s">
        <v>2221</v>
      </c>
      <c r="AG37" s="3" t="s">
        <v>3515</v>
      </c>
      <c r="AH37" s="3" t="s">
        <v>2222</v>
      </c>
      <c r="AI37" s="3" t="s">
        <v>3516</v>
      </c>
      <c r="AJ37" s="3" t="s">
        <v>2223</v>
      </c>
      <c r="AK37" s="3" t="s">
        <v>579</v>
      </c>
      <c r="AL37" s="3" t="s">
        <v>2224</v>
      </c>
      <c r="AM37" s="3" t="s">
        <v>22</v>
      </c>
      <c r="AN37" s="3" t="s">
        <v>254</v>
      </c>
      <c r="AO37" s="3" t="s">
        <v>237</v>
      </c>
      <c r="AP37" s="3" t="s">
        <v>140</v>
      </c>
      <c r="AQ37" s="3" t="s">
        <v>3517</v>
      </c>
      <c r="AR37" s="3" t="s">
        <v>22</v>
      </c>
      <c r="AS37" s="3" t="s">
        <v>3518</v>
      </c>
      <c r="AT37" s="3" t="s">
        <v>3519</v>
      </c>
      <c r="AU37" s="3" t="s">
        <v>3520</v>
      </c>
      <c r="AV37" s="3" t="s">
        <v>3521</v>
      </c>
      <c r="AW37" s="3" t="s">
        <v>3522</v>
      </c>
      <c r="AX37" s="3" t="s">
        <v>1576</v>
      </c>
      <c r="AY37" s="3" t="s">
        <v>899</v>
      </c>
      <c r="AZ37" s="3" t="s">
        <v>597</v>
      </c>
      <c r="BA37" s="3" t="s">
        <v>289</v>
      </c>
      <c r="BB37" s="3" t="s">
        <v>599</v>
      </c>
      <c r="BC37" s="3" t="s">
        <v>1577</v>
      </c>
      <c r="BD37" s="3" t="s">
        <v>808</v>
      </c>
      <c r="BE37" s="3" t="s">
        <v>598</v>
      </c>
      <c r="BF37" s="3" t="s">
        <v>388</v>
      </c>
      <c r="BG37" s="3" t="s">
        <v>535</v>
      </c>
      <c r="BH37" s="3" t="s">
        <v>2219</v>
      </c>
      <c r="BI37" s="3" t="s">
        <v>914</v>
      </c>
      <c r="BJ37" s="3" t="s">
        <v>1576</v>
      </c>
      <c r="BK37" s="3" t="s">
        <v>2220</v>
      </c>
      <c r="BL37" s="3" t="s">
        <v>3523</v>
      </c>
      <c r="BM37" s="3" t="s">
        <v>1577</v>
      </c>
      <c r="BN37" s="3" t="s">
        <v>22</v>
      </c>
      <c r="BO37" s="3">
        <v>9.73</v>
      </c>
      <c r="BP37" s="3">
        <v>17.11</v>
      </c>
      <c r="BQ37" s="3">
        <v>-2.59</v>
      </c>
      <c r="BR37" s="3">
        <v>15.3</v>
      </c>
      <c r="BS37" s="3">
        <v>32.83</v>
      </c>
      <c r="BT37" s="3" t="s">
        <v>1368</v>
      </c>
      <c r="BU37" s="3" t="s">
        <v>1210</v>
      </c>
      <c r="BV37" s="3">
        <v>22.21</v>
      </c>
      <c r="BW37" s="3">
        <v>29.45</v>
      </c>
      <c r="BX37" s="3">
        <v>33.19</v>
      </c>
      <c r="BY37" s="3">
        <v>-0.69</v>
      </c>
      <c r="BZ37" s="3">
        <v>12.65</v>
      </c>
      <c r="CA37" s="3">
        <v>21.1</v>
      </c>
      <c r="CB37" s="3">
        <v>-0.91</v>
      </c>
      <c r="CC37" s="3">
        <v>-4.67</v>
      </c>
      <c r="CD37" s="3" t="s">
        <v>355</v>
      </c>
      <c r="CE37" s="3" t="s">
        <v>981</v>
      </c>
      <c r="CF37" s="10">
        <v>-0.44928507596067918</v>
      </c>
      <c r="CG37" s="11">
        <v>0.6293511471679254</v>
      </c>
      <c r="CH37" s="10">
        <v>-0.70236659049987793</v>
      </c>
      <c r="CI37" s="10">
        <v>0.15123714506626129</v>
      </c>
      <c r="CJ37" s="10">
        <v>0.68044847249984741</v>
      </c>
      <c r="CK37" s="10">
        <v>0.37608480453491211</v>
      </c>
      <c r="CL37" s="10">
        <v>2.8089951723814011E-2</v>
      </c>
      <c r="CM37" s="11">
        <v>-1.0145225524902344</v>
      </c>
      <c r="CN37" s="11">
        <v>-0.30698287487030029</v>
      </c>
      <c r="CO37" s="11">
        <v>21.456552505493164</v>
      </c>
      <c r="CP37" s="11">
        <v>3.6516101360321045</v>
      </c>
      <c r="CQ37" s="11">
        <v>-0.91451764106750488</v>
      </c>
      <c r="CR37" s="3">
        <v>61.716796203860447</v>
      </c>
      <c r="CS37" s="3">
        <v>5.7842095009257184</v>
      </c>
      <c r="CT37" s="3">
        <v>0</v>
      </c>
      <c r="CU37" s="10">
        <v>0.10669875666499137</v>
      </c>
      <c r="CV37" s="11">
        <v>4.574427914619446</v>
      </c>
      <c r="CW37" s="3">
        <v>0.06</v>
      </c>
      <c r="CX37" s="3" t="e">
        <v>#VALUE!</v>
      </c>
      <c r="CY37" s="3" t="s">
        <v>1073</v>
      </c>
      <c r="CZ37" s="3">
        <v>0.10669875666499137</v>
      </c>
      <c r="DA37" s="3" t="e">
        <v>#VALUE!</v>
      </c>
      <c r="DB37" s="3" t="s">
        <v>1074</v>
      </c>
      <c r="DC37" s="3">
        <v>0.10136381883174179</v>
      </c>
      <c r="DD37" s="3" t="e">
        <v>#VALUE!</v>
      </c>
      <c r="DE37" s="3" t="s">
        <v>1074</v>
      </c>
      <c r="DF37" s="3">
        <v>9.3894905865192405E-2</v>
      </c>
      <c r="DG37" s="3" t="e">
        <v>#VALUE!</v>
      </c>
      <c r="DH37" s="3" t="s">
        <v>1074</v>
      </c>
      <c r="DI37" s="3">
        <v>8.5359005331993101E-2</v>
      </c>
      <c r="DJ37" s="3" t="e">
        <v>#VALUE!</v>
      </c>
      <c r="DK37" s="3" t="s">
        <v>1074</v>
      </c>
      <c r="DL37" s="3">
        <v>7.4689129665493958E-2</v>
      </c>
      <c r="DM37" s="3">
        <v>-15277700</v>
      </c>
      <c r="DN37" s="3">
        <v>0.10669875666499137</v>
      </c>
      <c r="DO37" s="3">
        <v>25840647000</v>
      </c>
      <c r="DP37" s="3">
        <v>7609532800</v>
      </c>
      <c r="DQ37" s="3">
        <v>3192</v>
      </c>
      <c r="DR37" s="3">
        <v>-0.55598383262567053</v>
      </c>
      <c r="DS37" s="3">
        <v>-3.9450767674515204</v>
      </c>
      <c r="DT37" s="12">
        <v>-0.24000000000000007</v>
      </c>
      <c r="DU37" s="3">
        <v>-0.45733333333333354</v>
      </c>
      <c r="DV37" s="3">
        <v>-0.69733333333333358</v>
      </c>
      <c r="DW37" s="3">
        <v>-1.0467</v>
      </c>
      <c r="DX37" s="3">
        <v>0.3913439635535319</v>
      </c>
      <c r="DY37" s="3">
        <v>-1.0089357630979499</v>
      </c>
      <c r="DZ37" s="3">
        <v>718</v>
      </c>
      <c r="EA37" s="3">
        <v>-1.0076802096920148</v>
      </c>
      <c r="EB37" s="3">
        <v>1</v>
      </c>
      <c r="EC37" s="3">
        <v>0.10095718225619832</v>
      </c>
      <c r="ED37" s="3">
        <v>0.52762146441036972</v>
      </c>
      <c r="EE37" s="13">
        <v>1.05751</v>
      </c>
      <c r="EF37" s="3">
        <v>1.08521</v>
      </c>
      <c r="EG37" s="3">
        <v>20.191343963553532</v>
      </c>
      <c r="EH37" s="3" t="s">
        <v>2954</v>
      </c>
      <c r="EI37" s="3">
        <v>0</v>
      </c>
      <c r="EJ37" s="3">
        <v>1</v>
      </c>
      <c r="EK37" s="14">
        <v>45470</v>
      </c>
      <c r="EL37" s="15">
        <v>-0.22</v>
      </c>
      <c r="EM37" s="15">
        <v>-3.18</v>
      </c>
      <c r="EN37" s="15">
        <v>1.94</v>
      </c>
      <c r="EO37" s="15">
        <v>0.59</v>
      </c>
      <c r="EP37" s="15">
        <v>-2.77</v>
      </c>
    </row>
    <row r="38" spans="1:146" ht="168" x14ac:dyDescent="0.25">
      <c r="A38" s="7" t="s">
        <v>1177</v>
      </c>
      <c r="B38" s="7" t="s">
        <v>1178</v>
      </c>
      <c r="C38" s="7"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amp;CHAR(10)&amp;Basic_Fundamental_Information_Constructure(F38)&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长电科技在全球前十大OSAT厂商中排名第三，中国大陆第一；
市值562.77088亿, 利润1.35亿; PE37.62; 平均PE49.81; 平均PEG5.84, PB2.15; ROIC8.8733%; ROE11.49%; 股利率.318%; 毛利16.3667%; 净利8.08%; 上一年度营收增-79.73%, 利润增-95.82%; 当季营收增-43.79%, 利润增-72.74%; 过往5年营收增-8.54%, 利润增304.09%
Income profile:
芯片封测 303.45亿 99.48% 99.01% 18.32%
其他业务 1.57亿 0.52% 0.99% 35.48%</v>
      </c>
      <c r="D38" s="3" t="s">
        <v>67</v>
      </c>
      <c r="E38" s="3" t="s">
        <v>2</v>
      </c>
      <c r="F38" s="3">
        <v>31.45</v>
      </c>
      <c r="G38" s="3">
        <v>-1.26</v>
      </c>
      <c r="H38" s="3" t="s">
        <v>3524</v>
      </c>
      <c r="I38" s="3">
        <v>56277088000</v>
      </c>
      <c r="J38" s="3">
        <v>37.619999999999997</v>
      </c>
      <c r="K38" s="3">
        <v>2.15</v>
      </c>
      <c r="L38" s="3" t="s">
        <v>2983</v>
      </c>
      <c r="M38" s="3" t="s">
        <v>2228</v>
      </c>
      <c r="N38" s="3" t="s">
        <v>3525</v>
      </c>
      <c r="O38" s="3" t="s">
        <v>2229</v>
      </c>
      <c r="P38" s="3">
        <v>16.75</v>
      </c>
      <c r="Q38" s="3" t="s">
        <v>2229</v>
      </c>
      <c r="R38" s="3">
        <v>135226450</v>
      </c>
      <c r="S38" s="5">
        <v>0.2301</v>
      </c>
      <c r="T38" s="3" t="s">
        <v>170</v>
      </c>
      <c r="U38" s="3">
        <v>1789414600</v>
      </c>
      <c r="V38" s="3">
        <v>1789414600</v>
      </c>
      <c r="W38" s="3">
        <v>1.63</v>
      </c>
      <c r="X38" s="3">
        <v>0.16</v>
      </c>
      <c r="Y38" s="3">
        <v>1.96</v>
      </c>
      <c r="Z38" s="3" t="s">
        <v>3526</v>
      </c>
      <c r="AA38" s="3" t="s">
        <v>3527</v>
      </c>
      <c r="AB38" s="3" t="s">
        <v>3528</v>
      </c>
      <c r="AC38" s="3" t="s">
        <v>345</v>
      </c>
      <c r="AD38" s="3" t="s">
        <v>22</v>
      </c>
      <c r="AE38" s="3">
        <v>8020326</v>
      </c>
      <c r="AF38" s="3" t="s">
        <v>2232</v>
      </c>
      <c r="AG38" s="3" t="s">
        <v>3529</v>
      </c>
      <c r="AH38" s="3" t="s">
        <v>2233</v>
      </c>
      <c r="AI38" s="3" t="s">
        <v>3530</v>
      </c>
      <c r="AJ38" s="3" t="s">
        <v>2234</v>
      </c>
      <c r="AK38" s="3" t="s">
        <v>22</v>
      </c>
      <c r="AL38" s="3" t="s">
        <v>2235</v>
      </c>
      <c r="AM38" s="3" t="s">
        <v>22</v>
      </c>
      <c r="AN38" s="3" t="s">
        <v>3531</v>
      </c>
      <c r="AO38" s="3" t="s">
        <v>351</v>
      </c>
      <c r="AP38" s="3" t="s">
        <v>294</v>
      </c>
      <c r="AQ38" s="3" t="s">
        <v>3532</v>
      </c>
      <c r="AR38" s="3" t="s">
        <v>22</v>
      </c>
      <c r="AS38" s="3" t="s">
        <v>3533</v>
      </c>
      <c r="AT38" s="3" t="s">
        <v>3534</v>
      </c>
      <c r="AU38" s="3" t="s">
        <v>3535</v>
      </c>
      <c r="AV38" s="3" t="s">
        <v>3536</v>
      </c>
      <c r="AW38" s="3" t="s">
        <v>1774</v>
      </c>
      <c r="AX38" s="3" t="s">
        <v>1579</v>
      </c>
      <c r="AY38" s="3" t="s">
        <v>900</v>
      </c>
      <c r="AZ38" s="3" t="s">
        <v>601</v>
      </c>
      <c r="BA38" s="3" t="s">
        <v>238</v>
      </c>
      <c r="BB38" s="3" t="s">
        <v>602</v>
      </c>
      <c r="BC38" s="3" t="s">
        <v>1580</v>
      </c>
      <c r="BD38" s="3" t="s">
        <v>870</v>
      </c>
      <c r="BE38" s="3" t="s">
        <v>462</v>
      </c>
      <c r="BF38" s="3" t="s">
        <v>391</v>
      </c>
      <c r="BG38" s="3" t="s">
        <v>603</v>
      </c>
      <c r="BH38" s="3" t="s">
        <v>2230</v>
      </c>
      <c r="BI38" s="3" t="s">
        <v>3537</v>
      </c>
      <c r="BJ38" s="3" t="s">
        <v>1579</v>
      </c>
      <c r="BK38" s="3" t="s">
        <v>2231</v>
      </c>
      <c r="BL38" s="3" t="s">
        <v>1859</v>
      </c>
      <c r="BM38" s="3" t="s">
        <v>1580</v>
      </c>
      <c r="BN38" s="3">
        <v>3.17</v>
      </c>
      <c r="BO38" s="3">
        <v>11.41</v>
      </c>
      <c r="BP38" s="3">
        <v>12.04</v>
      </c>
      <c r="BQ38" s="3">
        <v>3.86</v>
      </c>
      <c r="BR38" s="3">
        <v>14.19</v>
      </c>
      <c r="BS38" s="3">
        <v>16.420000000000002</v>
      </c>
      <c r="BT38" s="3" t="s">
        <v>1369</v>
      </c>
      <c r="BU38" s="3" t="s">
        <v>1209</v>
      </c>
      <c r="BV38" s="3">
        <v>13.65</v>
      </c>
      <c r="BW38" s="3">
        <v>17.04</v>
      </c>
      <c r="BX38" s="3">
        <v>18.41</v>
      </c>
      <c r="BY38" s="3">
        <v>4.96</v>
      </c>
      <c r="BZ38" s="3">
        <v>9.57</v>
      </c>
      <c r="CA38" s="3">
        <v>9.7100000000000009</v>
      </c>
      <c r="CB38" s="3">
        <v>-0.82</v>
      </c>
      <c r="CC38" s="3">
        <v>24.36</v>
      </c>
      <c r="CD38" s="3" t="s">
        <v>1758</v>
      </c>
      <c r="CE38" s="3" t="s">
        <v>2360</v>
      </c>
      <c r="CF38" s="10">
        <v>-0.43793641665982092</v>
      </c>
      <c r="CG38" s="11">
        <v>-0.72736602822580643</v>
      </c>
      <c r="CH38" s="10">
        <v>-0.79734617471694946</v>
      </c>
      <c r="CI38" s="10">
        <v>0.10687824338674545</v>
      </c>
      <c r="CJ38" s="10">
        <v>0.15258467197418213</v>
      </c>
      <c r="CK38" s="10">
        <v>0.12488307803869247</v>
      </c>
      <c r="CL38" s="10">
        <v>-1.3833013363182545E-2</v>
      </c>
      <c r="CM38" s="11">
        <v>-0.95821726322174072</v>
      </c>
      <c r="CN38" s="11">
        <v>9.1922946274280548E-2</v>
      </c>
      <c r="CO38" s="11">
        <v>1.2691718339920044</v>
      </c>
      <c r="CP38" s="11">
        <v>13.707308769226074</v>
      </c>
      <c r="CQ38" s="11">
        <v>1.0944232940673828</v>
      </c>
      <c r="CR38" s="3">
        <v>49.812552722414274</v>
      </c>
      <c r="CS38" s="3">
        <v>5.8351310703118306</v>
      </c>
      <c r="CT38" s="3">
        <v>0.31796502384737679</v>
      </c>
      <c r="CU38" s="10">
        <v>-8.5366638936102385E-2</v>
      </c>
      <c r="CV38" s="11">
        <v>3.0409219160676004</v>
      </c>
      <c r="CW38" s="3">
        <v>0.06</v>
      </c>
      <c r="CX38" s="3">
        <v>338.03768888888891</v>
      </c>
      <c r="CY38" s="3" t="s">
        <v>2236</v>
      </c>
      <c r="CZ38" s="3">
        <v>-8.5366638936102385E-2</v>
      </c>
      <c r="DA38" s="3">
        <v>112.67922962962963</v>
      </c>
      <c r="DB38" s="3" t="s">
        <v>2237</v>
      </c>
      <c r="DC38" s="3">
        <v>-8.1098306989297264E-2</v>
      </c>
      <c r="DD38" s="3">
        <v>56.339614814814816</v>
      </c>
      <c r="DE38" s="3" t="s">
        <v>2238</v>
      </c>
      <c r="DF38" s="3">
        <v>-7.5122642263770092E-2</v>
      </c>
      <c r="DG38" s="3">
        <v>33.803768888888889</v>
      </c>
      <c r="DH38" s="3" t="s">
        <v>2239</v>
      </c>
      <c r="DI38" s="3">
        <v>-6.8293311148881916E-2</v>
      </c>
      <c r="DJ38" s="3">
        <v>16.901884444444445</v>
      </c>
      <c r="DK38" s="3" t="s">
        <v>2240</v>
      </c>
      <c r="DL38" s="3">
        <v>-5.9756647255271668E-2</v>
      </c>
      <c r="DM38" s="3">
        <v>135000000</v>
      </c>
      <c r="DN38" s="3">
        <v>-8.5366638936102385E-2</v>
      </c>
      <c r="DO38" s="3">
        <v>45635088000</v>
      </c>
      <c r="DP38" s="3">
        <v>11021801000</v>
      </c>
      <c r="DQ38" s="3">
        <v>3292</v>
      </c>
      <c r="DR38" s="3">
        <v>-0.35256977772371856</v>
      </c>
      <c r="DS38" s="3">
        <v>-3.768287944293407</v>
      </c>
      <c r="DT38" s="12">
        <v>-0.64</v>
      </c>
      <c r="DU38" s="3">
        <v>0.13666666666666663</v>
      </c>
      <c r="DV38" s="3">
        <v>-0.50333333333333341</v>
      </c>
      <c r="DW38" s="3">
        <v>3.0945476190476189</v>
      </c>
      <c r="DX38" s="3">
        <v>0.36996076452419002</v>
      </c>
      <c r="DY38" s="3">
        <v>3.0132329570458469</v>
      </c>
      <c r="DZ38" s="3">
        <v>678</v>
      </c>
      <c r="EA38" s="3">
        <v>3.0114771948389811</v>
      </c>
      <c r="EB38" s="3">
        <v>3</v>
      </c>
      <c r="EC38" s="3">
        <v>0.11959218394663819</v>
      </c>
      <c r="ED38" s="3">
        <v>0.85446938903929814</v>
      </c>
      <c r="EE38" s="13">
        <v>1.0448</v>
      </c>
      <c r="EF38" s="3">
        <v>1.0227999999999999</v>
      </c>
      <c r="EG38" s="3">
        <v>23.13996076452419</v>
      </c>
      <c r="EH38" s="3" t="s">
        <v>1927</v>
      </c>
      <c r="EI38" s="3">
        <v>0</v>
      </c>
      <c r="EJ38" s="3">
        <v>1</v>
      </c>
      <c r="EK38" s="14">
        <v>45470</v>
      </c>
      <c r="EL38" s="15">
        <v>0</v>
      </c>
      <c r="EM38" s="15">
        <v>-0.17</v>
      </c>
      <c r="EN38" s="15">
        <v>0</v>
      </c>
      <c r="EO38" s="15">
        <v>-0.34</v>
      </c>
      <c r="EP38" s="15">
        <v>-2.2000000000000002</v>
      </c>
    </row>
    <row r="39" spans="1:146" ht="252" x14ac:dyDescent="0.25">
      <c r="A39" s="7" t="s">
        <v>1190</v>
      </c>
      <c r="C39" s="7" t="str">
        <f>"公司主要从事移动通信、半导体、电子元器件和材料等产品相关的技术研发。公司的主要产品是手机、平板电脑、笔记本电脑、服务器、汽车电子等智能终端；半导体、新型电子元器件；光学模组"&amp;CHAR(10)&amp;Basic_Fundamental_Information_Constructure(F39)&amp;CHAR(10)&amp;Basic_Fundamental_Information_Concatenate("智能终端 386.85亿 73.37% 39.50% 8.71%
半导体产品 130.27亿 24.71% 60.25% 39.44%
其他业务 10.16亿 1.93% 0.25% 2.06%")</f>
        <v>公司主要从事移动通信、半导体、电子元器件和材料等产品相关的技术研发。公司的主要产品是手机、平板电脑、笔记本电脑、服务器、汽车电子等智能终端；半导体、新型电子元器件；光学模组
市值337.79564亿, 利润1.43亿; PE39.07; 平均PE25.52; 平均PEG1.22, PB.944; ROIC4.6133%; ROE6.05%; 股利率.4599%; 毛利16.8033%; 净利2.8967%; 上一年度营收增-72.03%, 利润增-90.19%; 当季营收增-44.37%, 利润增-88.6%; 过往5年营收增20.86%, 利润增384.29%
Income profile:
智能终端 386.85亿 73.37% 39.50% 8.71%
半导体产品 130.27亿 24.71% 60.25% 39.44%
其他业务 10.16亿 1.93% 0.25% 2.06%</v>
      </c>
      <c r="D39" s="3" t="s">
        <v>1149</v>
      </c>
      <c r="E39" s="3" t="s">
        <v>1150</v>
      </c>
      <c r="F39" s="3">
        <v>27.18</v>
      </c>
      <c r="G39" s="3">
        <v>-1.06</v>
      </c>
      <c r="H39" s="3" t="s">
        <v>3538</v>
      </c>
      <c r="I39" s="3">
        <v>33779564000</v>
      </c>
      <c r="J39" s="3">
        <v>39.07</v>
      </c>
      <c r="K39" s="3">
        <v>0.94399999999999995</v>
      </c>
      <c r="L39" s="3" t="s">
        <v>2983</v>
      </c>
      <c r="M39" s="3" t="s">
        <v>2241</v>
      </c>
      <c r="N39" s="3" t="s">
        <v>3539</v>
      </c>
      <c r="O39" s="3" t="s">
        <v>2242</v>
      </c>
      <c r="P39" s="3">
        <v>12.62</v>
      </c>
      <c r="Q39" s="3" t="s">
        <v>2242</v>
      </c>
      <c r="R39" s="3">
        <v>143403940</v>
      </c>
      <c r="S39" s="5">
        <v>-0.68820000000000003</v>
      </c>
      <c r="T39" s="3" t="s">
        <v>741</v>
      </c>
      <c r="U39" s="3">
        <v>1242809580</v>
      </c>
      <c r="V39" s="3">
        <v>1242809580</v>
      </c>
      <c r="W39" s="3">
        <v>1.99</v>
      </c>
      <c r="X39" s="3">
        <v>0.21</v>
      </c>
      <c r="Y39" s="3">
        <v>0.97</v>
      </c>
      <c r="Z39" s="3" t="s">
        <v>3540</v>
      </c>
      <c r="AA39" s="3" t="s">
        <v>3541</v>
      </c>
      <c r="AB39" s="3" t="s">
        <v>664</v>
      </c>
      <c r="AC39" s="3" t="s">
        <v>584</v>
      </c>
      <c r="AD39" s="3" t="s">
        <v>22</v>
      </c>
      <c r="AE39" s="3">
        <v>63295650</v>
      </c>
      <c r="AF39" s="3" t="s">
        <v>2244</v>
      </c>
      <c r="AG39" s="3" t="s">
        <v>3542</v>
      </c>
      <c r="AH39" s="3" t="s">
        <v>2245</v>
      </c>
      <c r="AI39" s="3" t="s">
        <v>1619</v>
      </c>
      <c r="AJ39" s="3" t="s">
        <v>2246</v>
      </c>
      <c r="AK39" s="3" t="s">
        <v>22</v>
      </c>
      <c r="AL39" s="3" t="s">
        <v>2247</v>
      </c>
      <c r="AM39" s="3" t="s">
        <v>22</v>
      </c>
      <c r="AN39" s="3" t="s">
        <v>2495</v>
      </c>
      <c r="AO39" s="3" t="s">
        <v>3543</v>
      </c>
      <c r="AP39" s="3" t="s">
        <v>651</v>
      </c>
      <c r="AQ39" s="3" t="s">
        <v>3544</v>
      </c>
      <c r="AR39" s="3" t="s">
        <v>2908</v>
      </c>
      <c r="AS39" s="3" t="s">
        <v>3545</v>
      </c>
      <c r="AT39" s="3" t="s">
        <v>1283</v>
      </c>
      <c r="AU39" s="3" t="s">
        <v>871</v>
      </c>
      <c r="AV39" s="3" t="s">
        <v>3546</v>
      </c>
      <c r="AW39" s="3" t="s">
        <v>3547</v>
      </c>
      <c r="AX39" s="3" t="s">
        <v>1582</v>
      </c>
      <c r="AY39" s="3" t="s">
        <v>1151</v>
      </c>
      <c r="AZ39" s="3" t="s">
        <v>1153</v>
      </c>
      <c r="BA39" s="3" t="s">
        <v>1154</v>
      </c>
      <c r="BB39" s="3" t="s">
        <v>1155</v>
      </c>
      <c r="BC39" s="3" t="s">
        <v>2248</v>
      </c>
      <c r="BD39" s="3" t="s">
        <v>1152</v>
      </c>
      <c r="BE39" s="3" t="s">
        <v>1156</v>
      </c>
      <c r="BF39" s="3" t="s">
        <v>1157</v>
      </c>
      <c r="BG39" s="3" t="s">
        <v>1158</v>
      </c>
      <c r="BH39" s="3" t="s">
        <v>2243</v>
      </c>
      <c r="BI39" s="3" t="s">
        <v>3548</v>
      </c>
      <c r="BJ39" s="3" t="s">
        <v>1582</v>
      </c>
      <c r="BK39" s="3" t="s">
        <v>1768</v>
      </c>
      <c r="BL39" s="3" t="s">
        <v>1061</v>
      </c>
      <c r="BM39" s="3" t="s">
        <v>2248</v>
      </c>
      <c r="BN39" s="3">
        <v>4.09</v>
      </c>
      <c r="BO39" s="3">
        <v>3.25</v>
      </c>
      <c r="BP39" s="3">
        <v>6.5</v>
      </c>
      <c r="BQ39" s="3">
        <v>5.57</v>
      </c>
      <c r="BR39" s="3">
        <v>4.1900000000000004</v>
      </c>
      <c r="BS39" s="3">
        <v>8.39</v>
      </c>
      <c r="BT39" s="3" t="s">
        <v>2249</v>
      </c>
      <c r="BU39" s="3" t="s">
        <v>1210</v>
      </c>
      <c r="BV39" s="3">
        <v>16.079999999999998</v>
      </c>
      <c r="BW39" s="3">
        <v>18.16</v>
      </c>
      <c r="BX39" s="3">
        <v>16.170000000000002</v>
      </c>
      <c r="BY39" s="3">
        <v>1.58</v>
      </c>
      <c r="BZ39" s="3">
        <v>2.34</v>
      </c>
      <c r="CA39" s="3">
        <v>4.7699999999999996</v>
      </c>
      <c r="CB39" s="3">
        <v>-3.79</v>
      </c>
      <c r="CC39" s="3">
        <v>-10.74</v>
      </c>
      <c r="CD39" s="3" t="s">
        <v>3549</v>
      </c>
      <c r="CE39" s="3" t="s">
        <v>588</v>
      </c>
      <c r="CF39" s="10">
        <v>-0.44371019653495858</v>
      </c>
      <c r="CG39" s="11">
        <v>-0.88600640699523048</v>
      </c>
      <c r="CH39" s="10">
        <v>-0.72026032209396362</v>
      </c>
      <c r="CI39" s="10">
        <v>0.10146217048168182</v>
      </c>
      <c r="CJ39" s="10">
        <v>1.9765239208936691E-2</v>
      </c>
      <c r="CK39" s="10">
        <v>0.24361437559127808</v>
      </c>
      <c r="CL39" s="10">
        <v>1.3985003232955933</v>
      </c>
      <c r="CM39" s="11">
        <v>-0.90192049741744995</v>
      </c>
      <c r="CN39" s="11">
        <v>-0.44180703163146973</v>
      </c>
      <c r="CO39" s="11">
        <v>8.1573471426963806E-2</v>
      </c>
      <c r="CP39" s="11">
        <v>0.92583739757537842</v>
      </c>
      <c r="CQ39" s="11">
        <v>19.550874710083008</v>
      </c>
      <c r="CR39" s="3">
        <v>25.516415904969538</v>
      </c>
      <c r="CS39" s="3">
        <v>1.2231263279455473</v>
      </c>
      <c r="CT39" s="3">
        <v>0.45989698307579102</v>
      </c>
      <c r="CU39" s="10">
        <v>0.20861635729670525</v>
      </c>
      <c r="CV39" s="11">
        <v>3.842911610007286</v>
      </c>
      <c r="CW39" s="3">
        <v>0.06</v>
      </c>
      <c r="CX39" s="3">
        <v>216.20202142959357</v>
      </c>
      <c r="CY39" s="3">
        <v>163049187.82398948</v>
      </c>
      <c r="CZ39" s="3">
        <v>0.20861635729670525</v>
      </c>
      <c r="DA39" s="3">
        <v>63.99022217258149</v>
      </c>
      <c r="DB39" s="3">
        <v>550889851.65462637</v>
      </c>
      <c r="DC39" s="3">
        <v>0.19818553943186998</v>
      </c>
      <c r="DD39" s="3">
        <v>27.440591005608216</v>
      </c>
      <c r="DE39" s="3">
        <v>1284650319.4043963</v>
      </c>
      <c r="DF39" s="3">
        <v>0.18358239442110061</v>
      </c>
      <c r="DG39" s="3">
        <v>13.99407300750174</v>
      </c>
      <c r="DH39" s="3">
        <v>2519035307.3835511</v>
      </c>
      <c r="DI39" s="3">
        <v>0.1668930858373642</v>
      </c>
      <c r="DJ39" s="3">
        <v>4.9187399231435247</v>
      </c>
      <c r="DK39" s="3">
        <v>7166787541.2837496</v>
      </c>
      <c r="DL39" s="3">
        <v>0.14603145010769367</v>
      </c>
      <c r="DM39" s="3">
        <v>143000000</v>
      </c>
      <c r="DN39" s="3">
        <v>0.20861635729670525</v>
      </c>
      <c r="DO39" s="3">
        <v>35251564000</v>
      </c>
      <c r="DP39" s="3">
        <v>2416775000</v>
      </c>
      <c r="DQ39" s="3">
        <v>3429</v>
      </c>
      <c r="DR39" s="3">
        <v>-0.65232655383166382</v>
      </c>
      <c r="DS39" s="3">
        <v>-4.7289180170025169</v>
      </c>
      <c r="DT39" s="12">
        <v>-0.45666666666666672</v>
      </c>
      <c r="DU39" s="3">
        <v>-0.21500000000000008</v>
      </c>
      <c r="DV39" s="3">
        <v>-0.67166666666666686</v>
      </c>
      <c r="DW39" s="3">
        <v>-8.3528864059590315</v>
      </c>
      <c r="DX39" s="3">
        <v>0.32666102941176406</v>
      </c>
      <c r="DY39" s="3">
        <v>-8.0446969554441896</v>
      </c>
      <c r="DZ39" s="3">
        <v>4300</v>
      </c>
      <c r="EA39" s="3">
        <v>-8.0070850359901744</v>
      </c>
      <c r="EB39" s="3">
        <v>8</v>
      </c>
      <c r="EC39" s="3">
        <v>5.5441799861246643E-2</v>
      </c>
      <c r="ED39" s="3">
        <v>0.43771790043652542</v>
      </c>
      <c r="EE39" s="13">
        <v>1.0636099999999999</v>
      </c>
      <c r="EF39" s="3">
        <v>1.09141</v>
      </c>
      <c r="EG39" s="3">
        <v>20.126661029411764</v>
      </c>
      <c r="EH39" s="3" t="s">
        <v>2954</v>
      </c>
      <c r="EI39" s="3">
        <v>0</v>
      </c>
      <c r="EJ39" s="3">
        <v>0</v>
      </c>
      <c r="EK39" s="14">
        <v>45470</v>
      </c>
      <c r="EL39" s="15">
        <v>-2.0699999999999998</v>
      </c>
      <c r="EM39" s="15">
        <v>0.91</v>
      </c>
      <c r="EN39" s="15">
        <v>-4.49</v>
      </c>
      <c r="EO39" s="15">
        <v>1.57</v>
      </c>
      <c r="EP39" s="15">
        <v>-2.78</v>
      </c>
    </row>
    <row r="40" spans="1:146" ht="96" x14ac:dyDescent="0.25">
      <c r="C40" s="7" t="str">
        <f>""&amp;CHAR(10)&amp;Basic_Fundamental_Information_Constructure(F40)&amp;CHAR(10)&amp;Basic_Fundamental_Information_Concatenate("")</f>
        <v xml:space="preserve">
市值122.206047亿, 利润1929.00万; PE52.02; 平均PE111.08; 平均PEG1.74, PB5.06; ROIC8.8133%; ROE12.2467%; 股利率0%; 毛利30.8367%; 净利14.1467%; 上一年度营收增-87.09%, 利润增-91.35%; 当季营收增-64.37%, 利润增-64.28%; 过往5年营收增63.77%, 利润增13.65%
Income profile:
</v>
      </c>
      <c r="D40" s="3" t="s">
        <v>901</v>
      </c>
      <c r="E40" s="3" t="s">
        <v>1583</v>
      </c>
      <c r="F40" s="3">
        <v>10.32</v>
      </c>
      <c r="G40" s="3">
        <v>0.49</v>
      </c>
      <c r="H40" s="3" t="s">
        <v>3550</v>
      </c>
      <c r="I40" s="3">
        <v>12220604700</v>
      </c>
      <c r="J40" s="3">
        <v>52.02</v>
      </c>
      <c r="K40" s="3">
        <v>5.0599999999999996</v>
      </c>
      <c r="L40" s="3" t="s">
        <v>2983</v>
      </c>
      <c r="M40" s="3" t="s">
        <v>1836</v>
      </c>
      <c r="N40" s="3" t="s">
        <v>3551</v>
      </c>
      <c r="O40" s="3" t="s">
        <v>258</v>
      </c>
      <c r="P40" s="3">
        <v>-7.21</v>
      </c>
      <c r="Q40" s="3" t="s">
        <v>258</v>
      </c>
      <c r="R40" s="3">
        <v>19289972</v>
      </c>
      <c r="S40" s="5">
        <v>4.7899999999999998E-2</v>
      </c>
      <c r="T40" s="3" t="s">
        <v>3552</v>
      </c>
      <c r="U40" s="3">
        <v>921979450</v>
      </c>
      <c r="V40" s="3">
        <v>1184167120</v>
      </c>
      <c r="W40" s="3">
        <v>1.2</v>
      </c>
      <c r="X40" s="3">
        <v>7.0000000000000007E-2</v>
      </c>
      <c r="Y40" s="3">
        <v>9.57</v>
      </c>
      <c r="Z40" s="3" t="s">
        <v>127</v>
      </c>
      <c r="AA40" s="3" t="s">
        <v>153</v>
      </c>
      <c r="AB40" s="3" t="s">
        <v>3553</v>
      </c>
      <c r="AC40" s="3" t="s">
        <v>3554</v>
      </c>
      <c r="AD40" s="3" t="s">
        <v>22</v>
      </c>
      <c r="AE40" s="3">
        <v>-534828</v>
      </c>
      <c r="AF40" s="3" t="s">
        <v>108</v>
      </c>
      <c r="AG40" s="3">
        <v>5201</v>
      </c>
      <c r="AH40" s="3" t="s">
        <v>2251</v>
      </c>
      <c r="AI40" s="3" t="s">
        <v>1754</v>
      </c>
      <c r="AJ40" s="3" t="s">
        <v>2252</v>
      </c>
      <c r="AK40" s="3" t="s">
        <v>3555</v>
      </c>
      <c r="AL40" s="3" t="s">
        <v>2253</v>
      </c>
      <c r="AM40" s="3" t="s">
        <v>22</v>
      </c>
      <c r="AN40" s="3" t="s">
        <v>1072</v>
      </c>
      <c r="AO40" s="3" t="s">
        <v>3556</v>
      </c>
      <c r="AP40" s="3" t="s">
        <v>3557</v>
      </c>
      <c r="AQ40" s="3" t="s">
        <v>231</v>
      </c>
      <c r="AR40" s="3" t="s">
        <v>22</v>
      </c>
      <c r="AS40" s="3" t="s">
        <v>1970</v>
      </c>
      <c r="AT40" s="3" t="s">
        <v>22</v>
      </c>
      <c r="AU40" s="3" t="s">
        <v>1350</v>
      </c>
      <c r="AV40" s="3" t="s">
        <v>3558</v>
      </c>
      <c r="AW40" s="3" t="s">
        <v>3559</v>
      </c>
      <c r="AX40" s="3" t="s">
        <v>1307</v>
      </c>
      <c r="AY40" s="3" t="s">
        <v>902</v>
      </c>
      <c r="AZ40" s="3" t="s">
        <v>904</v>
      </c>
      <c r="BA40" s="3" t="s">
        <v>158</v>
      </c>
      <c r="BB40" s="3" t="s">
        <v>149</v>
      </c>
      <c r="BC40" s="3" t="s">
        <v>178</v>
      </c>
      <c r="BD40" s="3" t="s">
        <v>407</v>
      </c>
      <c r="BE40" s="3" t="s">
        <v>179</v>
      </c>
      <c r="BF40" s="3" t="s">
        <v>905</v>
      </c>
      <c r="BG40" s="3" t="s">
        <v>906</v>
      </c>
      <c r="BH40" s="3" t="s">
        <v>1873</v>
      </c>
      <c r="BI40" s="3" t="s">
        <v>3560</v>
      </c>
      <c r="BJ40" s="3" t="s">
        <v>1307</v>
      </c>
      <c r="BK40" s="3" t="s">
        <v>253</v>
      </c>
      <c r="BL40" s="3" t="s">
        <v>3561</v>
      </c>
      <c r="BM40" s="3" t="s">
        <v>178</v>
      </c>
      <c r="BN40" s="3">
        <v>4.49</v>
      </c>
      <c r="BO40" s="3">
        <v>10</v>
      </c>
      <c r="BP40" s="3">
        <v>11.95</v>
      </c>
      <c r="BQ40" s="3">
        <v>4.6500000000000004</v>
      </c>
      <c r="BR40" s="3">
        <v>10.89</v>
      </c>
      <c r="BS40" s="3">
        <v>21.2</v>
      </c>
      <c r="BT40" s="3" t="s">
        <v>1368</v>
      </c>
      <c r="BU40" s="3" t="s">
        <v>3311</v>
      </c>
      <c r="BV40" s="3">
        <v>30.52</v>
      </c>
      <c r="BW40" s="3">
        <v>32.32</v>
      </c>
      <c r="BX40" s="3">
        <v>29.67</v>
      </c>
      <c r="BY40" s="3">
        <v>15.36</v>
      </c>
      <c r="BZ40" s="3">
        <v>14.26</v>
      </c>
      <c r="CA40" s="3">
        <v>12.82</v>
      </c>
      <c r="CB40" s="3">
        <v>-3.73</v>
      </c>
      <c r="CC40" s="3">
        <v>-10.73</v>
      </c>
      <c r="CD40" s="3" t="s">
        <v>3562</v>
      </c>
      <c r="CE40" s="3" t="s">
        <v>3563</v>
      </c>
      <c r="CF40" s="10">
        <v>-0.64373897707231043</v>
      </c>
      <c r="CG40" s="11">
        <v>-0.64284245237429571</v>
      </c>
      <c r="CH40" s="10">
        <v>-0.87092649936676025</v>
      </c>
      <c r="CI40" s="10">
        <v>-5.4380740970373154E-2</v>
      </c>
      <c r="CJ40" s="10">
        <v>-3.3858653157949448E-2</v>
      </c>
      <c r="CK40" s="10">
        <v>3.9224135875701904</v>
      </c>
      <c r="CL40" s="10">
        <v>0.22535210847854614</v>
      </c>
      <c r="CM40" s="11">
        <v>-0.91349774599075317</v>
      </c>
      <c r="CN40" s="11">
        <v>0.60431653261184692</v>
      </c>
      <c r="CO40" s="11">
        <v>2.2058824077248573E-2</v>
      </c>
      <c r="CP40" s="11">
        <v>0.70555806159973145</v>
      </c>
      <c r="CQ40" s="11">
        <v>0.26402375102043152</v>
      </c>
      <c r="CR40" s="3">
        <v>111.07738856832088</v>
      </c>
      <c r="CS40" s="3">
        <v>1.7417894286915896</v>
      </c>
      <c r="CT40" s="3">
        <v>0</v>
      </c>
      <c r="CU40" s="10">
        <v>0.63771996051073077</v>
      </c>
      <c r="CV40" s="11">
        <v>0.13649188466370105</v>
      </c>
      <c r="CW40" s="3">
        <v>0.06</v>
      </c>
      <c r="CX40" s="3">
        <v>352.26182364338803</v>
      </c>
      <c r="CY40" s="3">
        <v>29803413.243633956</v>
      </c>
      <c r="CZ40" s="3">
        <v>0.63771996051073077</v>
      </c>
      <c r="DA40" s="3">
        <v>74.68989681329802</v>
      </c>
      <c r="DB40" s="3">
        <v>140562581.39227736</v>
      </c>
      <c r="DC40" s="3">
        <v>0.60583396248519417</v>
      </c>
      <c r="DD40" s="3">
        <v>18.976755175288826</v>
      </c>
      <c r="DE40" s="3">
        <v>553234976.31834793</v>
      </c>
      <c r="DF40" s="3">
        <v>0.56119356524944308</v>
      </c>
      <c r="DG40" s="3">
        <v>4.8498631926627507</v>
      </c>
      <c r="DH40" s="3">
        <v>2164721824.7069535</v>
      </c>
      <c r="DI40" s="3">
        <v>0.51017596840858459</v>
      </c>
      <c r="DJ40" s="3">
        <v>0.29090056721137553</v>
      </c>
      <c r="DK40" s="3">
        <v>36090011101.186523</v>
      </c>
      <c r="DL40" s="3">
        <v>0.4464039723575115</v>
      </c>
      <c r="DM40" s="3">
        <v>19290000</v>
      </c>
      <c r="DN40" s="3">
        <v>0.63771996051073077</v>
      </c>
      <c r="DO40" s="3">
        <v>10498604700</v>
      </c>
      <c r="DP40" s="3">
        <v>2125073700</v>
      </c>
      <c r="DQ40" s="3">
        <v>3541</v>
      </c>
      <c r="DR40" s="3">
        <v>-1.2814589375830412</v>
      </c>
      <c r="DS40" s="3">
        <v>-0.77933433703799682</v>
      </c>
      <c r="DT40" s="12">
        <v>-0.25666666666666677</v>
      </c>
      <c r="DU40" s="3">
        <v>-0.14000000000000004</v>
      </c>
      <c r="DV40" s="3">
        <v>-0.39666666666666683</v>
      </c>
      <c r="DW40" s="3">
        <v>-8.3476234855545197</v>
      </c>
      <c r="DX40" s="3">
        <v>0.29529657794676895</v>
      </c>
      <c r="DY40" s="3">
        <v>-8.0331273285872733</v>
      </c>
      <c r="DZ40" s="3">
        <v>1083</v>
      </c>
      <c r="EA40" s="3">
        <v>-8.0261064094365846</v>
      </c>
      <c r="EB40" s="3">
        <v>8</v>
      </c>
      <c r="EC40" s="3">
        <v>2.1165086900909728E-2</v>
      </c>
      <c r="ED40" s="3">
        <v>0.22209702968276979</v>
      </c>
      <c r="EE40" s="13">
        <v>1.0394000000000001</v>
      </c>
      <c r="EF40" s="3">
        <v>1.0259</v>
      </c>
      <c r="EG40" s="3">
        <v>20.095296577946769</v>
      </c>
      <c r="EH40" s="3" t="s">
        <v>1927</v>
      </c>
      <c r="EI40" s="3">
        <v>0</v>
      </c>
      <c r="EJ40" s="3">
        <v>1</v>
      </c>
      <c r="EK40" s="14">
        <v>45470</v>
      </c>
      <c r="EL40" s="15">
        <v>-0.9</v>
      </c>
      <c r="EM40" s="15">
        <v>-3.95</v>
      </c>
      <c r="EN40" s="15">
        <v>-1.48</v>
      </c>
      <c r="EO40" s="15">
        <v>2.99</v>
      </c>
      <c r="EP40" s="15">
        <v>-1.35</v>
      </c>
    </row>
    <row r="41" spans="1:146" ht="168" x14ac:dyDescent="0.25">
      <c r="A41" s="7" t="s">
        <v>1183</v>
      </c>
      <c r="C41" s="7" t="str">
        <f>"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amp;CHAR(10)&amp;Basic_Fundamental_Information_Constructure(F41)&amp;CHAR(10)&amp;Basic_Fundamental_Information_Concatenate("外销 7.39亿 52.39% 53.40% 53.29%
内销 6.62亿 46.93% 46.23% 51.50%")</f>
        <v>公司主营业务是传感器领域的封装测试业务。主要产品为芯片封装、芯片测试、芯片设计等。公司是中国大陆首家、全球第二大能为影像传感芯片提供WLCSP量产服务的专业封测服务商。封装产品包括多种影像传感器芯片（CIS），屏下指纹识别芯片，3D成像，微机电系统芯片（MEMS）、环境光感应芯片、5G射频芯片等产品
市值124.257939亿, 利润4924.02万; PE72.76; 平均PE52.71; 平均PEG10.95, PB3.01; ROIC7.05%; ROE8.1733%; 股利率.2416%; 毛利44.86%; 净利26.38%; 上一年度营收增-78.21%, 利润增-78.4%; 当季营收增-50%, 利润增-35.73%; 过往5年营收增4.81%, 利润增43.5%
Income profile:
外销 7.39亿 52.39% 53.40% 53.29%
内销 6.62亿 46.93% 46.23% 51.50%</v>
      </c>
      <c r="D41" s="3" t="s">
        <v>55</v>
      </c>
      <c r="E41" s="3" t="s">
        <v>9</v>
      </c>
      <c r="F41" s="3">
        <v>19.04</v>
      </c>
      <c r="G41" s="3">
        <v>-2.06</v>
      </c>
      <c r="H41" s="3" t="s">
        <v>3564</v>
      </c>
      <c r="I41" s="3">
        <v>12425793900</v>
      </c>
      <c r="J41" s="3">
        <v>72.760000000000005</v>
      </c>
      <c r="K41" s="3">
        <v>3.01</v>
      </c>
      <c r="L41" s="3" t="s">
        <v>2983</v>
      </c>
      <c r="M41" s="3" t="s">
        <v>174</v>
      </c>
      <c r="N41" s="3" t="s">
        <v>3565</v>
      </c>
      <c r="O41" s="3" t="s">
        <v>328</v>
      </c>
      <c r="P41" s="3">
        <v>7.9</v>
      </c>
      <c r="Q41" s="3" t="s">
        <v>328</v>
      </c>
      <c r="R41" s="3">
        <v>49240151</v>
      </c>
      <c r="S41" s="5">
        <v>0.72370000000000001</v>
      </c>
      <c r="T41" s="3" t="s">
        <v>3566</v>
      </c>
      <c r="U41" s="3">
        <v>652171710</v>
      </c>
      <c r="V41" s="3">
        <v>652615230</v>
      </c>
      <c r="W41" s="3">
        <v>1.18</v>
      </c>
      <c r="X41" s="3">
        <v>0.05</v>
      </c>
      <c r="Y41" s="3">
        <v>20.81</v>
      </c>
      <c r="Z41" s="3" t="s">
        <v>173</v>
      </c>
      <c r="AA41" s="3" t="s">
        <v>407</v>
      </c>
      <c r="AB41" s="3" t="s">
        <v>3567</v>
      </c>
      <c r="AC41" s="3" t="s">
        <v>3568</v>
      </c>
      <c r="AD41" s="3" t="s">
        <v>22</v>
      </c>
      <c r="AE41" s="3">
        <v>-5375982</v>
      </c>
      <c r="AF41" s="3" t="s">
        <v>2254</v>
      </c>
      <c r="AG41" s="3" t="s">
        <v>22</v>
      </c>
      <c r="AH41" s="3" t="s">
        <v>2255</v>
      </c>
      <c r="AI41" s="3" t="s">
        <v>3569</v>
      </c>
      <c r="AJ41" s="3" t="s">
        <v>2256</v>
      </c>
      <c r="AK41" s="3" t="s">
        <v>3570</v>
      </c>
      <c r="AL41" s="3" t="s">
        <v>2257</v>
      </c>
      <c r="AM41" s="3" t="s">
        <v>22</v>
      </c>
      <c r="AN41" s="3" t="s">
        <v>643</v>
      </c>
      <c r="AO41" s="3" t="s">
        <v>3571</v>
      </c>
      <c r="AP41" s="3" t="s">
        <v>22</v>
      </c>
      <c r="AQ41" s="3" t="s">
        <v>1174</v>
      </c>
      <c r="AR41" s="3" t="s">
        <v>22</v>
      </c>
      <c r="AS41" s="3" t="s">
        <v>1859</v>
      </c>
      <c r="AT41" s="3" t="s">
        <v>169</v>
      </c>
      <c r="AU41" s="3" t="s">
        <v>3572</v>
      </c>
      <c r="AV41" s="3" t="s">
        <v>3573</v>
      </c>
      <c r="AW41" s="3" t="s">
        <v>3574</v>
      </c>
      <c r="AX41" s="3" t="s">
        <v>1080</v>
      </c>
      <c r="AY41" s="3" t="s">
        <v>907</v>
      </c>
      <c r="AZ41" s="3" t="s">
        <v>608</v>
      </c>
      <c r="BA41" s="3" t="s">
        <v>125</v>
      </c>
      <c r="BB41" s="3" t="s">
        <v>609</v>
      </c>
      <c r="BC41" s="3" t="s">
        <v>466</v>
      </c>
      <c r="BD41" s="3" t="s">
        <v>583</v>
      </c>
      <c r="BE41" s="3" t="s">
        <v>401</v>
      </c>
      <c r="BF41" s="3" t="s">
        <v>396</v>
      </c>
      <c r="BG41" s="3" t="s">
        <v>611</v>
      </c>
      <c r="BH41" s="3" t="s">
        <v>1533</v>
      </c>
      <c r="BI41" s="3" t="s">
        <v>271</v>
      </c>
      <c r="BJ41" s="3" t="s">
        <v>1080</v>
      </c>
      <c r="BK41" s="3" t="s">
        <v>850</v>
      </c>
      <c r="BL41" s="3" t="s">
        <v>3575</v>
      </c>
      <c r="BM41" s="3" t="s">
        <v>466</v>
      </c>
      <c r="BN41" s="3">
        <v>1.87</v>
      </c>
      <c r="BO41" s="3">
        <v>4.58</v>
      </c>
      <c r="BP41" s="3">
        <v>14.7</v>
      </c>
      <c r="BQ41" s="3">
        <v>2.75</v>
      </c>
      <c r="BR41" s="3">
        <v>5.85</v>
      </c>
      <c r="BS41" s="3">
        <v>15.92</v>
      </c>
      <c r="BT41" s="3" t="s">
        <v>2258</v>
      </c>
      <c r="BU41" s="3" t="s">
        <v>1209</v>
      </c>
      <c r="BV41" s="3">
        <v>38.15</v>
      </c>
      <c r="BW41" s="3">
        <v>44.15</v>
      </c>
      <c r="BX41" s="3">
        <v>52.28</v>
      </c>
      <c r="BY41" s="3">
        <v>17.079999999999998</v>
      </c>
      <c r="BZ41" s="3">
        <v>21.05</v>
      </c>
      <c r="CA41" s="3">
        <v>41.01</v>
      </c>
      <c r="CB41" s="3">
        <v>-6.58</v>
      </c>
      <c r="CC41" s="3">
        <v>8.16</v>
      </c>
      <c r="CD41" s="3" t="s">
        <v>445</v>
      </c>
      <c r="CE41" s="3" t="s">
        <v>3576</v>
      </c>
      <c r="CF41" s="10">
        <v>-0.5</v>
      </c>
      <c r="CG41" s="11">
        <v>-0.35727383914143324</v>
      </c>
      <c r="CH41" s="10">
        <v>-0.78209763765335083</v>
      </c>
      <c r="CI41" s="10">
        <v>-0.21615879237651825</v>
      </c>
      <c r="CJ41" s="10">
        <v>0.27807977795600891</v>
      </c>
      <c r="CK41" s="10">
        <v>0.97142857313156128</v>
      </c>
      <c r="CL41" s="10">
        <v>-1.0600706562399864E-2</v>
      </c>
      <c r="CM41" s="11">
        <v>-0.78403425216674805</v>
      </c>
      <c r="CN41" s="11">
        <v>-0.60416668653488159</v>
      </c>
      <c r="CO41" s="11">
        <v>0.50785338878631592</v>
      </c>
      <c r="CP41" s="11">
        <v>2.5370371341705322</v>
      </c>
      <c r="CQ41" s="11">
        <v>0.51845771074295044</v>
      </c>
      <c r="CR41" s="3">
        <v>52.712534176114367</v>
      </c>
      <c r="CS41" s="3">
        <v>10.952060700517176</v>
      </c>
      <c r="CT41" s="3">
        <v>0.24159663865546221</v>
      </c>
      <c r="CU41" s="10">
        <v>4.8130242899060247E-2</v>
      </c>
      <c r="CV41" s="11">
        <v>0.4350294589996338</v>
      </c>
      <c r="CW41" s="3">
        <v>0.06</v>
      </c>
      <c r="CX41" s="3">
        <v>184.06268654043646</v>
      </c>
      <c r="CY41" s="3">
        <v>48688813.949432366</v>
      </c>
      <c r="CZ41" s="3">
        <v>4.8130242899060247E-2</v>
      </c>
      <c r="DA41" s="3">
        <v>62.331140782487843</v>
      </c>
      <c r="DB41" s="3">
        <v>143777151.9580121</v>
      </c>
      <c r="DC41" s="3">
        <v>4.5723730754107232E-2</v>
      </c>
      <c r="DD41" s="3">
        <v>32.155979183261316</v>
      </c>
      <c r="DE41" s="3">
        <v>278697589.92333937</v>
      </c>
      <c r="DF41" s="3">
        <v>4.2354613751173019E-2</v>
      </c>
      <c r="DG41" s="3">
        <v>20.335755917497494</v>
      </c>
      <c r="DH41" s="3">
        <v>440691456.77977991</v>
      </c>
      <c r="DI41" s="3">
        <v>3.8504194319248203E-2</v>
      </c>
      <c r="DJ41" s="3">
        <v>11.724711755685091</v>
      </c>
      <c r="DK41" s="3">
        <v>764350892.94665146</v>
      </c>
      <c r="DL41" s="3">
        <v>3.3691170029342167E-2</v>
      </c>
      <c r="DM41" s="3">
        <v>49240200.000000007</v>
      </c>
      <c r="DN41" s="3">
        <v>4.8130242899060247E-2</v>
      </c>
      <c r="DO41" s="3">
        <v>8961793900</v>
      </c>
      <c r="DP41" s="3">
        <v>2413278800</v>
      </c>
      <c r="DQ41" s="3">
        <v>3849</v>
      </c>
      <c r="DR41" s="3">
        <v>-0.5481302428990602</v>
      </c>
      <c r="DS41" s="3">
        <v>-0.79230329814106704</v>
      </c>
      <c r="DT41" s="12">
        <v>-0.55666666666666664</v>
      </c>
      <c r="DU41" s="3">
        <v>-0.22000000000000017</v>
      </c>
      <c r="DV41" s="3">
        <v>-0.77666666666666684</v>
      </c>
      <c r="DW41" s="3">
        <v>-7.4464043419267298</v>
      </c>
      <c r="DX41" s="3">
        <v>0.34808538479155016</v>
      </c>
      <c r="DY41" s="3">
        <v>-7.057177871908304</v>
      </c>
      <c r="DZ41" s="3">
        <v>1632</v>
      </c>
      <c r="EA41" s="3">
        <v>-7.0389167590013857</v>
      </c>
      <c r="EB41" s="3">
        <v>7</v>
      </c>
      <c r="EC41" s="3">
        <v>0.29420091835736045</v>
      </c>
      <c r="ED41" s="3">
        <v>2.2969123782171006</v>
      </c>
      <c r="EE41" s="13">
        <v>7.0342099999999999</v>
      </c>
      <c r="EF41" s="3">
        <v>7.06271</v>
      </c>
      <c r="EG41" s="3">
        <v>22.12808538479155</v>
      </c>
      <c r="EH41" s="3" t="s">
        <v>3577</v>
      </c>
      <c r="EI41" s="3">
        <v>0</v>
      </c>
      <c r="EJ41" s="3">
        <v>0</v>
      </c>
      <c r="EK41" s="14">
        <v>45470</v>
      </c>
      <c r="EL41" s="15">
        <v>-1.4</v>
      </c>
      <c r="EM41" s="15">
        <v>-5.13</v>
      </c>
      <c r="EN41" s="15">
        <v>0.84</v>
      </c>
      <c r="EO41" s="15">
        <v>2.38</v>
      </c>
      <c r="EP41" s="15">
        <v>-2.85</v>
      </c>
    </row>
    <row r="42" spans="1:146" ht="96" x14ac:dyDescent="0.25">
      <c r="A42" s="3"/>
      <c r="B42" s="3"/>
      <c r="C42" s="7" t="str">
        <f>""&amp;CHAR(10)&amp;Basic_Fundamental_Information_Constructure(F42)&amp;CHAR(10)&amp;Basic_Fundamental_Information_Concatenate("")</f>
        <v xml:space="preserve">
市值34.548亿, 利润1489.26万; PE50.96; 平均PE50.2; 平均PEG1.43, PB2.75; ROIC25.0633%; ROE17.47%; 股利率.3074%; 毛利54.6633%; 净利32.3767%; 上一年度营收增-79.21%, 利润增-90.33%; 当季营收增-52.39%, 利润增-66.87%; 过往5年营收增35.17%, 利润增138.02%
Income profile:
</v>
      </c>
      <c r="D42" s="3" t="s">
        <v>1398</v>
      </c>
      <c r="E42" s="3" t="s">
        <v>1399</v>
      </c>
      <c r="F42" s="3">
        <v>57.58</v>
      </c>
      <c r="G42" s="3">
        <v>-1.71</v>
      </c>
      <c r="H42" s="3" t="s">
        <v>3578</v>
      </c>
      <c r="I42" s="3">
        <v>3454800000</v>
      </c>
      <c r="J42" s="3">
        <v>50.96</v>
      </c>
      <c r="K42" s="3">
        <v>2.75</v>
      </c>
      <c r="L42" s="3" t="s">
        <v>2983</v>
      </c>
      <c r="M42" s="3" t="s">
        <v>622</v>
      </c>
      <c r="N42" s="3" t="s">
        <v>1157</v>
      </c>
      <c r="O42" s="3" t="s">
        <v>2259</v>
      </c>
      <c r="P42" s="5">
        <v>-12.79</v>
      </c>
      <c r="Q42" s="3" t="s">
        <v>2259</v>
      </c>
      <c r="R42" s="3">
        <v>14892642</v>
      </c>
      <c r="S42" s="3">
        <v>-0.53310000000000002</v>
      </c>
      <c r="T42" s="3" t="s">
        <v>3579</v>
      </c>
      <c r="U42" s="3">
        <v>41826334</v>
      </c>
      <c r="V42" s="3">
        <v>60000000</v>
      </c>
      <c r="W42" s="3">
        <v>1.1299999999999999</v>
      </c>
      <c r="X42" s="3">
        <v>0.06</v>
      </c>
      <c r="Y42" s="3">
        <v>16.82</v>
      </c>
      <c r="Z42" s="3" t="s">
        <v>3580</v>
      </c>
      <c r="AA42" s="3" t="s">
        <v>3581</v>
      </c>
      <c r="AB42" s="3" t="s">
        <v>3582</v>
      </c>
      <c r="AC42" s="3" t="s">
        <v>3583</v>
      </c>
      <c r="AD42" s="3" t="s">
        <v>22</v>
      </c>
      <c r="AE42" s="3">
        <v>-2456018</v>
      </c>
      <c r="AF42" s="3" t="s">
        <v>2261</v>
      </c>
      <c r="AG42" s="3" t="s">
        <v>22</v>
      </c>
      <c r="AH42" s="3" t="s">
        <v>2262</v>
      </c>
      <c r="AI42" s="3" t="s">
        <v>794</v>
      </c>
      <c r="AJ42" s="3" t="s">
        <v>2263</v>
      </c>
      <c r="AK42" s="3" t="s">
        <v>3584</v>
      </c>
      <c r="AL42" s="3" t="s">
        <v>2264</v>
      </c>
      <c r="AM42" s="3" t="s">
        <v>22</v>
      </c>
      <c r="AN42" s="3" t="s">
        <v>3585</v>
      </c>
      <c r="AO42" s="3" t="s">
        <v>22</v>
      </c>
      <c r="AP42" s="3" t="s">
        <v>3586</v>
      </c>
      <c r="AQ42" s="3" t="s">
        <v>3587</v>
      </c>
      <c r="AR42" s="3" t="s">
        <v>22</v>
      </c>
      <c r="AS42" s="3" t="s">
        <v>417</v>
      </c>
      <c r="AT42" s="3" t="s">
        <v>22</v>
      </c>
      <c r="AU42" s="3" t="s">
        <v>3588</v>
      </c>
      <c r="AV42" s="3" t="s">
        <v>3589</v>
      </c>
      <c r="AW42" s="3" t="s">
        <v>2552</v>
      </c>
      <c r="AX42" s="3" t="s">
        <v>1585</v>
      </c>
      <c r="AY42" s="3" t="s">
        <v>1145</v>
      </c>
      <c r="AZ42" s="3" t="s">
        <v>385</v>
      </c>
      <c r="BA42" s="3" t="s">
        <v>1586</v>
      </c>
      <c r="BB42" s="3" t="s">
        <v>112</v>
      </c>
      <c r="BC42" s="3" t="s">
        <v>1072</v>
      </c>
      <c r="BD42" s="3" t="s">
        <v>1072</v>
      </c>
      <c r="BE42" s="3" t="s">
        <v>1400</v>
      </c>
      <c r="BF42" s="3" t="s">
        <v>1587</v>
      </c>
      <c r="BG42" s="3" t="s">
        <v>1588</v>
      </c>
      <c r="BH42" s="3" t="s">
        <v>226</v>
      </c>
      <c r="BI42" s="3" t="s">
        <v>622</v>
      </c>
      <c r="BJ42" s="3" t="s">
        <v>1585</v>
      </c>
      <c r="BK42" s="3" t="s">
        <v>2260</v>
      </c>
      <c r="BL42" s="3" t="s">
        <v>3590</v>
      </c>
      <c r="BM42" s="3" t="s">
        <v>1072</v>
      </c>
      <c r="BN42" s="3">
        <v>4.78</v>
      </c>
      <c r="BO42" s="3">
        <v>29.5</v>
      </c>
      <c r="BP42" s="3">
        <v>40.909999999999997</v>
      </c>
      <c r="BQ42" s="3">
        <v>4.45</v>
      </c>
      <c r="BR42" s="3">
        <v>30.49</v>
      </c>
      <c r="BS42" s="3" t="s">
        <v>22</v>
      </c>
      <c r="BT42" s="3" t="s">
        <v>2265</v>
      </c>
      <c r="BU42" s="3" t="s">
        <v>1212</v>
      </c>
      <c r="BV42" s="3">
        <v>49.21</v>
      </c>
      <c r="BW42" s="3">
        <v>57.36</v>
      </c>
      <c r="BX42" s="3">
        <v>57.42</v>
      </c>
      <c r="BY42" s="3">
        <v>24.42</v>
      </c>
      <c r="BZ42" s="3">
        <v>36.130000000000003</v>
      </c>
      <c r="CA42" s="3">
        <v>36.58</v>
      </c>
      <c r="CB42" s="3">
        <v>-10.42</v>
      </c>
      <c r="CC42" s="10">
        <v>-8.69</v>
      </c>
      <c r="CD42" s="11" t="s">
        <v>3591</v>
      </c>
      <c r="CE42" s="10" t="s">
        <v>3592</v>
      </c>
      <c r="CF42" s="10">
        <v>-0.52385215053763445</v>
      </c>
      <c r="CG42" s="10">
        <v>-0.66874985820382615</v>
      </c>
      <c r="CH42" s="10">
        <v>-0.79210442304611206</v>
      </c>
      <c r="CI42" s="10">
        <v>1.4285714365541935E-2</v>
      </c>
      <c r="CJ42" s="11">
        <v>1.2702702283859253</v>
      </c>
      <c r="CK42" s="11">
        <v>1.5842210054397583</v>
      </c>
      <c r="CL42" s="11">
        <v>-0.31820663809776306</v>
      </c>
      <c r="CM42" s="11">
        <v>-0.90329474210739136</v>
      </c>
      <c r="CN42" s="11">
        <v>0</v>
      </c>
      <c r="CO42" s="3">
        <v>1.7320417165756226</v>
      </c>
      <c r="CP42" s="3">
        <v>6.7985749244689941</v>
      </c>
      <c r="CQ42" s="3">
        <v>-0.72615712881088257</v>
      </c>
      <c r="CR42" s="10">
        <v>50.204973123162617</v>
      </c>
      <c r="CS42" s="11">
        <v>1.4275219523155509</v>
      </c>
      <c r="CT42" s="3">
        <v>0.30739840222299408</v>
      </c>
      <c r="CU42" s="3">
        <v>0.35169317740947009</v>
      </c>
      <c r="CV42" s="3">
        <v>1.3802329540252685</v>
      </c>
      <c r="CW42" s="3">
        <v>0.06</v>
      </c>
      <c r="CX42" s="3">
        <v>125.68204765266435</v>
      </c>
      <c r="CY42" s="3">
        <v>18990779.069705918</v>
      </c>
      <c r="CZ42" s="3">
        <v>0.35169317740947009</v>
      </c>
      <c r="DA42" s="3">
        <v>33.138243170431792</v>
      </c>
      <c r="DB42" s="3">
        <v>72025544.254852533</v>
      </c>
      <c r="DC42" s="3">
        <v>0.33410851853899659</v>
      </c>
      <c r="DD42" s="3">
        <v>11.953398105230617</v>
      </c>
      <c r="DE42" s="3">
        <v>199675437.81174445</v>
      </c>
      <c r="DF42" s="3">
        <v>0.30948999612033368</v>
      </c>
      <c r="DG42" s="3">
        <v>4.8894459283286045</v>
      </c>
      <c r="DH42" s="3">
        <v>488153470.75857687</v>
      </c>
      <c r="DI42" s="3">
        <v>0.28135454192757609</v>
      </c>
      <c r="DJ42" s="3">
        <v>0.97968996574318645</v>
      </c>
      <c r="DK42" s="3">
        <v>2436280949.5444703</v>
      </c>
      <c r="DL42" s="3">
        <v>0.24618522418662905</v>
      </c>
      <c r="DM42" s="3">
        <v>14892600</v>
      </c>
      <c r="DN42" s="3">
        <v>0.35169317740947009</v>
      </c>
      <c r="DO42" s="3">
        <v>2386800000</v>
      </c>
      <c r="DP42" s="3">
        <v>1026093220</v>
      </c>
      <c r="DQ42" s="12">
        <v>3897</v>
      </c>
      <c r="DR42" s="3">
        <v>-0.8755453279471046</v>
      </c>
      <c r="DS42" s="3">
        <v>-2.0489828122290947</v>
      </c>
      <c r="DT42" s="3">
        <v>-0.37333333333333335</v>
      </c>
      <c r="DU42" s="3">
        <v>-0.26333333333333336</v>
      </c>
      <c r="DV42" s="3">
        <v>-0.63666666666666671</v>
      </c>
      <c r="DW42" s="3">
        <v>-5.8339731285988483</v>
      </c>
      <c r="DX42" s="3">
        <v>0.33833763228310443</v>
      </c>
      <c r="DY42" s="3">
        <v>-5.0986904054261206</v>
      </c>
      <c r="DZ42" s="3">
        <v>3116</v>
      </c>
      <c r="EA42" s="3">
        <v>-5.0385105026261616</v>
      </c>
      <c r="EB42" s="13">
        <v>5</v>
      </c>
      <c r="EC42" s="13">
        <v>5.7271666666666665E-2</v>
      </c>
      <c r="ED42" s="3">
        <v>0.48396833333333333</v>
      </c>
      <c r="EE42" s="3">
        <v>-1.0752999999999999</v>
      </c>
      <c r="EF42" s="3">
        <v>-1.0620000000000001</v>
      </c>
      <c r="EG42" s="3">
        <v>22.118337632283104</v>
      </c>
      <c r="EH42" s="14" t="s">
        <v>1929</v>
      </c>
      <c r="EI42" s="15">
        <v>0</v>
      </c>
      <c r="EJ42" s="15">
        <v>0</v>
      </c>
      <c r="EK42" s="15">
        <v>45470</v>
      </c>
      <c r="EL42" s="15">
        <v>0.81</v>
      </c>
      <c r="EM42" s="15">
        <v>-4.16</v>
      </c>
      <c r="EN42" s="15">
        <v>-1</v>
      </c>
      <c r="EO42" s="15">
        <v>3.61</v>
      </c>
      <c r="EP42" s="15">
        <v>-1.33</v>
      </c>
    </row>
    <row r="43" spans="1:146" ht="96" x14ac:dyDescent="0.25">
      <c r="C43" s="7" t="str">
        <f>""&amp;CHAR(10)&amp;Basic_Fundamental_Information_Constructure(F43)&amp;CHAR(10)&amp;Basic_Fundamental_Information_Concatenate("")</f>
        <v xml:space="preserve">
市值31.799838亿, 利润121.62万; PE; 平均PE82.63; 平均PEG51.12, PB1.86; ROIC2.21%; ROE-4.9167%; 股利率.2365%; 毛利27.4333%; 净利-14.1533%; 上一年度营收增-76.44%, 利润增100.51%; 当季营收增-50.15%, 利润增102.33%; 过往5年营收增1.62%, 利润增-62.84%
Income profile:
</v>
      </c>
      <c r="D43" s="3" t="s">
        <v>43</v>
      </c>
      <c r="E43" s="3" t="s">
        <v>44</v>
      </c>
      <c r="F43" s="3">
        <v>21.14</v>
      </c>
      <c r="G43" s="3">
        <v>-0.05</v>
      </c>
      <c r="H43" s="3" t="s">
        <v>3593</v>
      </c>
      <c r="I43" s="3">
        <v>3179983800</v>
      </c>
      <c r="K43" s="3">
        <v>1.86</v>
      </c>
      <c r="L43" s="3" t="s">
        <v>2983</v>
      </c>
      <c r="M43" s="3" t="s">
        <v>208</v>
      </c>
      <c r="N43" s="3" t="s">
        <v>3594</v>
      </c>
      <c r="O43" s="3" t="s">
        <v>355</v>
      </c>
      <c r="P43" s="3">
        <v>5.61</v>
      </c>
      <c r="Q43" s="3" t="s">
        <v>355</v>
      </c>
      <c r="R43" s="3">
        <v>1216195</v>
      </c>
      <c r="S43" s="5">
        <v>1.0329999999999999</v>
      </c>
      <c r="T43" s="3" t="s">
        <v>3595</v>
      </c>
      <c r="U43" s="3">
        <v>150424970</v>
      </c>
      <c r="V43" s="3">
        <v>150424970</v>
      </c>
      <c r="W43" s="3">
        <v>1.1599999999999999</v>
      </c>
      <c r="X43" s="3">
        <v>0.09</v>
      </c>
      <c r="Y43" s="3">
        <v>0.3</v>
      </c>
      <c r="Z43" s="3" t="s">
        <v>535</v>
      </c>
      <c r="AA43" s="3" t="s">
        <v>275</v>
      </c>
      <c r="AB43" s="3" t="s">
        <v>3596</v>
      </c>
      <c r="AC43" s="3" t="s">
        <v>3597</v>
      </c>
      <c r="AD43" s="3" t="s">
        <v>22</v>
      </c>
      <c r="AE43" s="3">
        <v>-14190380</v>
      </c>
      <c r="AF43" s="3" t="s">
        <v>108</v>
      </c>
      <c r="AG43" s="3" t="s">
        <v>3598</v>
      </c>
      <c r="AH43" s="3" t="s">
        <v>2267</v>
      </c>
      <c r="AI43" s="3" t="s">
        <v>1220</v>
      </c>
      <c r="AJ43" s="3" t="s">
        <v>2268</v>
      </c>
      <c r="AK43" s="3" t="s">
        <v>22</v>
      </c>
      <c r="AL43" s="3" t="s">
        <v>2269</v>
      </c>
      <c r="AM43" s="3" t="s">
        <v>22</v>
      </c>
      <c r="AN43" s="3">
        <v>0</v>
      </c>
      <c r="AO43" s="3" t="s">
        <v>275</v>
      </c>
      <c r="AP43" s="3" t="s">
        <v>22</v>
      </c>
      <c r="AQ43" s="3" t="s">
        <v>3599</v>
      </c>
      <c r="AR43" s="3" t="s">
        <v>22</v>
      </c>
      <c r="AS43" s="3" t="s">
        <v>348</v>
      </c>
      <c r="AT43" s="3" t="s">
        <v>22</v>
      </c>
      <c r="AU43" s="3" t="s">
        <v>3600</v>
      </c>
      <c r="AV43" s="3" t="s">
        <v>3601</v>
      </c>
      <c r="AW43" s="3" t="s">
        <v>3602</v>
      </c>
      <c r="AX43" s="3" t="s">
        <v>1049</v>
      </c>
      <c r="AY43" s="3" t="s">
        <v>908</v>
      </c>
      <c r="AZ43" s="3" t="s">
        <v>486</v>
      </c>
      <c r="BA43" s="3" t="s">
        <v>290</v>
      </c>
      <c r="BB43" s="3" t="s">
        <v>481</v>
      </c>
      <c r="BC43" s="3" t="s">
        <v>1589</v>
      </c>
      <c r="BD43" s="3" t="s">
        <v>909</v>
      </c>
      <c r="BE43" s="3" t="s">
        <v>612</v>
      </c>
      <c r="BF43" s="3" t="s">
        <v>340</v>
      </c>
      <c r="BG43" s="3" t="s">
        <v>27</v>
      </c>
      <c r="BH43" s="3" t="s">
        <v>1760</v>
      </c>
      <c r="BI43" s="3" t="s">
        <v>542</v>
      </c>
      <c r="BJ43" s="3" t="s">
        <v>1049</v>
      </c>
      <c r="BK43" s="3" t="s">
        <v>2266</v>
      </c>
      <c r="BL43" s="3" t="s">
        <v>3603</v>
      </c>
      <c r="BM43" s="3" t="s">
        <v>1589</v>
      </c>
      <c r="BN43" s="3" t="s">
        <v>22</v>
      </c>
      <c r="BO43" s="3" t="s">
        <v>22</v>
      </c>
      <c r="BP43" s="3">
        <v>2.21</v>
      </c>
      <c r="BQ43" s="3">
        <v>-5.15</v>
      </c>
      <c r="BR43" s="3">
        <v>-12.48</v>
      </c>
      <c r="BS43" s="3">
        <v>2.88</v>
      </c>
      <c r="BT43" s="3" t="s">
        <v>1954</v>
      </c>
      <c r="BU43" s="3" t="s">
        <v>3311</v>
      </c>
      <c r="BV43" s="3">
        <v>30.61</v>
      </c>
      <c r="BW43" s="3">
        <v>25.71</v>
      </c>
      <c r="BX43" s="3">
        <v>25.98</v>
      </c>
      <c r="BY43" s="3">
        <v>-13.96</v>
      </c>
      <c r="BZ43" s="3">
        <v>-33.840000000000003</v>
      </c>
      <c r="CA43" s="3">
        <v>5.34</v>
      </c>
      <c r="CB43" s="3">
        <v>-7.12</v>
      </c>
      <c r="CC43" s="3">
        <v>1.73</v>
      </c>
      <c r="CD43" s="3" t="s">
        <v>3604</v>
      </c>
      <c r="CE43" s="3" t="s">
        <v>109</v>
      </c>
      <c r="CF43" s="10">
        <v>-0.50148367952522255</v>
      </c>
      <c r="CG43" s="11">
        <v>1.0233302192995919</v>
      </c>
      <c r="CH43" s="10">
        <v>-0.76437586545944214</v>
      </c>
      <c r="CI43" s="10">
        <v>-0.34885847568511963</v>
      </c>
      <c r="CJ43" s="10">
        <v>0.35352295637130737</v>
      </c>
      <c r="CK43" s="10">
        <v>-0.31148940324783325</v>
      </c>
      <c r="CL43" s="10">
        <v>1.1520147323608398</v>
      </c>
      <c r="CM43" s="11">
        <v>1.0051100254058838</v>
      </c>
      <c r="CN43" s="11">
        <v>-5.0709095001220703</v>
      </c>
      <c r="CO43" s="11">
        <v>0.75976449251174927</v>
      </c>
      <c r="CP43" s="11">
        <v>-0.86816507577896118</v>
      </c>
      <c r="CQ43" s="11">
        <v>1.0322580337524414</v>
      </c>
      <c r="CR43" s="3">
        <v>82.63196626104039</v>
      </c>
      <c r="CS43" s="3">
        <v>51.124819445543338</v>
      </c>
      <c r="CT43" s="3">
        <v>0.23651844843897823</v>
      </c>
      <c r="CU43" s="10">
        <v>1.6162788867950438E-2</v>
      </c>
      <c r="CV43" s="11">
        <v>-0.62838840484619141</v>
      </c>
      <c r="CW43" s="3">
        <v>0.06</v>
      </c>
      <c r="CX43" s="3">
        <v>1458.9410909317953</v>
      </c>
      <c r="CY43" s="3">
        <v>1165903.0036049071</v>
      </c>
      <c r="CZ43" s="3">
        <v>1.6162788867950438E-2</v>
      </c>
      <c r="DA43" s="3">
        <v>507.78762912329915</v>
      </c>
      <c r="DB43" s="3">
        <v>3349793.6980795828</v>
      </c>
      <c r="DC43" s="3">
        <v>1.5354649424552915E-2</v>
      </c>
      <c r="DD43" s="3">
        <v>271.27728045660274</v>
      </c>
      <c r="DE43" s="3">
        <v>6270277.3971228786</v>
      </c>
      <c r="DF43" s="3">
        <v>1.4223254203796385E-2</v>
      </c>
      <c r="DG43" s="3">
        <v>178.03295489915686</v>
      </c>
      <c r="DH43" s="3">
        <v>9554319.8783814348</v>
      </c>
      <c r="DI43" s="3">
        <v>1.2930231094360351E-2</v>
      </c>
      <c r="DJ43" s="3">
        <v>110.46589712967359</v>
      </c>
      <c r="DK43" s="3">
        <v>15398270.816587411</v>
      </c>
      <c r="DL43" s="3">
        <v>1.1313952207565306E-2</v>
      </c>
      <c r="DM43" s="3">
        <v>1216200</v>
      </c>
      <c r="DN43" s="3">
        <v>1.6162788867950438E-2</v>
      </c>
      <c r="DO43" s="3">
        <v>1700983800</v>
      </c>
      <c r="DP43" s="3">
        <v>1302537600</v>
      </c>
      <c r="DQ43" s="3">
        <v>3903</v>
      </c>
      <c r="DR43" s="3">
        <v>-0.51764646839317296</v>
      </c>
      <c r="DS43" s="3">
        <v>1.6517186241457833</v>
      </c>
      <c r="DT43" s="12">
        <v>-0.70666666666666667</v>
      </c>
      <c r="DU43" s="3">
        <v>0.45</v>
      </c>
      <c r="DV43" s="3">
        <v>-0.25666666666666665</v>
      </c>
      <c r="DW43" s="3">
        <v>-5.242977528089888</v>
      </c>
      <c r="DX43" s="3">
        <v>0.2066659203980091</v>
      </c>
      <c r="DY43" s="3">
        <v>-5.013768545265247</v>
      </c>
      <c r="DZ43" s="3">
        <v>1316</v>
      </c>
      <c r="EA43" s="3">
        <v>-5.0102226733339235</v>
      </c>
      <c r="EB43" s="3">
        <v>5</v>
      </c>
      <c r="EC43" s="3">
        <v>0.15143562933733673</v>
      </c>
      <c r="ED43" s="3">
        <v>2.6724286533013766</v>
      </c>
      <c r="EE43" s="13">
        <v>-1.0599000000000001</v>
      </c>
      <c r="EF43" s="3">
        <v>-1.0451999999999999</v>
      </c>
      <c r="EG43" s="3">
        <v>15.056665920398009</v>
      </c>
      <c r="EH43" s="3" t="s">
        <v>1929</v>
      </c>
      <c r="EI43" s="3">
        <v>0</v>
      </c>
      <c r="EJ43" s="3">
        <v>1</v>
      </c>
      <c r="EK43" s="14">
        <v>45470</v>
      </c>
      <c r="EL43" s="15">
        <v>-1.5</v>
      </c>
      <c r="EM43" s="15">
        <v>-4.92</v>
      </c>
      <c r="EN43" s="15">
        <v>7.24</v>
      </c>
      <c r="EO43" s="15">
        <v>1.23</v>
      </c>
      <c r="EP43" s="15">
        <v>-1.47</v>
      </c>
    </row>
    <row r="44" spans="1:146" ht="96" x14ac:dyDescent="0.25">
      <c r="C44" s="7" t="str">
        <f>""&amp;CHAR(10)&amp;Basic_Fundamental_Information_Constructure(F44)&amp;CHAR(10)&amp;Basic_Fundamental_Information_Concatenate("")</f>
        <v xml:space="preserve">
市值310.1589亿, 利润1.62亿; PE66.52; 平均PE37.28; 平均PEG4.43, PB3.76; ROIC8.95%; ROE.4233%; 股利率.2658%; 毛利44.95%; 净利-1.1%; 上一年度营收增-64.01%, 利润增121.66%; 当季营收增-39.76%, 利润增219.41%; 过往5年营收增-8.41%, 利润增14.08%
Income profile:
</v>
      </c>
      <c r="D44" s="3" t="s">
        <v>61</v>
      </c>
      <c r="E44" s="3" t="s">
        <v>2977</v>
      </c>
      <c r="F44" s="3">
        <v>67.72</v>
      </c>
      <c r="G44" s="3">
        <v>0.65</v>
      </c>
      <c r="H44" s="3" t="s">
        <v>3605</v>
      </c>
      <c r="I44" s="3">
        <v>31015890000</v>
      </c>
      <c r="J44" s="3">
        <v>66.52</v>
      </c>
      <c r="K44" s="3">
        <v>3.76</v>
      </c>
      <c r="L44" s="3" t="s">
        <v>2983</v>
      </c>
      <c r="M44" s="3" t="s">
        <v>2270</v>
      </c>
      <c r="N44" s="3" t="s">
        <v>3606</v>
      </c>
      <c r="O44" s="3" t="s">
        <v>2064</v>
      </c>
      <c r="P44" s="3">
        <v>44.38</v>
      </c>
      <c r="Q44" s="3" t="s">
        <v>2064</v>
      </c>
      <c r="R44" s="3">
        <v>162399850</v>
      </c>
      <c r="S44" s="5">
        <v>2.17</v>
      </c>
      <c r="T44" s="3" t="s">
        <v>482</v>
      </c>
      <c r="U44" s="3">
        <v>458001910</v>
      </c>
      <c r="V44" s="3">
        <v>458001910</v>
      </c>
      <c r="W44" s="3">
        <v>1.2</v>
      </c>
      <c r="X44" s="3">
        <v>0.12</v>
      </c>
      <c r="Y44" s="3">
        <v>13.33</v>
      </c>
      <c r="Z44" s="3" t="s">
        <v>3607</v>
      </c>
      <c r="AA44" s="3" t="s">
        <v>1783</v>
      </c>
      <c r="AB44" s="3" t="s">
        <v>3608</v>
      </c>
      <c r="AC44" s="3" t="s">
        <v>3609</v>
      </c>
      <c r="AD44" s="3" t="s">
        <v>22</v>
      </c>
      <c r="AE44" s="3">
        <v>-23203489</v>
      </c>
      <c r="AF44" s="3" t="s">
        <v>2273</v>
      </c>
      <c r="AG44" s="3" t="s">
        <v>3610</v>
      </c>
      <c r="AH44" s="3" t="s">
        <v>2274</v>
      </c>
      <c r="AI44" s="3" t="s">
        <v>3611</v>
      </c>
      <c r="AJ44" s="3" t="s">
        <v>2275</v>
      </c>
      <c r="AK44" s="3" t="s">
        <v>3612</v>
      </c>
      <c r="AL44" s="3" t="s">
        <v>2276</v>
      </c>
      <c r="AM44" s="3" t="s">
        <v>22</v>
      </c>
      <c r="AN44" s="3" t="s">
        <v>1236</v>
      </c>
      <c r="AO44" s="3" t="s">
        <v>646</v>
      </c>
      <c r="AP44" s="3" t="s">
        <v>450</v>
      </c>
      <c r="AQ44" s="3" t="s">
        <v>363</v>
      </c>
      <c r="AR44" s="3" t="s">
        <v>3613</v>
      </c>
      <c r="AS44" s="3" t="s">
        <v>2352</v>
      </c>
      <c r="AT44" s="3" t="s">
        <v>348</v>
      </c>
      <c r="AU44" s="3" t="s">
        <v>208</v>
      </c>
      <c r="AV44" s="3" t="s">
        <v>357</v>
      </c>
      <c r="AW44" s="3" t="s">
        <v>170</v>
      </c>
      <c r="AX44" s="3" t="s">
        <v>1222</v>
      </c>
      <c r="AY44" s="3" t="s">
        <v>910</v>
      </c>
      <c r="AZ44" s="3" t="s">
        <v>614</v>
      </c>
      <c r="BA44" s="3" t="s">
        <v>291</v>
      </c>
      <c r="BB44" s="3" t="s">
        <v>615</v>
      </c>
      <c r="BC44" s="3" t="s">
        <v>1590</v>
      </c>
      <c r="BD44" s="3" t="s">
        <v>332</v>
      </c>
      <c r="BE44" s="3" t="s">
        <v>570</v>
      </c>
      <c r="BF44" s="3" t="s">
        <v>398</v>
      </c>
      <c r="BG44" s="3" t="s">
        <v>616</v>
      </c>
      <c r="BH44" s="3" t="s">
        <v>2271</v>
      </c>
      <c r="BI44" s="3" t="s">
        <v>1762</v>
      </c>
      <c r="BJ44" s="3" t="s">
        <v>1222</v>
      </c>
      <c r="BK44" s="3" t="s">
        <v>300</v>
      </c>
      <c r="BL44" s="3" t="s">
        <v>1633</v>
      </c>
      <c r="BM44" s="3" t="s">
        <v>1590</v>
      </c>
      <c r="BN44" s="3" t="s">
        <v>22</v>
      </c>
      <c r="BO44" s="3" t="s">
        <v>22</v>
      </c>
      <c r="BP44" s="3">
        <v>8.9499999999999993</v>
      </c>
      <c r="BQ44" s="3">
        <v>0.16</v>
      </c>
      <c r="BR44" s="3">
        <v>-9.07</v>
      </c>
      <c r="BS44" s="3">
        <v>10.18</v>
      </c>
      <c r="BT44" s="3" t="s">
        <v>1380</v>
      </c>
      <c r="BU44" s="3" t="s">
        <v>3311</v>
      </c>
      <c r="BV44" s="3">
        <v>40.46</v>
      </c>
      <c r="BW44" s="3">
        <v>46.2</v>
      </c>
      <c r="BX44" s="3">
        <v>48.19</v>
      </c>
      <c r="BY44" s="3">
        <v>3.74</v>
      </c>
      <c r="BZ44" s="3">
        <v>-22.09</v>
      </c>
      <c r="CA44" s="3">
        <v>15.05</v>
      </c>
      <c r="CB44" s="3">
        <v>-1.5</v>
      </c>
      <c r="CC44" s="3">
        <v>12.08</v>
      </c>
      <c r="CD44" s="3" t="s">
        <v>3614</v>
      </c>
      <c r="CE44" s="3" t="s">
        <v>23</v>
      </c>
      <c r="CF44" s="10">
        <v>-0.39762611275964393</v>
      </c>
      <c r="CG44" s="11">
        <v>2.1941165441176471</v>
      </c>
      <c r="CH44" s="10">
        <v>-0.64007097482681274</v>
      </c>
      <c r="CI44" s="10">
        <v>-0.40766671299934387</v>
      </c>
      <c r="CJ44" s="10">
        <v>-0.14565576612949371</v>
      </c>
      <c r="CK44" s="10">
        <v>3.3060424029827118E-2</v>
      </c>
      <c r="CL44" s="10">
        <v>0.73958617448806763</v>
      </c>
      <c r="CM44" s="11">
        <v>1.2165775299072266</v>
      </c>
      <c r="CN44" s="11">
        <v>-1.869767427444458</v>
      </c>
      <c r="CO44" s="11">
        <v>-0.48161545395851135</v>
      </c>
      <c r="CP44" s="11">
        <v>-0.28398787975311279</v>
      </c>
      <c r="CQ44" s="11">
        <v>2.1226413249969482</v>
      </c>
      <c r="CR44" s="3">
        <v>37.278713942307689</v>
      </c>
      <c r="CS44" s="3">
        <v>4.4300644746972591</v>
      </c>
      <c r="CT44" s="3">
        <v>0.26580035440047256</v>
      </c>
      <c r="CU44" s="10">
        <v>-8.414937108755112E-2</v>
      </c>
      <c r="CV44" s="11">
        <v>0.14076961874961852</v>
      </c>
      <c r="CW44" s="3">
        <v>0.06</v>
      </c>
      <c r="CX44" s="3">
        <v>150.91907407407408</v>
      </c>
      <c r="CY44" s="3" t="s">
        <v>3615</v>
      </c>
      <c r="CZ44" s="3">
        <v>-8.414937108755112E-2</v>
      </c>
      <c r="DA44" s="3">
        <v>50.306358024691356</v>
      </c>
      <c r="DB44" s="3" t="s">
        <v>3616</v>
      </c>
      <c r="DC44" s="3">
        <v>-7.9941902533173556E-2</v>
      </c>
      <c r="DD44" s="3">
        <v>25.153179012345678</v>
      </c>
      <c r="DE44" s="3" t="s">
        <v>3617</v>
      </c>
      <c r="DF44" s="3">
        <v>-7.4051446557044986E-2</v>
      </c>
      <c r="DG44" s="3">
        <v>15.091907407407408</v>
      </c>
      <c r="DH44" s="3" t="s">
        <v>3618</v>
      </c>
      <c r="DI44" s="3">
        <v>-6.7319496870040893E-2</v>
      </c>
      <c r="DJ44" s="3">
        <v>7.5459537037037041</v>
      </c>
      <c r="DK44" s="3" t="s">
        <v>3619</v>
      </c>
      <c r="DL44" s="3">
        <v>-5.890455976128578E-2</v>
      </c>
      <c r="DM44" s="3">
        <v>162000000</v>
      </c>
      <c r="DN44" s="3">
        <v>-8.414937108755112E-2</v>
      </c>
      <c r="DO44" s="3">
        <v>24448890000</v>
      </c>
      <c r="DP44" s="3">
        <v>4462960700</v>
      </c>
      <c r="DQ44" s="3">
        <v>3970</v>
      </c>
      <c r="DR44" s="3">
        <v>-0.31347674167209283</v>
      </c>
      <c r="DS44" s="3">
        <v>2.0533469253680288</v>
      </c>
      <c r="DT44" s="12">
        <v>-0.72333333333333327</v>
      </c>
      <c r="DU44" s="3">
        <v>0.40333333333333315</v>
      </c>
      <c r="DV44" s="3">
        <v>-0.32000000000000012</v>
      </c>
      <c r="DW44" s="3">
        <v>2.1208</v>
      </c>
      <c r="DX44" s="3">
        <v>0.3080527777777769</v>
      </c>
      <c r="DY44" s="3">
        <v>2.0142607755555555</v>
      </c>
      <c r="DZ44" s="3">
        <v>2421</v>
      </c>
      <c r="EA44" s="3">
        <v>2.0075043494068274</v>
      </c>
      <c r="EB44" s="3">
        <v>2</v>
      </c>
      <c r="EC44" s="3">
        <v>4.6396094723709778E-2</v>
      </c>
      <c r="ED44" s="3">
        <v>0.39301146145875243</v>
      </c>
      <c r="EE44" s="13">
        <v>-1.1112</v>
      </c>
      <c r="EF44" s="3">
        <v>-1.1122000000000001</v>
      </c>
      <c r="EG44" s="3">
        <v>19.118052777777777</v>
      </c>
      <c r="EH44" s="3" t="s">
        <v>1929</v>
      </c>
      <c r="EI44" s="3">
        <v>1</v>
      </c>
      <c r="EJ44" s="3">
        <v>0</v>
      </c>
      <c r="EK44" s="14">
        <v>45470</v>
      </c>
      <c r="EL44" s="15">
        <v>-1.06</v>
      </c>
      <c r="EM44" s="15">
        <v>-3.99</v>
      </c>
      <c r="EN44" s="15">
        <v>2.0299999999999998</v>
      </c>
      <c r="EO44" s="15">
        <v>4.17</v>
      </c>
      <c r="EP44" s="15">
        <v>0.1</v>
      </c>
    </row>
    <row r="45" spans="1:146" ht="96" x14ac:dyDescent="0.25">
      <c r="C45" s="7" t="str">
        <f>""&amp;CHAR(10)&amp;Basic_Fundamental_Information_Constructure(F45)&amp;CHAR(10)&amp;Basic_Fundamental_Information_Concatenate("")</f>
        <v xml:space="preserve">
市值182.09142亿, 利润1.63亿; PE21; 平均PE60.98; 平均PEG2.92, PB2.76; ROIC11.5667%; ROE17.03%; 股利率2.1002%; 毛利38.18%; 净利26.2933%; 上一年度营收增-70.24%, 利润增-80.07%; 当季营收增-52.31%, 利润增-62.19%; 过往5年营收增20.9%, 利润增43.79%
Income profile:
</v>
      </c>
      <c r="D45" s="3" t="s">
        <v>72</v>
      </c>
      <c r="E45" s="3" t="s">
        <v>73</v>
      </c>
      <c r="F45" s="3">
        <v>76.069999999999993</v>
      </c>
      <c r="G45" s="3">
        <v>-2.35</v>
      </c>
      <c r="H45" s="3" t="s">
        <v>3620</v>
      </c>
      <c r="I45" s="3">
        <v>18209142000</v>
      </c>
      <c r="J45" s="3">
        <v>21</v>
      </c>
      <c r="K45" s="3">
        <v>2.76</v>
      </c>
      <c r="L45" s="3" t="s">
        <v>2983</v>
      </c>
      <c r="M45" s="3" t="s">
        <v>2277</v>
      </c>
      <c r="N45" s="3" t="s">
        <v>3621</v>
      </c>
      <c r="O45" s="3" t="s">
        <v>1112</v>
      </c>
      <c r="P45" s="3">
        <v>3.17</v>
      </c>
      <c r="Q45" s="3" t="s">
        <v>1112</v>
      </c>
      <c r="R45" s="3">
        <v>162598950</v>
      </c>
      <c r="S45" s="5">
        <v>-0.2114</v>
      </c>
      <c r="T45" s="3" t="s">
        <v>331</v>
      </c>
      <c r="U45" s="3">
        <v>239373500</v>
      </c>
      <c r="V45" s="3">
        <v>239373500</v>
      </c>
      <c r="W45" s="3">
        <v>1.32</v>
      </c>
      <c r="X45" s="3">
        <v>0.09</v>
      </c>
      <c r="Y45" s="3">
        <v>20.52</v>
      </c>
      <c r="Z45" s="3" t="s">
        <v>628</v>
      </c>
      <c r="AA45" s="3" t="s">
        <v>1856</v>
      </c>
      <c r="AB45" s="3" t="s">
        <v>3622</v>
      </c>
      <c r="AC45" s="3" t="s">
        <v>3623</v>
      </c>
      <c r="AD45" s="3" t="s">
        <v>22</v>
      </c>
      <c r="AE45" s="3">
        <v>-6934272</v>
      </c>
      <c r="AF45" s="3" t="s">
        <v>2280</v>
      </c>
      <c r="AG45" s="3" t="s">
        <v>3624</v>
      </c>
      <c r="AH45" s="3" t="s">
        <v>2281</v>
      </c>
      <c r="AI45" s="3" t="s">
        <v>384</v>
      </c>
      <c r="AJ45" s="3" t="s">
        <v>2282</v>
      </c>
      <c r="AK45" s="3" t="s">
        <v>22</v>
      </c>
      <c r="AL45" s="3" t="s">
        <v>2283</v>
      </c>
      <c r="AM45" s="3" t="s">
        <v>22</v>
      </c>
      <c r="AN45" s="3" t="s">
        <v>3625</v>
      </c>
      <c r="AO45" s="3" t="s">
        <v>22</v>
      </c>
      <c r="AP45" s="3" t="s">
        <v>22</v>
      </c>
      <c r="AQ45" s="3" t="s">
        <v>1812</v>
      </c>
      <c r="AR45" s="3" t="s">
        <v>22</v>
      </c>
      <c r="AS45" s="3" t="s">
        <v>442</v>
      </c>
      <c r="AT45" s="3" t="s">
        <v>2936</v>
      </c>
      <c r="AU45" s="3" t="s">
        <v>662</v>
      </c>
      <c r="AV45" s="3" t="s">
        <v>3626</v>
      </c>
      <c r="AW45" s="3" t="s">
        <v>3627</v>
      </c>
      <c r="AX45" s="3" t="s">
        <v>1591</v>
      </c>
      <c r="AY45" s="3" t="s">
        <v>882</v>
      </c>
      <c r="AZ45" s="3" t="s">
        <v>621</v>
      </c>
      <c r="BA45" s="3" t="s">
        <v>137</v>
      </c>
      <c r="BB45" s="3" t="s">
        <v>152</v>
      </c>
      <c r="BC45" s="3" t="s">
        <v>1592</v>
      </c>
      <c r="BD45" s="3" t="s">
        <v>884</v>
      </c>
      <c r="BE45" s="3" t="s">
        <v>216</v>
      </c>
      <c r="BF45" s="3" t="s">
        <v>170</v>
      </c>
      <c r="BG45" s="3" t="s">
        <v>1785</v>
      </c>
      <c r="BH45" s="3" t="s">
        <v>2278</v>
      </c>
      <c r="BI45" s="3" t="s">
        <v>3628</v>
      </c>
      <c r="BJ45" s="3" t="s">
        <v>1591</v>
      </c>
      <c r="BK45" s="3" t="s">
        <v>2279</v>
      </c>
      <c r="BL45" s="3" t="s">
        <v>498</v>
      </c>
      <c r="BM45" s="3" t="s">
        <v>1592</v>
      </c>
      <c r="BN45" s="3">
        <v>9.2100000000000009</v>
      </c>
      <c r="BO45" s="3">
        <v>12.82</v>
      </c>
      <c r="BP45" s="3">
        <v>12.67</v>
      </c>
      <c r="BQ45" s="3">
        <v>11.08</v>
      </c>
      <c r="BR45" s="3">
        <v>15.3</v>
      </c>
      <c r="BS45" s="3">
        <v>24.71</v>
      </c>
      <c r="BT45" s="3" t="s">
        <v>3629</v>
      </c>
      <c r="BU45" s="3" t="s">
        <v>1210</v>
      </c>
      <c r="BV45" s="3">
        <v>37.51</v>
      </c>
      <c r="BW45" s="3">
        <v>40.299999999999997</v>
      </c>
      <c r="BX45" s="3">
        <v>36.729999999999997</v>
      </c>
      <c r="BY45" s="3">
        <v>25.14</v>
      </c>
      <c r="BZ45" s="3">
        <v>30.34</v>
      </c>
      <c r="CA45" s="3">
        <v>23.4</v>
      </c>
      <c r="CB45" s="3">
        <v>-11.66</v>
      </c>
      <c r="CC45" s="3">
        <v>-16.05</v>
      </c>
      <c r="CD45" s="3" t="s">
        <v>3630</v>
      </c>
      <c r="CE45" s="3" t="s">
        <v>305</v>
      </c>
      <c r="CF45" s="10">
        <v>-0.52310426540284349</v>
      </c>
      <c r="CG45" s="11">
        <v>-0.62186290697674418</v>
      </c>
      <c r="CH45" s="10">
        <v>-0.70240294933319092</v>
      </c>
      <c r="CI45" s="10">
        <v>0.58465135097503662</v>
      </c>
      <c r="CJ45" s="10">
        <v>0.77258574962615967</v>
      </c>
      <c r="CK45" s="10">
        <v>0.23620025813579559</v>
      </c>
      <c r="CL45" s="10">
        <v>0.15407407283782959</v>
      </c>
      <c r="CM45" s="11">
        <v>-0.80073350667953491</v>
      </c>
      <c r="CN45" s="11">
        <v>1.0552763938903809</v>
      </c>
      <c r="CO45" s="11">
        <v>1.1988949775695801</v>
      </c>
      <c r="CP45" s="11">
        <v>0.34074074029922485</v>
      </c>
      <c r="CQ45" s="11">
        <v>0.39545267820358276</v>
      </c>
      <c r="CR45" s="3">
        <v>60.976861187889241</v>
      </c>
      <c r="CS45" s="3">
        <v>2.9172503249184856</v>
      </c>
      <c r="CT45" s="3">
        <v>2.1001708952280795</v>
      </c>
      <c r="CU45" s="10">
        <v>0.20902169644832611</v>
      </c>
      <c r="CV45" s="11">
        <v>0.43792625665664675</v>
      </c>
      <c r="CW45" s="3">
        <v>0.06</v>
      </c>
      <c r="CX45" s="3">
        <v>72.818751972419719</v>
      </c>
      <c r="CY45" s="3">
        <v>185915600.49158221</v>
      </c>
      <c r="CZ45" s="3">
        <v>0.20902169644832611</v>
      </c>
      <c r="DA45" s="3">
        <v>21.545284718310246</v>
      </c>
      <c r="DB45" s="3">
        <v>628357535.16381335</v>
      </c>
      <c r="DC45" s="3">
        <v>0.1985706116259098</v>
      </c>
      <c r="DD45" s="3">
        <v>9.2346982305850354</v>
      </c>
      <c r="DE45" s="3">
        <v>1466008055.9169862</v>
      </c>
      <c r="DF45" s="3">
        <v>0.18393909287452698</v>
      </c>
      <c r="DG45" s="3">
        <v>4.706686051755951</v>
      </c>
      <c r="DH45" s="3">
        <v>2876363932.3148069</v>
      </c>
      <c r="DI45" s="3">
        <v>0.1672173571586609</v>
      </c>
      <c r="DJ45" s="3">
        <v>1.6519066079811824</v>
      </c>
      <c r="DK45" s="3">
        <v>8195464522.3831072</v>
      </c>
      <c r="DL45" s="3">
        <v>0.14631518751382827</v>
      </c>
      <c r="DM45" s="3">
        <v>163000000</v>
      </c>
      <c r="DN45" s="3">
        <v>0.20902169644832611</v>
      </c>
      <c r="DO45" s="3">
        <v>13538142000</v>
      </c>
      <c r="DP45" s="3">
        <v>3198599900</v>
      </c>
      <c r="DQ45" s="3">
        <v>4064</v>
      </c>
      <c r="DR45" s="3">
        <v>-0.73212596185116963</v>
      </c>
      <c r="DS45" s="3">
        <v>-1.0597891636333909</v>
      </c>
      <c r="DT45" s="12">
        <v>-0.14000000000000004</v>
      </c>
      <c r="DU45" s="3">
        <v>1.0000000000000011E-2</v>
      </c>
      <c r="DV45" s="3">
        <v>-0.13000000000000003</v>
      </c>
      <c r="DW45" s="3">
        <v>-9.7264797507788163</v>
      </c>
      <c r="DX45" s="3">
        <v>0.40650656934306739</v>
      </c>
      <c r="DY45" s="3">
        <v>-9.1064340559838097</v>
      </c>
      <c r="DZ45" s="3">
        <v>255</v>
      </c>
      <c r="EA45" s="3">
        <v>-9.1011227674758111</v>
      </c>
      <c r="EB45" s="3">
        <v>9</v>
      </c>
      <c r="EC45" s="3">
        <v>8.3849716029552143E-2</v>
      </c>
      <c r="ED45" s="3">
        <v>0.57232734617658176</v>
      </c>
      <c r="EE45" s="13">
        <v>3.2210000000000003E-2</v>
      </c>
      <c r="EF45" s="3">
        <v>6.5009999999999998E-2</v>
      </c>
      <c r="EG45" s="3">
        <v>26.146506569343067</v>
      </c>
      <c r="EH45" s="3">
        <v>-1</v>
      </c>
      <c r="EI45" s="3">
        <v>0</v>
      </c>
      <c r="EJ45" s="3">
        <v>1</v>
      </c>
      <c r="EK45" s="14">
        <v>45470</v>
      </c>
      <c r="EL45" s="15">
        <v>-0.85</v>
      </c>
      <c r="EM45" s="15">
        <v>1.1100000000000001</v>
      </c>
      <c r="EN45" s="15">
        <v>-5.68</v>
      </c>
      <c r="EO45" s="15">
        <v>0.81</v>
      </c>
      <c r="EP45" s="15">
        <v>-3.28</v>
      </c>
    </row>
    <row r="46" spans="1:146" ht="96" x14ac:dyDescent="0.25">
      <c r="A46" s="3"/>
      <c r="B46" s="3"/>
      <c r="C46" s="7" t="str">
        <f>""&amp;CHAR(10)&amp;Basic_Fundamental_Information_Constructure(F46)&amp;CHAR(10)&amp;Basic_Fundamental_Information_Concatenate("")</f>
        <v xml:space="preserve">
市值35.9682亿, 利润-228.42万; PE22.91; 平均PE62.06; 平均PEG.13, PB2.27; ROIC29.9467%; ROE20.3%; 股利率1.1195%; 毛利44.0733%; 净利23.55%; 上一年度营收增-88.5%, 利润增-101.23%; 当季营收增-76.79%, 利润增-102.56%; 过往5年营收增478.07%, 利润增334.71%
Income profile:
</v>
      </c>
      <c r="D46" s="3" t="s">
        <v>1906</v>
      </c>
      <c r="E46" s="3" t="s">
        <v>1924</v>
      </c>
      <c r="F46" s="3">
        <v>35.729999999999997</v>
      </c>
      <c r="G46" s="3">
        <v>-0.97</v>
      </c>
      <c r="H46" s="3" t="s">
        <v>3631</v>
      </c>
      <c r="I46" s="3">
        <v>3596820000</v>
      </c>
      <c r="J46" s="3">
        <v>22.91</v>
      </c>
      <c r="K46" s="3">
        <v>2.27</v>
      </c>
      <c r="L46" s="3" t="s">
        <v>2983</v>
      </c>
      <c r="M46" s="3" t="s">
        <v>1199</v>
      </c>
      <c r="N46" s="3" t="s">
        <v>3632</v>
      </c>
      <c r="O46" s="3" t="s">
        <v>2284</v>
      </c>
      <c r="P46" s="5">
        <v>-41.62</v>
      </c>
      <c r="Q46" s="3" t="s">
        <v>2284</v>
      </c>
      <c r="R46" s="3">
        <v>-2284186</v>
      </c>
      <c r="S46" s="3">
        <v>-1.0640000000000001</v>
      </c>
      <c r="T46" s="3" t="s">
        <v>3633</v>
      </c>
      <c r="U46" s="3">
        <v>19727349</v>
      </c>
      <c r="V46" s="3">
        <v>100666667</v>
      </c>
      <c r="W46" s="3">
        <v>1.1499999999999999</v>
      </c>
      <c r="X46" s="3">
        <v>0.06</v>
      </c>
      <c r="Y46" s="3">
        <v>-5.32</v>
      </c>
      <c r="Z46" s="3" t="s">
        <v>3634</v>
      </c>
      <c r="AA46" s="3" t="s">
        <v>3635</v>
      </c>
      <c r="AB46" s="3" t="s">
        <v>3636</v>
      </c>
      <c r="AC46" s="3" t="s">
        <v>3637</v>
      </c>
      <c r="AD46" s="3" t="s">
        <v>22</v>
      </c>
      <c r="AE46" s="3">
        <v>-878206</v>
      </c>
      <c r="AF46" s="3" t="s">
        <v>108</v>
      </c>
      <c r="AG46" s="3">
        <v>0.68</v>
      </c>
      <c r="AH46" s="3" t="s">
        <v>2285</v>
      </c>
      <c r="AI46" s="3" t="s">
        <v>323</v>
      </c>
      <c r="AJ46" s="3" t="s">
        <v>2286</v>
      </c>
      <c r="AK46" s="3" t="s">
        <v>317</v>
      </c>
      <c r="AL46" s="3" t="s">
        <v>2287</v>
      </c>
      <c r="AM46" s="3" t="s">
        <v>22</v>
      </c>
      <c r="AN46" s="3" t="s">
        <v>3638</v>
      </c>
      <c r="AO46" s="3" t="s">
        <v>22</v>
      </c>
      <c r="AP46" s="3" t="s">
        <v>3639</v>
      </c>
      <c r="AQ46" s="3" t="s">
        <v>3640</v>
      </c>
      <c r="AR46" s="3" t="s">
        <v>22</v>
      </c>
      <c r="AS46" s="3" t="s">
        <v>364</v>
      </c>
      <c r="AT46" s="3" t="s">
        <v>22</v>
      </c>
      <c r="AU46" s="3" t="s">
        <v>3641</v>
      </c>
      <c r="AV46" s="3" t="s">
        <v>2719</v>
      </c>
      <c r="AW46" s="3" t="s">
        <v>347</v>
      </c>
      <c r="AX46" s="3" t="s">
        <v>1297</v>
      </c>
      <c r="AY46" s="3" t="s">
        <v>142</v>
      </c>
      <c r="AZ46" s="3" t="s">
        <v>28</v>
      </c>
      <c r="BA46" s="3" t="s">
        <v>2288</v>
      </c>
      <c r="BB46" s="3" t="s">
        <v>2289</v>
      </c>
      <c r="BC46" s="3" t="s">
        <v>385</v>
      </c>
      <c r="BD46" s="3" t="s">
        <v>2290</v>
      </c>
      <c r="BE46" s="3" t="s">
        <v>2291</v>
      </c>
      <c r="BF46" s="3" t="s">
        <v>2292</v>
      </c>
      <c r="BG46" s="3" t="s">
        <v>2293</v>
      </c>
      <c r="BH46" s="3" t="s">
        <v>2164</v>
      </c>
      <c r="BI46" s="3" t="s">
        <v>401</v>
      </c>
      <c r="BJ46" s="3" t="s">
        <v>1297</v>
      </c>
      <c r="BK46" s="3" t="s">
        <v>519</v>
      </c>
      <c r="BL46" s="3" t="s">
        <v>3642</v>
      </c>
      <c r="BM46" s="3" t="s">
        <v>385</v>
      </c>
      <c r="BN46" s="3">
        <v>19.34</v>
      </c>
      <c r="BO46" s="3">
        <v>41.55</v>
      </c>
      <c r="BP46" s="3">
        <v>28.95</v>
      </c>
      <c r="BQ46" s="3">
        <v>20.3</v>
      </c>
      <c r="BR46" s="3" t="s">
        <v>22</v>
      </c>
      <c r="BS46" s="3" t="s">
        <v>22</v>
      </c>
      <c r="BT46" s="3" t="s">
        <v>2294</v>
      </c>
      <c r="BU46" s="3" t="s">
        <v>3311</v>
      </c>
      <c r="BV46" s="3">
        <v>44.11</v>
      </c>
      <c r="BW46" s="3">
        <v>42.11</v>
      </c>
      <c r="BX46" s="3">
        <v>46</v>
      </c>
      <c r="BY46" s="3">
        <v>22.73</v>
      </c>
      <c r="BZ46" s="3">
        <v>23.51</v>
      </c>
      <c r="CA46" s="3">
        <v>24.41</v>
      </c>
      <c r="CB46" s="3">
        <v>-10.18</v>
      </c>
      <c r="CC46" s="10">
        <v>-18.05</v>
      </c>
      <c r="CD46" s="11" t="s">
        <v>3643</v>
      </c>
      <c r="CE46" s="10" t="s">
        <v>3644</v>
      </c>
      <c r="CF46" s="10">
        <v>-0.7679089005235602</v>
      </c>
      <c r="CG46" s="10">
        <v>-1.0256248464485442</v>
      </c>
      <c r="CH46" s="10">
        <v>-0.88500803709030151</v>
      </c>
      <c r="CI46" s="10">
        <v>1.165730357170105</v>
      </c>
      <c r="CJ46" s="11">
        <v>0.68720376491546631</v>
      </c>
      <c r="CK46" s="11">
        <v>1.8094900846481323</v>
      </c>
      <c r="CL46" s="11">
        <v>21.126094818115234</v>
      </c>
      <c r="CM46" s="11">
        <v>-1.0123469829559326</v>
      </c>
      <c r="CN46" s="11">
        <v>1.1142809391021729</v>
      </c>
      <c r="CO46" s="3">
        <v>0.38828384876251221</v>
      </c>
      <c r="CP46" s="3">
        <v>2.9869437217712402</v>
      </c>
      <c r="CQ46" s="3">
        <v>13.258452415466309</v>
      </c>
      <c r="CR46" s="10">
        <v>62.056489702023654</v>
      </c>
      <c r="CS46" s="11">
        <v>0.12980622330711949</v>
      </c>
      <c r="CT46" s="3">
        <v>1.1195074167366359</v>
      </c>
      <c r="CU46" s="3">
        <v>4.7807021975517277</v>
      </c>
      <c r="CV46" s="3">
        <v>3.3471227884292603</v>
      </c>
      <c r="CW46" s="3">
        <v>0.06</v>
      </c>
      <c r="CX46" s="3" t="e">
        <v>#VALUE!</v>
      </c>
      <c r="CY46" s="3" t="s">
        <v>1073</v>
      </c>
      <c r="CZ46" s="3">
        <v>4.7807021975517277</v>
      </c>
      <c r="DA46" s="3" t="e">
        <v>#VALUE!</v>
      </c>
      <c r="DB46" s="3" t="s">
        <v>1074</v>
      </c>
      <c r="DC46" s="3">
        <v>4.5416670876741412</v>
      </c>
      <c r="DD46" s="3" t="e">
        <v>#VALUE!</v>
      </c>
      <c r="DE46" s="3" t="s">
        <v>1074</v>
      </c>
      <c r="DF46" s="3">
        <v>4.2070179338455205</v>
      </c>
      <c r="DG46" s="3" t="e">
        <v>#VALUE!</v>
      </c>
      <c r="DH46" s="3" t="s">
        <v>1074</v>
      </c>
      <c r="DI46" s="3">
        <v>3.8245617580413822</v>
      </c>
      <c r="DJ46" s="3" t="e">
        <v>#VALUE!</v>
      </c>
      <c r="DK46" s="3" t="s">
        <v>1074</v>
      </c>
      <c r="DL46" s="3">
        <v>3.3464915382862093</v>
      </c>
      <c r="DM46" s="3">
        <v>-2284200</v>
      </c>
      <c r="DN46" s="3">
        <v>4.7807021975517277</v>
      </c>
      <c r="DO46" s="3">
        <v>2347820000</v>
      </c>
      <c r="DP46" s="3">
        <v>1448581100</v>
      </c>
      <c r="DQ46" s="12">
        <v>4125</v>
      </c>
      <c r="DR46" s="3">
        <v>-5.5486110980752876</v>
      </c>
      <c r="DS46" s="3">
        <v>-4.372747634877804</v>
      </c>
      <c r="DT46" s="3">
        <v>0.79233333333333367</v>
      </c>
      <c r="DU46" s="3">
        <v>-0.33150000000000018</v>
      </c>
      <c r="DV46" s="3">
        <v>0.46083333333333348</v>
      </c>
      <c r="DW46" s="3">
        <v>-9.5639889196675902</v>
      </c>
      <c r="DX46" s="3">
        <v>0.31077613917515806</v>
      </c>
      <c r="DY46" s="3">
        <v>-9.0624765150583428</v>
      </c>
      <c r="DZ46" s="3">
        <v>4929</v>
      </c>
      <c r="EA46" s="3">
        <v>-9.0022129646233982</v>
      </c>
      <c r="EB46" s="13">
        <v>9</v>
      </c>
      <c r="EC46" s="13">
        <v>6.7783112358334063E-2</v>
      </c>
      <c r="ED46" s="3">
        <v>0.6118927132056533</v>
      </c>
      <c r="EE46" s="3">
        <v>-11.086209999999999</v>
      </c>
      <c r="EF46" s="3">
        <v>-11.064909999999999</v>
      </c>
      <c r="EG46" s="3">
        <v>20.110776139175158</v>
      </c>
      <c r="EH46" s="14" t="s">
        <v>3645</v>
      </c>
      <c r="EI46" s="3">
        <v>0</v>
      </c>
      <c r="EJ46" s="3">
        <v>0</v>
      </c>
      <c r="EK46" s="3">
        <v>45470</v>
      </c>
      <c r="EL46" s="3">
        <v>-5.22</v>
      </c>
      <c r="EM46" s="3">
        <v>-4.59</v>
      </c>
      <c r="EN46" s="15">
        <v>-4.8099999999999996</v>
      </c>
      <c r="EO46" s="15">
        <v>-5.05</v>
      </c>
      <c r="EP46" s="15">
        <v>2.13</v>
      </c>
    </row>
    <row r="47" spans="1:146" ht="156" x14ac:dyDescent="0.25">
      <c r="A47" s="7" t="s">
        <v>1099</v>
      </c>
      <c r="C47" s="7" t="str">
        <f>"公司产品线及研发能力得以拓展，构建了图像传感器解决方案、触控与显示解决方案和模拟解决方案三大业务体系协同发展的半导体设计业务体系;产品已经广泛应用于消费电子、安防、汽车、医疗、AR/VR 等领域;"&amp;CHAR(10)&amp;Basic_Fundamental_Information_Constructure(F47)&amp;CHAR(10)&amp;Basic_Fundamental_Information_Concatenate("CMOS图像传感器产品 162.64亿 67.47% 65.81% 33.64%
半导体分销 36.60亿 15.19% 6.63% 15.05%
TDDI 19.63亿 8.14% 14.38% 60.90%%")</f>
        <v>公司产品线及研发能力得以拓展，构建了图像传感器解决方案、触控与显示解决方案和模拟解决方案三大业务体系协同发展的半导体设计业务体系;产品已经广泛应用于消费电子、安防、汽车、医疗、AR/VR 等领域;
市值1187.5697亿, 利润5.58亿; PE129.9; 平均PE76.28; 平均PEG20.15, PB5.71; ROIC9.7%; ROE13.6233%; 股利率.1433%; 毛利29%; 净利8.74%; 上一年度营收增-71.89%, 利润增-43.64%; 当季营收增-36.28%, 利润增787.45%; 过往5年营收增3.79%, 利润增129.19%
Income profile:
CMOS图像传感器产品 162.64亿 67.47% 65.81% 33.64%
半导体分销 36.60亿 15.19% 6.63% 15.05%
TDDI 19.63亿 8.14% 14.38% 60.90%%</v>
      </c>
      <c r="D47" s="3" t="s">
        <v>31</v>
      </c>
      <c r="E47" s="3" t="s">
        <v>1159</v>
      </c>
      <c r="F47" s="3">
        <v>97.68</v>
      </c>
      <c r="G47" s="3">
        <v>-0.19</v>
      </c>
      <c r="H47" s="3" t="s">
        <v>3646</v>
      </c>
      <c r="I47" s="3">
        <v>118756970000</v>
      </c>
      <c r="J47" s="3">
        <v>129.9</v>
      </c>
      <c r="K47" s="3">
        <v>5.71</v>
      </c>
      <c r="L47" s="3" t="s">
        <v>2983</v>
      </c>
      <c r="M47" s="3" t="s">
        <v>2296</v>
      </c>
      <c r="N47" s="3" t="s">
        <v>3647</v>
      </c>
      <c r="O47" s="3" t="s">
        <v>2297</v>
      </c>
      <c r="P47" s="3">
        <v>30.18</v>
      </c>
      <c r="Q47" s="3" t="s">
        <v>2297</v>
      </c>
      <c r="R47" s="3">
        <v>1357792100</v>
      </c>
      <c r="S47" s="5">
        <v>1.8049999999999999</v>
      </c>
      <c r="T47" s="3" t="s">
        <v>2061</v>
      </c>
      <c r="U47" s="3">
        <v>1214426980</v>
      </c>
      <c r="V47" s="3">
        <v>1215775700</v>
      </c>
      <c r="W47" s="3">
        <v>1.76</v>
      </c>
      <c r="X47" s="3">
        <v>0.15</v>
      </c>
      <c r="Y47" s="3">
        <v>9.82</v>
      </c>
      <c r="Z47" s="3" t="s">
        <v>3648</v>
      </c>
      <c r="AA47" s="3" t="s">
        <v>3649</v>
      </c>
      <c r="AB47" s="3" t="s">
        <v>166</v>
      </c>
      <c r="AC47" s="3" t="s">
        <v>356</v>
      </c>
      <c r="AD47" s="3" t="s">
        <v>22</v>
      </c>
      <c r="AE47" s="3">
        <v>7436717</v>
      </c>
      <c r="AF47" s="3" t="s">
        <v>2299</v>
      </c>
      <c r="AG47" s="3" t="s">
        <v>3650</v>
      </c>
      <c r="AH47" s="3" t="s">
        <v>2300</v>
      </c>
      <c r="AI47" s="3" t="s">
        <v>3651</v>
      </c>
      <c r="AJ47" s="3" t="s">
        <v>2301</v>
      </c>
      <c r="AK47" s="3" t="s">
        <v>3652</v>
      </c>
      <c r="AL47" s="3" t="s">
        <v>2302</v>
      </c>
      <c r="AM47" s="3" t="s">
        <v>22</v>
      </c>
      <c r="AN47" s="3" t="s">
        <v>2025</v>
      </c>
      <c r="AO47" s="3" t="s">
        <v>3653</v>
      </c>
      <c r="AP47" s="3" t="s">
        <v>22</v>
      </c>
      <c r="AQ47" s="3" t="s">
        <v>3654</v>
      </c>
      <c r="AR47" s="3" t="s">
        <v>3655</v>
      </c>
      <c r="AS47" s="3" t="s">
        <v>3656</v>
      </c>
      <c r="AT47" s="3" t="s">
        <v>3657</v>
      </c>
      <c r="AU47" s="3" t="s">
        <v>3658</v>
      </c>
      <c r="AV47" s="3" t="s">
        <v>1122</v>
      </c>
      <c r="AW47" s="3" t="s">
        <v>3659</v>
      </c>
      <c r="AX47" s="3" t="s">
        <v>1595</v>
      </c>
      <c r="AY47" s="3" t="s">
        <v>913</v>
      </c>
      <c r="AZ47" s="3" t="s">
        <v>625</v>
      </c>
      <c r="BA47" s="3" t="s">
        <v>232</v>
      </c>
      <c r="BB47" s="3" t="s">
        <v>627</v>
      </c>
      <c r="BC47" s="3" t="s">
        <v>1325</v>
      </c>
      <c r="BD47" s="3" t="s">
        <v>914</v>
      </c>
      <c r="BE47" s="3" t="s">
        <v>626</v>
      </c>
      <c r="BF47" s="3" t="s">
        <v>408</v>
      </c>
      <c r="BG47" s="3" t="s">
        <v>153</v>
      </c>
      <c r="BH47" s="3" t="s">
        <v>2298</v>
      </c>
      <c r="BI47" s="3" t="s">
        <v>3660</v>
      </c>
      <c r="BJ47" s="3" t="s">
        <v>1595</v>
      </c>
      <c r="BK47" s="3" t="s">
        <v>400</v>
      </c>
      <c r="BL47" s="3" t="s">
        <v>343</v>
      </c>
      <c r="BM47" s="3" t="s">
        <v>1325</v>
      </c>
      <c r="BN47" s="3">
        <v>2.0099999999999998</v>
      </c>
      <c r="BO47" s="3">
        <v>4.5999999999999996</v>
      </c>
      <c r="BP47" s="3">
        <v>22.49</v>
      </c>
      <c r="BQ47" s="3">
        <v>2.0099999999999998</v>
      </c>
      <c r="BR47" s="3">
        <v>5.8</v>
      </c>
      <c r="BS47" s="3">
        <v>33.06</v>
      </c>
      <c r="BT47" s="3" t="s">
        <v>2303</v>
      </c>
      <c r="BU47" s="3" t="s">
        <v>2998</v>
      </c>
      <c r="BV47" s="3">
        <v>21.76</v>
      </c>
      <c r="BW47" s="3">
        <v>30.75</v>
      </c>
      <c r="BX47" s="3">
        <v>34.49</v>
      </c>
      <c r="BY47" s="3">
        <v>2.59</v>
      </c>
      <c r="BZ47" s="3">
        <v>4.7699999999999996</v>
      </c>
      <c r="CA47" s="3">
        <v>18.86</v>
      </c>
      <c r="CB47" s="3">
        <v>-1.7</v>
      </c>
      <c r="CC47" s="3">
        <v>1.75</v>
      </c>
      <c r="CD47" s="3" t="s">
        <v>3661</v>
      </c>
      <c r="CE47" s="3" t="s">
        <v>590</v>
      </c>
      <c r="CF47" s="10">
        <v>-0.36283585459471662</v>
      </c>
      <c r="CG47" s="11">
        <v>7.8744581699346403</v>
      </c>
      <c r="CH47" s="10">
        <v>-0.71889626979827881</v>
      </c>
      <c r="CI47" s="10">
        <v>-0.16702619194984436</v>
      </c>
      <c r="CJ47" s="10">
        <v>0.21589982509613037</v>
      </c>
      <c r="CK47" s="10">
        <v>0.45422542095184326</v>
      </c>
      <c r="CL47" s="10">
        <v>0.40507116913795471</v>
      </c>
      <c r="CM47" s="11">
        <v>-0.43636363744735718</v>
      </c>
      <c r="CN47" s="11">
        <v>-0.77882033586502075</v>
      </c>
      <c r="CO47" s="11">
        <v>0.6541021466255188</v>
      </c>
      <c r="CP47" s="11">
        <v>4.8068671226501465</v>
      </c>
      <c r="CQ47" s="11">
        <v>2.2137930393218994</v>
      </c>
      <c r="CR47" s="3">
        <v>76.281106947864259</v>
      </c>
      <c r="CS47" s="3">
        <v>20.150978399922838</v>
      </c>
      <c r="CT47" s="3">
        <v>0.14332514332514332</v>
      </c>
      <c r="CU47" s="10">
        <v>3.7854790687561035E-2</v>
      </c>
      <c r="CV47" s="11">
        <v>1.2919156670570373</v>
      </c>
      <c r="CW47" s="3">
        <v>0.06</v>
      </c>
      <c r="CX47" s="3">
        <v>208.51020212858143</v>
      </c>
      <c r="CY47" s="3">
        <v>546342427.55062175</v>
      </c>
      <c r="CZ47" s="3">
        <v>3.7854790687561035E-2</v>
      </c>
      <c r="DA47" s="3">
        <v>71.233560581918312</v>
      </c>
      <c r="DB47" s="3">
        <v>1599217687.1321037</v>
      </c>
      <c r="DC47" s="3">
        <v>3.5962051153182982E-2</v>
      </c>
      <c r="DD47" s="3">
        <v>37.166794664154651</v>
      </c>
      <c r="DE47" s="3">
        <v>3065046933.1396952</v>
      </c>
      <c r="DF47" s="3">
        <v>3.331221580505371E-2</v>
      </c>
      <c r="DG47" s="3">
        <v>23.791946287006155</v>
      </c>
      <c r="DH47" s="3">
        <v>4788089575.597928</v>
      </c>
      <c r="DI47" s="3">
        <v>3.028383255004883E-2</v>
      </c>
      <c r="DJ47" s="3">
        <v>14.059067181482227</v>
      </c>
      <c r="DK47" s="3">
        <v>8102811411.9865665</v>
      </c>
      <c r="DL47" s="3">
        <v>2.6498353481292723E-2</v>
      </c>
      <c r="DM47" s="3">
        <v>558000000</v>
      </c>
      <c r="DN47" s="3">
        <v>3.7854790687561035E-2</v>
      </c>
      <c r="DO47" s="3">
        <v>113917970000</v>
      </c>
      <c r="DP47" s="3">
        <v>9980712000</v>
      </c>
      <c r="DQ47" s="3">
        <v>4159</v>
      </c>
      <c r="DR47" s="3">
        <v>-0.40069064528227766</v>
      </c>
      <c r="DS47" s="3">
        <v>6.5825425028776028</v>
      </c>
      <c r="DT47" s="12">
        <v>-0.57333333333333336</v>
      </c>
      <c r="DU47" s="3">
        <v>1.3080000000000001</v>
      </c>
      <c r="DV47" s="3">
        <v>0.73466666666666669</v>
      </c>
      <c r="DW47" s="3">
        <v>1.7500000000000002E-2</v>
      </c>
      <c r="DX47" s="3">
        <v>0.3623125850340152</v>
      </c>
      <c r="DY47" s="3">
        <v>1.9654702380952384E-3</v>
      </c>
      <c r="DZ47" s="3">
        <v>452</v>
      </c>
      <c r="EA47" s="3">
        <v>1.7916165105768336E-3</v>
      </c>
      <c r="EB47" s="3">
        <v>0</v>
      </c>
      <c r="EC47" s="3">
        <v>2.7159532798689757E-2</v>
      </c>
      <c r="ED47" s="3">
        <v>0.2418209214084473</v>
      </c>
      <c r="EE47" s="13">
        <v>1.0021100000000001</v>
      </c>
      <c r="EF47" s="3">
        <v>1.0476099999999999</v>
      </c>
      <c r="EG47" s="3">
        <v>25.112312585034015</v>
      </c>
      <c r="EH47" s="3" t="s">
        <v>2954</v>
      </c>
      <c r="EI47" s="3">
        <v>0</v>
      </c>
      <c r="EJ47" s="3">
        <v>1</v>
      </c>
      <c r="EK47" s="14">
        <v>45470</v>
      </c>
      <c r="EL47" s="15">
        <v>0</v>
      </c>
      <c r="EM47" s="15">
        <v>-3.01</v>
      </c>
      <c r="EN47" s="15">
        <v>1.55</v>
      </c>
      <c r="EO47" s="15">
        <v>2.98</v>
      </c>
      <c r="EP47" s="15">
        <v>-4.55</v>
      </c>
    </row>
    <row r="48" spans="1:146" ht="96" x14ac:dyDescent="0.25">
      <c r="C48" s="7" t="str">
        <f>""&amp;CHAR(10)&amp;Basic_Fundamental_Information_Constructure(F48)&amp;CHAR(10)&amp;Basic_Fundamental_Information_Concatenate("")</f>
        <v xml:space="preserve">
市值82.158268亿, 利润6358.54万; PE21.72; 平均PE47.81; 平均PEG2.17, PB1.66; ROIC4.6267%; ROE6.3433%; 股利率.9091%; 毛利35.12%; 净利11.08%; 上一年度营收增-73.41%, 利润增-77.45%; 当季营收增-45.2%, 利润增-41.66%; 过往5年营收增22.02%, 利润增61.39%
Income profile:
</v>
      </c>
      <c r="D48" s="3" t="s">
        <v>790</v>
      </c>
      <c r="E48" s="3" t="s">
        <v>791</v>
      </c>
      <c r="F48" s="3">
        <v>21.23</v>
      </c>
      <c r="G48" s="3">
        <v>0.28000000000000003</v>
      </c>
      <c r="H48" s="3" t="s">
        <v>3662</v>
      </c>
      <c r="I48" s="3">
        <v>8215826800</v>
      </c>
      <c r="J48" s="3">
        <v>21.72</v>
      </c>
      <c r="K48" s="3">
        <v>1.66</v>
      </c>
      <c r="L48" s="3" t="s">
        <v>2983</v>
      </c>
      <c r="M48" s="3" t="s">
        <v>2304</v>
      </c>
      <c r="N48" s="3" t="s">
        <v>3663</v>
      </c>
      <c r="O48" s="3" t="s">
        <v>488</v>
      </c>
      <c r="P48" s="3">
        <v>3.48</v>
      </c>
      <c r="Q48" s="3" t="s">
        <v>488</v>
      </c>
      <c r="R48" s="3">
        <v>63585432</v>
      </c>
      <c r="S48" s="5">
        <v>1.4500000000000001E-2</v>
      </c>
      <c r="T48" s="3" t="s">
        <v>3664</v>
      </c>
      <c r="U48" s="3">
        <v>385568170</v>
      </c>
      <c r="V48" s="3">
        <v>386991370</v>
      </c>
      <c r="W48" s="3">
        <v>2.42</v>
      </c>
      <c r="X48" s="3">
        <v>7.0000000000000007E-2</v>
      </c>
      <c r="Y48" s="3">
        <v>5.87</v>
      </c>
      <c r="Z48" s="3" t="s">
        <v>1223</v>
      </c>
      <c r="AA48" s="3" t="s">
        <v>485</v>
      </c>
      <c r="AB48" s="3" t="s">
        <v>3665</v>
      </c>
      <c r="AC48" s="3" t="s">
        <v>277</v>
      </c>
      <c r="AD48" s="3" t="s">
        <v>22</v>
      </c>
      <c r="AE48" s="3">
        <v>44666473</v>
      </c>
      <c r="AF48" s="3" t="s">
        <v>2306</v>
      </c>
      <c r="AG48" s="3" t="s">
        <v>3666</v>
      </c>
      <c r="AH48" s="3" t="s">
        <v>2307</v>
      </c>
      <c r="AI48" s="3" t="s">
        <v>3667</v>
      </c>
      <c r="AJ48" s="3" t="s">
        <v>2308</v>
      </c>
      <c r="AK48" s="3" t="s">
        <v>3668</v>
      </c>
      <c r="AL48" s="3" t="s">
        <v>2309</v>
      </c>
      <c r="AM48" s="3" t="s">
        <v>22</v>
      </c>
      <c r="AN48" s="3" t="s">
        <v>1301</v>
      </c>
      <c r="AO48" s="3" t="s">
        <v>2456</v>
      </c>
      <c r="AP48" s="3" t="s">
        <v>3669</v>
      </c>
      <c r="AQ48" s="3" t="s">
        <v>3033</v>
      </c>
      <c r="AR48" s="3" t="s">
        <v>22</v>
      </c>
      <c r="AS48" s="3" t="s">
        <v>3670</v>
      </c>
      <c r="AT48" s="3" t="s">
        <v>3671</v>
      </c>
      <c r="AU48" s="3" t="s">
        <v>3672</v>
      </c>
      <c r="AV48" s="3" t="s">
        <v>3673</v>
      </c>
      <c r="AW48" s="3" t="s">
        <v>215</v>
      </c>
      <c r="AX48" s="3" t="s">
        <v>1596</v>
      </c>
      <c r="AY48" s="3" t="s">
        <v>915</v>
      </c>
      <c r="AZ48" s="3" t="s">
        <v>549</v>
      </c>
      <c r="BA48" s="3" t="s">
        <v>792</v>
      </c>
      <c r="BB48" s="3" t="s">
        <v>252</v>
      </c>
      <c r="BC48" s="3" t="s">
        <v>405</v>
      </c>
      <c r="BD48" s="3" t="s">
        <v>405</v>
      </c>
      <c r="BE48" s="3" t="s">
        <v>769</v>
      </c>
      <c r="BF48" s="3" t="s">
        <v>275</v>
      </c>
      <c r="BG48" s="3" t="s">
        <v>793</v>
      </c>
      <c r="BH48" s="3" t="s">
        <v>2305</v>
      </c>
      <c r="BI48" s="3" t="s">
        <v>3674</v>
      </c>
      <c r="BJ48" s="3" t="s">
        <v>1596</v>
      </c>
      <c r="BK48" s="3" t="s">
        <v>168</v>
      </c>
      <c r="BL48" s="3" t="s">
        <v>205</v>
      </c>
      <c r="BM48" s="3" t="s">
        <v>405</v>
      </c>
      <c r="BN48" s="3">
        <v>2.97</v>
      </c>
      <c r="BO48" s="3">
        <v>5.0199999999999996</v>
      </c>
      <c r="BP48" s="3">
        <v>5.89</v>
      </c>
      <c r="BQ48" s="3">
        <v>4.28</v>
      </c>
      <c r="BR48" s="3">
        <v>6.65</v>
      </c>
      <c r="BS48" s="3">
        <v>8.1</v>
      </c>
      <c r="BT48" s="3" t="s">
        <v>2310</v>
      </c>
      <c r="BU48" s="3" t="s">
        <v>1212</v>
      </c>
      <c r="BV48" s="3">
        <v>33.81</v>
      </c>
      <c r="BW48" s="3">
        <v>35.36</v>
      </c>
      <c r="BX48" s="3">
        <v>36.19</v>
      </c>
      <c r="BY48" s="3">
        <v>10.41</v>
      </c>
      <c r="BZ48" s="3">
        <v>9.19</v>
      </c>
      <c r="CA48" s="3">
        <v>13.64</v>
      </c>
      <c r="CB48" s="3">
        <v>-7.74</v>
      </c>
      <c r="CC48" s="3">
        <v>-11.21</v>
      </c>
      <c r="CD48" s="3" t="s">
        <v>3675</v>
      </c>
      <c r="CE48" s="3" t="s">
        <v>173</v>
      </c>
      <c r="CF48" s="10">
        <v>-0.45202702702702702</v>
      </c>
      <c r="CG48" s="11">
        <v>-0.41664741284403678</v>
      </c>
      <c r="CH48" s="10">
        <v>-0.73409831523895264</v>
      </c>
      <c r="CI48" s="10">
        <v>0.46353161334991455</v>
      </c>
      <c r="CJ48" s="10">
        <v>0.49176815152168274</v>
      </c>
      <c r="CK48" s="10">
        <v>0.41683563590049744</v>
      </c>
      <c r="CL48" s="10">
        <v>0.46290799975395203</v>
      </c>
      <c r="CM48" s="11">
        <v>-0.77451980113983154</v>
      </c>
      <c r="CN48" s="11">
        <v>0</v>
      </c>
      <c r="CO48" s="11">
        <v>8.0459773540496826E-2</v>
      </c>
      <c r="CP48" s="11">
        <v>1.3727272748947144</v>
      </c>
      <c r="CQ48" s="11">
        <v>2.3909695148468018</v>
      </c>
      <c r="CR48" s="3">
        <v>47.811628918614446</v>
      </c>
      <c r="CS48" s="3">
        <v>2.1713902699400571</v>
      </c>
      <c r="CT48" s="3">
        <v>0.90909090909090906</v>
      </c>
      <c r="CU48" s="10">
        <v>0.22018901705741883</v>
      </c>
      <c r="CV48" s="11">
        <v>0.61392735242843632</v>
      </c>
      <c r="CW48" s="3">
        <v>0.06</v>
      </c>
      <c r="CX48" s="3">
        <v>135.99139400344777</v>
      </c>
      <c r="CY48" s="3">
        <v>73194534.646417722</v>
      </c>
      <c r="CZ48" s="3">
        <v>0.22018901705741883</v>
      </c>
      <c r="DA48" s="3">
        <v>39.868992290196104</v>
      </c>
      <c r="DB48" s="3">
        <v>249663365.64387339</v>
      </c>
      <c r="DC48" s="3">
        <v>0.20917956620454789</v>
      </c>
      <c r="DD48" s="3">
        <v>16.862717927554506</v>
      </c>
      <c r="DE48" s="3">
        <v>590286028.78631806</v>
      </c>
      <c r="DF48" s="3">
        <v>0.19376633501052856</v>
      </c>
      <c r="DG48" s="3">
        <v>8.4541967292689755</v>
      </c>
      <c r="DH48" s="3">
        <v>1177382916.290463</v>
      </c>
      <c r="DI48" s="3">
        <v>0.17615121364593508</v>
      </c>
      <c r="DJ48" s="3">
        <v>2.8482352862742037</v>
      </c>
      <c r="DK48" s="3">
        <v>3494734739.0744076</v>
      </c>
      <c r="DL48" s="3">
        <v>0.15413231194019317</v>
      </c>
      <c r="DM48" s="3">
        <v>63585400</v>
      </c>
      <c r="DN48" s="3">
        <v>0.22018901705741883</v>
      </c>
      <c r="DO48" s="3">
        <v>9953826800</v>
      </c>
      <c r="DP48" s="3">
        <v>2492986800</v>
      </c>
      <c r="DQ48" s="3">
        <v>4259</v>
      </c>
      <c r="DR48" s="3">
        <v>-0.6722160440844458</v>
      </c>
      <c r="DS48" s="3">
        <v>-1.030574765272473</v>
      </c>
      <c r="DT48" s="12">
        <v>-0.27333333333333343</v>
      </c>
      <c r="DU48" s="3">
        <v>0.16999999999999996</v>
      </c>
      <c r="DV48" s="3">
        <v>-0.10333333333333347</v>
      </c>
      <c r="DW48" s="3">
        <v>-9.6904549509366635</v>
      </c>
      <c r="DX48" s="3">
        <v>0.32632340425532008</v>
      </c>
      <c r="DY48" s="3">
        <v>-9.0872206198872583</v>
      </c>
      <c r="DZ48" s="3">
        <v>985</v>
      </c>
      <c r="EA48" s="3">
        <v>-9.0704080346448031</v>
      </c>
      <c r="EB48" s="3">
        <v>9</v>
      </c>
      <c r="EC48" s="3">
        <v>6.1367776754298164E-2</v>
      </c>
      <c r="ED48" s="3">
        <v>0.48579894688607655</v>
      </c>
      <c r="EE48" s="13">
        <v>1.0443100000000001</v>
      </c>
      <c r="EF48" s="3">
        <v>1.0758099999999999</v>
      </c>
      <c r="EG48" s="3">
        <v>20.12632340425532</v>
      </c>
      <c r="EH48" s="3" t="s">
        <v>2954</v>
      </c>
      <c r="EI48" s="3">
        <v>0</v>
      </c>
      <c r="EJ48" s="3">
        <v>1</v>
      </c>
      <c r="EK48" s="14">
        <v>45470</v>
      </c>
      <c r="EL48" s="15">
        <v>1.87</v>
      </c>
      <c r="EM48" s="15">
        <v>-1.92</v>
      </c>
      <c r="EN48" s="15">
        <v>-0.51</v>
      </c>
      <c r="EO48" s="15">
        <v>1.97</v>
      </c>
      <c r="EP48" s="15">
        <v>-3.15</v>
      </c>
    </row>
    <row r="49" spans="1:146" ht="96" x14ac:dyDescent="0.25">
      <c r="C49" s="7" t="str">
        <f>""&amp;CHAR(10)&amp;Basic_Fundamental_Information_Constructure(F49)&amp;CHAR(10)&amp;Basic_Fundamental_Information_Concatenate("")</f>
        <v xml:space="preserve">
市值239.11281亿, 利润6764.97万; PE108.2; 平均PE85.21; 平均PEG44.61, PB7.64; ROIC11.0667%; ROE12.34%; 股利率.3498%; 毛利37.31%; 净利14.37%; 上一年度营收增-73.25%, 利润增-77.22%; 当季营收增-36.34%, 利润增172.78%; 过往5年营收增-1.91%, 利润增4.62%
Income profile:
</v>
      </c>
      <c r="D49" s="3" t="s">
        <v>74</v>
      </c>
      <c r="E49" s="3" t="s">
        <v>75</v>
      </c>
      <c r="F49" s="3">
        <v>57.18</v>
      </c>
      <c r="G49" s="3">
        <v>-0.03</v>
      </c>
      <c r="H49" s="3" t="s">
        <v>3676</v>
      </c>
      <c r="I49" s="3">
        <v>23911281000</v>
      </c>
      <c r="J49" s="3">
        <v>108.2</v>
      </c>
      <c r="K49" s="3">
        <v>7.64</v>
      </c>
      <c r="L49" s="3" t="s">
        <v>2983</v>
      </c>
      <c r="M49" s="3" t="s">
        <v>917</v>
      </c>
      <c r="N49" s="3" t="s">
        <v>3677</v>
      </c>
      <c r="O49" s="3" t="s">
        <v>286</v>
      </c>
      <c r="P49" s="3">
        <v>64.89</v>
      </c>
      <c r="Q49" s="3" t="s">
        <v>286</v>
      </c>
      <c r="R49" s="3">
        <v>67649705</v>
      </c>
      <c r="S49" s="5">
        <v>4.681</v>
      </c>
      <c r="T49" s="3" t="s">
        <v>3678</v>
      </c>
      <c r="U49" s="3">
        <v>417968100</v>
      </c>
      <c r="V49" s="3">
        <v>418175600</v>
      </c>
      <c r="W49" s="3">
        <v>1.1200000000000001</v>
      </c>
      <c r="X49" s="3">
        <v>0.15</v>
      </c>
      <c r="Y49" s="3">
        <v>12.46</v>
      </c>
      <c r="Z49" s="3" t="s">
        <v>1219</v>
      </c>
      <c r="AA49" s="3" t="s">
        <v>531</v>
      </c>
      <c r="AB49" s="3" t="s">
        <v>3679</v>
      </c>
      <c r="AC49" s="3" t="s">
        <v>3680</v>
      </c>
      <c r="AD49" s="3" t="s">
        <v>22</v>
      </c>
      <c r="AE49" s="3">
        <v>-11534926</v>
      </c>
      <c r="AF49" s="3" t="s">
        <v>2312</v>
      </c>
      <c r="AG49" s="3" t="s">
        <v>3681</v>
      </c>
      <c r="AH49" s="3" t="s">
        <v>2313</v>
      </c>
      <c r="AI49" s="3" t="s">
        <v>1417</v>
      </c>
      <c r="AJ49" s="3" t="s">
        <v>2314</v>
      </c>
      <c r="AK49" s="3" t="s">
        <v>22</v>
      </c>
      <c r="AL49" s="3" t="s">
        <v>2315</v>
      </c>
      <c r="AM49" s="3" t="s">
        <v>22</v>
      </c>
      <c r="AN49" s="3">
        <v>0</v>
      </c>
      <c r="AO49" s="3" t="s">
        <v>22</v>
      </c>
      <c r="AP49" s="3" t="s">
        <v>3682</v>
      </c>
      <c r="AQ49" s="3" t="s">
        <v>443</v>
      </c>
      <c r="AR49" s="3" t="s">
        <v>22</v>
      </c>
      <c r="AS49" s="3" t="s">
        <v>551</v>
      </c>
      <c r="AT49" s="3" t="s">
        <v>22</v>
      </c>
      <c r="AU49" s="3" t="s">
        <v>324</v>
      </c>
      <c r="AV49" s="3" t="s">
        <v>1005</v>
      </c>
      <c r="AW49" s="3" t="s">
        <v>3683</v>
      </c>
      <c r="AX49" s="3" t="s">
        <v>634</v>
      </c>
      <c r="AY49" s="3" t="s">
        <v>916</v>
      </c>
      <c r="AZ49" s="3" t="s">
        <v>629</v>
      </c>
      <c r="BA49" s="3" t="s">
        <v>234</v>
      </c>
      <c r="BB49" s="3" t="s">
        <v>630</v>
      </c>
      <c r="BC49" s="3" t="s">
        <v>518</v>
      </c>
      <c r="BD49" s="3" t="s">
        <v>525</v>
      </c>
      <c r="BE49" s="3" t="s">
        <v>393</v>
      </c>
      <c r="BF49" s="3" t="s">
        <v>227</v>
      </c>
      <c r="BG49" s="3" t="s">
        <v>445</v>
      </c>
      <c r="BH49" s="3" t="s">
        <v>891</v>
      </c>
      <c r="BI49" s="3" t="s">
        <v>1788</v>
      </c>
      <c r="BJ49" s="3" t="s">
        <v>634</v>
      </c>
      <c r="BK49" s="3" t="s">
        <v>170</v>
      </c>
      <c r="BL49" s="3" t="s">
        <v>3684</v>
      </c>
      <c r="BM49" s="3" t="s">
        <v>518</v>
      </c>
      <c r="BN49" s="3">
        <v>1.64</v>
      </c>
      <c r="BO49" s="3">
        <v>9.31</v>
      </c>
      <c r="BP49" s="3">
        <v>22.25</v>
      </c>
      <c r="BQ49" s="3">
        <v>2.62</v>
      </c>
      <c r="BR49" s="3">
        <v>10.35</v>
      </c>
      <c r="BS49" s="3">
        <v>24.05</v>
      </c>
      <c r="BT49" s="3" t="s">
        <v>1379</v>
      </c>
      <c r="BU49" s="3" t="s">
        <v>2998</v>
      </c>
      <c r="BV49" s="3">
        <v>34.25</v>
      </c>
      <c r="BW49" s="3">
        <v>37.68</v>
      </c>
      <c r="BX49" s="3">
        <v>40</v>
      </c>
      <c r="BY49" s="3">
        <v>6.32</v>
      </c>
      <c r="BZ49" s="3">
        <v>14.65</v>
      </c>
      <c r="CA49" s="3">
        <v>22.14</v>
      </c>
      <c r="CB49" s="3">
        <v>-3.36</v>
      </c>
      <c r="CC49" s="3">
        <v>4.5</v>
      </c>
      <c r="CD49" s="3" t="s">
        <v>3685</v>
      </c>
      <c r="CE49" s="3" t="s">
        <v>27</v>
      </c>
      <c r="CF49" s="10">
        <v>-0.36342321219226253</v>
      </c>
      <c r="CG49" s="11">
        <v>1.7278326841345495</v>
      </c>
      <c r="CH49" s="10">
        <v>-0.73251235485076904</v>
      </c>
      <c r="CI49" s="10">
        <v>-0.2534019947052002</v>
      </c>
      <c r="CJ49" s="10">
        <v>0.45947393774986267</v>
      </c>
      <c r="CK49" s="10">
        <v>0.32315346598625183</v>
      </c>
      <c r="CL49" s="10">
        <v>0.10778908431529999</v>
      </c>
      <c r="CM49" s="11">
        <v>-0.77222323417663574</v>
      </c>
      <c r="CN49" s="11">
        <v>-0.50664454698562622</v>
      </c>
      <c r="CO49" s="11">
        <v>0.88125002384185791</v>
      </c>
      <c r="CP49" s="11">
        <v>0.56097561120986938</v>
      </c>
      <c r="CQ49" s="11">
        <v>6.7708335816860199E-2</v>
      </c>
      <c r="CR49" s="3">
        <v>85.212313464018081</v>
      </c>
      <c r="CS49" s="3">
        <v>44.614775724561063</v>
      </c>
      <c r="CT49" s="3">
        <v>0.34977264777894368</v>
      </c>
      <c r="CU49" s="10">
        <v>-1.9099572300910951E-2</v>
      </c>
      <c r="CV49" s="11">
        <v>4.6213237941265105E-2</v>
      </c>
      <c r="CW49" s="3">
        <v>0.06</v>
      </c>
      <c r="CX49" s="3">
        <v>313.76755551022399</v>
      </c>
      <c r="CY49" s="3" t="s">
        <v>3686</v>
      </c>
      <c r="CZ49" s="3">
        <v>-1.9099572300910951E-2</v>
      </c>
      <c r="DA49" s="3">
        <v>104.58918517007466</v>
      </c>
      <c r="DB49" s="3" t="s">
        <v>3687</v>
      </c>
      <c r="DC49" s="3">
        <v>-1.8144593685865403E-2</v>
      </c>
      <c r="DD49" s="3">
        <v>52.294592585037329</v>
      </c>
      <c r="DE49" s="3" t="s">
        <v>3688</v>
      </c>
      <c r="DF49" s="3">
        <v>-1.6807623624801638E-2</v>
      </c>
      <c r="DG49" s="3">
        <v>31.376755551022399</v>
      </c>
      <c r="DH49" s="3" t="s">
        <v>3689</v>
      </c>
      <c r="DI49" s="3">
        <v>-1.5279657840728761E-2</v>
      </c>
      <c r="DJ49" s="3">
        <v>15.688377775511199</v>
      </c>
      <c r="DK49" s="3" t="s">
        <v>3690</v>
      </c>
      <c r="DL49" s="3">
        <v>-1.3369700610637665E-2</v>
      </c>
      <c r="DM49" s="3">
        <v>67649700</v>
      </c>
      <c r="DN49" s="3">
        <v>-1.9099572300910951E-2</v>
      </c>
      <c r="DO49" s="3">
        <v>21226281000</v>
      </c>
      <c r="DP49" s="3">
        <v>2510871400</v>
      </c>
      <c r="DQ49" s="3">
        <v>4363</v>
      </c>
      <c r="DR49" s="3">
        <v>-0.34432363989135156</v>
      </c>
      <c r="DS49" s="3">
        <v>1.6816194461932843</v>
      </c>
      <c r="DT49" s="12">
        <v>-0.67333333333333334</v>
      </c>
      <c r="DU49" s="3">
        <v>-0.10000000000000002</v>
      </c>
      <c r="DV49" s="3">
        <v>-0.77333333333333332</v>
      </c>
      <c r="DW49" s="3">
        <v>-6.4274809160305342</v>
      </c>
      <c r="DX49" s="3">
        <v>0.3390669354838714</v>
      </c>
      <c r="DY49" s="3">
        <v>-6.059448460970204</v>
      </c>
      <c r="DZ49" s="3">
        <v>4696</v>
      </c>
      <c r="EA49" s="3">
        <v>-6.0048163723760597</v>
      </c>
      <c r="EB49" s="3">
        <v>6</v>
      </c>
      <c r="EC49" s="3">
        <v>4.1236982741221631E-2</v>
      </c>
      <c r="ED49" s="3">
        <v>0.29652614834533625</v>
      </c>
      <c r="EE49" s="13">
        <v>1.0107999999999999</v>
      </c>
      <c r="EF49" s="3">
        <v>1.0205</v>
      </c>
      <c r="EG49" s="3">
        <v>20.139066935483871</v>
      </c>
      <c r="EH49" s="3" t="s">
        <v>1927</v>
      </c>
      <c r="EI49" s="3">
        <v>0</v>
      </c>
      <c r="EJ49" s="3">
        <v>0</v>
      </c>
      <c r="EK49" s="14">
        <v>45470</v>
      </c>
      <c r="EL49" s="15">
        <v>-0.59</v>
      </c>
      <c r="EM49" s="15">
        <v>-4.88</v>
      </c>
      <c r="EN49" s="15">
        <v>3.94</v>
      </c>
      <c r="EO49" s="15">
        <v>5.48</v>
      </c>
      <c r="EP49" s="15">
        <v>0.97</v>
      </c>
    </row>
    <row r="50" spans="1:146" ht="96" x14ac:dyDescent="0.25">
      <c r="C50" s="7" t="str">
        <f>""&amp;CHAR(10)&amp;Basic_Fundamental_Information_Constructure(F50)&amp;CHAR(10)&amp;Basic_Fundamental_Information_Concatenate("")</f>
        <v xml:space="preserve">
市值612.48679亿, 利润2.05亿; PE283.8; 平均PE56.64; 平均PEG3.23, PB3.99; ROIC10.92%; ROE12.21%; 股利率0%; 毛利42.8733%; 净利18.5033%; 上一年度营收增-79.99%, 利润增-90.01%; 当季营收增-45.14%, 利润增-39.05%; 过往5年营收增17.56%, 利润增31.62%
Income profile:
</v>
      </c>
      <c r="D50" s="3" t="s">
        <v>41</v>
      </c>
      <c r="E50" s="3" t="s">
        <v>12</v>
      </c>
      <c r="F50" s="3">
        <v>91.84</v>
      </c>
      <c r="G50" s="3">
        <v>0.26</v>
      </c>
      <c r="H50" s="3" t="s">
        <v>3691</v>
      </c>
      <c r="I50" s="3">
        <v>61248679000</v>
      </c>
      <c r="J50" s="3">
        <v>283.8</v>
      </c>
      <c r="K50" s="3">
        <v>3.99</v>
      </c>
      <c r="L50" s="3" t="s">
        <v>2983</v>
      </c>
      <c r="M50" s="3" t="s">
        <v>1750</v>
      </c>
      <c r="N50" s="3" t="s">
        <v>3692</v>
      </c>
      <c r="O50" s="3" t="s">
        <v>2317</v>
      </c>
      <c r="P50" s="3">
        <v>21.32</v>
      </c>
      <c r="Q50" s="3" t="s">
        <v>2317</v>
      </c>
      <c r="R50" s="3">
        <v>204785920</v>
      </c>
      <c r="S50" s="5">
        <v>0.36449999999999999</v>
      </c>
      <c r="T50" s="3" t="s">
        <v>227</v>
      </c>
      <c r="U50" s="3">
        <v>665235410</v>
      </c>
      <c r="V50" s="3">
        <v>666906350</v>
      </c>
      <c r="W50" s="3">
        <v>1.1100000000000001</v>
      </c>
      <c r="X50" s="3">
        <v>0.1</v>
      </c>
      <c r="Y50" s="3">
        <v>12.58</v>
      </c>
      <c r="Z50" s="3" t="s">
        <v>907</v>
      </c>
      <c r="AA50" s="3" t="s">
        <v>1985</v>
      </c>
      <c r="AB50" s="3" t="s">
        <v>3693</v>
      </c>
      <c r="AC50" s="3" t="s">
        <v>3694</v>
      </c>
      <c r="AD50" s="3" t="s">
        <v>22</v>
      </c>
      <c r="AE50" s="3">
        <v>-68891241</v>
      </c>
      <c r="AF50" s="3" t="s">
        <v>2319</v>
      </c>
      <c r="AG50" s="3" t="s">
        <v>3695</v>
      </c>
      <c r="AH50" s="3" t="s">
        <v>2320</v>
      </c>
      <c r="AI50" s="3" t="s">
        <v>3696</v>
      </c>
      <c r="AJ50" s="3" t="s">
        <v>2321</v>
      </c>
      <c r="AK50" s="3" t="s">
        <v>3697</v>
      </c>
      <c r="AL50" s="3" t="s">
        <v>2322</v>
      </c>
      <c r="AM50" s="3" t="s">
        <v>22</v>
      </c>
      <c r="AN50" s="3" t="s">
        <v>3698</v>
      </c>
      <c r="AO50" s="3" t="s">
        <v>341</v>
      </c>
      <c r="AP50" s="3" t="s">
        <v>22</v>
      </c>
      <c r="AQ50" s="3" t="s">
        <v>3699</v>
      </c>
      <c r="AR50" s="3" t="s">
        <v>22</v>
      </c>
      <c r="AS50" s="3" t="s">
        <v>3700</v>
      </c>
      <c r="AT50" s="3" t="s">
        <v>22</v>
      </c>
      <c r="AU50" s="3" t="s">
        <v>2048</v>
      </c>
      <c r="AV50" s="3" t="s">
        <v>1782</v>
      </c>
      <c r="AW50" s="3" t="s">
        <v>319</v>
      </c>
      <c r="AX50" s="3" t="s">
        <v>1600</v>
      </c>
      <c r="AY50" s="3" t="s">
        <v>918</v>
      </c>
      <c r="AZ50" s="3" t="s">
        <v>632</v>
      </c>
      <c r="BA50" s="3" t="s">
        <v>235</v>
      </c>
      <c r="BB50" s="3" t="s">
        <v>633</v>
      </c>
      <c r="BC50" s="3" t="s">
        <v>1601</v>
      </c>
      <c r="BD50" s="3" t="s">
        <v>919</v>
      </c>
      <c r="BE50" s="3" t="s">
        <v>307</v>
      </c>
      <c r="BF50" s="3" t="s">
        <v>375</v>
      </c>
      <c r="BG50" s="3" t="s">
        <v>635</v>
      </c>
      <c r="BH50" s="3" t="s">
        <v>2318</v>
      </c>
      <c r="BI50" s="3" t="s">
        <v>3701</v>
      </c>
      <c r="BJ50" s="3" t="s">
        <v>1600</v>
      </c>
      <c r="BK50" s="3" t="s">
        <v>1085</v>
      </c>
      <c r="BL50" s="3" t="s">
        <v>452</v>
      </c>
      <c r="BM50" s="3" t="s">
        <v>1601</v>
      </c>
      <c r="BN50" s="3">
        <v>1.23</v>
      </c>
      <c r="BO50" s="3">
        <v>13.34</v>
      </c>
      <c r="BP50" s="3">
        <v>18.190000000000001</v>
      </c>
      <c r="BQ50" s="3">
        <v>2.81</v>
      </c>
      <c r="BR50" s="3">
        <v>14.38</v>
      </c>
      <c r="BS50" s="3">
        <v>19.440000000000001</v>
      </c>
      <c r="BT50" s="3" t="s">
        <v>1368</v>
      </c>
      <c r="BU50" s="3" t="s">
        <v>2998</v>
      </c>
      <c r="BV50" s="3">
        <v>34.42</v>
      </c>
      <c r="BW50" s="3">
        <v>47.66</v>
      </c>
      <c r="BX50" s="3">
        <v>46.54</v>
      </c>
      <c r="BY50" s="3">
        <v>2.8</v>
      </c>
      <c r="BZ50" s="3">
        <v>25.25</v>
      </c>
      <c r="CA50" s="3">
        <v>27.46</v>
      </c>
      <c r="CB50" s="3">
        <v>-3.95</v>
      </c>
      <c r="CC50" s="3">
        <v>13.02</v>
      </c>
      <c r="CD50" s="3" t="s">
        <v>3702</v>
      </c>
      <c r="CE50" s="3" t="s">
        <v>2901</v>
      </c>
      <c r="CF50" s="10">
        <v>-0.45144976399190828</v>
      </c>
      <c r="CG50" s="11">
        <v>-0.39051809523809522</v>
      </c>
      <c r="CH50" s="10">
        <v>-0.79987704753875732</v>
      </c>
      <c r="CI50" s="10">
        <v>-4.4653378427028656E-2</v>
      </c>
      <c r="CJ50" s="10">
        <v>0.892372727394104</v>
      </c>
      <c r="CK50" s="10">
        <v>0.40399619936943054</v>
      </c>
      <c r="CL50" s="10">
        <v>0.4260907769203186</v>
      </c>
      <c r="CM50" s="11">
        <v>-0.90014612674713135</v>
      </c>
      <c r="CN50" s="11">
        <v>-0.12152332067489624</v>
      </c>
      <c r="CO50" s="11">
        <v>1.6526674032211304</v>
      </c>
      <c r="CP50" s="11">
        <v>0.45140033960342407</v>
      </c>
      <c r="CQ50" s="11">
        <v>0.49876543879508972</v>
      </c>
      <c r="CR50" s="3">
        <v>56.641811652281142</v>
      </c>
      <c r="CS50" s="3">
        <v>3.2258755397419807</v>
      </c>
      <c r="CT50" s="3">
        <v>0</v>
      </c>
      <c r="CU50" s="10">
        <v>0.17558585554361344</v>
      </c>
      <c r="CV50" s="11">
        <v>0.31623274683952329</v>
      </c>
      <c r="CW50" s="3">
        <v>0.06</v>
      </c>
      <c r="CX50" s="3">
        <v>207.45932037551501</v>
      </c>
      <c r="CY50" s="3">
        <v>227353868.28909498</v>
      </c>
      <c r="CZ50" s="3">
        <v>0.17558585554361344</v>
      </c>
      <c r="DA50" s="3">
        <v>63.101692977265365</v>
      </c>
      <c r="DB50" s="3">
        <v>747470896.17696118</v>
      </c>
      <c r="DC50" s="3">
        <v>0.16680656276643277</v>
      </c>
      <c r="DD50" s="3">
        <v>28.137883335543034</v>
      </c>
      <c r="DE50" s="3">
        <v>1676269619.7698812</v>
      </c>
      <c r="DF50" s="3">
        <v>0.15451555287837984</v>
      </c>
      <c r="DG50" s="3">
        <v>15.050700448021534</v>
      </c>
      <c r="DH50" s="3">
        <v>3133852750.7668405</v>
      </c>
      <c r="DI50" s="3">
        <v>0.14046868443489077</v>
      </c>
      <c r="DJ50" s="3">
        <v>5.9456798618105422</v>
      </c>
      <c r="DK50" s="3">
        <v>7932932834.6375332</v>
      </c>
      <c r="DL50" s="3">
        <v>0.12291009888052941</v>
      </c>
      <c r="DM50" s="3">
        <v>204999999.99999997</v>
      </c>
      <c r="DN50" s="3">
        <v>0.17558585554361344</v>
      </c>
      <c r="DO50" s="3">
        <v>47166679000</v>
      </c>
      <c r="DP50" s="3">
        <v>11013555200</v>
      </c>
      <c r="DQ50" s="3">
        <v>4415</v>
      </c>
      <c r="DR50" s="3">
        <v>-0.62703561953552178</v>
      </c>
      <c r="DS50" s="3">
        <v>-0.70675084207761851</v>
      </c>
      <c r="DT50" s="12">
        <v>-0.29000000000000004</v>
      </c>
      <c r="DU50" s="3">
        <v>-7.0000000000000021E-2</v>
      </c>
      <c r="DV50" s="3">
        <v>-0.36000000000000004</v>
      </c>
      <c r="DW50" s="3">
        <v>-6.2327637006482028</v>
      </c>
      <c r="DX50" s="3">
        <v>0.3759815910780675</v>
      </c>
      <c r="DY50" s="3">
        <v>-6.0316515783593614</v>
      </c>
      <c r="DZ50" s="3">
        <v>2438</v>
      </c>
      <c r="EA50" s="3">
        <v>-6.016550492637224</v>
      </c>
      <c r="EB50" s="3">
        <v>6</v>
      </c>
      <c r="EC50" s="3">
        <v>0.10969771093047773</v>
      </c>
      <c r="ED50" s="3">
        <v>0.80670996759889901</v>
      </c>
      <c r="EE50" s="13">
        <v>-4.1252000000000004</v>
      </c>
      <c r="EF50" s="3">
        <v>-4.0979999999999999</v>
      </c>
      <c r="EG50" s="3">
        <v>24.135981591078068</v>
      </c>
      <c r="EH50" s="3" t="s">
        <v>1928</v>
      </c>
      <c r="EI50" s="3">
        <v>0</v>
      </c>
      <c r="EJ50" s="3">
        <v>0</v>
      </c>
      <c r="EK50" s="14">
        <v>45470</v>
      </c>
      <c r="EL50" s="15">
        <v>0.97</v>
      </c>
      <c r="EM50" s="15">
        <v>-3.86</v>
      </c>
      <c r="EN50" s="15">
        <v>-0.17</v>
      </c>
      <c r="EO50" s="15">
        <v>4.6900000000000004</v>
      </c>
      <c r="EP50" s="15">
        <v>-2.72</v>
      </c>
    </row>
    <row r="51" spans="1:146" ht="96" x14ac:dyDescent="0.25">
      <c r="C51" s="7" t="str">
        <f>""&amp;CHAR(10)&amp;Basic_Fundamental_Information_Constructure(F51)&amp;CHAR(10)&amp;Basic_Fundamental_Information_Concatenate("")</f>
        <v xml:space="preserve">
市值119.948045亿, 利润1.00亿; PE33.48; 平均PE54.14; 平均PEG8.99, PB3.26; ROIC16.81%; ROE18.53%; 股利率.7571%; 毛利35.6%; 净利24.3067%; 上一年度营收增-79.46%, 利润增-77.01%; 当季营收增-50.92%, 利润增-32.39%; 过往5年营收增6.02%, 利润增27.6%
Income profile:
</v>
      </c>
      <c r="D51" s="3" t="s">
        <v>638</v>
      </c>
      <c r="E51" s="3" t="s">
        <v>639</v>
      </c>
      <c r="F51" s="3">
        <v>28.88</v>
      </c>
      <c r="G51" s="3">
        <v>-0.52</v>
      </c>
      <c r="H51" s="3" t="s">
        <v>3703</v>
      </c>
      <c r="I51" s="3">
        <v>11994804500</v>
      </c>
      <c r="J51" s="3">
        <v>33.479999999999997</v>
      </c>
      <c r="K51" s="3">
        <v>3.26</v>
      </c>
      <c r="L51" s="3" t="s">
        <v>2983</v>
      </c>
      <c r="M51" s="3" t="s">
        <v>1090</v>
      </c>
      <c r="N51" s="3" t="s">
        <v>3704</v>
      </c>
      <c r="O51" s="3" t="s">
        <v>491</v>
      </c>
      <c r="P51" s="3">
        <v>-0.53</v>
      </c>
      <c r="Q51" s="3" t="s">
        <v>491</v>
      </c>
      <c r="R51" s="3">
        <v>100066437</v>
      </c>
      <c r="S51" s="5">
        <v>0.54059999999999997</v>
      </c>
      <c r="T51" s="3" t="s">
        <v>277</v>
      </c>
      <c r="U51" s="3">
        <v>415332570</v>
      </c>
      <c r="V51" s="3">
        <v>415332570</v>
      </c>
      <c r="W51" s="3">
        <v>1.18</v>
      </c>
      <c r="X51" s="3">
        <v>0.08</v>
      </c>
      <c r="Y51" s="3">
        <v>26.6</v>
      </c>
      <c r="Z51" s="3" t="s">
        <v>786</v>
      </c>
      <c r="AA51" s="3" t="s">
        <v>348</v>
      </c>
      <c r="AB51" s="3" t="s">
        <v>3705</v>
      </c>
      <c r="AC51" s="3" t="s">
        <v>3706</v>
      </c>
      <c r="AD51" s="3" t="s">
        <v>22</v>
      </c>
      <c r="AE51" s="3">
        <v>-14612508</v>
      </c>
      <c r="AF51" s="3" t="s">
        <v>2327</v>
      </c>
      <c r="AG51" s="3" t="s">
        <v>3364</v>
      </c>
      <c r="AH51" s="3" t="s">
        <v>2328</v>
      </c>
      <c r="AI51" s="3" t="s">
        <v>3707</v>
      </c>
      <c r="AJ51" s="3" t="s">
        <v>2329</v>
      </c>
      <c r="AK51" s="3" t="s">
        <v>309</v>
      </c>
      <c r="AL51" s="3" t="s">
        <v>2330</v>
      </c>
      <c r="AM51" s="3" t="s">
        <v>22</v>
      </c>
      <c r="AN51" s="3" t="s">
        <v>337</v>
      </c>
      <c r="AO51" s="3" t="s">
        <v>22</v>
      </c>
      <c r="AP51" s="3" t="s">
        <v>294</v>
      </c>
      <c r="AQ51" s="3" t="s">
        <v>370</v>
      </c>
      <c r="AR51" s="3" t="s">
        <v>22</v>
      </c>
      <c r="AS51" s="3" t="s">
        <v>1090</v>
      </c>
      <c r="AT51" s="3" t="s">
        <v>22</v>
      </c>
      <c r="AU51" s="3" t="s">
        <v>3708</v>
      </c>
      <c r="AV51" s="3" t="s">
        <v>1087</v>
      </c>
      <c r="AW51" s="3" t="s">
        <v>3709</v>
      </c>
      <c r="AX51" s="3" t="s">
        <v>387</v>
      </c>
      <c r="AY51" s="3" t="s">
        <v>885</v>
      </c>
      <c r="AZ51" s="3" t="s">
        <v>640</v>
      </c>
      <c r="BA51" s="3" t="s">
        <v>552</v>
      </c>
      <c r="BB51" s="3" t="s">
        <v>641</v>
      </c>
      <c r="BC51" s="3" t="s">
        <v>201</v>
      </c>
      <c r="BD51" s="3" t="s">
        <v>548</v>
      </c>
      <c r="BE51" s="3" t="s">
        <v>407</v>
      </c>
      <c r="BF51" s="3" t="s">
        <v>642</v>
      </c>
      <c r="BG51" s="3" t="s">
        <v>195</v>
      </c>
      <c r="BH51" s="3" t="s">
        <v>2326</v>
      </c>
      <c r="BI51" s="3" t="s">
        <v>164</v>
      </c>
      <c r="BJ51" s="3" t="s">
        <v>387</v>
      </c>
      <c r="BK51" s="3" t="s">
        <v>764</v>
      </c>
      <c r="BL51" s="3" t="s">
        <v>177</v>
      </c>
      <c r="BM51" s="3" t="s">
        <v>201</v>
      </c>
      <c r="BN51" s="3">
        <v>4.93</v>
      </c>
      <c r="BO51" s="3">
        <v>16.2</v>
      </c>
      <c r="BP51" s="3">
        <v>29.3</v>
      </c>
      <c r="BQ51" s="3">
        <v>6.2</v>
      </c>
      <c r="BR51" s="3">
        <v>18.77</v>
      </c>
      <c r="BS51" s="3">
        <v>30.62</v>
      </c>
      <c r="BT51" s="3" t="s">
        <v>3710</v>
      </c>
      <c r="BU51" s="3" t="s">
        <v>1210</v>
      </c>
      <c r="BV51" s="3">
        <v>30.75</v>
      </c>
      <c r="BW51" s="3">
        <v>36.93</v>
      </c>
      <c r="BX51" s="3">
        <v>39.119999999999997</v>
      </c>
      <c r="BY51" s="3">
        <v>21.52</v>
      </c>
      <c r="BZ51" s="3">
        <v>24</v>
      </c>
      <c r="CA51" s="3">
        <v>27.4</v>
      </c>
      <c r="CB51" s="3">
        <v>-5.59</v>
      </c>
      <c r="CC51" s="3">
        <v>9.6300000000000008</v>
      </c>
      <c r="CD51" s="3" t="s">
        <v>3711</v>
      </c>
      <c r="CE51" s="3" t="s">
        <v>752</v>
      </c>
      <c r="CF51" s="10">
        <v>-0.50923482849604218</v>
      </c>
      <c r="CG51" s="11">
        <v>-0.32387542567567568</v>
      </c>
      <c r="CH51" s="10">
        <v>-0.79458862543106079</v>
      </c>
      <c r="CI51" s="10">
        <v>0.19854399561882019</v>
      </c>
      <c r="CJ51" s="10">
        <v>0.58219903707504272</v>
      </c>
      <c r="CK51" s="10">
        <v>0.23544631898403168</v>
      </c>
      <c r="CL51" s="10">
        <v>7.9608939588069916E-2</v>
      </c>
      <c r="CM51" s="11">
        <v>-0.7701149582862854</v>
      </c>
      <c r="CN51" s="11">
        <v>4.5673076063394547E-2</v>
      </c>
      <c r="CO51" s="11">
        <v>1.9928057193756104</v>
      </c>
      <c r="CP51" s="11">
        <v>0.41534164547920227</v>
      </c>
      <c r="CQ51" s="11">
        <v>-0.30347868800163269</v>
      </c>
      <c r="CR51" s="3">
        <v>54.144081124909206</v>
      </c>
      <c r="CS51" s="3">
        <v>8.9877728483298682</v>
      </c>
      <c r="CT51" s="3">
        <v>0.75706371191135735</v>
      </c>
      <c r="CU51" s="10">
        <v>6.0241933166980746E-2</v>
      </c>
      <c r="CV51" s="11">
        <v>0.2760453589260578</v>
      </c>
      <c r="CW51" s="3">
        <v>0.06</v>
      </c>
      <c r="CX51" s="3">
        <v>88.367876018769266</v>
      </c>
      <c r="CY51" s="3">
        <v>100022823.88367742</v>
      </c>
      <c r="CZ51" s="3">
        <v>6.0241933166980746E-2</v>
      </c>
      <c r="DA51" s="3">
        <v>29.617213128112745</v>
      </c>
      <c r="DB51" s="3">
        <v>298434713.0085032</v>
      </c>
      <c r="DC51" s="3">
        <v>5.7229836508631705E-2</v>
      </c>
      <c r="DD51" s="3">
        <v>15.07534235002225</v>
      </c>
      <c r="DE51" s="3">
        <v>586308708.27201843</v>
      </c>
      <c r="DF51" s="3">
        <v>5.3012901186943059E-2</v>
      </c>
      <c r="DG51" s="3">
        <v>9.3955652864114612</v>
      </c>
      <c r="DH51" s="3">
        <v>940742172.56340194</v>
      </c>
      <c r="DI51" s="3">
        <v>4.8193546533584597E-2</v>
      </c>
      <c r="DJ51" s="3">
        <v>5.2558998421642267</v>
      </c>
      <c r="DK51" s="3">
        <v>1681691958.6428871</v>
      </c>
      <c r="DL51" s="3">
        <v>4.2169353216886522E-2</v>
      </c>
      <c r="DM51" s="3">
        <v>100000000</v>
      </c>
      <c r="DN51" s="3">
        <v>6.0241933166980746E-2</v>
      </c>
      <c r="DO51" s="3">
        <v>8838804500</v>
      </c>
      <c r="DP51" s="3">
        <v>3004261100</v>
      </c>
      <c r="DQ51" s="3">
        <v>4459</v>
      </c>
      <c r="DR51" s="3">
        <v>-0.56947676166302297</v>
      </c>
      <c r="DS51" s="3">
        <v>-0.59992078460173348</v>
      </c>
      <c r="DT51" s="12">
        <v>-0.37333333333333335</v>
      </c>
      <c r="DU51" s="3">
        <v>-0.17000000000000004</v>
      </c>
      <c r="DV51" s="3">
        <v>-0.54333333333333345</v>
      </c>
      <c r="DW51" s="3">
        <v>-6.3672798948751641</v>
      </c>
      <c r="DX51" s="3">
        <v>0.29687499212598556</v>
      </c>
      <c r="DY51" s="3">
        <v>-6.0502714327190708</v>
      </c>
      <c r="DZ51" s="3">
        <v>691</v>
      </c>
      <c r="EA51" s="3">
        <v>-6.0434734757701714</v>
      </c>
      <c r="EB51" s="3">
        <v>6</v>
      </c>
      <c r="EC51" s="3">
        <v>0.16741403160363755</v>
      </c>
      <c r="ED51" s="3">
        <v>1.2231162126293154</v>
      </c>
      <c r="EE51" s="13">
        <v>0.1129</v>
      </c>
      <c r="EF51" s="3">
        <v>0.10250000000000001</v>
      </c>
      <c r="EG51" s="3">
        <v>16.136874992125986</v>
      </c>
      <c r="EH51" s="3" t="s">
        <v>1071</v>
      </c>
      <c r="EI51" s="3">
        <v>0</v>
      </c>
      <c r="EJ51" s="3">
        <v>1</v>
      </c>
      <c r="EK51" s="14">
        <v>45470</v>
      </c>
      <c r="EL51" s="15">
        <v>5.4</v>
      </c>
      <c r="EM51" s="15">
        <v>1.55</v>
      </c>
      <c r="EN51" s="15">
        <v>-3.65</v>
      </c>
      <c r="EO51" s="15">
        <v>8.98</v>
      </c>
      <c r="EP51" s="15">
        <v>-1.04</v>
      </c>
    </row>
    <row r="52" spans="1:146" ht="168" x14ac:dyDescent="0.25">
      <c r="A52" s="7" t="s">
        <v>1193</v>
      </c>
      <c r="C52" s="7" t="str">
        <f>"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amp;CHAR(10)&amp;Basic_Fundamental_Information_Constructure(F52)&amp;CHAR(10)&amp;Basic_Fundamental_Information_Concatenate("半导体硅片 9.27亿 59.22% 53.79% 43.17%
半导体功率器件 6.02亿 38.46% 47.68% 58.92%
化合物半导体射频芯片 1969.14万 1.26% -2.04% -77.18%
其他业务 1658.11万 1.06% 0.57% 25.70%")</f>
        <v>公司的主营业务是半导体硅片和半导体分立器件芯片的研发、生产和销售,以及半导体分立器件成品的生产和销售。公司的主要产品有6-12英寸半导体硅抛光片和硅外延片、6英寸肖特基芯片和MOSFET芯片、6英寸砷化镓微波射频芯片。
市值151.72867亿, 利润-6315.14万; PE; 平均PE52.45; 平均PEG8.56, PB2.01; ROIC5.1133%; ROE10.4267%; 股利率.3777%; 毛利35.1867%; 净利15.4867%; 上一年度营收增-76.7%, 利润增-109.18%; 当季营收增-49.4%, 利润增-136.29%; 过往5年营收增6.13%, 利润增26.21%
Income profile:
半导体硅片 9.27亿 59.22% 53.79% 43.17%
半导体功率器件 6.02亿 38.46% 47.68% 58.92%
化合物半导体射频芯片 1969.14万 1.26% -2.04% -77.18%
其他业务 1658.11万 1.06% 0.57% 25.70%</v>
      </c>
      <c r="D52" s="3" t="s">
        <v>413</v>
      </c>
      <c r="E52" s="3" t="s">
        <v>2978</v>
      </c>
      <c r="F52" s="3">
        <v>22.6</v>
      </c>
      <c r="G52" s="3">
        <v>-0.09</v>
      </c>
      <c r="H52" s="3" t="s">
        <v>3712</v>
      </c>
      <c r="I52" s="3">
        <v>15172867000</v>
      </c>
      <c r="K52" s="3">
        <v>2.0099999999999998</v>
      </c>
      <c r="L52" s="3" t="s">
        <v>2983</v>
      </c>
      <c r="M52" s="3" t="s">
        <v>2331</v>
      </c>
      <c r="N52" s="3" t="s">
        <v>3713</v>
      </c>
      <c r="O52" s="3" t="s">
        <v>766</v>
      </c>
      <c r="P52" s="3">
        <v>7.41</v>
      </c>
      <c r="Q52" s="3" t="s">
        <v>766</v>
      </c>
      <c r="R52" s="3">
        <v>-63151364</v>
      </c>
      <c r="S52" s="5">
        <v>-2.8340000000000001</v>
      </c>
      <c r="T52" s="3" t="s">
        <v>3714</v>
      </c>
      <c r="U52" s="3">
        <v>671365810</v>
      </c>
      <c r="V52" s="3">
        <v>671365810</v>
      </c>
      <c r="W52" s="3">
        <v>1.98</v>
      </c>
      <c r="X52" s="3">
        <v>0.04</v>
      </c>
      <c r="Y52" s="3">
        <v>-13.79</v>
      </c>
      <c r="Z52" s="3" t="s">
        <v>1295</v>
      </c>
      <c r="AA52" s="3" t="s">
        <v>415</v>
      </c>
      <c r="AB52" s="3" t="s">
        <v>3715</v>
      </c>
      <c r="AC52" s="3" t="s">
        <v>3716</v>
      </c>
      <c r="AD52" s="3" t="s">
        <v>22</v>
      </c>
      <c r="AE52" s="3">
        <v>50488098</v>
      </c>
      <c r="AF52" s="3" t="s">
        <v>2334</v>
      </c>
      <c r="AG52" s="3" t="s">
        <v>3717</v>
      </c>
      <c r="AH52" s="3" t="s">
        <v>2335</v>
      </c>
      <c r="AI52" s="3" t="s">
        <v>3718</v>
      </c>
      <c r="AJ52" s="3" t="s">
        <v>2336</v>
      </c>
      <c r="AK52" s="3" t="s">
        <v>3719</v>
      </c>
      <c r="AL52" s="3" t="s">
        <v>2337</v>
      </c>
      <c r="AM52" s="3" t="s">
        <v>22</v>
      </c>
      <c r="AN52" s="3" t="s">
        <v>3720</v>
      </c>
      <c r="AO52" s="3" t="s">
        <v>1536</v>
      </c>
      <c r="AP52" s="3" t="s">
        <v>1077</v>
      </c>
      <c r="AQ52" s="3" t="s">
        <v>567</v>
      </c>
      <c r="AR52" s="3" t="s">
        <v>22</v>
      </c>
      <c r="AS52" s="3" t="s">
        <v>2332</v>
      </c>
      <c r="AT52" s="3" t="s">
        <v>380</v>
      </c>
      <c r="AU52" s="3" t="s">
        <v>1226</v>
      </c>
      <c r="AV52" s="3" t="s">
        <v>3721</v>
      </c>
      <c r="AW52" s="3" t="s">
        <v>445</v>
      </c>
      <c r="AX52" s="3" t="s">
        <v>715</v>
      </c>
      <c r="AY52" s="3" t="s">
        <v>920</v>
      </c>
      <c r="AZ52" s="3" t="s">
        <v>644</v>
      </c>
      <c r="BA52" s="3" t="s">
        <v>414</v>
      </c>
      <c r="BB52" s="3" t="s">
        <v>645</v>
      </c>
      <c r="BC52" s="3" t="s">
        <v>1603</v>
      </c>
      <c r="BD52" s="3" t="s">
        <v>559</v>
      </c>
      <c r="BE52" s="3" t="s">
        <v>258</v>
      </c>
      <c r="BF52" s="3" t="s">
        <v>318</v>
      </c>
      <c r="BG52" s="3" t="s">
        <v>216</v>
      </c>
      <c r="BH52" s="3" t="s">
        <v>2332</v>
      </c>
      <c r="BI52" s="3" t="s">
        <v>3503</v>
      </c>
      <c r="BJ52" s="3" t="s">
        <v>715</v>
      </c>
      <c r="BK52" s="3" t="s">
        <v>2333</v>
      </c>
      <c r="BL52" s="3" t="s">
        <v>220</v>
      </c>
      <c r="BM52" s="3" t="s">
        <v>1603</v>
      </c>
      <c r="BN52" s="3">
        <v>1.83</v>
      </c>
      <c r="BO52" s="3">
        <v>5.32</v>
      </c>
      <c r="BP52" s="3">
        <v>8.19</v>
      </c>
      <c r="BQ52" s="3">
        <v>2.2799999999999998</v>
      </c>
      <c r="BR52" s="3">
        <v>8.91</v>
      </c>
      <c r="BS52" s="3">
        <v>20.09</v>
      </c>
      <c r="BT52" s="3" t="s">
        <v>3722</v>
      </c>
      <c r="BU52" s="3" t="s">
        <v>1211</v>
      </c>
      <c r="BV52" s="3">
        <v>19.760000000000002</v>
      </c>
      <c r="BW52" s="3">
        <v>40.9</v>
      </c>
      <c r="BX52" s="3">
        <v>44.9</v>
      </c>
      <c r="BY52" s="3">
        <v>-0.99</v>
      </c>
      <c r="BZ52" s="3">
        <v>22.96</v>
      </c>
      <c r="CA52" s="3">
        <v>24.49</v>
      </c>
      <c r="CB52" s="3">
        <v>-2.33</v>
      </c>
      <c r="CC52" s="3">
        <v>6.13</v>
      </c>
      <c r="CD52" s="3" t="s">
        <v>3723</v>
      </c>
      <c r="CE52" s="3" t="s">
        <v>1951</v>
      </c>
      <c r="CF52" s="10">
        <v>-0.4940387481371088</v>
      </c>
      <c r="CG52" s="11">
        <v>-1.3629388735632184</v>
      </c>
      <c r="CH52" s="10">
        <v>-0.7669869065284729</v>
      </c>
      <c r="CI52" s="10">
        <v>0.14679257571697235</v>
      </c>
      <c r="CJ52" s="10">
        <v>0.69174432754516602</v>
      </c>
      <c r="CK52" s="10">
        <v>0.26006710529327393</v>
      </c>
      <c r="CL52" s="10">
        <v>-2.5347556918859482E-2</v>
      </c>
      <c r="CM52" s="11">
        <v>-1.0917898416519165</v>
      </c>
      <c r="CN52" s="11">
        <v>0.14666666090488434</v>
      </c>
      <c r="CO52" s="11">
        <v>1.9702969789505005</v>
      </c>
      <c r="CP52" s="11">
        <v>0.578125</v>
      </c>
      <c r="CQ52" s="11">
        <v>-0.29281768202781677</v>
      </c>
      <c r="CR52" s="3">
        <v>52.445358425844283</v>
      </c>
      <c r="CS52" s="3">
        <v>8.5619610672254023</v>
      </c>
      <c r="CT52" s="3">
        <v>0.37774336283185839</v>
      </c>
      <c r="CU52" s="10">
        <v>6.1253909021615982E-2</v>
      </c>
      <c r="CV52" s="11">
        <v>0.26209622323513032</v>
      </c>
      <c r="CW52" s="3">
        <v>0.06</v>
      </c>
      <c r="CX52" s="3" t="e">
        <v>#VALUE!</v>
      </c>
      <c r="CY52" s="3" t="s">
        <v>1073</v>
      </c>
      <c r="CZ52" s="3">
        <v>6.1253909021615982E-2</v>
      </c>
      <c r="DA52" s="3" t="e">
        <v>#VALUE!</v>
      </c>
      <c r="DB52" s="3" t="s">
        <v>1074</v>
      </c>
      <c r="DC52" s="3">
        <v>5.819121357053518E-2</v>
      </c>
      <c r="DD52" s="3" t="e">
        <v>#VALUE!</v>
      </c>
      <c r="DE52" s="3" t="s">
        <v>1074</v>
      </c>
      <c r="DF52" s="3">
        <v>5.3903439939022066E-2</v>
      </c>
      <c r="DG52" s="3" t="e">
        <v>#VALUE!</v>
      </c>
      <c r="DH52" s="3" t="s">
        <v>1074</v>
      </c>
      <c r="DI52" s="3">
        <v>4.9003127217292788E-2</v>
      </c>
      <c r="DJ52" s="3" t="e">
        <v>#VALUE!</v>
      </c>
      <c r="DK52" s="3" t="s">
        <v>1074</v>
      </c>
      <c r="DL52" s="3">
        <v>4.2877736315131185E-2</v>
      </c>
      <c r="DM52" s="3">
        <v>-63151400</v>
      </c>
      <c r="DN52" s="3">
        <v>6.1253909021615982E-2</v>
      </c>
      <c r="DO52" s="3">
        <v>14507867000</v>
      </c>
      <c r="DP52" s="3">
        <v>3035675800</v>
      </c>
      <c r="DQ52" s="3">
        <v>4515</v>
      </c>
      <c r="DR52" s="3">
        <v>-0.55529265715872478</v>
      </c>
      <c r="DS52" s="3">
        <v>-1.6250350967983487</v>
      </c>
      <c r="DT52" s="12">
        <v>-0.39000000000000007</v>
      </c>
      <c r="DU52" s="3">
        <v>-1.3066666666666666</v>
      </c>
      <c r="DV52" s="3">
        <v>-1.6966666666666668</v>
      </c>
      <c r="DW52" s="3">
        <v>2.0613000000000001</v>
      </c>
      <c r="DX52" s="3">
        <v>0.28054841121495488</v>
      </c>
      <c r="DY52" s="3">
        <v>2.0073896176074766</v>
      </c>
      <c r="DZ52" s="3">
        <v>1565</v>
      </c>
      <c r="EA52" s="3">
        <v>2.0051264568333669</v>
      </c>
      <c r="EB52" s="3">
        <v>2</v>
      </c>
      <c r="EC52" s="3">
        <v>9.6062979435905443E-2</v>
      </c>
      <c r="ED52" s="3">
        <v>0.79688299885274161</v>
      </c>
      <c r="EE52" s="13">
        <v>-1.02121</v>
      </c>
      <c r="EF52" s="3">
        <v>-1.0443100000000001</v>
      </c>
      <c r="EG52" s="3">
        <v>16.120548411214955</v>
      </c>
      <c r="EH52" s="3" t="s">
        <v>1386</v>
      </c>
      <c r="EI52" s="3">
        <v>1</v>
      </c>
      <c r="EJ52" s="3">
        <v>0</v>
      </c>
      <c r="EK52" s="14">
        <v>45470</v>
      </c>
      <c r="EL52" s="15">
        <v>-0.79</v>
      </c>
      <c r="EM52" s="15">
        <v>-5.27</v>
      </c>
      <c r="EN52" s="15">
        <v>0.78</v>
      </c>
      <c r="EO52" s="15">
        <v>2.82</v>
      </c>
      <c r="EP52" s="15">
        <v>-2.31</v>
      </c>
    </row>
    <row r="53" spans="1:146" ht="96" x14ac:dyDescent="0.25">
      <c r="C53" s="7" t="str">
        <f>""&amp;CHAR(10)&amp;Basic_Fundamental_Information_Constructure(F53)&amp;CHAR(10)&amp;Basic_Fundamental_Information_Concatenate("")</f>
        <v xml:space="preserve">
市值654.17137亿, 利润2.23亿; PE99.93; 平均PE76.59; 平均PEG49.94, PB6.41; ROIC7.9233%; ROE8.8033%; 股利率.5235%; 毛利51.1433%; 净利29.16%; 上一年度营收增-79.93%, 利润增-82.83%; 当季营收增-20.58%, 利润增636.66%; 过往5年营收增1.53%, 利润增-1.23%
Income profile:
</v>
      </c>
      <c r="D53" s="3" t="s">
        <v>51</v>
      </c>
      <c r="E53" s="3" t="s">
        <v>3724</v>
      </c>
      <c r="F53" s="3">
        <v>57.31</v>
      </c>
      <c r="G53" s="3">
        <v>2.23</v>
      </c>
      <c r="H53" s="3" t="s">
        <v>3725</v>
      </c>
      <c r="I53" s="3">
        <v>65417137000</v>
      </c>
      <c r="J53" s="3">
        <v>99.93</v>
      </c>
      <c r="K53" s="3">
        <v>6.41</v>
      </c>
      <c r="L53" s="3" t="s">
        <v>2983</v>
      </c>
      <c r="M53" s="3" t="s">
        <v>1771</v>
      </c>
      <c r="N53" s="3" t="s">
        <v>3726</v>
      </c>
      <c r="O53" s="3" t="s">
        <v>520</v>
      </c>
      <c r="P53" s="3">
        <v>75.739999999999995</v>
      </c>
      <c r="Q53" s="3" t="s">
        <v>520</v>
      </c>
      <c r="R53" s="3">
        <v>603000000</v>
      </c>
      <c r="S53" s="5">
        <v>10.33</v>
      </c>
      <c r="T53" s="3" t="s">
        <v>178</v>
      </c>
      <c r="U53" s="3">
        <v>1141461130</v>
      </c>
      <c r="V53" s="3">
        <v>1141461130</v>
      </c>
      <c r="W53" s="3">
        <v>1.05</v>
      </c>
      <c r="X53" s="3">
        <v>7.0000000000000007E-2</v>
      </c>
      <c r="Y53" s="3">
        <v>30.3</v>
      </c>
      <c r="Z53" s="3" t="s">
        <v>374</v>
      </c>
      <c r="AA53" s="3" t="s">
        <v>379</v>
      </c>
      <c r="AB53" s="3" t="s">
        <v>3727</v>
      </c>
      <c r="AC53" s="3" t="s">
        <v>3728</v>
      </c>
      <c r="AD53" s="3" t="s">
        <v>22</v>
      </c>
      <c r="AE53" s="3">
        <v>-53984276</v>
      </c>
      <c r="AF53" s="3" t="s">
        <v>2341</v>
      </c>
      <c r="AG53" s="3">
        <v>5170</v>
      </c>
      <c r="AH53" s="3" t="s">
        <v>2342</v>
      </c>
      <c r="AI53" s="3" t="s">
        <v>3729</v>
      </c>
      <c r="AJ53" s="3" t="s">
        <v>2343</v>
      </c>
      <c r="AK53" s="3" t="s">
        <v>22</v>
      </c>
      <c r="AL53" s="3" t="s">
        <v>2344</v>
      </c>
      <c r="AM53" s="3" t="s">
        <v>22</v>
      </c>
      <c r="AN53" s="3" t="s">
        <v>344</v>
      </c>
      <c r="AO53" s="3" t="s">
        <v>22</v>
      </c>
      <c r="AP53" s="3" t="s">
        <v>22</v>
      </c>
      <c r="AQ53" s="3" t="s">
        <v>135</v>
      </c>
      <c r="AR53" s="3" t="s">
        <v>3730</v>
      </c>
      <c r="AS53" s="3" t="s">
        <v>547</v>
      </c>
      <c r="AT53" s="3" t="s">
        <v>22</v>
      </c>
      <c r="AU53" s="3" t="s">
        <v>531</v>
      </c>
      <c r="AV53" s="3" t="s">
        <v>701</v>
      </c>
      <c r="AW53" s="3" t="s">
        <v>3270</v>
      </c>
      <c r="AX53" s="3" t="s">
        <v>1605</v>
      </c>
      <c r="AY53" s="3" t="s">
        <v>921</v>
      </c>
      <c r="AZ53" s="3" t="s">
        <v>595</v>
      </c>
      <c r="BA53" s="3" t="s">
        <v>254</v>
      </c>
      <c r="BB53" s="3" t="s">
        <v>298</v>
      </c>
      <c r="BC53" s="3" t="s">
        <v>250</v>
      </c>
      <c r="BD53" s="3" t="s">
        <v>836</v>
      </c>
      <c r="BE53" s="3" t="s">
        <v>608</v>
      </c>
      <c r="BF53" s="3" t="s">
        <v>223</v>
      </c>
      <c r="BG53" s="3" t="s">
        <v>520</v>
      </c>
      <c r="BH53" s="3" t="s">
        <v>2339</v>
      </c>
      <c r="BI53" s="3" t="s">
        <v>3731</v>
      </c>
      <c r="BJ53" s="3" t="s">
        <v>1605</v>
      </c>
      <c r="BK53" s="3" t="s">
        <v>2340</v>
      </c>
      <c r="BL53" s="3" t="s">
        <v>3732</v>
      </c>
      <c r="BM53" s="3" t="s">
        <v>250</v>
      </c>
      <c r="BN53" s="3">
        <v>1.1399999999999999</v>
      </c>
      <c r="BO53" s="3">
        <v>13.36</v>
      </c>
      <c r="BP53" s="3">
        <v>9.27</v>
      </c>
      <c r="BQ53" s="3">
        <v>2.2999999999999998</v>
      </c>
      <c r="BR53" s="3">
        <v>14.18</v>
      </c>
      <c r="BS53" s="3">
        <v>9.93</v>
      </c>
      <c r="BT53" s="3" t="s">
        <v>1370</v>
      </c>
      <c r="BU53" s="3" t="s">
        <v>2998</v>
      </c>
      <c r="BV53" s="3">
        <v>58.91</v>
      </c>
      <c r="BW53" s="3">
        <v>46.44</v>
      </c>
      <c r="BX53" s="3">
        <v>48.08</v>
      </c>
      <c r="BY53" s="3">
        <v>19.739999999999998</v>
      </c>
      <c r="BZ53" s="3">
        <v>35.380000000000003</v>
      </c>
      <c r="CA53" s="3">
        <v>32.36</v>
      </c>
      <c r="CB53" s="3">
        <v>0.26</v>
      </c>
      <c r="CC53" s="3">
        <v>13.49</v>
      </c>
      <c r="CD53" s="3" t="s">
        <v>3733</v>
      </c>
      <c r="CE53" s="3" t="s">
        <v>325</v>
      </c>
      <c r="CF53" s="10">
        <v>-0.20581896551724127</v>
      </c>
      <c r="CG53" s="11">
        <v>6.3666129950473884</v>
      </c>
      <c r="CH53" s="10">
        <v>-0.79929196834564209</v>
      </c>
      <c r="CI53" s="10">
        <v>0.43325534462928772</v>
      </c>
      <c r="CJ53" s="10">
        <v>0.40460518002510071</v>
      </c>
      <c r="CK53" s="10">
        <v>4.9482163041830063E-2</v>
      </c>
      <c r="CL53" s="10">
        <v>-1.1376564390957355E-2</v>
      </c>
      <c r="CM53" s="11">
        <v>-0.82832944393157959</v>
      </c>
      <c r="CN53" s="11">
        <v>0.56694823503494263</v>
      </c>
      <c r="CO53" s="11">
        <v>-0.24909420311450958</v>
      </c>
      <c r="CP53" s="11">
        <v>0.18327973783016205</v>
      </c>
      <c r="CQ53" s="11">
        <v>0.2659430205821991</v>
      </c>
      <c r="CR53" s="3">
        <v>76.58591648780488</v>
      </c>
      <c r="CS53" s="3">
        <v>49.942458790800735</v>
      </c>
      <c r="CT53" s="3">
        <v>0.5234688536032106</v>
      </c>
      <c r="CU53" s="10">
        <v>1.5334830991923809E-2</v>
      </c>
      <c r="CV53" s="11">
        <v>-1.2250530719757079E-2</v>
      </c>
      <c r="CW53" s="3">
        <v>0.06</v>
      </c>
      <c r="CX53" s="3">
        <v>260.73611855837231</v>
      </c>
      <c r="CY53" s="3">
        <v>213603459.72754624</v>
      </c>
      <c r="CZ53" s="3">
        <v>1.5334830991923809E-2</v>
      </c>
      <c r="DA53" s="3">
        <v>90.81444666215576</v>
      </c>
      <c r="DB53" s="3">
        <v>613273978.39234853</v>
      </c>
      <c r="DC53" s="3">
        <v>1.4568089442327618E-2</v>
      </c>
      <c r="DD53" s="3">
        <v>48.559561530330718</v>
      </c>
      <c r="DE53" s="3">
        <v>1146924215.228199</v>
      </c>
      <c r="DF53" s="3">
        <v>1.3494651272892953E-2</v>
      </c>
      <c r="DG53" s="3">
        <v>31.898146537142665</v>
      </c>
      <c r="DH53" s="3">
        <v>1745999158.1375721</v>
      </c>
      <c r="DI53" s="3">
        <v>1.2267864793539049E-2</v>
      </c>
      <c r="DJ53" s="3">
        <v>19.827405354230009</v>
      </c>
      <c r="DK53" s="3">
        <v>2808947313.3265076</v>
      </c>
      <c r="DL53" s="3">
        <v>1.0734381694346666E-2</v>
      </c>
      <c r="DM53" s="3">
        <v>223000000</v>
      </c>
      <c r="DN53" s="3">
        <v>1.5334830991923809E-2</v>
      </c>
      <c r="DO53" s="3">
        <v>55694137000</v>
      </c>
      <c r="DP53" s="3">
        <v>7813802800</v>
      </c>
      <c r="DQ53" s="3">
        <v>4547</v>
      </c>
      <c r="DR53" s="3">
        <v>-0.22115379650916508</v>
      </c>
      <c r="DS53" s="3">
        <v>6.3788635257671453</v>
      </c>
      <c r="DT53" s="12">
        <v>-0.49</v>
      </c>
      <c r="DU53" s="3">
        <v>-0.10000000000000002</v>
      </c>
      <c r="DV53" s="3">
        <v>-0.59</v>
      </c>
      <c r="DW53" s="3">
        <v>2.1349</v>
      </c>
      <c r="DX53" s="3">
        <v>0.44680618181818404</v>
      </c>
      <c r="DY53" s="3">
        <v>2.0157571539272729</v>
      </c>
      <c r="DZ53" s="3">
        <v>2773</v>
      </c>
      <c r="EA53" s="3">
        <v>2.0072063539585199</v>
      </c>
      <c r="EB53" s="3">
        <v>2</v>
      </c>
      <c r="EC53" s="3">
        <v>5.6281723758740694E-2</v>
      </c>
      <c r="ED53" s="3">
        <v>0.48183857123544804</v>
      </c>
      <c r="EE53" s="13">
        <v>4.0392999999999999</v>
      </c>
      <c r="EF53" s="3">
        <v>4.0324</v>
      </c>
      <c r="EG53" s="3">
        <v>33.116806181818184</v>
      </c>
      <c r="EH53" s="3" t="s">
        <v>1925</v>
      </c>
      <c r="EI53" s="3">
        <v>1</v>
      </c>
      <c r="EJ53" s="3">
        <v>0</v>
      </c>
      <c r="EK53" s="14">
        <v>45470</v>
      </c>
      <c r="EL53" s="15">
        <v>1.39</v>
      </c>
      <c r="EM53" s="15">
        <v>-1.88</v>
      </c>
      <c r="EN53" s="15">
        <v>0.35</v>
      </c>
      <c r="EO53" s="15">
        <v>1.39</v>
      </c>
      <c r="EP53" s="15">
        <v>-0.69</v>
      </c>
    </row>
    <row r="54" spans="1:146" ht="192" x14ac:dyDescent="0.25">
      <c r="A54" s="7" t="s">
        <v>1366</v>
      </c>
      <c r="B54" s="7" t="s">
        <v>1365</v>
      </c>
      <c r="C54" s="7" t="str">
        <f>"公司的主营业务是半导体设备及泛半导体设备的研发、生产和销售。公司的主要产品有电容性等离子体刻蚀设备，电感性等离子体刻蚀设备，MOCVD设备，VOC设备。"&amp;CHAR(10)&amp;Basic_Fundamental_Information_Constructure(F54)&amp;CHAR(10)&amp;Basic_Fundamental_Information_Concatenate("专用设备 25.07亿 80.67% 78.52% 42.20%
备品备件 5.56亿 17.88% 19.35% 46.92%
设备维护 4528.71万 1.46% 2.14% 63.64%")</f>
        <v>公司的主营业务是半导体设备及泛半导体设备的研发、生产和销售。公司的主要产品有电容性等离子体刻蚀设备，电感性等离子体刻蚀设备，MOCVD设备，VOC设备。
市值860.50812亿, 利润2.49亿; PE48.9; 平均PE161.25; 平均PEG13.75, PB4.78; ROIC7.9367%; ROE8.7367%; 股利率.2166%; 毛利44.9767%; 净利28.5533%; 上一年度营收增-66.14%, 利润增-78.72%; 当季营收增-36.49%, 利润增-75.16%; 过往5年营收增11.73%, 利润增62.16%
Income profile:
专用设备 25.07亿 80.67% 78.52% 42.20%
备品备件 5.56亿 17.88% 19.35% 46.92%
设备维护 4528.71万 1.46% 2.14% 63.64%</v>
      </c>
      <c r="D54" s="3" t="s">
        <v>798</v>
      </c>
      <c r="E54" s="3" t="s">
        <v>2979</v>
      </c>
      <c r="F54" s="3">
        <v>138.5</v>
      </c>
      <c r="G54" s="3">
        <v>-1.49</v>
      </c>
      <c r="H54" s="3" t="s">
        <v>3734</v>
      </c>
      <c r="I54" s="3">
        <v>86050812000</v>
      </c>
      <c r="J54" s="3">
        <v>48.9</v>
      </c>
      <c r="K54" s="3">
        <v>4.78</v>
      </c>
      <c r="L54" s="3" t="s">
        <v>2983</v>
      </c>
      <c r="M54" s="3" t="s">
        <v>2345</v>
      </c>
      <c r="N54" s="3" t="s">
        <v>3735</v>
      </c>
      <c r="O54" s="3" t="s">
        <v>2346</v>
      </c>
      <c r="P54" s="3">
        <v>31.23</v>
      </c>
      <c r="Q54" s="3" t="s">
        <v>2346</v>
      </c>
      <c r="R54" s="3">
        <v>249135780</v>
      </c>
      <c r="S54" s="5">
        <v>-9.5299999999999996E-2</v>
      </c>
      <c r="T54" s="3" t="s">
        <v>767</v>
      </c>
      <c r="U54" s="3">
        <v>621305500</v>
      </c>
      <c r="V54" s="3">
        <v>621305500</v>
      </c>
      <c r="W54" s="3">
        <v>1.25</v>
      </c>
      <c r="X54" s="3">
        <v>7.0000000000000007E-2</v>
      </c>
      <c r="Y54" s="3">
        <v>15.5</v>
      </c>
      <c r="Z54" s="3" t="s">
        <v>2090</v>
      </c>
      <c r="AA54" s="3" t="s">
        <v>3284</v>
      </c>
      <c r="AB54" s="3" t="s">
        <v>305</v>
      </c>
      <c r="AC54" s="3" t="s">
        <v>3736</v>
      </c>
      <c r="AD54" s="3" t="s">
        <v>22</v>
      </c>
      <c r="AE54" s="3">
        <v>-32916087</v>
      </c>
      <c r="AF54" s="3" t="s">
        <v>2348</v>
      </c>
      <c r="AG54" s="3" t="s">
        <v>3737</v>
      </c>
      <c r="AH54" s="3" t="s">
        <v>2349</v>
      </c>
      <c r="AI54" s="3" t="s">
        <v>3738</v>
      </c>
      <c r="AJ54" s="3" t="s">
        <v>2350</v>
      </c>
      <c r="AK54" s="3" t="s">
        <v>3739</v>
      </c>
      <c r="AL54" s="3" t="s">
        <v>2351</v>
      </c>
      <c r="AM54" s="3" t="s">
        <v>22</v>
      </c>
      <c r="AN54" s="3" t="s">
        <v>3226</v>
      </c>
      <c r="AO54" s="3" t="s">
        <v>22</v>
      </c>
      <c r="AP54" s="3" t="s">
        <v>22</v>
      </c>
      <c r="AQ54" s="3" t="s">
        <v>3740</v>
      </c>
      <c r="AR54" s="3" t="s">
        <v>22</v>
      </c>
      <c r="AS54" s="3" t="s">
        <v>3741</v>
      </c>
      <c r="AT54" s="3" t="s">
        <v>22</v>
      </c>
      <c r="AU54" s="3" t="s">
        <v>3488</v>
      </c>
      <c r="AV54" s="3" t="s">
        <v>2663</v>
      </c>
      <c r="AW54" s="3" t="s">
        <v>1797</v>
      </c>
      <c r="AX54" s="3" t="s">
        <v>1606</v>
      </c>
      <c r="AY54" s="3" t="s">
        <v>922</v>
      </c>
      <c r="AZ54" s="3" t="s">
        <v>489</v>
      </c>
      <c r="BA54" s="3" t="s">
        <v>799</v>
      </c>
      <c r="BB54" s="3" t="s">
        <v>268</v>
      </c>
      <c r="BC54" s="3" t="s">
        <v>1607</v>
      </c>
      <c r="BD54" s="3" t="s">
        <v>557</v>
      </c>
      <c r="BE54" s="3" t="s">
        <v>763</v>
      </c>
      <c r="BF54" s="3" t="s">
        <v>127</v>
      </c>
      <c r="BG54" s="3" t="s">
        <v>800</v>
      </c>
      <c r="BH54" s="3" t="s">
        <v>2347</v>
      </c>
      <c r="BI54" s="3" t="s">
        <v>3742</v>
      </c>
      <c r="BJ54" s="3" t="s">
        <v>1606</v>
      </c>
      <c r="BK54" s="3" t="s">
        <v>1956</v>
      </c>
      <c r="BL54" s="3" t="s">
        <v>1867</v>
      </c>
      <c r="BM54" s="3" t="s">
        <v>1607</v>
      </c>
      <c r="BN54" s="3">
        <v>6.59</v>
      </c>
      <c r="BO54" s="3">
        <v>6.92</v>
      </c>
      <c r="BP54" s="3">
        <v>10.3</v>
      </c>
      <c r="BQ54" s="3">
        <v>7.18</v>
      </c>
      <c r="BR54" s="3">
        <v>7.94</v>
      </c>
      <c r="BS54" s="3">
        <v>11.09</v>
      </c>
      <c r="BT54" s="3" t="s">
        <v>1370</v>
      </c>
      <c r="BU54" s="3" t="s">
        <v>1212</v>
      </c>
      <c r="BV54" s="3">
        <v>45.83</v>
      </c>
      <c r="BW54" s="3">
        <v>45.74</v>
      </c>
      <c r="BX54" s="3">
        <v>43.36</v>
      </c>
      <c r="BY54" s="3">
        <v>28.48</v>
      </c>
      <c r="BZ54" s="3">
        <v>24.64</v>
      </c>
      <c r="CA54" s="3">
        <v>32.54</v>
      </c>
      <c r="CB54" s="3">
        <v>-1.95</v>
      </c>
      <c r="CC54" s="3">
        <v>3.87</v>
      </c>
      <c r="CD54" s="3" t="s">
        <v>3743</v>
      </c>
      <c r="CE54" s="3" t="s">
        <v>129</v>
      </c>
      <c r="CF54" s="10">
        <v>-0.36485951721408783</v>
      </c>
      <c r="CG54" s="11">
        <v>-0.75160939182452635</v>
      </c>
      <c r="CH54" s="10">
        <v>-0.66139239072799683</v>
      </c>
      <c r="CI54" s="10">
        <v>0.52509641647338867</v>
      </c>
      <c r="CJ54" s="10">
        <v>0.36735594272613525</v>
      </c>
      <c r="CK54" s="10">
        <v>0.16743701696395874</v>
      </c>
      <c r="CL54" s="10">
        <v>0.18791945278644562</v>
      </c>
      <c r="CM54" s="11">
        <v>-0.78717947006225586</v>
      </c>
      <c r="CN54" s="11">
        <v>0.15727002918720245</v>
      </c>
      <c r="CO54" s="11">
        <v>1.0548779964447021</v>
      </c>
      <c r="CP54" s="11">
        <v>1.6031745672225952</v>
      </c>
      <c r="CQ54" s="11">
        <v>1.0799126625061035</v>
      </c>
      <c r="CR54" s="3">
        <v>161.25108171189504</v>
      </c>
      <c r="CS54" s="3">
        <v>13.748854159070229</v>
      </c>
      <c r="CT54" s="3">
        <v>0.21660649819494585</v>
      </c>
      <c r="CU54" s="10">
        <v>0.11728328764438629</v>
      </c>
      <c r="CV54" s="11">
        <v>0.62161115705966952</v>
      </c>
      <c r="CW54" s="3">
        <v>0.06</v>
      </c>
      <c r="CX54" s="3">
        <v>273.67545753273788</v>
      </c>
      <c r="CY54" s="3">
        <v>262456168.51269078</v>
      </c>
      <c r="CZ54" s="3">
        <v>0.11728328764438629</v>
      </c>
      <c r="DA54" s="3">
        <v>87.398357937564043</v>
      </c>
      <c r="DB54" s="3">
        <v>821843953.30759668</v>
      </c>
      <c r="DC54" s="3">
        <v>0.11141912326216698</v>
      </c>
      <c r="DD54" s="3">
        <v>41.706075207332887</v>
      </c>
      <c r="DE54" s="3">
        <v>1722238586.1753545</v>
      </c>
      <c r="DF54" s="3">
        <v>0.10320929312705994</v>
      </c>
      <c r="DG54" s="3">
        <v>24.170881902974422</v>
      </c>
      <c r="DH54" s="3">
        <v>2971666995.3677201</v>
      </c>
      <c r="DI54" s="3">
        <v>9.3826630115509041E-2</v>
      </c>
      <c r="DJ54" s="3">
        <v>11.532007846430673</v>
      </c>
      <c r="DK54" s="3">
        <v>6228560798.4763699</v>
      </c>
      <c r="DL54" s="3">
        <v>8.2098301351070407E-2</v>
      </c>
      <c r="DM54" s="3">
        <v>249000000.00000003</v>
      </c>
      <c r="DN54" s="3">
        <v>0.11728328764438629</v>
      </c>
      <c r="DO54" s="3">
        <v>71827812000</v>
      </c>
      <c r="DP54" s="3">
        <v>11307529000</v>
      </c>
      <c r="DQ54" s="3">
        <v>4551</v>
      </c>
      <c r="DR54" s="3">
        <v>-0.48214280485847411</v>
      </c>
      <c r="DS54" s="3">
        <v>-1.3732205488841958</v>
      </c>
      <c r="DT54" s="12">
        <v>-0.27333333333333343</v>
      </c>
      <c r="DU54" s="3">
        <v>7.6666666666666591E-2</v>
      </c>
      <c r="DV54" s="3">
        <v>-0.19666666666666682</v>
      </c>
      <c r="DW54" s="3">
        <v>1.0387</v>
      </c>
      <c r="DX54" s="3">
        <v>0.3955047846889943</v>
      </c>
      <c r="DY54" s="3">
        <v>1.004470035167464</v>
      </c>
      <c r="DZ54" s="3">
        <v>1687</v>
      </c>
      <c r="EA54" s="3">
        <v>1.0029943112286164</v>
      </c>
      <c r="EB54" s="3">
        <v>1</v>
      </c>
      <c r="EC54" s="3">
        <v>3.8854476581971352E-2</v>
      </c>
      <c r="ED54" s="3">
        <v>0.3363884594615692</v>
      </c>
      <c r="EE54" s="13">
        <v>0.1075</v>
      </c>
      <c r="EF54" s="3">
        <v>8.9499999999999996E-2</v>
      </c>
      <c r="EG54" s="3">
        <v>28.115504784688994</v>
      </c>
      <c r="EH54" s="3" t="s">
        <v>1071</v>
      </c>
      <c r="EI54" s="3">
        <v>0</v>
      </c>
      <c r="EJ54" s="3">
        <v>0</v>
      </c>
      <c r="EK54" s="14">
        <v>45470</v>
      </c>
      <c r="EL54" s="15">
        <v>-0.33</v>
      </c>
      <c r="EM54" s="15">
        <v>-5.65</v>
      </c>
      <c r="EN54" s="15">
        <v>1.05</v>
      </c>
      <c r="EO54" s="15">
        <v>3.59</v>
      </c>
      <c r="EP54" s="15">
        <v>-1.8</v>
      </c>
    </row>
    <row r="55" spans="1:146" ht="288" x14ac:dyDescent="0.25">
      <c r="A55" s="9" t="s">
        <v>1935</v>
      </c>
      <c r="B55" s="9" t="s">
        <v>1913</v>
      </c>
      <c r="C55" s="9" t="str">
        <f>"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amp;CHAR(10)&amp;Basic_Fundamental_Information_Constructure(F55)&amp;CHAR(10)&amp;Basic_Fundamental_Information_Concatenate("模组 8.14亿 58.68% 49.61% 33.48%
芯片 5.53亿 39.87% 49.27% 48.94%
其他 2015.31万 1.45% 1.12% 30.43%")</f>
        <v>公司的主营业务是结合芯片硬件、软件方案以及云的技术,向全球所有的企业和开发者们提供一站式的AIoT产品和服务。公司主要产品有ESP8089系列芯片、ESP8266系列芯片、ESP32系列芯片、ESP8266系列模组、ESP32系列模组。公司在物联网Wi-FiMCU通信芯片领域具有领先的市场地位。
市值108.104843亿, 利润5391.55万; PE67.98; 平均PE91.86; 平均PEG7.91, PB5.74; ROIC6.9167%; ROE7.1567%; 股利率1.0378%; 毛利40.0467%; 净利10.49%; 上一年度营收增-69.55%, 利润增-44.6%; 当季营收增-41.98%, 利润增83.85%; 过往5年营收增11.62%, 利润增5.94%
Income profile:
模组 8.14亿 58.68% 49.61% 33.48%
芯片 5.53亿 39.87% 49.27% 48.94%
其他 2015.31万 1.45% 1.12% 30.43%</v>
      </c>
      <c r="D55" s="3" t="s">
        <v>48</v>
      </c>
      <c r="E55" s="3" t="s">
        <v>1091</v>
      </c>
      <c r="F55" s="3">
        <v>96.36</v>
      </c>
      <c r="G55" s="3">
        <v>0.95</v>
      </c>
      <c r="H55" s="3" t="s">
        <v>3744</v>
      </c>
      <c r="I55" s="3">
        <v>10810484300</v>
      </c>
      <c r="J55" s="3">
        <v>67.98</v>
      </c>
      <c r="K55" s="3">
        <v>5.74</v>
      </c>
      <c r="L55" s="3" t="s">
        <v>2983</v>
      </c>
      <c r="M55" s="3" t="s">
        <v>550</v>
      </c>
      <c r="N55" s="3" t="s">
        <v>3745</v>
      </c>
      <c r="O55" s="3" t="s">
        <v>1225</v>
      </c>
      <c r="P55" s="3">
        <v>21.71</v>
      </c>
      <c r="Q55" s="3" t="s">
        <v>1225</v>
      </c>
      <c r="R55" s="3">
        <v>118710000</v>
      </c>
      <c r="S55" s="5">
        <v>0.73429999999999995</v>
      </c>
      <c r="T55" s="3" t="s">
        <v>3746</v>
      </c>
      <c r="U55" s="3">
        <v>112188505</v>
      </c>
      <c r="V55" s="3">
        <v>112188505</v>
      </c>
      <c r="W55" s="3">
        <v>1.1399999999999999</v>
      </c>
      <c r="X55" s="3">
        <v>0.18</v>
      </c>
      <c r="Y55" s="3">
        <v>13.92</v>
      </c>
      <c r="Z55" s="3" t="s">
        <v>531</v>
      </c>
      <c r="AA55" s="3" t="s">
        <v>345</v>
      </c>
      <c r="AB55" s="3" t="s">
        <v>3747</v>
      </c>
      <c r="AC55" s="3" t="s">
        <v>3748</v>
      </c>
      <c r="AD55" s="3" t="s">
        <v>22</v>
      </c>
      <c r="AE55" s="3">
        <v>-1901518</v>
      </c>
      <c r="AF55" s="3" t="s">
        <v>2354</v>
      </c>
      <c r="AG55" s="3" t="s">
        <v>22</v>
      </c>
      <c r="AH55" s="3" t="s">
        <v>2355</v>
      </c>
      <c r="AI55" s="3" t="s">
        <v>3749</v>
      </c>
      <c r="AJ55" s="3" t="s">
        <v>2356</v>
      </c>
      <c r="AK55" s="3" t="s">
        <v>3750</v>
      </c>
      <c r="AL55" s="3" t="s">
        <v>2357</v>
      </c>
      <c r="AM55" s="3" t="s">
        <v>22</v>
      </c>
      <c r="AN55" s="3">
        <v>0</v>
      </c>
      <c r="AO55" s="3" t="s">
        <v>22</v>
      </c>
      <c r="AP55" s="3" t="s">
        <v>22</v>
      </c>
      <c r="AQ55" s="3" t="s">
        <v>3751</v>
      </c>
      <c r="AR55" s="3" t="s">
        <v>22</v>
      </c>
      <c r="AS55" s="3" t="s">
        <v>23</v>
      </c>
      <c r="AT55" s="3" t="s">
        <v>22</v>
      </c>
      <c r="AU55" s="3" t="s">
        <v>3752</v>
      </c>
      <c r="AV55" s="3" t="s">
        <v>741</v>
      </c>
      <c r="AW55" s="3" t="s">
        <v>3753</v>
      </c>
      <c r="AX55" s="3" t="s">
        <v>630</v>
      </c>
      <c r="AY55" s="3" t="s">
        <v>313</v>
      </c>
      <c r="AZ55" s="3" t="s">
        <v>647</v>
      </c>
      <c r="BA55" s="3" t="s">
        <v>292</v>
      </c>
      <c r="BB55" s="3" t="s">
        <v>648</v>
      </c>
      <c r="BC55" s="3" t="s">
        <v>1609</v>
      </c>
      <c r="BD55" s="3" t="s">
        <v>697</v>
      </c>
      <c r="BE55" s="3" t="s">
        <v>257</v>
      </c>
      <c r="BF55" s="3" t="s">
        <v>267</v>
      </c>
      <c r="BG55" s="3" t="s">
        <v>649</v>
      </c>
      <c r="BH55" s="3" t="s">
        <v>2353</v>
      </c>
      <c r="BI55" s="3" t="s">
        <v>3754</v>
      </c>
      <c r="BJ55" s="3" t="s">
        <v>630</v>
      </c>
      <c r="BK55" s="3" t="s">
        <v>179</v>
      </c>
      <c r="BL55" s="3" t="s">
        <v>3755</v>
      </c>
      <c r="BM55" s="3" t="s">
        <v>1609</v>
      </c>
      <c r="BN55" s="3">
        <v>4.42</v>
      </c>
      <c r="BO55" s="3">
        <v>5.1100000000000003</v>
      </c>
      <c r="BP55" s="3">
        <v>11.22</v>
      </c>
      <c r="BQ55" s="3">
        <v>4.59</v>
      </c>
      <c r="BR55" s="3">
        <v>5.36</v>
      </c>
      <c r="BS55" s="3">
        <v>11.52</v>
      </c>
      <c r="BT55" s="3" t="s">
        <v>2358</v>
      </c>
      <c r="BU55" s="3" t="s">
        <v>2998</v>
      </c>
      <c r="BV55" s="3">
        <v>40.56</v>
      </c>
      <c r="BW55" s="3">
        <v>39.979999999999997</v>
      </c>
      <c r="BX55" s="3">
        <v>39.6</v>
      </c>
      <c r="BY55" s="3">
        <v>9.5</v>
      </c>
      <c r="BZ55" s="3">
        <v>7.66</v>
      </c>
      <c r="CA55" s="3">
        <v>14.31</v>
      </c>
      <c r="CB55" s="3">
        <v>-2.35</v>
      </c>
      <c r="CC55" s="3">
        <v>30.39</v>
      </c>
      <c r="CD55" s="3" t="s">
        <v>3756</v>
      </c>
      <c r="CE55" s="3" t="s">
        <v>3757</v>
      </c>
      <c r="CF55" s="10">
        <v>-0.41979010494752622</v>
      </c>
      <c r="CG55" s="11">
        <v>0.83846133593927863</v>
      </c>
      <c r="CH55" s="10">
        <v>-0.69551533460617065</v>
      </c>
      <c r="CI55" s="10">
        <v>-8.2972534000873566E-2</v>
      </c>
      <c r="CJ55" s="10">
        <v>0.66787004470825195</v>
      </c>
      <c r="CK55" s="10">
        <v>9.7754292190074921E-2</v>
      </c>
      <c r="CL55" s="10">
        <v>0.59368419647216797</v>
      </c>
      <c r="CM55" s="11">
        <v>-0.44601541757583618</v>
      </c>
      <c r="CN55" s="11">
        <v>-0.50846916437149048</v>
      </c>
      <c r="CO55" s="11">
        <v>0.9038461446762085</v>
      </c>
      <c r="CP55" s="11">
        <v>-0.34591194987297058</v>
      </c>
      <c r="CQ55" s="11">
        <v>0.69360458850860596</v>
      </c>
      <c r="CR55" s="3">
        <v>91.85803485294025</v>
      </c>
      <c r="CS55" s="3">
        <v>7.9076073240568192</v>
      </c>
      <c r="CT55" s="3">
        <v>1.0377750103777501</v>
      </c>
      <c r="CU55" s="10">
        <v>0.11616413295269012</v>
      </c>
      <c r="CV55" s="11">
        <v>5.9410840272903442E-2</v>
      </c>
      <c r="CW55" s="3">
        <v>0.06</v>
      </c>
      <c r="CX55" s="3">
        <v>162.39430486122467</v>
      </c>
      <c r="CY55" s="3">
        <v>56772214.443595067</v>
      </c>
      <c r="CZ55" s="3">
        <v>0.11616413295269012</v>
      </c>
      <c r="DA55" s="3">
        <v>51.909549970760906</v>
      </c>
      <c r="DB55" s="3">
        <v>177606708.30691192</v>
      </c>
      <c r="DC55" s="3">
        <v>0.11035592630505561</v>
      </c>
      <c r="DD55" s="3">
        <v>24.802830373750201</v>
      </c>
      <c r="DE55" s="3">
        <v>371710976.57295346</v>
      </c>
      <c r="DF55" s="3">
        <v>0.10222443699836731</v>
      </c>
      <c r="DG55" s="3">
        <v>14.395904539450509</v>
      </c>
      <c r="DH55" s="3">
        <v>640424106.36545575</v>
      </c>
      <c r="DI55" s="3">
        <v>9.2931306362152105E-2</v>
      </c>
      <c r="DJ55" s="3">
        <v>6.8915771141725344</v>
      </c>
      <c r="DK55" s="3">
        <v>1337790196.2440677</v>
      </c>
      <c r="DL55" s="3">
        <v>8.1314893066883082E-2</v>
      </c>
      <c r="DM55" s="3">
        <v>53915500</v>
      </c>
      <c r="DN55" s="3">
        <v>0.11616413295269012</v>
      </c>
      <c r="DO55" s="3">
        <v>9219484300</v>
      </c>
      <c r="DP55" s="3">
        <v>981988020</v>
      </c>
      <c r="DQ55" s="3">
        <v>4556</v>
      </c>
      <c r="DR55" s="3">
        <v>-0.53595423790021635</v>
      </c>
      <c r="DS55" s="3">
        <v>0.77905049566637519</v>
      </c>
      <c r="DT55" s="12">
        <v>-0.40666666666666668</v>
      </c>
      <c r="DU55" s="3">
        <v>0.6333333333333333</v>
      </c>
      <c r="DV55" s="3">
        <v>0.22666666666666663</v>
      </c>
      <c r="DW55" s="3">
        <v>3.1627440476190478</v>
      </c>
      <c r="DX55" s="3">
        <v>0.45902587969727932</v>
      </c>
      <c r="DY55" s="3">
        <v>3.0454098010524007</v>
      </c>
      <c r="DZ55" s="3">
        <v>216</v>
      </c>
      <c r="EA55" s="3">
        <v>3.0434903260959785</v>
      </c>
      <c r="EB55" s="3">
        <v>3</v>
      </c>
      <c r="EC55" s="3">
        <v>0.1669101482366665</v>
      </c>
      <c r="ED55" s="3">
        <v>0.59818873600285516</v>
      </c>
      <c r="EE55" s="13">
        <v>3.0277099999999999</v>
      </c>
      <c r="EF55" s="3">
        <v>3.0323099999999998</v>
      </c>
      <c r="EG55" s="3">
        <v>18.279025879697279</v>
      </c>
      <c r="EH55" s="3" t="s">
        <v>1418</v>
      </c>
      <c r="EI55" s="3">
        <v>0</v>
      </c>
      <c r="EJ55" s="3">
        <v>1</v>
      </c>
      <c r="EK55" s="14">
        <v>45470</v>
      </c>
      <c r="EL55" s="15">
        <v>-0.08</v>
      </c>
      <c r="EM55" s="15">
        <v>-2.98</v>
      </c>
      <c r="EN55" s="15">
        <v>-3.43</v>
      </c>
      <c r="EO55" s="15">
        <v>2.57</v>
      </c>
      <c r="EP55" s="15">
        <v>-0.46</v>
      </c>
    </row>
    <row r="56" spans="1:146" ht="156" x14ac:dyDescent="0.25">
      <c r="A56" s="9" t="s">
        <v>1189</v>
      </c>
      <c r="B56" s="9" t="s">
        <v>1912</v>
      </c>
      <c r="C56" s="9" t="str">
        <f>"公司主要从事半导体专用设备的研发、生产和销售，产品包括光刻工序涂胶显影设备（涂胶/显影机、喷胶机）和单片式湿法设备（清洗机、去胶机、湿法刻蚀机）"&amp;CHAR(10)&amp;Basic_Fundamental_Information_Constructure(F56)&amp;CHAR(10)&amp;Basic_Fundamental_Information_Concatenate("光刻工序涂胶显影设备 7.57亿 54.67% 49.34% 34.65%
单片式湿法设备 5.50亿 39.72% 40.51% 39.17%
其他设备 5312.38万 3.84% 6.97% 69.79%
其他业务 2460.83万 1.78% 3.17% 68.59%")</f>
        <v>公司主要从事半导体专用设备的研发、生产和销售，产品包括光刻工序涂胶显影设备（涂胶/显影机、喷胶机）和单片式湿法设备（清洗机、去胶机、湿法刻蚀机）
市值117.804171亿, 利润1601.10万; PE58.71; 平均PE175.85; 平均PEG4.57, PB4.87; ROIC9.16%; ROE10.84%; 股利率.2346%; 毛利39.67%; 净利12.7833%; 上一年度营收增-82.38%, 利润增-91.99%; 当季营收增-64.94%, 利润增-88.23%; 过往5年营收增38.51%, 利润增37.57%
Income profile:
光刻工序涂胶显影设备 7.57亿 54.67% 49.34% 34.65%
单片式湿法设备 5.50亿 39.72% 40.51% 39.17%
其他设备 5312.38万 3.84% 6.97% 69.79%
其他业务 2460.83万 1.78% 3.17% 68.59%</v>
      </c>
      <c r="D56" s="3" t="s">
        <v>802</v>
      </c>
      <c r="E56" s="3" t="s">
        <v>803</v>
      </c>
      <c r="F56" s="3">
        <v>85.25</v>
      </c>
      <c r="G56" s="3">
        <v>-2.73</v>
      </c>
      <c r="H56" s="3" t="s">
        <v>3758</v>
      </c>
      <c r="I56" s="3">
        <v>11780417100</v>
      </c>
      <c r="J56" s="3">
        <v>58.71</v>
      </c>
      <c r="K56" s="3">
        <v>4.87</v>
      </c>
      <c r="L56" s="3" t="s">
        <v>2983</v>
      </c>
      <c r="M56" s="3" t="s">
        <v>2359</v>
      </c>
      <c r="N56" s="3" t="s">
        <v>3759</v>
      </c>
      <c r="O56" s="3" t="s">
        <v>144</v>
      </c>
      <c r="P56" s="3">
        <v>-15.27</v>
      </c>
      <c r="Q56" s="3" t="s">
        <v>144</v>
      </c>
      <c r="R56" s="3">
        <v>16010993</v>
      </c>
      <c r="S56" s="5">
        <v>-0.75729999999999997</v>
      </c>
      <c r="T56" s="3" t="s">
        <v>3760</v>
      </c>
      <c r="U56" s="3">
        <v>138186710</v>
      </c>
      <c r="V56" s="3">
        <v>138186710</v>
      </c>
      <c r="W56" s="3">
        <v>1.79</v>
      </c>
      <c r="X56" s="3">
        <v>0.06</v>
      </c>
      <c r="Y56" s="3">
        <v>6.4</v>
      </c>
      <c r="Z56" s="3" t="s">
        <v>769</v>
      </c>
      <c r="AA56" s="3" t="s">
        <v>494</v>
      </c>
      <c r="AB56" s="3" t="s">
        <v>3761</v>
      </c>
      <c r="AC56" s="3" t="s">
        <v>3762</v>
      </c>
      <c r="AD56" s="3" t="s">
        <v>22</v>
      </c>
      <c r="AE56" s="3">
        <v>-4830047</v>
      </c>
      <c r="AF56" s="3" t="s">
        <v>2361</v>
      </c>
      <c r="AG56" s="3" t="s">
        <v>3763</v>
      </c>
      <c r="AH56" s="3" t="s">
        <v>2362</v>
      </c>
      <c r="AI56" s="3" t="s">
        <v>1214</v>
      </c>
      <c r="AJ56" s="3" t="s">
        <v>2363</v>
      </c>
      <c r="AK56" s="3" t="s">
        <v>3764</v>
      </c>
      <c r="AL56" s="3" t="s">
        <v>2364</v>
      </c>
      <c r="AM56" s="3" t="s">
        <v>22</v>
      </c>
      <c r="AN56" s="3" t="s">
        <v>1844</v>
      </c>
      <c r="AO56" s="3" t="s">
        <v>401</v>
      </c>
      <c r="AP56" s="3" t="s">
        <v>199</v>
      </c>
      <c r="AQ56" s="3" t="s">
        <v>209</v>
      </c>
      <c r="AR56" s="3" t="s">
        <v>22</v>
      </c>
      <c r="AS56" s="3" t="s">
        <v>3765</v>
      </c>
      <c r="AT56" s="3" t="s">
        <v>1757</v>
      </c>
      <c r="AU56" s="3" t="s">
        <v>3766</v>
      </c>
      <c r="AV56" s="3" t="s">
        <v>2581</v>
      </c>
      <c r="AW56" s="3" t="s">
        <v>3767</v>
      </c>
      <c r="AX56" s="3" t="s">
        <v>1608</v>
      </c>
      <c r="AY56" s="3" t="s">
        <v>836</v>
      </c>
      <c r="AZ56" s="3" t="s">
        <v>157</v>
      </c>
      <c r="BA56" s="3" t="s">
        <v>664</v>
      </c>
      <c r="BB56" s="3" t="s">
        <v>139</v>
      </c>
      <c r="BC56" s="3" t="s">
        <v>1304</v>
      </c>
      <c r="BD56" s="3" t="s">
        <v>923</v>
      </c>
      <c r="BE56" s="3" t="s">
        <v>804</v>
      </c>
      <c r="BF56" s="3" t="s">
        <v>805</v>
      </c>
      <c r="BG56" s="3" t="s">
        <v>806</v>
      </c>
      <c r="BH56" s="3" t="s">
        <v>886</v>
      </c>
      <c r="BI56" s="3" t="s">
        <v>875</v>
      </c>
      <c r="BJ56" s="3" t="s">
        <v>1608</v>
      </c>
      <c r="BK56" s="3" t="s">
        <v>357</v>
      </c>
      <c r="BL56" s="3" t="s">
        <v>179</v>
      </c>
      <c r="BM56" s="3" t="s">
        <v>1304</v>
      </c>
      <c r="BN56" s="3">
        <v>7.96</v>
      </c>
      <c r="BO56" s="3">
        <v>11.91</v>
      </c>
      <c r="BP56" s="3">
        <v>7.61</v>
      </c>
      <c r="BQ56" s="3">
        <v>9.9600000000000009</v>
      </c>
      <c r="BR56" s="3">
        <v>13.36</v>
      </c>
      <c r="BS56" s="3">
        <v>9.1999999999999993</v>
      </c>
      <c r="BT56" s="3" t="s">
        <v>2367</v>
      </c>
      <c r="BU56" s="3" t="s">
        <v>1212</v>
      </c>
      <c r="BV56" s="3">
        <v>42.53</v>
      </c>
      <c r="BW56" s="3">
        <v>38.4</v>
      </c>
      <c r="BX56" s="3">
        <v>38.08</v>
      </c>
      <c r="BY56" s="3">
        <v>14.57</v>
      </c>
      <c r="BZ56" s="3">
        <v>14.45</v>
      </c>
      <c r="CA56" s="3">
        <v>9.33</v>
      </c>
      <c r="CB56" s="3">
        <v>-4.21</v>
      </c>
      <c r="CC56" s="3">
        <v>-5.23</v>
      </c>
      <c r="CD56" s="3" t="s">
        <v>2959</v>
      </c>
      <c r="CE56" s="3" t="s">
        <v>305</v>
      </c>
      <c r="CF56" s="10">
        <v>-0.64942528735632188</v>
      </c>
      <c r="CG56" s="11">
        <v>-0.88227211029411767</v>
      </c>
      <c r="CH56" s="10">
        <v>-0.82382673025131226</v>
      </c>
      <c r="CI56" s="10">
        <v>0.67068749666213989</v>
      </c>
      <c r="CJ56" s="10">
        <v>1.5197567939758301</v>
      </c>
      <c r="CK56" s="10">
        <v>0.5446009635925293</v>
      </c>
      <c r="CL56" s="10">
        <v>1.4285714365541935E-2</v>
      </c>
      <c r="CM56" s="11">
        <v>-0.91994494199752808</v>
      </c>
      <c r="CN56" s="11">
        <v>1.5856661796569824</v>
      </c>
      <c r="CO56" s="11">
        <v>0.58410245180130005</v>
      </c>
      <c r="CP56" s="11">
        <v>0.66787701845169067</v>
      </c>
      <c r="CQ56" s="11">
        <v>-3.9438411593437195E-2</v>
      </c>
      <c r="CR56" s="3">
        <v>175.85209889265366</v>
      </c>
      <c r="CS56" s="3">
        <v>4.5663908546840162</v>
      </c>
      <c r="CT56" s="3">
        <v>0.23460410557184752</v>
      </c>
      <c r="CU56" s="10">
        <v>0.38510084766894581</v>
      </c>
      <c r="CV56" s="11">
        <v>0.37565245926380159</v>
      </c>
      <c r="CW56" s="3">
        <v>0.06</v>
      </c>
      <c r="CX56" s="3">
        <v>538.93777983603525</v>
      </c>
      <c r="CY56" s="3">
        <v>20921556.294365555</v>
      </c>
      <c r="CZ56" s="3">
        <v>0.38510084766894581</v>
      </c>
      <c r="DA56" s="3">
        <v>138.40359638769382</v>
      </c>
      <c r="DB56" s="3">
        <v>81467659.759472519</v>
      </c>
      <c r="DC56" s="3">
        <v>0.36584580528549848</v>
      </c>
      <c r="DD56" s="3">
        <v>47.922444733452132</v>
      </c>
      <c r="DE56" s="3">
        <v>235284680.54404634</v>
      </c>
      <c r="DF56" s="3">
        <v>0.3388887459486723</v>
      </c>
      <c r="DG56" s="3">
        <v>18.575501297370501</v>
      </c>
      <c r="DH56" s="3">
        <v>607004727.3284688</v>
      </c>
      <c r="DI56" s="3">
        <v>0.30808067813515666</v>
      </c>
      <c r="DJ56" s="3">
        <v>3.2381723833577949</v>
      </c>
      <c r="DK56" s="3">
        <v>3482031147.5536871</v>
      </c>
      <c r="DL56" s="3">
        <v>0.26957059336826206</v>
      </c>
      <c r="DM56" s="3">
        <v>16011000</v>
      </c>
      <c r="DN56" s="3">
        <v>0.38510084766894581</v>
      </c>
      <c r="DO56" s="3">
        <v>11275417100</v>
      </c>
      <c r="DP56" s="3">
        <v>1874692700</v>
      </c>
      <c r="DQ56" s="3">
        <v>4573</v>
      </c>
      <c r="DR56" s="3">
        <v>-1.0345261350252677</v>
      </c>
      <c r="DS56" s="3">
        <v>-1.2579245695579193</v>
      </c>
      <c r="DT56" s="12">
        <v>-9.000000000000008E-2</v>
      </c>
      <c r="DU56" s="3">
        <v>-0.10666666666666669</v>
      </c>
      <c r="DV56" s="3">
        <v>-0.19666666666666677</v>
      </c>
      <c r="DW56" s="3">
        <v>-8.8049713193116634</v>
      </c>
      <c r="DX56" s="3">
        <v>0.40871532846715425</v>
      </c>
      <c r="DY56" s="3">
        <v>-8.079463008192489</v>
      </c>
      <c r="DZ56" s="3">
        <v>3858</v>
      </c>
      <c r="EA56" s="3">
        <v>-8.0194692145317017</v>
      </c>
      <c r="EB56" s="3">
        <v>8</v>
      </c>
      <c r="EC56" s="3">
        <v>9.7867587990190949E-2</v>
      </c>
      <c r="ED56" s="3">
        <v>0.99141227112216512</v>
      </c>
      <c r="EE56" s="13">
        <v>-1.0020100000000001</v>
      </c>
      <c r="EF56" s="3">
        <v>-1.0296099999999999</v>
      </c>
      <c r="EG56" s="3">
        <v>31.098715328467154</v>
      </c>
      <c r="EH56" s="3" t="s">
        <v>1386</v>
      </c>
      <c r="EI56" s="3">
        <v>0</v>
      </c>
      <c r="EJ56" s="3">
        <v>0</v>
      </c>
      <c r="EK56" s="14">
        <v>45470</v>
      </c>
      <c r="EL56" s="15">
        <v>-4.1100000000000003</v>
      </c>
      <c r="EM56" s="15">
        <v>-5.41</v>
      </c>
      <c r="EN56" s="15">
        <v>-1.51</v>
      </c>
      <c r="EO56" s="15">
        <v>7.01</v>
      </c>
      <c r="EP56" s="15">
        <v>-2.76</v>
      </c>
    </row>
    <row r="57" spans="1:146" ht="96" x14ac:dyDescent="0.25">
      <c r="A57" s="9"/>
      <c r="B57" s="9"/>
      <c r="C57" s="9" t="str">
        <f>""&amp;CHAR(10)&amp;Basic_Fundamental_Information_Constructure(F57)&amp;CHAR(10)&amp;Basic_Fundamental_Information_Concatenate("")</f>
        <v xml:space="preserve">
市值1661.9017亿, 利润2.89亿; PE126.6; 平均PE849.39; 平均PEG4.11, PB8.72; ROIC5.4533%; ROE6.6767%; 股利率.154%; 毛利56.0133%; 净利23.0633%; 上一年度营收增-68.94%, 利润增-64.05%; 当季营收增-39.05%, 利润增-57.38%; 过往5年营收增206.82%, 利润增220.62%
Income profile:
</v>
      </c>
      <c r="D57" s="3" t="s">
        <v>1196</v>
      </c>
      <c r="E57" s="3" t="s">
        <v>1197</v>
      </c>
      <c r="F57" s="3">
        <v>71.5</v>
      </c>
      <c r="G57" s="3">
        <v>3.74</v>
      </c>
      <c r="H57" s="3" t="s">
        <v>3768</v>
      </c>
      <c r="I57" s="3">
        <v>166190170000</v>
      </c>
      <c r="J57" s="3">
        <v>126.6</v>
      </c>
      <c r="K57" s="3">
        <v>8.7200000000000006</v>
      </c>
      <c r="L57" s="3" t="s">
        <v>2983</v>
      </c>
      <c r="M57" s="3" t="s">
        <v>2368</v>
      </c>
      <c r="N57" s="3" t="s">
        <v>3769</v>
      </c>
      <c r="O57" s="3" t="s">
        <v>1287</v>
      </c>
      <c r="P57" s="3">
        <v>37.090000000000003</v>
      </c>
      <c r="Q57" s="3" t="s">
        <v>1287</v>
      </c>
      <c r="R57" s="3">
        <v>288537310</v>
      </c>
      <c r="S57" s="4">
        <v>0.20530000000000001</v>
      </c>
      <c r="T57" s="3" t="s">
        <v>321</v>
      </c>
      <c r="U57" s="3">
        <v>880557180</v>
      </c>
      <c r="V57" s="3">
        <v>2324338100</v>
      </c>
      <c r="W57" s="3">
        <v>1.1200000000000001</v>
      </c>
      <c r="X57" s="3">
        <v>7.0000000000000007E-2</v>
      </c>
      <c r="Y57" s="3">
        <v>24.77</v>
      </c>
      <c r="Z57" s="3" t="s">
        <v>2323</v>
      </c>
      <c r="AA57" s="3" t="s">
        <v>1800</v>
      </c>
      <c r="AB57" s="3" t="s">
        <v>3770</v>
      </c>
      <c r="AC57" s="3" t="s">
        <v>3771</v>
      </c>
      <c r="AD57" s="3" t="s">
        <v>22</v>
      </c>
      <c r="AE57" s="3">
        <v>-62214074</v>
      </c>
      <c r="AF57" s="3" t="s">
        <v>108</v>
      </c>
      <c r="AG57" s="3" t="s">
        <v>3772</v>
      </c>
      <c r="AH57" s="3" t="s">
        <v>2371</v>
      </c>
      <c r="AI57" s="3" t="s">
        <v>3773</v>
      </c>
      <c r="AJ57" s="3" t="s">
        <v>2372</v>
      </c>
      <c r="AK57" s="3" t="s">
        <v>22</v>
      </c>
      <c r="AL57" s="3" t="s">
        <v>2373</v>
      </c>
      <c r="AM57" s="3" t="s">
        <v>22</v>
      </c>
      <c r="AN57" s="3">
        <v>0</v>
      </c>
      <c r="AO57" s="3" t="s">
        <v>1306</v>
      </c>
      <c r="AP57" s="3" t="s">
        <v>22</v>
      </c>
      <c r="AQ57" s="3" t="s">
        <v>636</v>
      </c>
      <c r="AR57" s="3" t="s">
        <v>22</v>
      </c>
      <c r="AS57" s="3" t="s">
        <v>3774</v>
      </c>
      <c r="AT57" s="3" t="s">
        <v>3775</v>
      </c>
      <c r="AU57" s="3" t="s">
        <v>3776</v>
      </c>
      <c r="AV57" s="3" t="s">
        <v>1984</v>
      </c>
      <c r="AW57" s="3" t="s">
        <v>257</v>
      </c>
      <c r="AX57" s="3" t="s">
        <v>1610</v>
      </c>
      <c r="AY57" s="3" t="s">
        <v>1198</v>
      </c>
      <c r="AZ57" s="3" t="s">
        <v>1202</v>
      </c>
      <c r="BA57" s="3" t="s">
        <v>204</v>
      </c>
      <c r="BB57" s="3" t="s">
        <v>1203</v>
      </c>
      <c r="BC57" s="3" t="s">
        <v>772</v>
      </c>
      <c r="BD57" s="3" t="s">
        <v>1199</v>
      </c>
      <c r="BE57" s="3" t="s">
        <v>1204</v>
      </c>
      <c r="BF57" s="3" t="s">
        <v>1205</v>
      </c>
      <c r="BG57" s="3" t="s">
        <v>1206</v>
      </c>
      <c r="BH57" s="3" t="s">
        <v>2369</v>
      </c>
      <c r="BI57" s="3" t="s">
        <v>1152</v>
      </c>
      <c r="BJ57" s="3" t="s">
        <v>1610</v>
      </c>
      <c r="BK57" s="3" t="s">
        <v>2370</v>
      </c>
      <c r="BL57" s="3" t="s">
        <v>780</v>
      </c>
      <c r="BM57" s="3" t="s">
        <v>772</v>
      </c>
      <c r="BN57" s="3">
        <v>4.6500000000000004</v>
      </c>
      <c r="BO57" s="3">
        <v>6.82</v>
      </c>
      <c r="BP57" s="3">
        <v>4.8899999999999997</v>
      </c>
      <c r="BQ57" s="3">
        <v>5.13</v>
      </c>
      <c r="BR57" s="3">
        <v>8.49</v>
      </c>
      <c r="BS57" s="3">
        <v>6.41</v>
      </c>
      <c r="BT57" s="3" t="s">
        <v>3777</v>
      </c>
      <c r="BU57" s="3" t="s">
        <v>2998</v>
      </c>
      <c r="BV57" s="3">
        <v>59.67</v>
      </c>
      <c r="BW57" s="3">
        <v>52.42</v>
      </c>
      <c r="BX57" s="3">
        <v>55.95</v>
      </c>
      <c r="BY57" s="3">
        <v>28.3</v>
      </c>
      <c r="BZ57" s="3">
        <v>21.95</v>
      </c>
      <c r="CA57" s="3">
        <v>18.940000000000001</v>
      </c>
      <c r="CB57" s="3">
        <v>1.68</v>
      </c>
      <c r="CC57" s="3">
        <v>0.41</v>
      </c>
      <c r="CD57" s="3" t="s">
        <v>3778</v>
      </c>
      <c r="CE57" s="3" t="s">
        <v>1713</v>
      </c>
      <c r="CF57" s="10">
        <v>-0.39050535987748852</v>
      </c>
      <c r="CG57" s="11">
        <v>-0.57380013293943866</v>
      </c>
      <c r="CH57" s="10">
        <v>-0.68936586380004883</v>
      </c>
      <c r="CI57" s="10">
        <v>1.2186146974563599</v>
      </c>
      <c r="CJ57" s="10">
        <v>1.2602740526199341</v>
      </c>
      <c r="CK57" s="10">
        <v>1.6965699195861816</v>
      </c>
      <c r="CL57" s="10">
        <v>6.8546943664550781</v>
      </c>
      <c r="CM57" s="11">
        <v>-0.64054727554321289</v>
      </c>
      <c r="CN57" s="11">
        <v>1.458715558052063</v>
      </c>
      <c r="CO57" s="11">
        <v>9.3536643981933594</v>
      </c>
      <c r="CP57" s="11">
        <v>0.52783679962158203</v>
      </c>
      <c r="CQ57" s="11">
        <v>0.33141452074050903</v>
      </c>
      <c r="CR57" s="3">
        <v>849.38903322106569</v>
      </c>
      <c r="CS57" s="3">
        <v>4.1069844058627236</v>
      </c>
      <c r="CT57" s="3">
        <v>0.15398601398601397</v>
      </c>
      <c r="CU57" s="10">
        <v>2.068157434463501</v>
      </c>
      <c r="CV57" s="11">
        <v>2.2062168002128599</v>
      </c>
      <c r="CW57" s="3">
        <v>0.06</v>
      </c>
      <c r="CX57" s="3">
        <v>176.92040459657767</v>
      </c>
      <c r="CY57" s="3">
        <v>836507074.11316204</v>
      </c>
      <c r="CZ57" s="3">
        <v>2.068157434463501</v>
      </c>
      <c r="DA57" s="3">
        <v>15.756871303750538</v>
      </c>
      <c r="DB57" s="3">
        <v>9392421068.0564079</v>
      </c>
      <c r="DC57" s="3">
        <v>1.9647495627403258</v>
      </c>
      <c r="DD57" s="3">
        <v>0.90406236998941669</v>
      </c>
      <c r="DE57" s="3">
        <v>163700177015.14609</v>
      </c>
      <c r="DF57" s="3">
        <v>1.8199785423278809</v>
      </c>
      <c r="DG57" s="3">
        <v>3.1712318169974392E-2</v>
      </c>
      <c r="DH57" s="3">
        <v>4666803896415.3564</v>
      </c>
      <c r="DI57" s="3">
        <v>1.654525947570801</v>
      </c>
      <c r="DJ57" s="3">
        <v>1.5624489770412226E-5</v>
      </c>
      <c r="DK57" s="3">
        <v>9472000185263994</v>
      </c>
      <c r="DL57" s="3">
        <v>1.4477102041244505</v>
      </c>
      <c r="DM57" s="3">
        <v>289000000</v>
      </c>
      <c r="DN57" s="3">
        <v>2.068157434463501</v>
      </c>
      <c r="DO57" s="3">
        <v>147995170000</v>
      </c>
      <c r="DP57" s="3">
        <v>14721733000</v>
      </c>
      <c r="DQ57" s="3">
        <v>4576</v>
      </c>
      <c r="DR57" s="3">
        <v>-2.4586627943409893</v>
      </c>
      <c r="DS57" s="3">
        <v>-2.7800169331522984</v>
      </c>
      <c r="DT57" s="12">
        <v>0.57333333333333347</v>
      </c>
      <c r="DU57" s="3">
        <v>-0.47333333333333333</v>
      </c>
      <c r="DV57" s="3">
        <v>0.10000000000000014</v>
      </c>
      <c r="DW57" s="3">
        <v>4.0999999999999995E-3</v>
      </c>
      <c r="DX57" s="3">
        <v>0.57948266978922613</v>
      </c>
      <c r="DY57" s="3">
        <v>5.3087894613583139E-4</v>
      </c>
      <c r="DZ57" s="3">
        <v>2164</v>
      </c>
      <c r="EA57" s="3">
        <v>3.0606054311470824E-4</v>
      </c>
      <c r="EB57" s="3">
        <v>0</v>
      </c>
      <c r="EC57" s="3">
        <v>2.3787029950591097E-2</v>
      </c>
      <c r="ED57" s="3">
        <v>0.18370821353399489</v>
      </c>
      <c r="EE57" s="13">
        <v>-5.0191100000000004</v>
      </c>
      <c r="EF57" s="3">
        <v>-5.0482100000000001</v>
      </c>
      <c r="EG57" s="3">
        <v>45.129482669789226</v>
      </c>
      <c r="EH57" s="3" t="s">
        <v>1911</v>
      </c>
      <c r="EI57" s="3">
        <v>0</v>
      </c>
      <c r="EJ57" s="3">
        <v>0</v>
      </c>
      <c r="EK57" s="14">
        <v>45470</v>
      </c>
      <c r="EL57" s="15">
        <v>-8.17</v>
      </c>
      <c r="EM57" s="15">
        <v>-6.42</v>
      </c>
      <c r="EN57" s="15">
        <v>-3.13</v>
      </c>
      <c r="EO57" s="15">
        <v>2.83</v>
      </c>
      <c r="EP57" s="15">
        <v>-2.91</v>
      </c>
    </row>
    <row r="58" spans="1:146" ht="96" x14ac:dyDescent="0.25">
      <c r="A58" s="9"/>
      <c r="B58" s="9"/>
      <c r="C58" s="9" t="str">
        <f>""&amp;CHAR(10)&amp;Basic_Fundamental_Information_Constructure(F58)&amp;CHAR(10)&amp;Basic_Fundamental_Information_Concatenate("")</f>
        <v xml:space="preserve">
市值19.575374亿, 利润28.50万; PE; 平均PE32.68; 平均PEG3.23, PB1.47; ROIC33.675%; ROE25.2333%; 股利率0%; 毛利31.58%; 净利8.6767%; 上一年度营收增-74.14%, 利润增-99.25%; 当季营收增-54.97%, 利润增-78.42%; 过往5年营收增10.12%, 利润增84.1%
Income profile:
</v>
      </c>
      <c r="D58" s="3" t="s">
        <v>1092</v>
      </c>
      <c r="E58" s="3" t="s">
        <v>1093</v>
      </c>
      <c r="F58" s="3">
        <v>28.35</v>
      </c>
      <c r="G58" s="3">
        <v>2.31</v>
      </c>
      <c r="H58" s="3" t="s">
        <v>3779</v>
      </c>
      <c r="I58" s="3">
        <v>1957537400</v>
      </c>
      <c r="K58" s="3">
        <v>1.47</v>
      </c>
      <c r="L58" s="3" t="s">
        <v>2983</v>
      </c>
      <c r="M58" s="3" t="s">
        <v>146</v>
      </c>
      <c r="N58" s="3" t="s">
        <v>3780</v>
      </c>
      <c r="O58" s="3" t="s">
        <v>179</v>
      </c>
      <c r="P58" s="3">
        <v>2.48</v>
      </c>
      <c r="Q58" s="3" t="s">
        <v>179</v>
      </c>
      <c r="R58" s="3">
        <v>284973</v>
      </c>
      <c r="S58" s="5">
        <v>1.123</v>
      </c>
      <c r="T58" s="3" t="s">
        <v>3781</v>
      </c>
      <c r="U58" s="3">
        <v>36906189</v>
      </c>
      <c r="V58" s="3">
        <v>69048939</v>
      </c>
      <c r="W58" s="3">
        <v>1.0900000000000001</v>
      </c>
      <c r="X58" s="3">
        <v>0.09</v>
      </c>
      <c r="Y58" s="3">
        <v>-2.68</v>
      </c>
      <c r="Z58" s="3" t="s">
        <v>177</v>
      </c>
      <c r="AA58" s="3" t="s">
        <v>3782</v>
      </c>
      <c r="AB58" s="3" t="s">
        <v>3783</v>
      </c>
      <c r="AC58" s="3" t="s">
        <v>3784</v>
      </c>
      <c r="AD58" s="3" t="s">
        <v>22</v>
      </c>
      <c r="AE58" s="3">
        <v>-970351</v>
      </c>
      <c r="AF58" s="3" t="s">
        <v>2376</v>
      </c>
      <c r="AG58" s="3" t="s">
        <v>22</v>
      </c>
      <c r="AH58" s="3" t="s">
        <v>2377</v>
      </c>
      <c r="AI58" s="3" t="s">
        <v>129</v>
      </c>
      <c r="AJ58" s="3" t="s">
        <v>2378</v>
      </c>
      <c r="AK58" s="3" t="s">
        <v>3785</v>
      </c>
      <c r="AL58" s="3" t="s">
        <v>2379</v>
      </c>
      <c r="AM58" s="3" t="s">
        <v>22</v>
      </c>
      <c r="AN58" s="3">
        <v>0</v>
      </c>
      <c r="AO58" s="3" t="s">
        <v>22</v>
      </c>
      <c r="AP58" s="3" t="s">
        <v>3786</v>
      </c>
      <c r="AQ58" s="3" t="s">
        <v>3787</v>
      </c>
      <c r="AR58" s="3" t="s">
        <v>22</v>
      </c>
      <c r="AS58" s="3" t="s">
        <v>111</v>
      </c>
      <c r="AT58" s="3" t="s">
        <v>22</v>
      </c>
      <c r="AU58" s="3" t="s">
        <v>3788</v>
      </c>
      <c r="AV58" s="3" t="s">
        <v>3789</v>
      </c>
      <c r="AW58" s="3" t="s">
        <v>3790</v>
      </c>
      <c r="AX58" s="3" t="s">
        <v>333</v>
      </c>
      <c r="AY58" s="3" t="s">
        <v>617</v>
      </c>
      <c r="AZ58" s="3" t="s">
        <v>675</v>
      </c>
      <c r="BA58" s="3" t="s">
        <v>158</v>
      </c>
      <c r="BB58" s="3" t="s">
        <v>110</v>
      </c>
      <c r="BC58" s="3" t="s">
        <v>1612</v>
      </c>
      <c r="BD58" s="3" t="s">
        <v>364</v>
      </c>
      <c r="BE58" s="3" t="s">
        <v>1094</v>
      </c>
      <c r="BF58" s="3" t="s">
        <v>1095</v>
      </c>
      <c r="BG58" s="3" t="s">
        <v>1096</v>
      </c>
      <c r="BH58" s="3" t="s">
        <v>1767</v>
      </c>
      <c r="BI58" s="3" t="s">
        <v>742</v>
      </c>
      <c r="BJ58" s="3" t="s">
        <v>333</v>
      </c>
      <c r="BK58" s="3" t="s">
        <v>2375</v>
      </c>
      <c r="BL58" s="3" t="s">
        <v>3791</v>
      </c>
      <c r="BM58" s="3" t="s">
        <v>1612</v>
      </c>
      <c r="BN58" s="3" t="s">
        <v>22</v>
      </c>
      <c r="BO58" s="3">
        <v>-3.45</v>
      </c>
      <c r="BP58" s="3">
        <v>70.8</v>
      </c>
      <c r="BQ58" s="3">
        <v>-1.05</v>
      </c>
      <c r="BR58" s="3">
        <v>3.87</v>
      </c>
      <c r="BS58" s="3">
        <v>72.88</v>
      </c>
      <c r="BT58" s="3" t="s">
        <v>1368</v>
      </c>
      <c r="BU58" s="3" t="s">
        <v>3311</v>
      </c>
      <c r="BV58" s="3">
        <v>23.57</v>
      </c>
      <c r="BW58" s="3">
        <v>27.96</v>
      </c>
      <c r="BX58" s="3">
        <v>43.21</v>
      </c>
      <c r="BY58" s="3">
        <v>-6.26</v>
      </c>
      <c r="BZ58" s="3">
        <v>5.51</v>
      </c>
      <c r="CA58" s="3">
        <v>26.78</v>
      </c>
      <c r="CB58" s="3">
        <v>-5.72</v>
      </c>
      <c r="CC58" s="3">
        <v>8.83</v>
      </c>
      <c r="CD58" s="3" t="s">
        <v>3792</v>
      </c>
      <c r="CE58" s="3" t="s">
        <v>3793</v>
      </c>
      <c r="CF58" s="10">
        <v>-0.54966887417218546</v>
      </c>
      <c r="CG58" s="11">
        <v>-0.78419310867095793</v>
      </c>
      <c r="CH58" s="10">
        <v>-0.74144488573074341</v>
      </c>
      <c r="CI58" s="10">
        <v>-0.40698984265327454</v>
      </c>
      <c r="CJ58" s="10">
        <v>1.0675990581512451</v>
      </c>
      <c r="CK58" s="10">
        <v>0.23275862634181976</v>
      </c>
      <c r="CL58" s="10">
        <v>0.35408559441566467</v>
      </c>
      <c r="CM58" s="11">
        <v>-0.99249279499053955</v>
      </c>
      <c r="CN58" s="11">
        <v>-0.84181874990463257</v>
      </c>
      <c r="CO58" s="11">
        <v>5.2237277030944824</v>
      </c>
      <c r="CP58" s="11">
        <v>0.78556346893310547</v>
      </c>
      <c r="CQ58" s="11">
        <v>3.0037965625524521E-2</v>
      </c>
      <c r="CR58" s="3">
        <v>32.682454490308146</v>
      </c>
      <c r="CS58" s="3">
        <v>3.2294369785271102</v>
      </c>
      <c r="CT58" s="3">
        <v>0</v>
      </c>
      <c r="CU58" s="10">
        <v>0.10120171010494232</v>
      </c>
      <c r="CV58" s="11">
        <v>0.84100351855158806</v>
      </c>
      <c r="CW58" s="3">
        <v>0.06</v>
      </c>
      <c r="CX58" s="3">
        <v>2653.1450567814536</v>
      </c>
      <c r="CY58" s="3">
        <v>296077.81828293257</v>
      </c>
      <c r="CZ58" s="3">
        <v>0.10120171010494232</v>
      </c>
      <c r="DA58" s="3">
        <v>858.84823839905812</v>
      </c>
      <c r="DB58" s="3">
        <v>914640.52073307661</v>
      </c>
      <c r="DC58" s="3">
        <v>9.6141624599695205E-2</v>
      </c>
      <c r="DD58" s="3">
        <v>417.44603495807058</v>
      </c>
      <c r="DE58" s="3">
        <v>1881769.9396256129</v>
      </c>
      <c r="DF58" s="3">
        <v>8.9057504892349246E-2</v>
      </c>
      <c r="DG58" s="3">
        <v>247.0936568367672</v>
      </c>
      <c r="DH58" s="3">
        <v>3179107.9142065337</v>
      </c>
      <c r="DI58" s="3">
        <v>8.0961368083953864E-2</v>
      </c>
      <c r="DJ58" s="3">
        <v>123.63545085334714</v>
      </c>
      <c r="DK58" s="3">
        <v>6353658.2313416088</v>
      </c>
      <c r="DL58" s="3">
        <v>7.0841197073459622E-2</v>
      </c>
      <c r="DM58" s="3">
        <v>285000</v>
      </c>
      <c r="DN58" s="3">
        <v>0.10120171010494232</v>
      </c>
      <c r="DO58" s="3">
        <v>785537400</v>
      </c>
      <c r="DP58" s="3">
        <v>1152786100</v>
      </c>
      <c r="DQ58" s="3">
        <v>4577</v>
      </c>
      <c r="DR58" s="3">
        <v>-0.65087058427712774</v>
      </c>
      <c r="DS58" s="3">
        <v>-1.625196627222546</v>
      </c>
      <c r="DT58" s="12">
        <v>-0.44</v>
      </c>
      <c r="DU58" s="3">
        <v>-0.50333333333333341</v>
      </c>
      <c r="DV58" s="3">
        <v>-0.94333333333333336</v>
      </c>
      <c r="DW58" s="3">
        <v>-6.3931271477663234</v>
      </c>
      <c r="DX58" s="3">
        <v>0.27007552061318296</v>
      </c>
      <c r="DY58" s="3">
        <v>-6.0432736754575531</v>
      </c>
      <c r="DZ58" s="3">
        <v>16</v>
      </c>
      <c r="EA58" s="3">
        <v>-6.0431381805833224</v>
      </c>
      <c r="EB58" s="3">
        <v>6</v>
      </c>
      <c r="EC58" s="3">
        <v>0.12400625011776067</v>
      </c>
      <c r="ED58" s="3">
        <v>1.1265560503398901</v>
      </c>
      <c r="EE58" s="13">
        <v>-4.1008100000000001</v>
      </c>
      <c r="EF58" s="3">
        <v>-4.1438100000000002</v>
      </c>
      <c r="EG58" s="3">
        <v>16.110075520613183</v>
      </c>
      <c r="EH58" s="3" t="s">
        <v>1903</v>
      </c>
      <c r="EI58" s="3">
        <v>0</v>
      </c>
      <c r="EJ58" s="3">
        <v>1</v>
      </c>
      <c r="EK58" s="14">
        <v>45470</v>
      </c>
      <c r="EL58" s="15">
        <v>0.72</v>
      </c>
      <c r="EM58" s="15">
        <v>-4.72</v>
      </c>
      <c r="EN58" s="15">
        <v>0.47</v>
      </c>
      <c r="EO58" s="15">
        <v>1.77</v>
      </c>
      <c r="EP58" s="15">
        <v>-4.3</v>
      </c>
    </row>
    <row r="59" spans="1:146" ht="96" x14ac:dyDescent="0.25">
      <c r="A59" s="9"/>
      <c r="B59" s="9"/>
      <c r="C59" s="9" t="str">
        <f>""&amp;CHAR(10)&amp;Basic_Fundamental_Information_Constructure(F59)&amp;CHAR(10)&amp;Basic_Fundamental_Information_Concatenate("")</f>
        <v xml:space="preserve">
市值349.9928亿, 利润-7480.85万; PE; 平均PE431.52; 平均PEG13.22, PB10.08; ROIC9.72%; ROE5.1033%; 股利率0%; 毛利45.6333%; 净利-12.81%; 上一年度营收增-83.76%, 利润增-244.55%; 当季营收增-61.04%, 利润增28.07%; 过往5年营收增32.64%, 利润增437.32%
Income profile:
</v>
      </c>
      <c r="D59" s="3" t="s">
        <v>1105</v>
      </c>
      <c r="E59" s="3" t="s">
        <v>1106</v>
      </c>
      <c r="F59" s="3">
        <v>87.28</v>
      </c>
      <c r="G59" s="3">
        <v>1.77</v>
      </c>
      <c r="H59" s="3" t="s">
        <v>3794</v>
      </c>
      <c r="I59" s="3">
        <v>34999280000</v>
      </c>
      <c r="K59" s="3">
        <v>10.08</v>
      </c>
      <c r="L59" s="3" t="s">
        <v>2983</v>
      </c>
      <c r="M59" s="3" t="s">
        <v>2380</v>
      </c>
      <c r="N59" s="3" t="s">
        <v>495</v>
      </c>
      <c r="O59" s="3" t="s">
        <v>155</v>
      </c>
      <c r="P59" s="3">
        <v>1.62</v>
      </c>
      <c r="Q59" s="3" t="s">
        <v>155</v>
      </c>
      <c r="R59" s="3">
        <v>-74808469</v>
      </c>
      <c r="S59" s="5">
        <v>-3.6400000000000002E-2</v>
      </c>
      <c r="T59" s="3" t="s">
        <v>3795</v>
      </c>
      <c r="U59" s="3">
        <v>279644730</v>
      </c>
      <c r="V59" s="3">
        <v>401000000</v>
      </c>
      <c r="W59" s="3">
        <v>1.1299999999999999</v>
      </c>
      <c r="X59" s="3">
        <v>0.03</v>
      </c>
      <c r="Y59" s="3">
        <v>-62.34</v>
      </c>
      <c r="Z59" s="3" t="s">
        <v>139</v>
      </c>
      <c r="AA59" s="3" t="s">
        <v>3796</v>
      </c>
      <c r="AB59" s="3" t="s">
        <v>3797</v>
      </c>
      <c r="AC59" s="3" t="s">
        <v>3798</v>
      </c>
      <c r="AD59" s="3" t="s">
        <v>22</v>
      </c>
      <c r="AE59" s="3">
        <v>-3564355</v>
      </c>
      <c r="AF59" s="3" t="s">
        <v>2381</v>
      </c>
      <c r="AG59" s="3">
        <v>150.94999999999999</v>
      </c>
      <c r="AH59" s="3" t="s">
        <v>2382</v>
      </c>
      <c r="AI59" s="3" t="s">
        <v>406</v>
      </c>
      <c r="AJ59" s="3" t="s">
        <v>2383</v>
      </c>
      <c r="AK59" s="3" t="s">
        <v>3799</v>
      </c>
      <c r="AL59" s="3" t="s">
        <v>2384</v>
      </c>
      <c r="AM59" s="3" t="s">
        <v>22</v>
      </c>
      <c r="AN59" s="3" t="s">
        <v>2385</v>
      </c>
      <c r="AO59" s="3" t="s">
        <v>22</v>
      </c>
      <c r="AP59" s="3" t="s">
        <v>3800</v>
      </c>
      <c r="AQ59" s="3" t="s">
        <v>359</v>
      </c>
      <c r="AR59" s="3" t="s">
        <v>22</v>
      </c>
      <c r="AS59" s="3" t="s">
        <v>229</v>
      </c>
      <c r="AT59" s="3" t="s">
        <v>22</v>
      </c>
      <c r="AU59" s="3" t="s">
        <v>3801</v>
      </c>
      <c r="AV59" s="3" t="s">
        <v>283</v>
      </c>
      <c r="AW59" s="3" t="s">
        <v>3802</v>
      </c>
      <c r="AX59" s="3" t="s">
        <v>212</v>
      </c>
      <c r="AY59" s="3" t="s">
        <v>161</v>
      </c>
      <c r="AZ59" s="3" t="s">
        <v>779</v>
      </c>
      <c r="BA59" s="3" t="s">
        <v>1107</v>
      </c>
      <c r="BB59" s="3" t="s">
        <v>306</v>
      </c>
      <c r="BC59" s="3" t="s">
        <v>1613</v>
      </c>
      <c r="BD59" s="3" t="s">
        <v>147</v>
      </c>
      <c r="BE59" s="3" t="s">
        <v>1108</v>
      </c>
      <c r="BF59" s="3" t="s">
        <v>306</v>
      </c>
      <c r="BG59" s="3" t="s">
        <v>1109</v>
      </c>
      <c r="BH59" s="3" t="s">
        <v>1770</v>
      </c>
      <c r="BI59" s="3" t="s">
        <v>1081</v>
      </c>
      <c r="BJ59" s="3" t="s">
        <v>212</v>
      </c>
      <c r="BK59" s="3" t="s">
        <v>1837</v>
      </c>
      <c r="BL59" s="3" t="s">
        <v>3803</v>
      </c>
      <c r="BM59" s="3" t="s">
        <v>1613</v>
      </c>
      <c r="BN59" s="3" t="s">
        <v>22</v>
      </c>
      <c r="BO59" s="3">
        <v>1.47</v>
      </c>
      <c r="BP59" s="3">
        <v>17.97</v>
      </c>
      <c r="BQ59" s="3">
        <v>-5.45</v>
      </c>
      <c r="BR59" s="3">
        <v>1.96</v>
      </c>
      <c r="BS59" s="3">
        <v>18.8</v>
      </c>
      <c r="BT59" s="3" t="s">
        <v>1368</v>
      </c>
      <c r="BU59" s="3" t="s">
        <v>2998</v>
      </c>
      <c r="BV59" s="3">
        <v>36.06</v>
      </c>
      <c r="BW59" s="3">
        <v>47.09</v>
      </c>
      <c r="BX59" s="3">
        <v>53.75</v>
      </c>
      <c r="BY59" s="3">
        <v>-65.150000000000006</v>
      </c>
      <c r="BZ59" s="3">
        <v>7.01</v>
      </c>
      <c r="CA59" s="3">
        <v>19.71</v>
      </c>
      <c r="CB59" s="3">
        <v>-0.74</v>
      </c>
      <c r="CC59" s="3">
        <v>-10.119999999999999</v>
      </c>
      <c r="CD59" s="3" t="s">
        <v>3804</v>
      </c>
      <c r="CE59" s="3" t="s">
        <v>3805</v>
      </c>
      <c r="CF59" s="10">
        <v>-0.61038961038961037</v>
      </c>
      <c r="CG59" s="11">
        <v>0.28068779807692307</v>
      </c>
      <c r="CH59" s="10">
        <v>-0.83761841058731079</v>
      </c>
      <c r="CI59" s="10">
        <v>-0.3846794068813324</v>
      </c>
      <c r="CJ59" s="10">
        <v>0.10998145490884781</v>
      </c>
      <c r="CK59" s="10">
        <v>1.2263374328613281</v>
      </c>
      <c r="CL59" s="10">
        <v>1.5181347131729126</v>
      </c>
      <c r="CM59" s="11">
        <v>-2.445518970489502</v>
      </c>
      <c r="CN59" s="11">
        <v>-0.78163713216781616</v>
      </c>
      <c r="CO59" s="11">
        <v>2.3009047508239746</v>
      </c>
      <c r="CP59" s="11">
        <v>-0.6279870867729187</v>
      </c>
      <c r="CQ59" s="11">
        <v>23.42017936706543</v>
      </c>
      <c r="CR59" s="3">
        <v>431.51691796879578</v>
      </c>
      <c r="CS59" s="3">
        <v>13.219231961124624</v>
      </c>
      <c r="CT59" s="3">
        <v>0</v>
      </c>
      <c r="CU59" s="10">
        <v>0.32643115669488909</v>
      </c>
      <c r="CV59" s="11">
        <v>4.3731881856918333</v>
      </c>
      <c r="CW59" s="3">
        <v>0.06</v>
      </c>
      <c r="CX59" s="3" t="e">
        <v>#VALUE!</v>
      </c>
      <c r="CY59" s="3" t="s">
        <v>1073</v>
      </c>
      <c r="CZ59" s="3">
        <v>0.32643115669488909</v>
      </c>
      <c r="DA59" s="3" t="e">
        <v>#VALUE!</v>
      </c>
      <c r="DB59" s="3" t="s">
        <v>1074</v>
      </c>
      <c r="DC59" s="3">
        <v>0.31010959886014461</v>
      </c>
      <c r="DD59" s="3" t="e">
        <v>#VALUE!</v>
      </c>
      <c r="DE59" s="3" t="s">
        <v>1074</v>
      </c>
      <c r="DF59" s="3">
        <v>0.28725941789150239</v>
      </c>
      <c r="DG59" s="3" t="e">
        <v>#VALUE!</v>
      </c>
      <c r="DH59" s="3" t="s">
        <v>1074</v>
      </c>
      <c r="DI59" s="3">
        <v>0.26114492535591127</v>
      </c>
      <c r="DJ59" s="3" t="e">
        <v>#VALUE!</v>
      </c>
      <c r="DK59" s="3" t="s">
        <v>1074</v>
      </c>
      <c r="DL59" s="3">
        <v>0.22850180968642234</v>
      </c>
      <c r="DM59" s="3">
        <v>-74808500</v>
      </c>
      <c r="DN59" s="3">
        <v>0.32643115669488909</v>
      </c>
      <c r="DO59" s="3">
        <v>32089280000</v>
      </c>
      <c r="DP59" s="3">
        <v>2786202700</v>
      </c>
      <c r="DQ59" s="3">
        <v>4579</v>
      </c>
      <c r="DR59" s="3">
        <v>-0.93682076708449946</v>
      </c>
      <c r="DS59" s="3">
        <v>-4.0925003876149102</v>
      </c>
      <c r="DT59" s="12">
        <v>-0.49000000000000005</v>
      </c>
      <c r="DU59" s="3">
        <v>-0.86550000000000005</v>
      </c>
      <c r="DV59" s="3">
        <v>-1.3555000000000001</v>
      </c>
      <c r="DW59" s="3">
        <v>-2.1012</v>
      </c>
      <c r="DX59" s="3">
        <v>0.3079688081797205</v>
      </c>
      <c r="DY59" s="3">
        <v>-2.0089024433877878</v>
      </c>
      <c r="DZ59" s="3">
        <v>4195</v>
      </c>
      <c r="EA59" s="3">
        <v>-2.0015940774363652</v>
      </c>
      <c r="EB59" s="3">
        <v>2</v>
      </c>
      <c r="EC59" s="3">
        <v>2.0502743142144637E-2</v>
      </c>
      <c r="ED59" s="3">
        <v>0.23306832917705739</v>
      </c>
      <c r="EE59" s="13">
        <v>-4.0242000000000004</v>
      </c>
      <c r="EF59" s="3">
        <v>-4.0190099999999997</v>
      </c>
      <c r="EG59" s="3">
        <v>22.087968808179721</v>
      </c>
      <c r="EH59" s="3" t="s">
        <v>1903</v>
      </c>
      <c r="EI59" s="3">
        <v>0</v>
      </c>
      <c r="EJ59" s="3">
        <v>0</v>
      </c>
      <c r="EK59" s="14">
        <v>45470</v>
      </c>
      <c r="EL59" s="15">
        <v>-0.13</v>
      </c>
      <c r="EM59" s="15">
        <v>-8.99</v>
      </c>
      <c r="EN59" s="15">
        <v>-6.41</v>
      </c>
      <c r="EO59" s="15">
        <v>2.79</v>
      </c>
      <c r="EP59" s="15">
        <v>-4.32</v>
      </c>
    </row>
    <row r="60" spans="1:146" ht="96" x14ac:dyDescent="0.25">
      <c r="A60" s="9"/>
      <c r="B60" s="9"/>
      <c r="C60" s="9" t="str">
        <f>""&amp;CHAR(10)&amp;Basic_Fundamental_Information_Constructure(F60)&amp;CHAR(10)&amp;Basic_Fundamental_Information_Concatenate("")</f>
        <v xml:space="preserve">
市值50.89202亿, 利润-1945.01万; PE; 平均PE313.72; 平均PEG14.89, PB1.65; ROIC12.585%; ROE7.9933%; 股利率0%; 毛利45.9767%; 净利8.7067%; 上一年度营收增-86.4%, 利润增-116.34%; 当季营收增-63.04%, 利润增-82.85%; 过往5年营收增21.07%, 利润增-89.88%
Income profile:
</v>
      </c>
      <c r="D60" s="3" t="s">
        <v>924</v>
      </c>
      <c r="E60" s="3" t="s">
        <v>925</v>
      </c>
      <c r="F60" s="3">
        <v>28.87</v>
      </c>
      <c r="G60" s="3">
        <v>0</v>
      </c>
      <c r="H60" s="3" t="s">
        <v>3806</v>
      </c>
      <c r="I60" s="3">
        <v>5089202000</v>
      </c>
      <c r="K60" s="3">
        <v>1.65</v>
      </c>
      <c r="L60" s="3" t="s">
        <v>2983</v>
      </c>
      <c r="M60" s="3" t="s">
        <v>299</v>
      </c>
      <c r="N60" s="3" t="s">
        <v>3807</v>
      </c>
      <c r="O60" s="3" t="s">
        <v>2386</v>
      </c>
      <c r="P60" s="3">
        <v>-41.91</v>
      </c>
      <c r="Q60" s="3" t="s">
        <v>2386</v>
      </c>
      <c r="R60" s="3">
        <v>-19450090</v>
      </c>
      <c r="S60" s="5">
        <v>-14.2</v>
      </c>
      <c r="T60" s="3" t="s">
        <v>3808</v>
      </c>
      <c r="U60" s="3">
        <v>99625438</v>
      </c>
      <c r="V60" s="3">
        <v>176279940</v>
      </c>
      <c r="W60" s="3">
        <v>1.1100000000000001</v>
      </c>
      <c r="X60" s="3">
        <v>0.02</v>
      </c>
      <c r="Y60" s="3">
        <v>-36.340000000000003</v>
      </c>
      <c r="Z60" s="3" t="s">
        <v>3809</v>
      </c>
      <c r="AA60" s="3" t="s">
        <v>3810</v>
      </c>
      <c r="AB60" s="3" t="s">
        <v>3811</v>
      </c>
      <c r="AC60" s="3" t="s">
        <v>3812</v>
      </c>
      <c r="AD60" s="3" t="s">
        <v>22</v>
      </c>
      <c r="AE60" s="3">
        <v>-3580650</v>
      </c>
      <c r="AF60" s="3" t="s">
        <v>2388</v>
      </c>
      <c r="AG60" s="3" t="s">
        <v>3813</v>
      </c>
      <c r="AH60" s="3" t="s">
        <v>2389</v>
      </c>
      <c r="AI60" s="3" t="s">
        <v>1282</v>
      </c>
      <c r="AJ60" s="3" t="s">
        <v>2390</v>
      </c>
      <c r="AK60" s="3" t="s">
        <v>3814</v>
      </c>
      <c r="AL60" s="3" t="s">
        <v>2391</v>
      </c>
      <c r="AM60" s="3" t="s">
        <v>22</v>
      </c>
      <c r="AN60" s="3" t="s">
        <v>155</v>
      </c>
      <c r="AO60" s="3" t="s">
        <v>3815</v>
      </c>
      <c r="AP60" s="3" t="s">
        <v>3816</v>
      </c>
      <c r="AQ60" s="3" t="s">
        <v>205</v>
      </c>
      <c r="AR60" s="3" t="s">
        <v>22</v>
      </c>
      <c r="AS60" s="3" t="s">
        <v>321</v>
      </c>
      <c r="AT60" s="3" t="s">
        <v>22</v>
      </c>
      <c r="AU60" s="3" t="s">
        <v>3817</v>
      </c>
      <c r="AV60" s="3" t="s">
        <v>349</v>
      </c>
      <c r="AW60" s="3" t="s">
        <v>3818</v>
      </c>
      <c r="AX60" s="3" t="s">
        <v>785</v>
      </c>
      <c r="AY60" s="3" t="s">
        <v>675</v>
      </c>
      <c r="AZ60" s="3" t="s">
        <v>439</v>
      </c>
      <c r="BA60" s="3" t="s">
        <v>407</v>
      </c>
      <c r="BB60" s="3" t="s">
        <v>926</v>
      </c>
      <c r="BC60" s="3" t="s">
        <v>304</v>
      </c>
      <c r="BD60" s="3" t="s">
        <v>283</v>
      </c>
      <c r="BE60" s="3" t="s">
        <v>927</v>
      </c>
      <c r="BF60" s="3" t="s">
        <v>788</v>
      </c>
      <c r="BG60" s="3" t="s">
        <v>928</v>
      </c>
      <c r="BH60" s="3" t="s">
        <v>748</v>
      </c>
      <c r="BI60" s="3" t="s">
        <v>359</v>
      </c>
      <c r="BJ60" s="3" t="s">
        <v>785</v>
      </c>
      <c r="BK60" s="3" t="s">
        <v>2387</v>
      </c>
      <c r="BL60" s="3" t="s">
        <v>3819</v>
      </c>
      <c r="BM60" s="3" t="s">
        <v>304</v>
      </c>
      <c r="BN60" s="3" t="s">
        <v>22</v>
      </c>
      <c r="BO60" s="3">
        <v>5.64</v>
      </c>
      <c r="BP60" s="3">
        <v>19.53</v>
      </c>
      <c r="BQ60" s="3">
        <v>-0.7</v>
      </c>
      <c r="BR60" s="3">
        <v>4.6500000000000004</v>
      </c>
      <c r="BS60" s="3">
        <v>20.03</v>
      </c>
      <c r="BT60" s="3" t="s">
        <v>1368</v>
      </c>
      <c r="BU60" s="3" t="s">
        <v>1210</v>
      </c>
      <c r="BV60" s="3">
        <v>33.54</v>
      </c>
      <c r="BW60" s="3">
        <v>51.57</v>
      </c>
      <c r="BX60" s="3">
        <v>52.82</v>
      </c>
      <c r="BY60" s="3">
        <v>-31.68</v>
      </c>
      <c r="BZ60" s="3">
        <v>30.93</v>
      </c>
      <c r="CA60" s="3">
        <v>26.87</v>
      </c>
      <c r="CB60" s="3">
        <v>-7.59</v>
      </c>
      <c r="CC60" s="3">
        <v>-19.09</v>
      </c>
      <c r="CD60" s="3" t="s">
        <v>3820</v>
      </c>
      <c r="CE60" s="3" t="s">
        <v>3821</v>
      </c>
      <c r="CF60" s="10">
        <v>-0.63037183098591554</v>
      </c>
      <c r="CG60" s="11">
        <v>-0.82846278225882264</v>
      </c>
      <c r="CH60" s="10">
        <v>-0.86402279138565063</v>
      </c>
      <c r="CI60" s="10">
        <v>-0.10023310035467148</v>
      </c>
      <c r="CJ60" s="10">
        <v>0.73684209585189819</v>
      </c>
      <c r="CK60" s="10">
        <v>0.77697843313217163</v>
      </c>
      <c r="CL60" s="10">
        <v>0.5037691593170166</v>
      </c>
      <c r="CM60" s="11">
        <v>-1.1634461879730225</v>
      </c>
      <c r="CN60" s="11">
        <v>3.4782607108354568E-2</v>
      </c>
      <c r="CO60" s="11">
        <v>3.3928170204162598</v>
      </c>
      <c r="CP60" s="11">
        <v>1.2029387950897217</v>
      </c>
      <c r="CQ60" s="11">
        <v>-7.9610095024108887</v>
      </c>
      <c r="CR60" s="3">
        <v>313.71803894453387</v>
      </c>
      <c r="CS60" s="3">
        <v>14.891672514869137</v>
      </c>
      <c r="CT60" s="3">
        <v>0</v>
      </c>
      <c r="CU60" s="10">
        <v>0.21066675931215287</v>
      </c>
      <c r="CV60" s="11">
        <v>-0.89878345355391498</v>
      </c>
      <c r="CW60" s="3">
        <v>0.06</v>
      </c>
      <c r="CX60" s="3" t="e">
        <v>#VALUE!</v>
      </c>
      <c r="CY60" s="3" t="s">
        <v>1073</v>
      </c>
      <c r="CZ60" s="3">
        <v>0.21066675931215287</v>
      </c>
      <c r="DA60" s="3" t="e">
        <v>#VALUE!</v>
      </c>
      <c r="DB60" s="3" t="s">
        <v>1074</v>
      </c>
      <c r="DC60" s="3">
        <v>0.20013342134654521</v>
      </c>
      <c r="DD60" s="3" t="e">
        <v>#VALUE!</v>
      </c>
      <c r="DE60" s="3" t="s">
        <v>1074</v>
      </c>
      <c r="DF60" s="3">
        <v>0.18538674819469453</v>
      </c>
      <c r="DG60" s="3" t="e">
        <v>#VALUE!</v>
      </c>
      <c r="DH60" s="3" t="s">
        <v>1074</v>
      </c>
      <c r="DI60" s="3">
        <v>0.16853340744972231</v>
      </c>
      <c r="DJ60" s="3" t="e">
        <v>#VALUE!</v>
      </c>
      <c r="DK60" s="3" t="s">
        <v>1074</v>
      </c>
      <c r="DL60" s="3">
        <v>0.147466731518507</v>
      </c>
      <c r="DM60" s="3">
        <v>-19450100</v>
      </c>
      <c r="DN60" s="3">
        <v>0.21066675931215287</v>
      </c>
      <c r="DO60" s="3">
        <v>2304202000</v>
      </c>
      <c r="DP60" s="3">
        <v>1683986600</v>
      </c>
      <c r="DQ60" s="3">
        <v>4580</v>
      </c>
      <c r="DR60" s="3">
        <v>-0.84103859029806838</v>
      </c>
      <c r="DS60" s="3">
        <v>7.0320671295092341E-2</v>
      </c>
      <c r="DT60" s="12">
        <v>-0.17333333333333334</v>
      </c>
      <c r="DU60" s="3">
        <v>-1.7066666666666668</v>
      </c>
      <c r="DV60" s="3">
        <v>-1.8800000000000001</v>
      </c>
      <c r="DW60" s="3">
        <v>-9.3975903614457827</v>
      </c>
      <c r="DX60" s="3">
        <v>0.36704141687004777</v>
      </c>
      <c r="DY60" s="3">
        <v>-9.0544863464664047</v>
      </c>
      <c r="DZ60" s="3">
        <v>1449</v>
      </c>
      <c r="EA60" s="3">
        <v>-9.0390361084957949</v>
      </c>
      <c r="EB60" s="3">
        <v>9</v>
      </c>
      <c r="EC60" s="3">
        <v>6.7974835934253214E-2</v>
      </c>
      <c r="ED60" s="3">
        <v>0.49601673338441116</v>
      </c>
      <c r="EE60" s="13">
        <v>3.0708099999999998</v>
      </c>
      <c r="EF60" s="3">
        <v>3.08161</v>
      </c>
      <c r="EG60" s="3">
        <v>23.137041416870048</v>
      </c>
      <c r="EH60" s="3" t="s">
        <v>1418</v>
      </c>
      <c r="EI60" s="3">
        <v>0</v>
      </c>
      <c r="EJ60" s="3">
        <v>1</v>
      </c>
      <c r="EK60" s="14">
        <v>45470</v>
      </c>
      <c r="EL60" s="15">
        <v>-0.39</v>
      </c>
      <c r="EM60" s="15">
        <v>-4.17</v>
      </c>
      <c r="EN60" s="15">
        <v>-4.3</v>
      </c>
      <c r="EO60" s="15">
        <v>5.3</v>
      </c>
      <c r="EP60" s="15">
        <v>-1.08</v>
      </c>
    </row>
    <row r="61" spans="1:146" ht="96" x14ac:dyDescent="0.25">
      <c r="A61" s="9"/>
      <c r="B61" s="9"/>
      <c r="C61" s="9" t="str">
        <f>""&amp;CHAR(10)&amp;Basic_Fundamental_Information_Constructure(F61)&amp;CHAR(10)&amp;Basic_Fundamental_Information_Concatenate("")</f>
        <v xml:space="preserve">
市值30.016417亿, 利润853.46万; PE45.77; 平均PE69.03; 平均PEG7.43, PB1.68; ROIC2.87%; ROE6.8433%; 股利率.9737%; 毛利42.3633%; 净利13.8067%; 上一年度营收增-71.57%, 利润增-84.12%; 当季营收增-46.12%, 利润增-65.45%; 过往5年营收增-9.29%, 利润增24.8%
Income profile:
</v>
      </c>
      <c r="D61" s="3" t="s">
        <v>929</v>
      </c>
      <c r="E61" s="3" t="s">
        <v>930</v>
      </c>
      <c r="F61" s="3">
        <v>20.54</v>
      </c>
      <c r="G61" s="3">
        <v>-0.63</v>
      </c>
      <c r="H61" s="3" t="s">
        <v>3822</v>
      </c>
      <c r="I61" s="3">
        <v>3001641700</v>
      </c>
      <c r="J61" s="3">
        <v>45.77</v>
      </c>
      <c r="K61" s="3">
        <v>1.68</v>
      </c>
      <c r="L61" s="3" t="s">
        <v>2983</v>
      </c>
      <c r="M61" s="3" t="s">
        <v>450</v>
      </c>
      <c r="N61" s="3" t="s">
        <v>3823</v>
      </c>
      <c r="O61" s="3" t="s">
        <v>140</v>
      </c>
      <c r="P61" s="3">
        <v>45.48</v>
      </c>
      <c r="Q61" s="3" t="s">
        <v>140</v>
      </c>
      <c r="R61" s="3">
        <v>8534611</v>
      </c>
      <c r="S61" s="5">
        <v>6.5699999999999995E-2</v>
      </c>
      <c r="T61" s="3" t="s">
        <v>3824</v>
      </c>
      <c r="U61" s="3">
        <v>108798884</v>
      </c>
      <c r="V61" s="3">
        <v>146136400</v>
      </c>
      <c r="W61" s="3">
        <v>1.06</v>
      </c>
      <c r="X61" s="3">
        <v>0.06</v>
      </c>
      <c r="Y61" s="3">
        <v>7.2</v>
      </c>
      <c r="Z61" s="3" t="s">
        <v>349</v>
      </c>
      <c r="AA61" s="3" t="s">
        <v>3825</v>
      </c>
      <c r="AB61" s="3" t="s">
        <v>3826</v>
      </c>
      <c r="AC61" s="3" t="s">
        <v>3827</v>
      </c>
      <c r="AD61" s="3" t="s">
        <v>22</v>
      </c>
      <c r="AE61" s="3">
        <v>-9552632</v>
      </c>
      <c r="AF61" s="3" t="s">
        <v>2393</v>
      </c>
      <c r="AG61" s="3" t="s">
        <v>3828</v>
      </c>
      <c r="AH61" s="3" t="s">
        <v>2394</v>
      </c>
      <c r="AI61" s="3" t="s">
        <v>2145</v>
      </c>
      <c r="AJ61" s="3" t="s">
        <v>2395</v>
      </c>
      <c r="AK61" s="3" t="s">
        <v>22</v>
      </c>
      <c r="AL61" s="3" t="s">
        <v>2396</v>
      </c>
      <c r="AM61" s="3" t="s">
        <v>22</v>
      </c>
      <c r="AN61" s="3">
        <v>0</v>
      </c>
      <c r="AO61" s="3" t="s">
        <v>3829</v>
      </c>
      <c r="AP61" s="3" t="s">
        <v>22</v>
      </c>
      <c r="AQ61" s="3" t="s">
        <v>3830</v>
      </c>
      <c r="AR61" s="3" t="s">
        <v>3831</v>
      </c>
      <c r="AS61" s="3" t="s">
        <v>3832</v>
      </c>
      <c r="AT61" s="3" t="s">
        <v>22</v>
      </c>
      <c r="AU61" s="3" t="s">
        <v>3833</v>
      </c>
      <c r="AV61" s="3" t="s">
        <v>3834</v>
      </c>
      <c r="AW61" s="3" t="s">
        <v>3835</v>
      </c>
      <c r="AX61" s="3" t="s">
        <v>1532</v>
      </c>
      <c r="AY61" s="3" t="s">
        <v>333</v>
      </c>
      <c r="AZ61" s="3" t="s">
        <v>584</v>
      </c>
      <c r="BA61" s="3" t="s">
        <v>753</v>
      </c>
      <c r="BB61" s="3" t="s">
        <v>210</v>
      </c>
      <c r="BC61" s="3" t="s">
        <v>1614</v>
      </c>
      <c r="BD61" s="3" t="s">
        <v>931</v>
      </c>
      <c r="BE61" s="3" t="s">
        <v>932</v>
      </c>
      <c r="BF61" s="3" t="s">
        <v>933</v>
      </c>
      <c r="BG61" s="3" t="s">
        <v>934</v>
      </c>
      <c r="BH61" s="3" t="s">
        <v>1252</v>
      </c>
      <c r="BI61" s="3" t="s">
        <v>390</v>
      </c>
      <c r="BJ61" s="3" t="s">
        <v>1532</v>
      </c>
      <c r="BK61" s="3" t="s">
        <v>2392</v>
      </c>
      <c r="BL61" s="3" t="s">
        <v>3836</v>
      </c>
      <c r="BM61" s="3" t="s">
        <v>1614</v>
      </c>
      <c r="BN61" s="3">
        <v>0.79</v>
      </c>
      <c r="BO61" s="3">
        <v>0.91</v>
      </c>
      <c r="BP61" s="3">
        <v>6.91</v>
      </c>
      <c r="BQ61" s="3">
        <v>2.63</v>
      </c>
      <c r="BR61" s="3">
        <v>3.09</v>
      </c>
      <c r="BS61" s="3">
        <v>14.81</v>
      </c>
      <c r="BT61" s="3" t="s">
        <v>2397</v>
      </c>
      <c r="BU61" s="3" t="s">
        <v>2998</v>
      </c>
      <c r="BV61" s="3">
        <v>43.73</v>
      </c>
      <c r="BW61" s="3">
        <v>39.340000000000003</v>
      </c>
      <c r="BX61" s="3">
        <v>44.02</v>
      </c>
      <c r="BY61" s="3">
        <v>12.51</v>
      </c>
      <c r="BZ61" s="3">
        <v>12.96</v>
      </c>
      <c r="CA61" s="3">
        <v>15.95</v>
      </c>
      <c r="CB61" s="3">
        <v>-7.14</v>
      </c>
      <c r="CC61" s="3">
        <v>-2.42</v>
      </c>
      <c r="CD61" s="3" t="s">
        <v>3837</v>
      </c>
      <c r="CE61" s="3" t="s">
        <v>3838</v>
      </c>
      <c r="CF61" s="10">
        <v>-0.46118721461187212</v>
      </c>
      <c r="CG61" s="11">
        <v>-0.65451115249160019</v>
      </c>
      <c r="CH61" s="10">
        <v>-0.71566265821456909</v>
      </c>
      <c r="CI61" s="10">
        <v>-0.21102660894393921</v>
      </c>
      <c r="CJ61" s="10">
        <v>0.28292682766914368</v>
      </c>
      <c r="CK61" s="10">
        <v>0.13573406636714935</v>
      </c>
      <c r="CL61" s="10">
        <v>4.3352600187063217E-2</v>
      </c>
      <c r="CM61" s="11">
        <v>-0.84122204780578613</v>
      </c>
      <c r="CN61" s="11">
        <v>-0.35969972610473633</v>
      </c>
      <c r="CO61" s="11">
        <v>2.4849886894226074</v>
      </c>
      <c r="CP61" s="11">
        <v>-0.55849623680114746</v>
      </c>
      <c r="CQ61" s="11">
        <v>0.51446318626403809</v>
      </c>
      <c r="CR61" s="3">
        <v>69.027483208666339</v>
      </c>
      <c r="CS61" s="3">
        <v>7.4274889319761765</v>
      </c>
      <c r="CT61" s="3">
        <v>0.97370983446932813</v>
      </c>
      <c r="CU61" s="10">
        <v>-9.2935154587030416E-2</v>
      </c>
      <c r="CV61" s="11">
        <v>0.24800677299499513</v>
      </c>
      <c r="CW61" s="3">
        <v>0.06</v>
      </c>
      <c r="CX61" s="3">
        <v>155.91143111569377</v>
      </c>
      <c r="CY61" s="3" t="s">
        <v>3839</v>
      </c>
      <c r="CZ61" s="3">
        <v>-9.2935154587030416E-2</v>
      </c>
      <c r="DA61" s="3">
        <v>51.970477038564589</v>
      </c>
      <c r="DB61" s="3" t="s">
        <v>3840</v>
      </c>
      <c r="DC61" s="3">
        <v>-8.8288396857678891E-2</v>
      </c>
      <c r="DD61" s="3">
        <v>25.985238519282294</v>
      </c>
      <c r="DE61" s="3" t="s">
        <v>3841</v>
      </c>
      <c r="DF61" s="3">
        <v>-8.1782936036586762E-2</v>
      </c>
      <c r="DG61" s="3">
        <v>15.591143111569377</v>
      </c>
      <c r="DH61" s="3" t="s">
        <v>3842</v>
      </c>
      <c r="DI61" s="3">
        <v>-7.434812366962433E-2</v>
      </c>
      <c r="DJ61" s="3">
        <v>7.7955715557846883</v>
      </c>
      <c r="DK61" s="3" t="s">
        <v>3843</v>
      </c>
      <c r="DL61" s="3">
        <v>-6.5054608210921294E-2</v>
      </c>
      <c r="DM61" s="3">
        <v>8534600</v>
      </c>
      <c r="DN61" s="3">
        <v>-9.2935154587030416E-2</v>
      </c>
      <c r="DO61" s="3">
        <v>1330641700</v>
      </c>
      <c r="DP61" s="3">
        <v>1656803400</v>
      </c>
      <c r="DQ61" s="3">
        <v>4581</v>
      </c>
      <c r="DR61" s="3">
        <v>-0.36825206002484168</v>
      </c>
      <c r="DS61" s="3">
        <v>-0.90251792548659537</v>
      </c>
      <c r="DT61" s="12">
        <v>-0.79</v>
      </c>
      <c r="DU61" s="3">
        <v>-0.58833333333333337</v>
      </c>
      <c r="DV61" s="3">
        <v>-1.3783333333333334</v>
      </c>
      <c r="DW61" s="3">
        <v>-5.3389355742296916</v>
      </c>
      <c r="DX61" s="3">
        <v>0.41894621133056886</v>
      </c>
      <c r="DY61" s="3">
        <v>-5.0606512368935537</v>
      </c>
      <c r="DZ61" s="3">
        <v>17</v>
      </c>
      <c r="EA61" s="3">
        <v>-5.0604494617414613</v>
      </c>
      <c r="EB61" s="3">
        <v>5</v>
      </c>
      <c r="EC61" s="3">
        <v>0.11772426308571991</v>
      </c>
      <c r="ED61" s="3">
        <v>0.65787510846031516</v>
      </c>
      <c r="EE61" s="13">
        <v>-1.0459000000000001</v>
      </c>
      <c r="EF61" s="3">
        <v>-1.0178</v>
      </c>
      <c r="EG61" s="3">
        <v>24.178946211330569</v>
      </c>
      <c r="EH61" s="3" t="s">
        <v>1929</v>
      </c>
      <c r="EI61" s="3">
        <v>0</v>
      </c>
      <c r="EJ61" s="3">
        <v>1</v>
      </c>
      <c r="EK61" s="14">
        <v>45470</v>
      </c>
      <c r="EL61" s="15">
        <v>-0.32</v>
      </c>
      <c r="EM61" s="15">
        <v>1.08</v>
      </c>
      <c r="EN61" s="15">
        <v>-2.93</v>
      </c>
      <c r="EO61" s="15">
        <v>5.62</v>
      </c>
      <c r="EP61" s="15">
        <v>-2.81</v>
      </c>
    </row>
    <row r="62" spans="1:146" ht="96" x14ac:dyDescent="0.25">
      <c r="A62" s="9"/>
      <c r="B62" s="9"/>
      <c r="C62" s="9" t="str">
        <f>""&amp;CHAR(10)&amp;Basic_Fundamental_Information_Constructure(F62)&amp;CHAR(10)&amp;Basic_Fundamental_Information_Concatenate("")</f>
        <v xml:space="preserve">
市值144.3813亿, 利润-1.50亿; PE; 平均PE234.76; 平均PEG2.08, PB2.36; ROIC24.93%; ROE17.8367%; 股利率0%; 毛利47.3667%; 净利5.88%; 上一年度营收增-78.32%, 利润增-159.76%; 当季营收增-50%, 利润增-13.66%; 过往5年营收增112.67%, 利润增71.29%
Income profile:
</v>
      </c>
      <c r="D62" s="3" t="s">
        <v>935</v>
      </c>
      <c r="E62" s="3" t="s">
        <v>936</v>
      </c>
      <c r="F62" s="3">
        <v>101.3</v>
      </c>
      <c r="G62" s="3">
        <v>-1.9</v>
      </c>
      <c r="H62" s="3" t="s">
        <v>3844</v>
      </c>
      <c r="I62" s="3">
        <v>14438130000</v>
      </c>
      <c r="K62" s="3">
        <v>2.36</v>
      </c>
      <c r="L62" s="3" t="s">
        <v>2983</v>
      </c>
      <c r="M62" s="3" t="s">
        <v>1419</v>
      </c>
      <c r="N62" s="3" t="s">
        <v>3845</v>
      </c>
      <c r="O62" s="3" t="s">
        <v>1226</v>
      </c>
      <c r="P62" s="3">
        <v>-23.04</v>
      </c>
      <c r="Q62" s="3" t="s">
        <v>1226</v>
      </c>
      <c r="R62" s="3">
        <v>-150029220</v>
      </c>
      <c r="S62" s="5">
        <v>-96.77</v>
      </c>
      <c r="T62" s="3" t="s">
        <v>1799</v>
      </c>
      <c r="U62" s="3">
        <v>93340553</v>
      </c>
      <c r="V62" s="3">
        <v>142528430</v>
      </c>
      <c r="W62" s="3">
        <v>1.1499999999999999</v>
      </c>
      <c r="X62" s="3">
        <v>0.05</v>
      </c>
      <c r="Y62" s="3">
        <v>-41.39</v>
      </c>
      <c r="Z62" s="3" t="s">
        <v>752</v>
      </c>
      <c r="AA62" s="3" t="s">
        <v>439</v>
      </c>
      <c r="AB62" s="3" t="s">
        <v>3846</v>
      </c>
      <c r="AC62" s="3" t="s">
        <v>3847</v>
      </c>
      <c r="AD62" s="3" t="s">
        <v>22</v>
      </c>
      <c r="AE62" s="3">
        <v>-2897629</v>
      </c>
      <c r="AF62" s="3" t="s">
        <v>2398</v>
      </c>
      <c r="AG62" s="3">
        <v>0.47</v>
      </c>
      <c r="AH62" s="3" t="s">
        <v>2400</v>
      </c>
      <c r="AI62" s="3" t="s">
        <v>3848</v>
      </c>
      <c r="AJ62" s="3" t="s">
        <v>2401</v>
      </c>
      <c r="AK62" s="3" t="s">
        <v>3849</v>
      </c>
      <c r="AL62" s="3" t="s">
        <v>2402</v>
      </c>
      <c r="AM62" s="3" t="s">
        <v>22</v>
      </c>
      <c r="AN62" s="3" t="s">
        <v>1215</v>
      </c>
      <c r="AO62" s="3" t="s">
        <v>336</v>
      </c>
      <c r="AP62" s="3" t="s">
        <v>22</v>
      </c>
      <c r="AQ62" s="3" t="s">
        <v>248</v>
      </c>
      <c r="AR62" s="3" t="s">
        <v>22</v>
      </c>
      <c r="AS62" s="3" t="s">
        <v>1972</v>
      </c>
      <c r="AT62" s="3" t="s">
        <v>553</v>
      </c>
      <c r="AU62" s="3" t="s">
        <v>3850</v>
      </c>
      <c r="AV62" s="3" t="s">
        <v>2823</v>
      </c>
      <c r="AW62" s="3" t="s">
        <v>3851</v>
      </c>
      <c r="AX62" s="3" t="s">
        <v>1299</v>
      </c>
      <c r="AY62" s="3" t="s">
        <v>937</v>
      </c>
      <c r="AZ62" s="3" t="s">
        <v>348</v>
      </c>
      <c r="BA62" s="3" t="s">
        <v>938</v>
      </c>
      <c r="BB62" s="3" t="s">
        <v>939</v>
      </c>
      <c r="BC62" s="3" t="s">
        <v>357</v>
      </c>
      <c r="BD62" s="3" t="s">
        <v>444</v>
      </c>
      <c r="BE62" s="3" t="s">
        <v>940</v>
      </c>
      <c r="BF62" s="3" t="s">
        <v>941</v>
      </c>
      <c r="BG62" s="3" t="s">
        <v>942</v>
      </c>
      <c r="BH62" s="3" t="s">
        <v>455</v>
      </c>
      <c r="BI62" s="3" t="s">
        <v>755</v>
      </c>
      <c r="BJ62" s="3" t="s">
        <v>1299</v>
      </c>
      <c r="BK62" s="3" t="s">
        <v>1428</v>
      </c>
      <c r="BL62" s="3" t="s">
        <v>3852</v>
      </c>
      <c r="BM62" s="3" t="s">
        <v>357</v>
      </c>
      <c r="BN62" s="3" t="s">
        <v>22</v>
      </c>
      <c r="BO62" s="3">
        <v>6.48</v>
      </c>
      <c r="BP62" s="3">
        <v>43.38</v>
      </c>
      <c r="BQ62" s="3">
        <v>-3.81</v>
      </c>
      <c r="BR62" s="3">
        <v>5.7</v>
      </c>
      <c r="BS62" s="3">
        <v>51.62</v>
      </c>
      <c r="BT62" s="3" t="s">
        <v>1368</v>
      </c>
      <c r="BU62" s="3" t="s">
        <v>3311</v>
      </c>
      <c r="BV62" s="3">
        <v>38.590000000000003</v>
      </c>
      <c r="BW62" s="3">
        <v>50.01</v>
      </c>
      <c r="BX62" s="3">
        <v>53.5</v>
      </c>
      <c r="BY62" s="3">
        <v>-23.29</v>
      </c>
      <c r="BZ62" s="3">
        <v>14.97</v>
      </c>
      <c r="CA62" s="3">
        <v>25.96</v>
      </c>
      <c r="CB62" s="3">
        <v>-1.44</v>
      </c>
      <c r="CC62" s="3">
        <v>17.39</v>
      </c>
      <c r="CD62" s="3" t="s">
        <v>3853</v>
      </c>
      <c r="CE62" s="3" t="s">
        <v>3854</v>
      </c>
      <c r="CF62" s="10">
        <v>-0.5</v>
      </c>
      <c r="CG62" s="11">
        <v>-0.13658500000000001</v>
      </c>
      <c r="CH62" s="10">
        <v>-0.78323352336883545</v>
      </c>
      <c r="CI62" s="10">
        <v>0.93735498189926147</v>
      </c>
      <c r="CJ62" s="10">
        <v>2.561983585357666</v>
      </c>
      <c r="CK62" s="10">
        <v>1.6274874210357666</v>
      </c>
      <c r="CL62" s="10">
        <v>1.2897971868515015</v>
      </c>
      <c r="CM62" s="11">
        <v>-1.5976095199584961</v>
      </c>
      <c r="CN62" s="11">
        <v>0.1205357164144516</v>
      </c>
      <c r="CO62" s="11">
        <v>3.4080605506896973</v>
      </c>
      <c r="CP62" s="11">
        <v>6.5789647102355957</v>
      </c>
      <c r="CQ62" s="11">
        <v>-4.9456357955932617</v>
      </c>
      <c r="CR62" s="3">
        <v>234.75616233442454</v>
      </c>
      <c r="CS62" s="3">
        <v>2.0836137463031803</v>
      </c>
      <c r="CT62" s="3">
        <v>0</v>
      </c>
      <c r="CU62" s="10">
        <v>1.126677930355072</v>
      </c>
      <c r="CV62" s="11">
        <v>0.71286313235759735</v>
      </c>
      <c r="CW62" s="3">
        <v>0.06</v>
      </c>
      <c r="CX62" s="3" t="e">
        <v>#VALUE!</v>
      </c>
      <c r="CY62" s="3" t="s">
        <v>1073</v>
      </c>
      <c r="CZ62" s="3">
        <v>1.126677930355072</v>
      </c>
      <c r="DA62" s="3" t="e">
        <v>#VALUE!</v>
      </c>
      <c r="DB62" s="3" t="s">
        <v>1074</v>
      </c>
      <c r="DC62" s="3">
        <v>1.0703440338373185</v>
      </c>
      <c r="DD62" s="3" t="e">
        <v>#VALUE!</v>
      </c>
      <c r="DE62" s="3" t="s">
        <v>1074</v>
      </c>
      <c r="DF62" s="3">
        <v>0.99147657871246342</v>
      </c>
      <c r="DG62" s="3" t="e">
        <v>#VALUE!</v>
      </c>
      <c r="DH62" s="3" t="s">
        <v>1074</v>
      </c>
      <c r="DI62" s="3">
        <v>0.90134234428405768</v>
      </c>
      <c r="DJ62" s="3" t="e">
        <v>#VALUE!</v>
      </c>
      <c r="DK62" s="3" t="s">
        <v>1074</v>
      </c>
      <c r="DL62" s="3">
        <v>0.78867455124855035</v>
      </c>
      <c r="DM62" s="3">
        <v>-150000000</v>
      </c>
      <c r="DN62" s="3">
        <v>1.126677930355072</v>
      </c>
      <c r="DO62" s="3">
        <v>9260130000</v>
      </c>
      <c r="DP62" s="3">
        <v>4581930500</v>
      </c>
      <c r="DQ62" s="3">
        <v>4584</v>
      </c>
      <c r="DR62" s="3">
        <v>-1.626677930355072</v>
      </c>
      <c r="DS62" s="3">
        <v>-0.84944813235759731</v>
      </c>
      <c r="DT62" s="12">
        <v>0.35666666666666669</v>
      </c>
      <c r="DU62" s="3">
        <v>-1.1325000000000001</v>
      </c>
      <c r="DV62" s="3">
        <v>-0.77583333333333337</v>
      </c>
      <c r="DW62" s="3">
        <v>3.0157202380952381</v>
      </c>
      <c r="DX62" s="3">
        <v>0.46830868239810458</v>
      </c>
      <c r="DY62" s="3">
        <v>3.0021742454179368</v>
      </c>
      <c r="DZ62" s="3">
        <v>2677</v>
      </c>
      <c r="EA62" s="3">
        <v>3.0010352131314755</v>
      </c>
      <c r="EB62" s="3">
        <v>3</v>
      </c>
      <c r="EC62" s="3">
        <v>7.0477167257086887E-2</v>
      </c>
      <c r="ED62" s="3">
        <v>0.50956430236409678</v>
      </c>
      <c r="EE62" s="13">
        <v>-1.09931</v>
      </c>
      <c r="EF62" s="3">
        <v>-1.1100099999999999</v>
      </c>
      <c r="EG62" s="3">
        <v>33.138308682398105</v>
      </c>
      <c r="EH62" s="3" t="s">
        <v>1386</v>
      </c>
      <c r="EI62" s="3">
        <v>0</v>
      </c>
      <c r="EJ62" s="3">
        <v>0</v>
      </c>
      <c r="EK62" s="14">
        <v>45470</v>
      </c>
      <c r="EL62" s="15">
        <v>-5.92</v>
      </c>
      <c r="EM62" s="15">
        <v>-9.4600000000000009</v>
      </c>
      <c r="EN62" s="15">
        <v>-4.42</v>
      </c>
      <c r="EO62" s="15">
        <v>2.61</v>
      </c>
      <c r="EP62" s="15">
        <v>-1.07</v>
      </c>
    </row>
    <row r="63" spans="1:146" ht="96" x14ac:dyDescent="0.25">
      <c r="A63" s="3"/>
      <c r="B63" s="3"/>
      <c r="C63" s="9" t="str">
        <f>""&amp;CHAR(10)&amp;Basic_Fundamental_Information_Constructure(F63)&amp;CHAR(10)&amp;Basic_Fundamental_Information_Concatenate("")</f>
        <v xml:space="preserve">
市值28.055989亿, 利润-417.51万; PE413.8; 平均PE53.27; 平均PEG2.04, PB1.12; ROIC19.49%; ROE16.33%; 股利率.1229%; 毛利39.6933%; 净利16.05%; 上一年度营收增-80.61%, 利润增-103.09%; 当季营收增-39.79%, 利润增49.96%; 过往5年营收增26.16%, 利润增128.78%
Income profile:
</v>
      </c>
      <c r="D63" s="3" t="s">
        <v>1272</v>
      </c>
      <c r="E63" s="3" t="s">
        <v>1273</v>
      </c>
      <c r="F63" s="3">
        <v>24.42</v>
      </c>
      <c r="G63" s="3">
        <v>0.66</v>
      </c>
      <c r="H63" s="3" t="s">
        <v>3855</v>
      </c>
      <c r="I63" s="3">
        <v>2805598900</v>
      </c>
      <c r="J63" s="3">
        <v>413.8</v>
      </c>
      <c r="K63" s="3">
        <v>1.1200000000000001</v>
      </c>
      <c r="L63" s="3" t="s">
        <v>2983</v>
      </c>
      <c r="M63" s="3" t="s">
        <v>578</v>
      </c>
      <c r="N63" s="3" t="s">
        <v>3856</v>
      </c>
      <c r="O63" s="3" t="s">
        <v>283</v>
      </c>
      <c r="P63" s="3">
        <v>61.09</v>
      </c>
      <c r="Q63" s="3" t="s">
        <v>283</v>
      </c>
      <c r="R63" s="3">
        <v>-4175139</v>
      </c>
      <c r="S63" s="3">
        <v>-2.0659999999999998</v>
      </c>
      <c r="T63" s="3" t="s">
        <v>3857</v>
      </c>
      <c r="U63" s="3">
        <v>42436097</v>
      </c>
      <c r="V63" s="3">
        <v>114889391</v>
      </c>
      <c r="W63" s="3">
        <v>1.1100000000000001</v>
      </c>
      <c r="X63" s="3">
        <v>0.04</v>
      </c>
      <c r="Y63" s="3">
        <v>-3.63</v>
      </c>
      <c r="Z63" s="3" t="s">
        <v>117</v>
      </c>
      <c r="AA63" s="3" t="s">
        <v>3858</v>
      </c>
      <c r="AB63" s="3" t="s">
        <v>3859</v>
      </c>
      <c r="AC63" s="3" t="s">
        <v>3860</v>
      </c>
      <c r="AD63" s="3" t="s">
        <v>22</v>
      </c>
      <c r="AE63" s="3">
        <v>-992503</v>
      </c>
      <c r="AF63" s="3" t="s">
        <v>2405</v>
      </c>
      <c r="AG63" s="3" t="s">
        <v>3861</v>
      </c>
      <c r="AH63" s="3" t="s">
        <v>2406</v>
      </c>
      <c r="AI63" s="3" t="s">
        <v>281</v>
      </c>
      <c r="AJ63" s="3" t="s">
        <v>2407</v>
      </c>
      <c r="AK63" s="3" t="s">
        <v>3862</v>
      </c>
      <c r="AL63" s="3" t="s">
        <v>2408</v>
      </c>
      <c r="AM63" s="3" t="s">
        <v>22</v>
      </c>
      <c r="AN63" s="3" t="s">
        <v>3863</v>
      </c>
      <c r="AO63" s="3" t="s">
        <v>3864</v>
      </c>
      <c r="AP63" s="3" t="s">
        <v>3865</v>
      </c>
      <c r="AQ63" s="3" t="s">
        <v>3866</v>
      </c>
      <c r="AR63" s="3" t="s">
        <v>22</v>
      </c>
      <c r="AS63" s="3" t="s">
        <v>144</v>
      </c>
      <c r="AT63" s="3" t="s">
        <v>22</v>
      </c>
      <c r="AU63" s="3" t="s">
        <v>3867</v>
      </c>
      <c r="AV63" s="3" t="s">
        <v>3868</v>
      </c>
      <c r="AW63" s="3" t="s">
        <v>3869</v>
      </c>
      <c r="AX63" s="3" t="s">
        <v>1214</v>
      </c>
      <c r="AY63" s="3" t="s">
        <v>485</v>
      </c>
      <c r="AZ63" s="3" t="s">
        <v>748</v>
      </c>
      <c r="BA63" s="3" t="s">
        <v>193</v>
      </c>
      <c r="BB63" s="3" t="s">
        <v>450</v>
      </c>
      <c r="BC63" s="3" t="s">
        <v>170</v>
      </c>
      <c r="BD63" s="3" t="s">
        <v>162</v>
      </c>
      <c r="BE63" s="3" t="s">
        <v>1274</v>
      </c>
      <c r="BF63" s="3" t="s">
        <v>1275</v>
      </c>
      <c r="BG63" s="3" t="s">
        <v>1276</v>
      </c>
      <c r="BH63" s="3" t="s">
        <v>1773</v>
      </c>
      <c r="BI63" s="3" t="s">
        <v>537</v>
      </c>
      <c r="BJ63" s="3" t="s">
        <v>1214</v>
      </c>
      <c r="BK63" s="3" t="s">
        <v>2404</v>
      </c>
      <c r="BL63" s="3" t="s">
        <v>3870</v>
      </c>
      <c r="BM63" s="3" t="s">
        <v>170</v>
      </c>
      <c r="BN63" s="3" t="s">
        <v>22</v>
      </c>
      <c r="BO63" s="3">
        <v>8.75</v>
      </c>
      <c r="BP63" s="3">
        <v>30.23</v>
      </c>
      <c r="BQ63" s="3">
        <v>-0.61</v>
      </c>
      <c r="BR63" s="3">
        <v>16.12</v>
      </c>
      <c r="BS63" s="3">
        <v>33.479999999999997</v>
      </c>
      <c r="BT63" s="3" t="s">
        <v>1378</v>
      </c>
      <c r="BU63" s="3" t="s">
        <v>3311</v>
      </c>
      <c r="BV63" s="3">
        <v>29.45</v>
      </c>
      <c r="BW63" s="3">
        <v>46.41</v>
      </c>
      <c r="BX63" s="3">
        <v>43.22</v>
      </c>
      <c r="BY63" s="3">
        <v>2.11</v>
      </c>
      <c r="BZ63" s="3">
        <v>22.77</v>
      </c>
      <c r="CA63" s="3">
        <v>23.27</v>
      </c>
      <c r="CB63" s="3">
        <v>-11.14</v>
      </c>
      <c r="CC63" s="10">
        <v>-3.36</v>
      </c>
      <c r="CD63" s="11" t="s">
        <v>3871</v>
      </c>
      <c r="CE63" s="10" t="s">
        <v>3872</v>
      </c>
      <c r="CF63" s="10">
        <v>-0.39790575916230375</v>
      </c>
      <c r="CG63" s="10">
        <v>0.49958781791595752</v>
      </c>
      <c r="CH63" s="10">
        <v>-0.80607080459594727</v>
      </c>
      <c r="CI63" s="10">
        <v>0.10428305715322495</v>
      </c>
      <c r="CJ63" s="11">
        <v>0.85172414779663086</v>
      </c>
      <c r="CK63" s="11">
        <v>0.45728641748428345</v>
      </c>
      <c r="CL63" s="11">
        <v>0.70085471868515015</v>
      </c>
      <c r="CM63" s="11">
        <v>-1.0309267044067383</v>
      </c>
      <c r="CN63" s="11">
        <v>7.9999998211860657E-2</v>
      </c>
      <c r="CO63" s="3">
        <v>1.8635245561599731</v>
      </c>
      <c r="CP63" s="3">
        <v>0.91013473272323608</v>
      </c>
      <c r="CQ63" s="3">
        <v>4.6165118217468262</v>
      </c>
      <c r="CR63" s="10">
        <v>53.268943462166241</v>
      </c>
      <c r="CS63" s="11">
        <v>2.0361538966469239</v>
      </c>
      <c r="CT63" s="3">
        <v>0.12285012285012284</v>
      </c>
      <c r="CU63" s="3">
        <v>0.26161550730466843</v>
      </c>
      <c r="CV63" s="3">
        <v>1.2878488808870316</v>
      </c>
      <c r="CW63" s="3">
        <v>0.06</v>
      </c>
      <c r="CX63" s="3" t="e">
        <v>#VALUE!</v>
      </c>
      <c r="CY63" s="3" t="s">
        <v>1073</v>
      </c>
      <c r="CZ63" s="3">
        <v>0.26161550730466843</v>
      </c>
      <c r="DA63" s="3" t="e">
        <v>#VALUE!</v>
      </c>
      <c r="DB63" s="3" t="s">
        <v>1074</v>
      </c>
      <c r="DC63" s="3">
        <v>0.24853473193943498</v>
      </c>
      <c r="DD63" s="3" t="e">
        <v>#VALUE!</v>
      </c>
      <c r="DE63" s="3" t="s">
        <v>1074</v>
      </c>
      <c r="DF63" s="3">
        <v>0.23022164642810822</v>
      </c>
      <c r="DG63" s="3" t="e">
        <v>#VALUE!</v>
      </c>
      <c r="DH63" s="3" t="s">
        <v>1074</v>
      </c>
      <c r="DI63" s="3">
        <v>0.20929240584373476</v>
      </c>
      <c r="DJ63" s="3" t="e">
        <v>#VALUE!</v>
      </c>
      <c r="DK63" s="3" t="s">
        <v>1074</v>
      </c>
      <c r="DL63" s="3">
        <v>0.18313085511326788</v>
      </c>
      <c r="DM63" s="3">
        <v>-4175100</v>
      </c>
      <c r="DN63" s="3">
        <v>0.26161550730466843</v>
      </c>
      <c r="DO63" s="3">
        <v>529598900</v>
      </c>
      <c r="DP63" s="3">
        <v>1914933800</v>
      </c>
      <c r="DQ63" s="12">
        <v>4592</v>
      </c>
      <c r="DR63" s="3">
        <v>-0.65952126646697218</v>
      </c>
      <c r="DS63" s="3">
        <v>-0.78826106297107412</v>
      </c>
      <c r="DT63" s="3">
        <v>-0.19000000000000003</v>
      </c>
      <c r="DU63" s="3">
        <v>1.083333333333325E-2</v>
      </c>
      <c r="DV63" s="3">
        <v>-0.17916666666666678</v>
      </c>
      <c r="DW63" s="3">
        <v>-5.3016157989228008</v>
      </c>
      <c r="DX63" s="3">
        <v>0.29981099530539257</v>
      </c>
      <c r="DY63" s="3">
        <v>-5.0421692050472284</v>
      </c>
      <c r="DZ63" s="3">
        <v>4768</v>
      </c>
      <c r="EA63" s="3">
        <v>-5.0028222833906364</v>
      </c>
      <c r="EB63" s="13">
        <v>5</v>
      </c>
      <c r="EC63" s="3">
        <v>5.9827107970308588E-2</v>
      </c>
      <c r="ED63" s="3">
        <v>0.42791418399980902</v>
      </c>
      <c r="EE63" s="3">
        <v>-3.0078</v>
      </c>
      <c r="EF63" s="3">
        <v>-3.0374099999999999</v>
      </c>
      <c r="EG63" s="3">
        <v>16.139810995305393</v>
      </c>
      <c r="EH63" s="14" t="s">
        <v>1838</v>
      </c>
      <c r="EI63" s="15">
        <v>0</v>
      </c>
      <c r="EJ63" s="15">
        <v>0</v>
      </c>
      <c r="EK63" s="15">
        <v>45470</v>
      </c>
      <c r="EL63" s="15">
        <v>0.31</v>
      </c>
      <c r="EM63" s="15">
        <v>-5.25</v>
      </c>
      <c r="EN63" s="15">
        <v>-3.34</v>
      </c>
      <c r="EO63" s="15">
        <v>3.18</v>
      </c>
      <c r="EP63" s="15">
        <v>-4.5199999999999996</v>
      </c>
    </row>
    <row r="64" spans="1:146" ht="168" x14ac:dyDescent="0.25">
      <c r="A64" s="7" t="s">
        <v>1364</v>
      </c>
      <c r="B64" s="7" t="s">
        <v>1363</v>
      </c>
      <c r="C64" s="9" t="str">
        <f>"公司主要从事高端半导体专用设备的研发、生产、销售和技术服务。公司主要产品为半导体薄膜沉积设备包括PECVD设备、ALD设备及SACVD设备三个系列。"&amp;CHAR(10)&amp;Basic_Fundamental_Information_Constructure(F64)&amp;CHAR(10)&amp;Basic_Fundamental_Information_Concatenate("PECVD设备 6.75亿 89.11% 86.33% 42.64%
SACVD设备 4115.89万 5.43% 7.77% 62.99%
ALD设备 2862.21万 3.78% 3.79% 44.19%
其他业务 1274.84万 1.68% 2.11% 55.19%")</f>
        <v>公司主要从事高端半导体专用设备的研发、生产、销售和技术服务。公司主要产品为半导体薄膜沉积设备包括PECVD设备、ALD设备及SACVD设备三个系列。
市值326.99916亿, 利润1047.17万; PE52.8; 平均PE626.63; 平均PEG6.88, PB7.08; ROIC4.69%; ROE8.6667%; 股利率.2979%; 毛利48.0967%; 净利18.24%; 上一年度营收增-72.33%, 利润增-97.15%; 当季营收增-52.99%, 利润增-91.62%; 过往5年营收增91.12%, 利润增231.63%
Income profile:
PECVD设备 6.75亿 89.11% 86.33% 42.64%
SACVD设备 4115.89万 5.43% 7.77% 62.99%
ALD设备 2862.21万 3.78% 3.79% 44.19%
其他业务 1274.84万 1.68% 2.11% 55.19%</v>
      </c>
      <c r="D64" s="3" t="s">
        <v>943</v>
      </c>
      <c r="E64" s="3" t="s">
        <v>1616</v>
      </c>
      <c r="F64" s="3">
        <v>117.49</v>
      </c>
      <c r="G64" s="3">
        <v>-0.66</v>
      </c>
      <c r="H64" s="3" t="s">
        <v>3873</v>
      </c>
      <c r="I64" s="3">
        <v>32699916000</v>
      </c>
      <c r="J64" s="3">
        <v>52.8</v>
      </c>
      <c r="K64" s="3">
        <v>7.08</v>
      </c>
      <c r="L64" s="3" t="s">
        <v>2983</v>
      </c>
      <c r="M64" s="3" t="s">
        <v>2409</v>
      </c>
      <c r="N64" s="3" t="s">
        <v>3874</v>
      </c>
      <c r="O64" s="3" t="s">
        <v>1749</v>
      </c>
      <c r="P64" s="3">
        <v>17.25</v>
      </c>
      <c r="Q64" s="3" t="s">
        <v>1749</v>
      </c>
      <c r="R64" s="3">
        <v>10471660</v>
      </c>
      <c r="S64" s="5">
        <v>-0.80510000000000004</v>
      </c>
      <c r="T64" s="3" t="s">
        <v>3875</v>
      </c>
      <c r="U64" s="3">
        <v>153840320</v>
      </c>
      <c r="V64" s="3">
        <v>278320840</v>
      </c>
      <c r="W64" s="3">
        <v>2.37</v>
      </c>
      <c r="X64" s="3">
        <v>0.05</v>
      </c>
      <c r="Y64" s="3">
        <v>1.65</v>
      </c>
      <c r="Z64" s="3" t="s">
        <v>752</v>
      </c>
      <c r="AA64" s="3" t="s">
        <v>767</v>
      </c>
      <c r="AB64" s="3" t="s">
        <v>3876</v>
      </c>
      <c r="AC64" s="3" t="s">
        <v>3877</v>
      </c>
      <c r="AD64" s="3" t="s">
        <v>22</v>
      </c>
      <c r="AE64" s="3">
        <v>8379628</v>
      </c>
      <c r="AF64" s="3" t="s">
        <v>2410</v>
      </c>
      <c r="AG64" s="3">
        <v>0.03</v>
      </c>
      <c r="AH64" s="3" t="s">
        <v>2411</v>
      </c>
      <c r="AI64" s="3" t="s">
        <v>2088</v>
      </c>
      <c r="AJ64" s="3" t="s">
        <v>2412</v>
      </c>
      <c r="AK64" s="3" t="s">
        <v>22</v>
      </c>
      <c r="AL64" s="3" t="s">
        <v>2413</v>
      </c>
      <c r="AM64" s="3" t="s">
        <v>22</v>
      </c>
      <c r="AN64" s="3" t="s">
        <v>355</v>
      </c>
      <c r="AO64" s="3" t="s">
        <v>112</v>
      </c>
      <c r="AP64" s="3" t="s">
        <v>397</v>
      </c>
      <c r="AQ64" s="3" t="s">
        <v>2250</v>
      </c>
      <c r="AR64" s="3" t="s">
        <v>22</v>
      </c>
      <c r="AS64" s="3" t="s">
        <v>3878</v>
      </c>
      <c r="AT64" s="3" t="s">
        <v>3759</v>
      </c>
      <c r="AU64" s="3" t="s">
        <v>3879</v>
      </c>
      <c r="AV64" s="3" t="s">
        <v>3880</v>
      </c>
      <c r="AW64" s="3" t="s">
        <v>1741</v>
      </c>
      <c r="AX64" s="3" t="s">
        <v>1617</v>
      </c>
      <c r="AY64" s="3" t="s">
        <v>164</v>
      </c>
      <c r="AZ64" s="3" t="s">
        <v>865</v>
      </c>
      <c r="BA64" s="3" t="s">
        <v>357</v>
      </c>
      <c r="BB64" s="3" t="s">
        <v>945</v>
      </c>
      <c r="BC64" s="3" t="s">
        <v>145</v>
      </c>
      <c r="BD64" s="3" t="s">
        <v>944</v>
      </c>
      <c r="BE64" s="3" t="s">
        <v>946</v>
      </c>
      <c r="BF64" s="3" t="s">
        <v>947</v>
      </c>
      <c r="BG64" s="3" t="s">
        <v>662</v>
      </c>
      <c r="BH64" s="3" t="s">
        <v>1591</v>
      </c>
      <c r="BI64" s="3" t="s">
        <v>1766</v>
      </c>
      <c r="BJ64" s="3" t="s">
        <v>1617</v>
      </c>
      <c r="BK64" s="3" t="s">
        <v>1644</v>
      </c>
      <c r="BL64" s="3" t="s">
        <v>162</v>
      </c>
      <c r="BM64" s="3" t="s">
        <v>145</v>
      </c>
      <c r="BN64" s="3">
        <v>5.26</v>
      </c>
      <c r="BO64" s="3" t="s">
        <v>22</v>
      </c>
      <c r="BP64" s="3">
        <v>4.12</v>
      </c>
      <c r="BQ64" s="3">
        <v>6.95</v>
      </c>
      <c r="BR64" s="3">
        <v>13.13</v>
      </c>
      <c r="BS64" s="3">
        <v>5.92</v>
      </c>
      <c r="BT64" s="3" t="s">
        <v>2417</v>
      </c>
      <c r="BU64" s="3" t="s">
        <v>1212</v>
      </c>
      <c r="BV64" s="3">
        <v>51.01</v>
      </c>
      <c r="BW64" s="3">
        <v>49.27</v>
      </c>
      <c r="BX64" s="3">
        <v>44.01</v>
      </c>
      <c r="BY64" s="3">
        <v>24.54</v>
      </c>
      <c r="BZ64" s="3">
        <v>21.35</v>
      </c>
      <c r="CA64" s="3">
        <v>8.83</v>
      </c>
      <c r="CB64" s="3">
        <v>-2.1800000000000002</v>
      </c>
      <c r="CC64" s="3">
        <v>-7.14</v>
      </c>
      <c r="CD64" s="3" t="s">
        <v>3881</v>
      </c>
      <c r="CE64" s="3" t="s">
        <v>3882</v>
      </c>
      <c r="CF64" s="10">
        <v>-0.52988047808764938</v>
      </c>
      <c r="CG64" s="11">
        <v>-0.91622672000000005</v>
      </c>
      <c r="CH64" s="10">
        <v>-0.72332942485809326</v>
      </c>
      <c r="CI64" s="10">
        <v>1.2506595849990845</v>
      </c>
      <c r="CJ64" s="10">
        <v>0.73853212594985962</v>
      </c>
      <c r="CK64" s="10">
        <v>0.73705178499221802</v>
      </c>
      <c r="CL64" s="10">
        <v>2.5530264377593994</v>
      </c>
      <c r="CM64" s="11">
        <v>-0.97154426574707031</v>
      </c>
      <c r="CN64" s="11">
        <v>4.3733220100402832</v>
      </c>
      <c r="CO64" s="11">
        <v>6.9610495567321777</v>
      </c>
      <c r="CP64" s="11">
        <v>0.40675604343414307</v>
      </c>
      <c r="CQ64" s="11">
        <v>0.81197667121887207</v>
      </c>
      <c r="CR64" s="3">
        <v>626.62964368252221</v>
      </c>
      <c r="CS64" s="3">
        <v>6.8770613056329237</v>
      </c>
      <c r="CT64" s="3">
        <v>0.29789769342071665</v>
      </c>
      <c r="CU64" s="10">
        <v>0.91118810176849363</v>
      </c>
      <c r="CV64" s="11">
        <v>2.316312003135681</v>
      </c>
      <c r="CW64" s="3">
        <v>0.06</v>
      </c>
      <c r="CX64" s="3">
        <v>1772.3480987223477</v>
      </c>
      <c r="CY64" s="3">
        <v>18880555.137065221</v>
      </c>
      <c r="CZ64" s="3">
        <v>0.91118810176849363</v>
      </c>
      <c r="DA64" s="3">
        <v>309.95486641739416</v>
      </c>
      <c r="DB64" s="3">
        <v>107960608.54530308</v>
      </c>
      <c r="DC64" s="3">
        <v>0.86562869668006892</v>
      </c>
      <c r="DD64" s="3">
        <v>56.892868240310086</v>
      </c>
      <c r="DE64" s="3">
        <v>588174177.80126345</v>
      </c>
      <c r="DF64" s="3">
        <v>0.80184552955627442</v>
      </c>
      <c r="DG64" s="3">
        <v>9.3467772806113754</v>
      </c>
      <c r="DH64" s="3">
        <v>3580155490.5362186</v>
      </c>
      <c r="DI64" s="3">
        <v>0.7289504814147949</v>
      </c>
      <c r="DJ64" s="3">
        <v>0.18744889196661638</v>
      </c>
      <c r="DK64" s="3">
        <v>178517544963.45361</v>
      </c>
      <c r="DL64" s="3">
        <v>0.63783167123794549</v>
      </c>
      <c r="DM64" s="3">
        <v>10471700</v>
      </c>
      <c r="DN64" s="3">
        <v>0.91118810176849363</v>
      </c>
      <c r="DO64" s="3">
        <v>33462916000</v>
      </c>
      <c r="DP64" s="3">
        <v>5915611500</v>
      </c>
      <c r="DQ64" s="3">
        <v>4602</v>
      </c>
      <c r="DR64" s="3">
        <v>-1.4410685798561431</v>
      </c>
      <c r="DS64" s="3">
        <v>-3.232538723135681</v>
      </c>
      <c r="DT64" s="12">
        <v>0.57333333333333347</v>
      </c>
      <c r="DU64" s="3">
        <v>-0.61</v>
      </c>
      <c r="DV64" s="3">
        <v>-3.6666666666666514E-2</v>
      </c>
      <c r="DW64" s="3">
        <v>-2.0714000000000001</v>
      </c>
      <c r="DX64" s="3">
        <v>0.35012980933207843</v>
      </c>
      <c r="DY64" s="3">
        <v>-2.0107192683863104</v>
      </c>
      <c r="DZ64" s="3">
        <v>689</v>
      </c>
      <c r="EA64" s="3">
        <v>-2.0092739502027159</v>
      </c>
      <c r="EB64" s="3">
        <v>2</v>
      </c>
      <c r="EC64" s="3">
        <v>3.891803430889329E-2</v>
      </c>
      <c r="ED64" s="3">
        <v>0.2592292406130996</v>
      </c>
      <c r="EE64" s="13">
        <v>-5.0437000000000003</v>
      </c>
      <c r="EF64" s="3">
        <v>-5.0202</v>
      </c>
      <c r="EG64" s="3">
        <v>20.150129809332078</v>
      </c>
      <c r="EH64" s="3" t="s">
        <v>1930</v>
      </c>
      <c r="EI64" s="3">
        <v>0</v>
      </c>
      <c r="EJ64" s="3">
        <v>1</v>
      </c>
      <c r="EK64" s="14">
        <v>45470</v>
      </c>
      <c r="EL64" s="15">
        <v>-0.46</v>
      </c>
      <c r="EM64" s="15">
        <v>-4.8600000000000003</v>
      </c>
      <c r="EN64" s="15">
        <v>0.52</v>
      </c>
      <c r="EO64" s="15">
        <v>3.99</v>
      </c>
      <c r="EP64" s="15">
        <v>-2.35</v>
      </c>
    </row>
    <row r="65" spans="1:146" ht="96" x14ac:dyDescent="0.25">
      <c r="C65" s="7" t="str">
        <f>""&amp;CHAR(10)&amp;Basic_Fundamental_Information_Constructure(F65)&amp;CHAR(10)&amp;Basic_Fundamental_Information_Concatenate("")</f>
        <v xml:space="preserve">
市值374.78676亿, 利润8018.34万; PE43.59; 平均PE156.3; 平均PEG5.55, PB5.65; ROIC10.0133%; ROE14.1733%; 股利率.7289%; 毛利47.8067%; 净利21.04%; 上一年度营收增-67.94%, 利润增-88%; 当季营收增-42.8%, 利润增-81.73%; 过往5年营收增28.19%, 利润增38%
Income profile:
</v>
      </c>
      <c r="D65" s="3" t="s">
        <v>948</v>
      </c>
      <c r="E65" s="3" t="s">
        <v>949</v>
      </c>
      <c r="F65" s="3">
        <v>85.93</v>
      </c>
      <c r="G65" s="3">
        <v>-1.33</v>
      </c>
      <c r="H65" s="3" t="s">
        <v>3883</v>
      </c>
      <c r="I65" s="3">
        <v>37478676000</v>
      </c>
      <c r="J65" s="3">
        <v>43.59</v>
      </c>
      <c r="K65" s="3">
        <v>5.65</v>
      </c>
      <c r="L65" s="3" t="s">
        <v>2983</v>
      </c>
      <c r="M65" s="3" t="s">
        <v>2418</v>
      </c>
      <c r="N65" s="3" t="s">
        <v>3884</v>
      </c>
      <c r="O65" s="3" t="s">
        <v>607</v>
      </c>
      <c r="P65" s="3">
        <v>49.63</v>
      </c>
      <c r="Q65" s="3" t="s">
        <v>607</v>
      </c>
      <c r="R65" s="3">
        <v>80183414</v>
      </c>
      <c r="S65" s="5">
        <v>-0.3876</v>
      </c>
      <c r="T65" s="3" t="s">
        <v>3885</v>
      </c>
      <c r="U65" s="3">
        <v>75864792</v>
      </c>
      <c r="V65" s="3">
        <v>436153560</v>
      </c>
      <c r="W65" s="3">
        <v>1.53</v>
      </c>
      <c r="X65" s="3">
        <v>0.09</v>
      </c>
      <c r="Y65" s="3">
        <v>8.6999999999999993</v>
      </c>
      <c r="Z65" s="3" t="s">
        <v>647</v>
      </c>
      <c r="AA65" s="3" t="s">
        <v>3749</v>
      </c>
      <c r="AB65" s="3" t="s">
        <v>3886</v>
      </c>
      <c r="AC65" s="3" t="s">
        <v>3887</v>
      </c>
      <c r="AD65" s="3" t="s">
        <v>22</v>
      </c>
      <c r="AE65" s="3">
        <v>-6721698</v>
      </c>
      <c r="AF65" s="3" t="s">
        <v>2419</v>
      </c>
      <c r="AG65" s="3" t="s">
        <v>3888</v>
      </c>
      <c r="AH65" s="3" t="s">
        <v>2420</v>
      </c>
      <c r="AI65" s="3" t="s">
        <v>503</v>
      </c>
      <c r="AJ65" s="3" t="s">
        <v>2421</v>
      </c>
      <c r="AK65" s="3" t="s">
        <v>3889</v>
      </c>
      <c r="AL65" s="3" t="s">
        <v>2422</v>
      </c>
      <c r="AM65" s="3" t="s">
        <v>22</v>
      </c>
      <c r="AN65" s="3" t="s">
        <v>836</v>
      </c>
      <c r="AO65" s="3" t="s">
        <v>514</v>
      </c>
      <c r="AP65" s="3" t="s">
        <v>22</v>
      </c>
      <c r="AQ65" s="3" t="s">
        <v>3890</v>
      </c>
      <c r="AR65" s="3" t="s">
        <v>22</v>
      </c>
      <c r="AS65" s="3" t="s">
        <v>3891</v>
      </c>
      <c r="AT65" s="3" t="s">
        <v>230</v>
      </c>
      <c r="AU65" s="3" t="s">
        <v>1854</v>
      </c>
      <c r="AV65" s="3" t="s">
        <v>3892</v>
      </c>
      <c r="AW65" s="3" t="s">
        <v>850</v>
      </c>
      <c r="AX65" s="3" t="s">
        <v>1618</v>
      </c>
      <c r="AY65" s="3" t="s">
        <v>873</v>
      </c>
      <c r="AZ65" s="3" t="s">
        <v>951</v>
      </c>
      <c r="BA65" s="3" t="s">
        <v>292</v>
      </c>
      <c r="BB65" s="3" t="s">
        <v>325</v>
      </c>
      <c r="BC65" s="3" t="s">
        <v>1217</v>
      </c>
      <c r="BD65" s="3" t="s">
        <v>501</v>
      </c>
      <c r="BE65" s="3" t="s">
        <v>183</v>
      </c>
      <c r="BF65" s="3" t="s">
        <v>170</v>
      </c>
      <c r="BG65" s="3" t="s">
        <v>952</v>
      </c>
      <c r="BH65" s="3" t="s">
        <v>1793</v>
      </c>
      <c r="BI65" s="3" t="s">
        <v>1794</v>
      </c>
      <c r="BJ65" s="3" t="s">
        <v>1618</v>
      </c>
      <c r="BK65" s="3" t="s">
        <v>2279</v>
      </c>
      <c r="BL65" s="3" t="s">
        <v>493</v>
      </c>
      <c r="BM65" s="3" t="s">
        <v>1217</v>
      </c>
      <c r="BN65" s="3">
        <v>9.99</v>
      </c>
      <c r="BO65" s="3">
        <v>11.63</v>
      </c>
      <c r="BP65" s="3">
        <v>8.42</v>
      </c>
      <c r="BQ65" s="3">
        <v>11.45</v>
      </c>
      <c r="BR65" s="3">
        <v>12.98</v>
      </c>
      <c r="BS65" s="3">
        <v>18.09</v>
      </c>
      <c r="BT65" s="3" t="s">
        <v>3893</v>
      </c>
      <c r="BU65" s="3" t="s">
        <v>1212</v>
      </c>
      <c r="BV65" s="3">
        <v>51.99</v>
      </c>
      <c r="BW65" s="3">
        <v>48.9</v>
      </c>
      <c r="BX65" s="3">
        <v>42.53</v>
      </c>
      <c r="BY65" s="3">
        <v>23.42</v>
      </c>
      <c r="BZ65" s="3">
        <v>23.27</v>
      </c>
      <c r="CA65" s="3">
        <v>16.43</v>
      </c>
      <c r="CB65" s="3">
        <v>1.68</v>
      </c>
      <c r="CC65" s="3">
        <v>10.88</v>
      </c>
      <c r="CD65" s="3" t="s">
        <v>3894</v>
      </c>
      <c r="CE65" s="3" t="s">
        <v>3895</v>
      </c>
      <c r="CF65" s="10">
        <v>-0.42795031055900623</v>
      </c>
      <c r="CG65" s="11">
        <v>-0.81734985421412298</v>
      </c>
      <c r="CH65" s="10">
        <v>-0.67942917346954346</v>
      </c>
      <c r="CI65" s="10">
        <v>0.77236276865005493</v>
      </c>
      <c r="CJ65" s="10">
        <v>0.60973179340362549</v>
      </c>
      <c r="CK65" s="10">
        <v>0.33025097846984863</v>
      </c>
      <c r="CL65" s="10">
        <v>0.37636363506317139</v>
      </c>
      <c r="CM65" s="11">
        <v>-0.87996494770050049</v>
      </c>
      <c r="CN65" s="11">
        <v>1.5112781524658203</v>
      </c>
      <c r="CO65" s="11">
        <v>0.35025382041931152</v>
      </c>
      <c r="CP65" s="11">
        <v>0.4592592716217041</v>
      </c>
      <c r="CQ65" s="11">
        <v>0.45897996425628662</v>
      </c>
      <c r="CR65" s="3">
        <v>156.30075696778607</v>
      </c>
      <c r="CS65" s="3">
        <v>5.5454117255966144</v>
      </c>
      <c r="CT65" s="3">
        <v>0.72891888746654254</v>
      </c>
      <c r="CU65" s="10">
        <v>0.2818560004234314</v>
      </c>
      <c r="CV65" s="11">
        <v>0.37996125221252441</v>
      </c>
      <c r="CW65" s="3">
        <v>0.06</v>
      </c>
      <c r="CX65" s="3">
        <v>352.19360162483832</v>
      </c>
      <c r="CY65" s="3">
        <v>96965634.362596378</v>
      </c>
      <c r="CZ65" s="3">
        <v>0.2818560004234314</v>
      </c>
      <c r="DA65" s="3">
        <v>98.198241919337306</v>
      </c>
      <c r="DB65" s="3">
        <v>347772784.24243367</v>
      </c>
      <c r="DC65" s="3">
        <v>0.26776320040225982</v>
      </c>
      <c r="DD65" s="3">
        <v>38.564698855663849</v>
      </c>
      <c r="DE65" s="3">
        <v>885542400.52063632</v>
      </c>
      <c r="DF65" s="3">
        <v>0.24803328037261962</v>
      </c>
      <c r="DG65" s="3">
        <v>17.609584798954494</v>
      </c>
      <c r="DH65" s="3">
        <v>1939323180.5231192</v>
      </c>
      <c r="DI65" s="3">
        <v>0.22548480033874513</v>
      </c>
      <c r="DJ65" s="3">
        <v>4.6839909694953317</v>
      </c>
      <c r="DK65" s="3">
        <v>7290935491.2098608</v>
      </c>
      <c r="DL65" s="3">
        <v>0.19729920029640197</v>
      </c>
      <c r="DM65" s="3">
        <v>80183400</v>
      </c>
      <c r="DN65" s="3">
        <v>0.2818560004234314</v>
      </c>
      <c r="DO65" s="3">
        <v>34150676000</v>
      </c>
      <c r="DP65" s="3">
        <v>4746837900</v>
      </c>
      <c r="DQ65" s="3">
        <v>4611</v>
      </c>
      <c r="DR65" s="3">
        <v>-0.70980631098243763</v>
      </c>
      <c r="DS65" s="3">
        <v>-1.1973111064266475</v>
      </c>
      <c r="DT65" s="12">
        <v>1.0000000000000011E-2</v>
      </c>
      <c r="DU65" s="3">
        <v>-0.12333333333333345</v>
      </c>
      <c r="DV65" s="3">
        <v>-0.11333333333333344</v>
      </c>
      <c r="DW65" s="3">
        <v>2.1088</v>
      </c>
      <c r="DX65" s="3">
        <v>0.3969893185200179</v>
      </c>
      <c r="DY65" s="3">
        <v>2.0116404378549779</v>
      </c>
      <c r="DZ65" s="3">
        <v>2069</v>
      </c>
      <c r="EA65" s="3">
        <v>2.0069273134084127</v>
      </c>
      <c r="EB65" s="3">
        <v>2</v>
      </c>
      <c r="EC65" s="3">
        <v>1.5742620557768691E-2</v>
      </c>
      <c r="ED65" s="3">
        <v>0.14714198366281819</v>
      </c>
      <c r="EE65" s="13">
        <v>8.8999999999999947E-3</v>
      </c>
      <c r="EF65" s="3">
        <v>1.2510000000000002E-2</v>
      </c>
      <c r="EG65" s="3">
        <v>29.106989318520018</v>
      </c>
      <c r="EH65" s="3">
        <v>-1</v>
      </c>
      <c r="EI65" s="3">
        <v>1</v>
      </c>
      <c r="EJ65" s="3">
        <v>0</v>
      </c>
      <c r="EK65" s="14">
        <v>45470</v>
      </c>
      <c r="EL65" s="15">
        <v>-0.52</v>
      </c>
      <c r="EM65" s="15">
        <v>-3.52</v>
      </c>
      <c r="EN65" s="15">
        <v>-2.68</v>
      </c>
      <c r="EO65" s="15">
        <v>3.86</v>
      </c>
      <c r="EP65" s="15">
        <v>-2.14</v>
      </c>
    </row>
    <row r="66" spans="1:146" ht="132" x14ac:dyDescent="0.25">
      <c r="A66" s="7" t="s">
        <v>1329</v>
      </c>
      <c r="C66" s="7" t="str">
        <f>"公司的主营业务是多媒体智能终端SoC芯片的研发、设计和销售。公司主要产品是智能机顶盒SoC芯片、智能电视SoC芯片、AI音视频系统终端SoC芯片、WIFI和蓝牙芯片以及汽车电子芯片。"&amp;CHAR(10)&amp;Basic_Fundamental_Information_Constructure(F66)&amp;CHAR(10)&amp;Basic_Fundamental_Information_Concatenate("多媒体智能终端芯片 47.39亿 99.21% 99.31% 40.07%
其他芯片 3763.29万 0.79% 0.69% 35.16%")</f>
        <v>公司的主营业务是多媒体智能终端SoC芯片的研发、设计和销售。公司主要产品是智能机顶盒SoC芯片、智能电视SoC芯片、AI音视频系统终端SoC芯片、WIFI和蓝牙芯片以及汽车电子芯片。
市值239.15718亿, 利润1.28亿; PE40.18; 平均PE64.55; 平均PEG10.39, PB4.24; ROIC14.22%; ROE15.53%; 股利率0%; 毛利37.8467%; 净利13.2733%; 上一年度营收增-75.15%, 利润增-82.39%; 当季营收增-41.36%, 利润增-31.06%; 过往5年营收增6.21%, 利润增88.37%
Income profile:
多媒体智能终端芯片 47.39亿 99.21% 99.31% 40.07%
其他芯片 3763.29万 0.79% 0.69% 35.16%</v>
      </c>
      <c r="D66" s="3" t="s">
        <v>46</v>
      </c>
      <c r="E66" s="3" t="s">
        <v>47</v>
      </c>
      <c r="F66" s="3">
        <v>57.17</v>
      </c>
      <c r="G66" s="3">
        <v>-0.56999999999999995</v>
      </c>
      <c r="H66" s="3" t="s">
        <v>3896</v>
      </c>
      <c r="I66" s="3">
        <v>23915718000</v>
      </c>
      <c r="J66" s="3">
        <v>40.18</v>
      </c>
      <c r="K66" s="3">
        <v>4.24</v>
      </c>
      <c r="L66" s="3" t="s">
        <v>2983</v>
      </c>
      <c r="M66" s="3" t="s">
        <v>1082</v>
      </c>
      <c r="N66" s="3" t="s">
        <v>3897</v>
      </c>
      <c r="O66" s="3" t="s">
        <v>2365</v>
      </c>
      <c r="P66" s="3">
        <v>33.159999999999997</v>
      </c>
      <c r="Q66" s="3" t="s">
        <v>2365</v>
      </c>
      <c r="R66" s="3">
        <v>127546238</v>
      </c>
      <c r="S66" s="5">
        <v>3.19</v>
      </c>
      <c r="T66" s="3" t="s">
        <v>318</v>
      </c>
      <c r="U66" s="3">
        <v>418326370</v>
      </c>
      <c r="V66" s="3">
        <v>418326370</v>
      </c>
      <c r="W66" s="3">
        <v>1.17</v>
      </c>
      <c r="X66" s="3">
        <v>0.21</v>
      </c>
      <c r="Y66" s="3">
        <v>9.25</v>
      </c>
      <c r="Z66" s="3" t="s">
        <v>3898</v>
      </c>
      <c r="AA66" s="3" t="s">
        <v>2135</v>
      </c>
      <c r="AB66" s="3" t="s">
        <v>3899</v>
      </c>
      <c r="AC66" s="3" t="s">
        <v>3900</v>
      </c>
      <c r="AD66" s="3" t="s">
        <v>22</v>
      </c>
      <c r="AE66" s="3">
        <v>-36137366</v>
      </c>
      <c r="AF66" s="3" t="s">
        <v>2426</v>
      </c>
      <c r="AG66" s="3" t="s">
        <v>3901</v>
      </c>
      <c r="AH66" s="3" t="s">
        <v>2427</v>
      </c>
      <c r="AI66" s="3" t="s">
        <v>1593</v>
      </c>
      <c r="AJ66" s="3" t="s">
        <v>2428</v>
      </c>
      <c r="AK66" s="3" t="s">
        <v>22</v>
      </c>
      <c r="AL66" s="3" t="s">
        <v>2429</v>
      </c>
      <c r="AM66" s="3" t="s">
        <v>22</v>
      </c>
      <c r="AN66" s="3" t="s">
        <v>2430</v>
      </c>
      <c r="AO66" s="3" t="s">
        <v>22</v>
      </c>
      <c r="AP66" s="3" t="s">
        <v>22</v>
      </c>
      <c r="AQ66" s="3" t="s">
        <v>605</v>
      </c>
      <c r="AR66" s="3" t="s">
        <v>22</v>
      </c>
      <c r="AS66" s="3" t="s">
        <v>2279</v>
      </c>
      <c r="AT66" s="3" t="s">
        <v>22</v>
      </c>
      <c r="AU66" s="3" t="s">
        <v>518</v>
      </c>
      <c r="AV66" s="3" t="s">
        <v>417</v>
      </c>
      <c r="AW66" s="3" t="s">
        <v>3902</v>
      </c>
      <c r="AX66" s="3" t="s">
        <v>1619</v>
      </c>
      <c r="AY66" s="3" t="s">
        <v>953</v>
      </c>
      <c r="AZ66" s="3" t="s">
        <v>650</v>
      </c>
      <c r="BA66" s="3" t="s">
        <v>293</v>
      </c>
      <c r="BB66" s="3" t="s">
        <v>651</v>
      </c>
      <c r="BC66" s="3" t="s">
        <v>1293</v>
      </c>
      <c r="BD66" s="3" t="s">
        <v>382</v>
      </c>
      <c r="BE66" s="3" t="s">
        <v>283</v>
      </c>
      <c r="BF66" s="3" t="s">
        <v>417</v>
      </c>
      <c r="BG66" s="3" t="s">
        <v>397</v>
      </c>
      <c r="BH66" s="3" t="s">
        <v>2424</v>
      </c>
      <c r="BI66" s="3" t="s">
        <v>3903</v>
      </c>
      <c r="BJ66" s="3" t="s">
        <v>1619</v>
      </c>
      <c r="BK66" s="3" t="s">
        <v>1219</v>
      </c>
      <c r="BL66" s="3" t="s">
        <v>385</v>
      </c>
      <c r="BM66" s="3" t="s">
        <v>1293</v>
      </c>
      <c r="BN66" s="3">
        <v>3.42</v>
      </c>
      <c r="BO66" s="3">
        <v>15.66</v>
      </c>
      <c r="BP66" s="3">
        <v>23.58</v>
      </c>
      <c r="BQ66" s="3">
        <v>6.06</v>
      </c>
      <c r="BR66" s="3">
        <v>16.649999999999999</v>
      </c>
      <c r="BS66" s="3">
        <v>23.88</v>
      </c>
      <c r="BT66" s="3" t="s">
        <v>1368</v>
      </c>
      <c r="BU66" s="3" t="s">
        <v>2998</v>
      </c>
      <c r="BV66" s="3">
        <v>36.409999999999997</v>
      </c>
      <c r="BW66" s="3">
        <v>37.1</v>
      </c>
      <c r="BX66" s="3">
        <v>40.03</v>
      </c>
      <c r="BY66" s="3">
        <v>9.2899999999999991</v>
      </c>
      <c r="BZ66" s="3">
        <v>13.2</v>
      </c>
      <c r="CA66" s="3">
        <v>17.329999999999998</v>
      </c>
      <c r="CB66" s="3">
        <v>-3.62</v>
      </c>
      <c r="CC66" s="3">
        <v>0.53</v>
      </c>
      <c r="CD66" s="3" t="s">
        <v>3904</v>
      </c>
      <c r="CE66" s="3" t="s">
        <v>176</v>
      </c>
      <c r="CF66" s="10">
        <v>-0.41361702127659572</v>
      </c>
      <c r="CG66" s="11">
        <v>-0.3105608756756757</v>
      </c>
      <c r="CH66" s="10">
        <v>-0.7514878511428833</v>
      </c>
      <c r="CI66" s="10">
        <v>0.16077035665512085</v>
      </c>
      <c r="CJ66" s="10">
        <v>0.74470424652099609</v>
      </c>
      <c r="CK66" s="10">
        <v>0.1611534059047699</v>
      </c>
      <c r="CL66" s="10">
        <v>-4.6432283706963062E-3</v>
      </c>
      <c r="CM66" s="11">
        <v>-0.82393395900726318</v>
      </c>
      <c r="CN66" s="11">
        <v>-0.10467980057001114</v>
      </c>
      <c r="CO66" s="11">
        <v>6.0608696937561035</v>
      </c>
      <c r="CP66" s="11">
        <v>-0.2721518874168396</v>
      </c>
      <c r="CQ66" s="11">
        <v>-0.44169610738754272</v>
      </c>
      <c r="CR66" s="3">
        <v>64.549846153846147</v>
      </c>
      <c r="CS66" s="3">
        <v>10.394602974625149</v>
      </c>
      <c r="CT66" s="3">
        <v>0</v>
      </c>
      <c r="CU66" s="10">
        <v>6.2099385913461445E-2</v>
      </c>
      <c r="CV66" s="11">
        <v>0.88368158787488937</v>
      </c>
      <c r="CW66" s="3">
        <v>0.06</v>
      </c>
      <c r="CX66" s="3">
        <v>148.98397625134569</v>
      </c>
      <c r="CY66" s="3">
        <v>128253510.75181422</v>
      </c>
      <c r="CZ66" s="3">
        <v>6.2099385913461445E-2</v>
      </c>
      <c r="DA66" s="3">
        <v>49.854212233014195</v>
      </c>
      <c r="DB66" s="3">
        <v>383271887.0512327</v>
      </c>
      <c r="DC66" s="3">
        <v>5.899441661778837E-2</v>
      </c>
      <c r="DD66" s="3">
        <v>25.323650586594191</v>
      </c>
      <c r="DE66" s="3">
        <v>754540421.99252367</v>
      </c>
      <c r="DF66" s="3">
        <v>5.4647459603846073E-2</v>
      </c>
      <c r="DG66" s="3">
        <v>15.746994612067114</v>
      </c>
      <c r="DH66" s="3">
        <v>1213419987.1610754</v>
      </c>
      <c r="DI66" s="3">
        <v>4.9679508730769158E-2</v>
      </c>
      <c r="DJ66" s="3">
        <v>8.767190468467561</v>
      </c>
      <c r="DK66" s="3">
        <v>2179457383.608079</v>
      </c>
      <c r="DL66" s="3">
        <v>4.3469570139423007E-2</v>
      </c>
      <c r="DM66" s="3">
        <v>128000000</v>
      </c>
      <c r="DN66" s="3">
        <v>6.2099385913461445E-2</v>
      </c>
      <c r="DO66" s="3">
        <v>19107718000</v>
      </c>
      <c r="DP66" s="3">
        <v>4529422700</v>
      </c>
      <c r="DQ66" s="3">
        <v>4626</v>
      </c>
      <c r="DR66" s="3">
        <v>-0.47571640719005714</v>
      </c>
      <c r="DS66" s="3">
        <v>-1.1942424635505651</v>
      </c>
      <c r="DT66" s="12">
        <v>-0.24000000000000007</v>
      </c>
      <c r="DU66" s="3">
        <v>-0.40333333333333332</v>
      </c>
      <c r="DV66" s="3">
        <v>-0.64333333333333342</v>
      </c>
      <c r="DW66" s="3">
        <v>-4.1464088397790055</v>
      </c>
      <c r="DX66" s="3">
        <v>0.3404253968253953</v>
      </c>
      <c r="DY66" s="3">
        <v>-4.026415873015873</v>
      </c>
      <c r="DZ66" s="3">
        <v>357</v>
      </c>
      <c r="EA66" s="3">
        <v>-4.0245703805175035</v>
      </c>
      <c r="EB66" s="3">
        <v>4</v>
      </c>
      <c r="EC66" s="3">
        <v>5.4344171513739381E-2</v>
      </c>
      <c r="ED66" s="3">
        <v>0.30120023272737984</v>
      </c>
      <c r="EE66" s="13">
        <v>-1.02461</v>
      </c>
      <c r="EF66" s="3">
        <v>-1.03691</v>
      </c>
      <c r="EG66" s="3">
        <v>16.180425396825395</v>
      </c>
      <c r="EH66" s="3" t="s">
        <v>1386</v>
      </c>
      <c r="EI66" s="3">
        <v>0</v>
      </c>
      <c r="EJ66" s="3">
        <v>1</v>
      </c>
      <c r="EK66" s="14">
        <v>45470</v>
      </c>
      <c r="EL66" s="15">
        <v>0.9</v>
      </c>
      <c r="EM66" s="15">
        <v>-1.91</v>
      </c>
      <c r="EN66" s="15">
        <v>-1.92</v>
      </c>
      <c r="EO66" s="15">
        <v>1.82</v>
      </c>
      <c r="EP66" s="15">
        <v>-1.23</v>
      </c>
    </row>
    <row r="67" spans="1:146" ht="96" x14ac:dyDescent="0.25">
      <c r="C67" s="7" t="str">
        <f>""&amp;CHAR(10)&amp;Basic_Fundamental_Information_Constructure(F67)&amp;CHAR(10)&amp;Basic_Fundamental_Information_Concatenate("")</f>
        <v xml:space="preserve">
市值83.496923亿, 利润-5565.83万; PE; 平均PE-8532.43; 平均PEG-75.27, PB5.99; ROIC0%; ROE-4.1433%; 股利率0%; 毛利38.1367%; 净利-8.9833%; 上一年度营收增-86.37%, 利润增-193.03%; 当季营收增-64.85%, 利润增30.72%; 过往5年营收增113.36%, 利润增17.68%
Income profile:
</v>
      </c>
      <c r="D67" s="3" t="s">
        <v>954</v>
      </c>
      <c r="E67" s="3" t="s">
        <v>1620</v>
      </c>
      <c r="F67" s="3">
        <v>20.83</v>
      </c>
      <c r="G67" s="3">
        <v>-1.65</v>
      </c>
      <c r="H67" s="3" t="s">
        <v>3905</v>
      </c>
      <c r="I67" s="3">
        <v>8349692300</v>
      </c>
      <c r="K67" s="3">
        <v>5.99</v>
      </c>
      <c r="L67" s="3" t="s">
        <v>2983</v>
      </c>
      <c r="M67" s="3" t="s">
        <v>385</v>
      </c>
      <c r="N67" s="3" t="s">
        <v>2374</v>
      </c>
      <c r="O67" s="3" t="s">
        <v>359</v>
      </c>
      <c r="P67" s="3">
        <v>-24.29</v>
      </c>
      <c r="Q67" s="3" t="s">
        <v>359</v>
      </c>
      <c r="R67" s="3">
        <v>-55658295</v>
      </c>
      <c r="S67" s="4">
        <v>-9.11E-2</v>
      </c>
      <c r="T67" s="3" t="s">
        <v>3906</v>
      </c>
      <c r="U67" s="3">
        <v>192766340</v>
      </c>
      <c r="V67" s="3">
        <v>400849370</v>
      </c>
      <c r="W67" s="3">
        <v>1.0900000000000001</v>
      </c>
      <c r="X67" s="3">
        <v>0.09</v>
      </c>
      <c r="Y67" s="3">
        <v>-39.200000000000003</v>
      </c>
      <c r="Z67" s="3" t="s">
        <v>568</v>
      </c>
      <c r="AA67" s="3" t="s">
        <v>3907</v>
      </c>
      <c r="AB67" s="3" t="s">
        <v>3908</v>
      </c>
      <c r="AC67" s="3" t="s">
        <v>3909</v>
      </c>
      <c r="AD67" s="3" t="s">
        <v>22</v>
      </c>
      <c r="AE67" s="3">
        <v>-852254</v>
      </c>
      <c r="AF67" s="3" t="s">
        <v>2432</v>
      </c>
      <c r="AG67" s="3" t="s">
        <v>3910</v>
      </c>
      <c r="AH67" s="3" t="s">
        <v>2433</v>
      </c>
      <c r="AI67" s="3" t="s">
        <v>329</v>
      </c>
      <c r="AJ67" s="3" t="s">
        <v>2434</v>
      </c>
      <c r="AK67" s="3" t="s">
        <v>22</v>
      </c>
      <c r="AL67" s="3" t="s">
        <v>2435</v>
      </c>
      <c r="AM67" s="3" t="s">
        <v>22</v>
      </c>
      <c r="AN67" s="3" t="s">
        <v>2436</v>
      </c>
      <c r="AO67" s="3" t="s">
        <v>22</v>
      </c>
      <c r="AP67" s="3" t="s">
        <v>3911</v>
      </c>
      <c r="AQ67" s="3" t="s">
        <v>3912</v>
      </c>
      <c r="AR67" s="3" t="s">
        <v>22</v>
      </c>
      <c r="AS67" s="3" t="s">
        <v>3913</v>
      </c>
      <c r="AT67" s="3" t="s">
        <v>22</v>
      </c>
      <c r="AU67" s="3" t="s">
        <v>3914</v>
      </c>
      <c r="AV67" s="3" t="s">
        <v>3915</v>
      </c>
      <c r="AW67" s="3" t="s">
        <v>3916</v>
      </c>
      <c r="AX67" s="3" t="s">
        <v>1344</v>
      </c>
      <c r="AY67" s="3" t="s">
        <v>766</v>
      </c>
      <c r="AZ67" s="3" t="s">
        <v>585</v>
      </c>
      <c r="BA67" s="3" t="s">
        <v>141</v>
      </c>
      <c r="BB67" s="3" t="s">
        <v>956</v>
      </c>
      <c r="BC67" s="3" t="s">
        <v>1621</v>
      </c>
      <c r="BD67" s="3" t="s">
        <v>955</v>
      </c>
      <c r="BE67" s="3" t="s">
        <v>957</v>
      </c>
      <c r="BF67" s="3" t="s">
        <v>958</v>
      </c>
      <c r="BG67" s="3" t="s">
        <v>959</v>
      </c>
      <c r="BH67" s="3" t="s">
        <v>1877</v>
      </c>
      <c r="BI67" s="3" t="s">
        <v>1280</v>
      </c>
      <c r="BJ67" s="3" t="s">
        <v>1344</v>
      </c>
      <c r="BK67" s="3" t="s">
        <v>2431</v>
      </c>
      <c r="BL67" s="3" t="s">
        <v>3917</v>
      </c>
      <c r="BM67" s="3" t="s">
        <v>1621</v>
      </c>
      <c r="BN67" s="3" t="s">
        <v>22</v>
      </c>
      <c r="BO67" s="3" t="s">
        <v>22</v>
      </c>
      <c r="BP67" s="3" t="s">
        <v>22</v>
      </c>
      <c r="BQ67" s="3">
        <v>-8.85</v>
      </c>
      <c r="BR67" s="3">
        <v>3.84</v>
      </c>
      <c r="BS67" s="3">
        <v>-7.42</v>
      </c>
      <c r="BT67" s="3" t="s">
        <v>1368</v>
      </c>
      <c r="BU67" s="3" t="s">
        <v>2998</v>
      </c>
      <c r="BV67" s="3">
        <v>38.36</v>
      </c>
      <c r="BW67" s="3">
        <v>39.81</v>
      </c>
      <c r="BX67" s="3">
        <v>36.24</v>
      </c>
      <c r="BY67" s="3">
        <v>-28.14</v>
      </c>
      <c r="BZ67" s="3">
        <v>5.74</v>
      </c>
      <c r="CA67" s="3">
        <v>-4.55</v>
      </c>
      <c r="CB67" s="3">
        <v>-18.059999999999999</v>
      </c>
      <c r="CC67" s="3">
        <v>-7.42</v>
      </c>
      <c r="CD67" s="3" t="s">
        <v>3918</v>
      </c>
      <c r="CE67" s="3" t="s">
        <v>519</v>
      </c>
      <c r="CF67" s="10">
        <v>-0.64851485148514854</v>
      </c>
      <c r="CG67" s="11">
        <v>0.30717770203994244</v>
      </c>
      <c r="CH67" s="10">
        <v>-0.86372363567352295</v>
      </c>
      <c r="CI67" s="10">
        <v>0.53460973501205444</v>
      </c>
      <c r="CJ67" s="10">
        <v>1.416370153427124</v>
      </c>
      <c r="CK67" s="10">
        <v>1.3032786846160889</v>
      </c>
      <c r="CL67" s="10">
        <v>3.2776546478271484</v>
      </c>
      <c r="CM67" s="11">
        <v>-1.9303052425384521</v>
      </c>
      <c r="CN67" s="11">
        <v>2.9393758773803711</v>
      </c>
      <c r="CO67" s="11">
        <v>-3.9860353469848633</v>
      </c>
      <c r="CP67" s="11">
        <v>-1.1723685264587402</v>
      </c>
      <c r="CQ67" s="11">
        <v>5.0332822799682617</v>
      </c>
      <c r="CR67" s="3">
        <v>-8532.4284765392149</v>
      </c>
      <c r="CS67" s="3">
        <v>-75.265905879405807</v>
      </c>
      <c r="CT67" s="3">
        <v>0</v>
      </c>
      <c r="CU67" s="10">
        <v>1.1336379170417785</v>
      </c>
      <c r="CV67" s="11">
        <v>0.17678980827331542</v>
      </c>
      <c r="CW67" s="3">
        <v>0.06</v>
      </c>
      <c r="CX67" s="3" t="e">
        <v>#VALUE!</v>
      </c>
      <c r="CY67" s="3" t="s">
        <v>1073</v>
      </c>
      <c r="CZ67" s="3">
        <v>1.1336379170417785</v>
      </c>
      <c r="DA67" s="3" t="e">
        <v>#VALUE!</v>
      </c>
      <c r="DB67" s="3" t="s">
        <v>1074</v>
      </c>
      <c r="DC67" s="3">
        <v>1.0769560211896896</v>
      </c>
      <c r="DD67" s="3" t="e">
        <v>#VALUE!</v>
      </c>
      <c r="DE67" s="3" t="s">
        <v>1074</v>
      </c>
      <c r="DF67" s="3">
        <v>0.99760136699676505</v>
      </c>
      <c r="DG67" s="3" t="e">
        <v>#VALUE!</v>
      </c>
      <c r="DH67" s="3" t="s">
        <v>1074</v>
      </c>
      <c r="DI67" s="3">
        <v>0.90691033363342288</v>
      </c>
      <c r="DJ67" s="3" t="e">
        <v>#VALUE!</v>
      </c>
      <c r="DK67" s="3" t="s">
        <v>1074</v>
      </c>
      <c r="DL67" s="3">
        <v>0.7935465419292449</v>
      </c>
      <c r="DM67" s="3">
        <v>-55658300</v>
      </c>
      <c r="DN67" s="3">
        <v>1.1336379170417785</v>
      </c>
      <c r="DO67" s="3">
        <v>7139692300</v>
      </c>
      <c r="DP67" s="3">
        <v>1324576400</v>
      </c>
      <c r="DQ67" s="3">
        <v>4633</v>
      </c>
      <c r="DR67" s="3">
        <v>-1.7821527685269269</v>
      </c>
      <c r="DS67" s="3">
        <v>0.13038789376662702</v>
      </c>
      <c r="DT67" s="12">
        <v>0.40833333333333344</v>
      </c>
      <c r="DU67" s="3">
        <v>-1.7625000000000004</v>
      </c>
      <c r="DV67" s="3">
        <v>-1.354166666666667</v>
      </c>
      <c r="DW67" s="3">
        <v>-5.4108527131782944</v>
      </c>
      <c r="DX67" s="3">
        <v>0.29552769230769316</v>
      </c>
      <c r="DY67" s="3">
        <v>-5.063898974358974</v>
      </c>
      <c r="DZ67" s="3">
        <v>4006</v>
      </c>
      <c r="EA67" s="3">
        <v>-5.0138051795875356</v>
      </c>
      <c r="EB67" s="3">
        <v>5</v>
      </c>
      <c r="EC67" s="3">
        <v>7.565909358919537E-2</v>
      </c>
      <c r="ED67" s="3">
        <v>0.48646702376007228</v>
      </c>
      <c r="EE67" s="13">
        <v>6.0430000000000001</v>
      </c>
      <c r="EF67" s="3">
        <v>6.0125999999999999</v>
      </c>
      <c r="EG67" s="3">
        <v>14.155527692307693</v>
      </c>
      <c r="EH67" s="3" t="s">
        <v>3919</v>
      </c>
      <c r="EI67" s="3">
        <v>0</v>
      </c>
      <c r="EJ67" s="3">
        <v>0</v>
      </c>
      <c r="EK67" s="14">
        <v>45470</v>
      </c>
      <c r="EL67" s="15">
        <v>1.53</v>
      </c>
      <c r="EM67" s="15">
        <v>-5.47</v>
      </c>
      <c r="EN67" s="15">
        <v>-2.04</v>
      </c>
      <c r="EO67" s="15">
        <v>6.84</v>
      </c>
      <c r="EP67" s="15">
        <v>-3.04</v>
      </c>
    </row>
    <row r="68" spans="1:146" ht="96" x14ac:dyDescent="0.25">
      <c r="C68" s="7" t="str">
        <f>""&amp;CHAR(10)&amp;Basic_Fundamental_Information_Constructure(F68)&amp;CHAR(10)&amp;Basic_Fundamental_Information_Concatenate("")</f>
        <v xml:space="preserve">
市值77.482158亿, 利润-4450.46万; PE; 平均PE138.2; 平均PEG83.62, PB2.26; ROIC8.12%; ROE10.1367%; 股利率0%; 毛利31.53%; 净利-4.2067%; 上一年度营收增-90.75%, 利润增-124.06%; 当季营收增-55.83%, 利润增40.75%; 过往5年营收增1.65%, 利润增205.13%
Income profile:
</v>
      </c>
      <c r="D68" s="3" t="s">
        <v>960</v>
      </c>
      <c r="E68" s="3" t="s">
        <v>961</v>
      </c>
      <c r="F68" s="3">
        <v>17.52</v>
      </c>
      <c r="G68" s="3">
        <v>0.81</v>
      </c>
      <c r="H68" s="3" t="s">
        <v>3920</v>
      </c>
      <c r="I68" s="3">
        <v>7748215800</v>
      </c>
      <c r="K68" s="3">
        <v>2.2599999999999998</v>
      </c>
      <c r="L68" s="3" t="s">
        <v>2983</v>
      </c>
      <c r="M68" s="3" t="s">
        <v>1072</v>
      </c>
      <c r="N68" s="3" t="s">
        <v>1554</v>
      </c>
      <c r="O68" s="3" t="s">
        <v>490</v>
      </c>
      <c r="P68" s="3">
        <v>-14.21</v>
      </c>
      <c r="Q68" s="3" t="s">
        <v>490</v>
      </c>
      <c r="R68" s="3">
        <v>-44504564</v>
      </c>
      <c r="S68" s="5">
        <v>-0.29499999999999998</v>
      </c>
      <c r="T68" s="3" t="s">
        <v>3921</v>
      </c>
      <c r="U68" s="3">
        <v>276536730</v>
      </c>
      <c r="V68" s="3">
        <v>442249760</v>
      </c>
      <c r="W68" s="3">
        <v>1.04</v>
      </c>
      <c r="X68" s="3">
        <v>0.03</v>
      </c>
      <c r="Y68" s="3">
        <v>-45.41</v>
      </c>
      <c r="Z68" s="3" t="s">
        <v>1072</v>
      </c>
      <c r="AA68" s="3" t="s">
        <v>3922</v>
      </c>
      <c r="AB68" s="3" t="s">
        <v>3923</v>
      </c>
      <c r="AC68" s="3" t="s">
        <v>3924</v>
      </c>
      <c r="AD68" s="3" t="s">
        <v>22</v>
      </c>
      <c r="AE68" s="3">
        <v>-10580085</v>
      </c>
      <c r="AF68" s="3" t="s">
        <v>2438</v>
      </c>
      <c r="AG68" s="3">
        <v>1156.3699999999999</v>
      </c>
      <c r="AH68" s="3" t="s">
        <v>2439</v>
      </c>
      <c r="AI68" s="3" t="s">
        <v>1307</v>
      </c>
      <c r="AJ68" s="3" t="s">
        <v>2440</v>
      </c>
      <c r="AK68" s="3" t="s">
        <v>22</v>
      </c>
      <c r="AL68" s="3" t="s">
        <v>2441</v>
      </c>
      <c r="AM68" s="3" t="s">
        <v>22</v>
      </c>
      <c r="AN68" s="3" t="s">
        <v>3925</v>
      </c>
      <c r="AO68" s="3" t="s">
        <v>3926</v>
      </c>
      <c r="AP68" s="3" t="s">
        <v>22</v>
      </c>
      <c r="AQ68" s="3" t="s">
        <v>3927</v>
      </c>
      <c r="AR68" s="3" t="s">
        <v>22</v>
      </c>
      <c r="AS68" s="3" t="s">
        <v>141</v>
      </c>
      <c r="AT68" s="3" t="s">
        <v>22</v>
      </c>
      <c r="AU68" s="3" t="s">
        <v>3928</v>
      </c>
      <c r="AV68" s="3" t="s">
        <v>3929</v>
      </c>
      <c r="AW68" s="3" t="s">
        <v>3930</v>
      </c>
      <c r="AX68" s="3" t="s">
        <v>1622</v>
      </c>
      <c r="AY68" s="3" t="s">
        <v>962</v>
      </c>
      <c r="AZ68" s="3" t="s">
        <v>442</v>
      </c>
      <c r="BA68" s="3" t="s">
        <v>895</v>
      </c>
      <c r="BB68" s="3" t="s">
        <v>844</v>
      </c>
      <c r="BC68" s="3" t="s">
        <v>385</v>
      </c>
      <c r="BD68" s="3" t="s">
        <v>373</v>
      </c>
      <c r="BE68" s="3" t="s">
        <v>963</v>
      </c>
      <c r="BF68" s="3" t="s">
        <v>964</v>
      </c>
      <c r="BG68" s="3" t="s">
        <v>965</v>
      </c>
      <c r="BH68" s="3" t="s">
        <v>1208</v>
      </c>
      <c r="BI68" s="3" t="s">
        <v>364</v>
      </c>
      <c r="BJ68" s="3" t="s">
        <v>1622</v>
      </c>
      <c r="BK68" s="3" t="s">
        <v>2437</v>
      </c>
      <c r="BL68" s="3" t="s">
        <v>3931</v>
      </c>
      <c r="BM68" s="3" t="s">
        <v>385</v>
      </c>
      <c r="BN68" s="3" t="s">
        <v>22</v>
      </c>
      <c r="BO68" s="3">
        <v>4.1900000000000004</v>
      </c>
      <c r="BP68" s="3">
        <v>12.05</v>
      </c>
      <c r="BQ68" s="3">
        <v>-3.82</v>
      </c>
      <c r="BR68" s="3">
        <v>4.74</v>
      </c>
      <c r="BS68" s="3">
        <v>29.49</v>
      </c>
      <c r="BT68" s="3" t="s">
        <v>1368</v>
      </c>
      <c r="BU68" s="3" t="s">
        <v>2998</v>
      </c>
      <c r="BV68" s="3">
        <v>11.89</v>
      </c>
      <c r="BW68" s="3">
        <v>40.58</v>
      </c>
      <c r="BX68" s="3">
        <v>42.12</v>
      </c>
      <c r="BY68" s="3">
        <v>-56.64</v>
      </c>
      <c r="BZ68" s="3">
        <v>18.97</v>
      </c>
      <c r="CA68" s="3">
        <v>25.05</v>
      </c>
      <c r="CB68" s="3">
        <v>-8.1300000000000008</v>
      </c>
      <c r="CC68" s="3">
        <v>-15.32</v>
      </c>
      <c r="CD68" s="3" t="s">
        <v>3932</v>
      </c>
      <c r="CE68" s="3" t="s">
        <v>760</v>
      </c>
      <c r="CF68" s="10">
        <v>-0.55833333333333335</v>
      </c>
      <c r="CG68" s="11">
        <v>0.40745512765036779</v>
      </c>
      <c r="CH68" s="10">
        <v>-0.9075043797492981</v>
      </c>
      <c r="CI68" s="10">
        <v>1.0582010261714458E-2</v>
      </c>
      <c r="CJ68" s="10">
        <v>0.4464285671710968</v>
      </c>
      <c r="CK68" s="10">
        <v>0.5252918004989624</v>
      </c>
      <c r="CL68" s="10">
        <v>7.8431377187371254E-3</v>
      </c>
      <c r="CM68" s="11">
        <v>-1.2405654191970825</v>
      </c>
      <c r="CN68" s="11">
        <v>-0.29389312863349915</v>
      </c>
      <c r="CO68" s="11">
        <v>12.413128852844238</v>
      </c>
      <c r="CP68" s="11">
        <v>1.3059825897216797</v>
      </c>
      <c r="CQ68" s="11">
        <v>-1.9280210733413696</v>
      </c>
      <c r="CR68" s="3">
        <v>138.2009958708519</v>
      </c>
      <c r="CS68" s="3">
        <v>83.615135709203088</v>
      </c>
      <c r="CT68" s="3">
        <v>0</v>
      </c>
      <c r="CU68" s="10">
        <v>1.6528227180242539E-2</v>
      </c>
      <c r="CV68" s="11">
        <v>2.0513263642787933</v>
      </c>
      <c r="CW68" s="3">
        <v>0.06</v>
      </c>
      <c r="CX68" s="3" t="e">
        <v>#VALUE!</v>
      </c>
      <c r="CY68" s="3" t="s">
        <v>1073</v>
      </c>
      <c r="CZ68" s="3">
        <v>1.6528227180242539E-2</v>
      </c>
      <c r="DA68" s="3" t="e">
        <v>#VALUE!</v>
      </c>
      <c r="DB68" s="3" t="s">
        <v>1074</v>
      </c>
      <c r="DC68" s="3">
        <v>1.5701815821230411E-2</v>
      </c>
      <c r="DD68" s="3" t="e">
        <v>#VALUE!</v>
      </c>
      <c r="DE68" s="3" t="s">
        <v>1074</v>
      </c>
      <c r="DF68" s="3">
        <v>1.4544839918613434E-2</v>
      </c>
      <c r="DG68" s="3" t="e">
        <v>#VALUE!</v>
      </c>
      <c r="DH68" s="3" t="s">
        <v>1074</v>
      </c>
      <c r="DI68" s="3">
        <v>1.3222581744194032E-2</v>
      </c>
      <c r="DJ68" s="3" t="e">
        <v>#VALUE!</v>
      </c>
      <c r="DK68" s="3" t="s">
        <v>1074</v>
      </c>
      <c r="DL68" s="3">
        <v>1.1569759026169777E-2</v>
      </c>
      <c r="DM68" s="3">
        <v>-44504600</v>
      </c>
      <c r="DN68" s="3">
        <v>1.6528227180242539E-2</v>
      </c>
      <c r="DO68" s="3">
        <v>4297215800</v>
      </c>
      <c r="DP68" s="3">
        <v>3128240400</v>
      </c>
      <c r="DQ68" s="3">
        <v>4636</v>
      </c>
      <c r="DR68" s="3">
        <v>-0.57486156051357584</v>
      </c>
      <c r="DS68" s="3">
        <v>-1.6438712366284256</v>
      </c>
      <c r="DT68" s="12">
        <v>-0.52333333333333332</v>
      </c>
      <c r="DU68" s="3">
        <v>-1.2116666666666669</v>
      </c>
      <c r="DV68" s="3">
        <v>-1.7350000000000003</v>
      </c>
      <c r="DW68" s="3">
        <v>-9.530678851174935</v>
      </c>
      <c r="DX68" s="3">
        <v>0.30980474576271366</v>
      </c>
      <c r="DY68" s="3">
        <v>-9.0741914218701591</v>
      </c>
      <c r="DZ68" s="3">
        <v>169</v>
      </c>
      <c r="EA68" s="3">
        <v>-9.0717377329668221</v>
      </c>
      <c r="EB68" s="3">
        <v>9</v>
      </c>
      <c r="EC68" s="3">
        <v>9.3255901371207081E-2</v>
      </c>
      <c r="ED68" s="3">
        <v>0.66704388940765058</v>
      </c>
      <c r="EE68" s="13">
        <v>5.0275100000000004</v>
      </c>
      <c r="EF68" s="3">
        <v>5.0446099999999996</v>
      </c>
      <c r="EG68" s="3">
        <v>17.139804745762714</v>
      </c>
      <c r="EH68" s="3" t="s">
        <v>2955</v>
      </c>
      <c r="EI68" s="3">
        <v>0</v>
      </c>
      <c r="EJ68" s="3">
        <v>1</v>
      </c>
      <c r="EK68" s="14">
        <v>45470</v>
      </c>
      <c r="EL68" s="15">
        <v>0.21</v>
      </c>
      <c r="EM68" s="15">
        <v>-0.52</v>
      </c>
      <c r="EN68" s="15">
        <v>-2.63</v>
      </c>
      <c r="EO68" s="15">
        <v>4.13</v>
      </c>
      <c r="EP68" s="15">
        <v>-1.71</v>
      </c>
    </row>
    <row r="69" spans="1:146" ht="324" x14ac:dyDescent="0.25">
      <c r="A69" s="7" t="s">
        <v>1953</v>
      </c>
      <c r="B69" s="7" t="s">
        <v>1910</v>
      </c>
      <c r="C69" s="7" t="str">
        <f>"公司是一家拥有核心自主知识产权的高端半导体设备制造商，主要从事半导体专用设备的研发、生产、销售及技术服务，主要产品为化学机械抛光（CMP）设备。公司的发展目标是“装备+服务”的平台化公司；实控人（四川省政府国资委）"&amp;CHAR(10)&amp;Basic_Fundamental_Information_Constructure(F69)&amp;CHAR(10)&amp;Basic_Fundamental_Information_Concatenate("CMP设备 6.94亿 86.19% 82.42% 42.78%
配套材料及技术服务 1.11亿 13.81% 17.58% 56.92%")</f>
        <v>公司是一家拥有核心自主知识产权的高端半导体设备制造商，主要从事半导体专用设备的研发、生产、销售及技术服务，主要产品为化学机械抛光（CMP）设备。公司的发展目标是“装备+服务”的平台化公司；实控人（四川省政府国资委）
市值292.37892亿, 利润2.02亿; PE39.94; 平均PE216.56; 平均PEG1.48, PB5.09; ROIC15.8767%; ROE18.4533%; 股利率.4453%; 毛利46.1567%; 净利27.97%; 上一年度营收增-58.76%, 利润增-59.76%; 当季营收增-44.89%, 利润增-45.95%; 过往5年营收增145.84%, 利润增5.7%
Income profile:
CMP设备 6.94亿 86.19% 82.42% 42.78%
配套材料及技术服务 1.11亿 13.81% 17.58% 56.92%</v>
      </c>
      <c r="D69" s="3" t="s">
        <v>1110</v>
      </c>
      <c r="E69" s="3" t="s">
        <v>1111</v>
      </c>
      <c r="F69" s="3">
        <v>123.51</v>
      </c>
      <c r="G69" s="3">
        <v>-0.64</v>
      </c>
      <c r="H69" s="3" t="s">
        <v>3933</v>
      </c>
      <c r="I69" s="3">
        <v>29237892000</v>
      </c>
      <c r="J69" s="3">
        <v>39.94</v>
      </c>
      <c r="K69" s="3">
        <v>5.09</v>
      </c>
      <c r="L69" s="3" t="s">
        <v>2983</v>
      </c>
      <c r="M69" s="3" t="s">
        <v>1624</v>
      </c>
      <c r="N69" s="3" t="s">
        <v>1843</v>
      </c>
      <c r="O69" s="3" t="s">
        <v>1871</v>
      </c>
      <c r="P69" s="3">
        <v>10.4</v>
      </c>
      <c r="Q69" s="3" t="s">
        <v>1871</v>
      </c>
      <c r="R69" s="3">
        <v>202145760</v>
      </c>
      <c r="S69" s="5">
        <v>4.2700000000000002E-2</v>
      </c>
      <c r="T69" s="3" t="s">
        <v>258</v>
      </c>
      <c r="U69" s="3">
        <v>169972620</v>
      </c>
      <c r="V69" s="3">
        <v>236724890</v>
      </c>
      <c r="W69" s="3">
        <v>1.69</v>
      </c>
      <c r="X69" s="3">
        <v>7.0000000000000007E-2</v>
      </c>
      <c r="Y69" s="3">
        <v>29.72</v>
      </c>
      <c r="Z69" s="3" t="s">
        <v>844</v>
      </c>
      <c r="AA69" s="3" t="s">
        <v>189</v>
      </c>
      <c r="AB69" s="3" t="s">
        <v>3934</v>
      </c>
      <c r="AC69" s="3" t="s">
        <v>3935</v>
      </c>
      <c r="AD69" s="3" t="s">
        <v>22</v>
      </c>
      <c r="AE69" s="3">
        <v>-9944479</v>
      </c>
      <c r="AF69" s="3" t="s">
        <v>2443</v>
      </c>
      <c r="AG69" s="3" t="s">
        <v>3936</v>
      </c>
      <c r="AH69" s="3" t="s">
        <v>2444</v>
      </c>
      <c r="AI69" s="3" t="s">
        <v>3937</v>
      </c>
      <c r="AJ69" s="3" t="s">
        <v>2445</v>
      </c>
      <c r="AK69" s="3" t="s">
        <v>3938</v>
      </c>
      <c r="AL69" s="3" t="s">
        <v>2446</v>
      </c>
      <c r="AM69" s="3" t="s">
        <v>22</v>
      </c>
      <c r="AN69" s="3" t="s">
        <v>465</v>
      </c>
      <c r="AO69" s="3" t="s">
        <v>22</v>
      </c>
      <c r="AP69" s="3" t="s">
        <v>476</v>
      </c>
      <c r="AQ69" s="3" t="s">
        <v>3939</v>
      </c>
      <c r="AR69" s="3" t="s">
        <v>22</v>
      </c>
      <c r="AS69" s="3" t="s">
        <v>3940</v>
      </c>
      <c r="AT69" s="3" t="s">
        <v>211</v>
      </c>
      <c r="AU69" s="3" t="s">
        <v>355</v>
      </c>
      <c r="AV69" s="3" t="s">
        <v>3941</v>
      </c>
      <c r="AW69" s="3" t="s">
        <v>3942</v>
      </c>
      <c r="AX69" s="3" t="s">
        <v>1218</v>
      </c>
      <c r="AY69" s="3" t="s">
        <v>1112</v>
      </c>
      <c r="AZ69" s="3" t="s">
        <v>785</v>
      </c>
      <c r="BA69" s="3" t="s">
        <v>28</v>
      </c>
      <c r="BB69" s="3" t="s">
        <v>1113</v>
      </c>
      <c r="BC69" s="3" t="s">
        <v>817</v>
      </c>
      <c r="BD69" s="3" t="s">
        <v>697</v>
      </c>
      <c r="BE69" s="3" t="s">
        <v>1114</v>
      </c>
      <c r="BF69" s="3" t="s">
        <v>1070</v>
      </c>
      <c r="BG69" s="3" t="s">
        <v>1115</v>
      </c>
      <c r="BH69" s="3" t="s">
        <v>2442</v>
      </c>
      <c r="BI69" s="3" t="s">
        <v>1581</v>
      </c>
      <c r="BJ69" s="3" t="s">
        <v>1218</v>
      </c>
      <c r="BK69" s="3" t="s">
        <v>755</v>
      </c>
      <c r="BL69" s="3" t="s">
        <v>801</v>
      </c>
      <c r="BM69" s="3" t="s">
        <v>817</v>
      </c>
      <c r="BN69" s="3">
        <v>9.91</v>
      </c>
      <c r="BO69" s="3">
        <v>16.149999999999999</v>
      </c>
      <c r="BP69" s="3">
        <v>21.57</v>
      </c>
      <c r="BQ69" s="3">
        <v>11.15</v>
      </c>
      <c r="BR69" s="3">
        <v>16.23</v>
      </c>
      <c r="BS69" s="3">
        <v>27.98</v>
      </c>
      <c r="BT69" s="3" t="s">
        <v>1615</v>
      </c>
      <c r="BU69" s="3" t="s">
        <v>1212</v>
      </c>
      <c r="BV69" s="3">
        <v>46.02</v>
      </c>
      <c r="BW69" s="3">
        <v>47.72</v>
      </c>
      <c r="BX69" s="3">
        <v>44.73</v>
      </c>
      <c r="BY69" s="3">
        <v>28.86</v>
      </c>
      <c r="BZ69" s="3">
        <v>30.42</v>
      </c>
      <c r="CA69" s="3">
        <v>24.63</v>
      </c>
      <c r="CB69" s="3">
        <v>-2.65</v>
      </c>
      <c r="CC69" s="3">
        <v>6.03</v>
      </c>
      <c r="CD69" s="3" t="s">
        <v>3943</v>
      </c>
      <c r="CE69" s="3" t="s">
        <v>3944</v>
      </c>
      <c r="CF69" s="10">
        <v>-0.44894651539708263</v>
      </c>
      <c r="CG69" s="11">
        <v>-0.45950331550802137</v>
      </c>
      <c r="CH69" s="10">
        <v>-0.58762884140014648</v>
      </c>
      <c r="CI69" s="10">
        <v>1.0484471321105957</v>
      </c>
      <c r="CJ69" s="10">
        <v>1.0854922533035278</v>
      </c>
      <c r="CK69" s="10">
        <v>0.82938390970230103</v>
      </c>
      <c r="CL69" s="10">
        <v>4.9164128303527832</v>
      </c>
      <c r="CM69" s="11">
        <v>-0.59760957956314087</v>
      </c>
      <c r="CN69" s="11">
        <v>1.5353535413742065</v>
      </c>
      <c r="CO69" s="11">
        <v>1.0247945785522461</v>
      </c>
      <c r="CP69" s="11">
        <v>1.634985089302063</v>
      </c>
      <c r="CQ69" s="11">
        <v>-3.3123483657836914</v>
      </c>
      <c r="CR69" s="3">
        <v>216.55657868277348</v>
      </c>
      <c r="CS69" s="3">
        <v>1.4848696696761499</v>
      </c>
      <c r="CT69" s="3">
        <v>0.44530807222087276</v>
      </c>
      <c r="CU69" s="10">
        <v>1.4584214568138123</v>
      </c>
      <c r="CV69" s="11">
        <v>5.7035052776336671E-2</v>
      </c>
      <c r="CW69" s="3">
        <v>0.06</v>
      </c>
      <c r="CX69" s="3">
        <v>57.832178659535167</v>
      </c>
      <c r="CY69" s="3">
        <v>468491636.10980189</v>
      </c>
      <c r="CZ69" s="3">
        <v>1.4584214568138123</v>
      </c>
      <c r="DA69" s="3">
        <v>7.1676881803452179</v>
      </c>
      <c r="DB69" s="3">
        <v>3780004280.0822668</v>
      </c>
      <c r="DC69" s="3">
        <v>1.3855003839731217</v>
      </c>
      <c r="DD69" s="3">
        <v>0.72645252833732821</v>
      </c>
      <c r="DE69" s="3">
        <v>37296163125.774063</v>
      </c>
      <c r="DF69" s="3">
        <v>1.2834108819961549</v>
      </c>
      <c r="DG69" s="3">
        <v>5.3838849087561452E-2</v>
      </c>
      <c r="DH69" s="3">
        <v>503240549513.52185</v>
      </c>
      <c r="DI69" s="3">
        <v>1.1667371654510499</v>
      </c>
      <c r="DJ69" s="3">
        <v>1.5845119771837264E-4</v>
      </c>
      <c r="DK69" s="3">
        <v>170992030291598.25</v>
      </c>
      <c r="DL69" s="3">
        <v>1.0208950197696685</v>
      </c>
      <c r="DM69" s="3">
        <v>202000000</v>
      </c>
      <c r="DN69" s="3">
        <v>1.4584214568138123</v>
      </c>
      <c r="DO69" s="3">
        <v>27093892000</v>
      </c>
      <c r="DP69" s="3">
        <v>5307701400</v>
      </c>
      <c r="DQ69" s="3">
        <v>4646</v>
      </c>
      <c r="DR69" s="3">
        <v>-1.9073679722108949</v>
      </c>
      <c r="DS69" s="3">
        <v>-0.51653836828435806</v>
      </c>
      <c r="DT69" s="12">
        <v>0.75666666666666693</v>
      </c>
      <c r="DU69" s="3">
        <v>-0.20333333333333337</v>
      </c>
      <c r="DV69" s="3">
        <v>0.55333333333333357</v>
      </c>
      <c r="DW69" s="3">
        <v>-6.3052995391705071</v>
      </c>
      <c r="DX69" s="3">
        <v>0.33054131211551885</v>
      </c>
      <c r="DY69" s="3">
        <v>-6.058172174781812</v>
      </c>
      <c r="DZ69" s="3">
        <v>1072</v>
      </c>
      <c r="EA69" s="3">
        <v>-6.0459685404635923</v>
      </c>
      <c r="EB69" s="3">
        <v>6</v>
      </c>
      <c r="EC69" s="3">
        <v>3.4961258193002012E-2</v>
      </c>
      <c r="ED69" s="3">
        <v>0.18348387446710823</v>
      </c>
      <c r="EE69" s="13">
        <v>3.1248100000000001</v>
      </c>
      <c r="EF69" s="3">
        <v>3.1483099999999999</v>
      </c>
      <c r="EG69" s="3">
        <v>14.190541312115519</v>
      </c>
      <c r="EH69" s="3" t="s">
        <v>1418</v>
      </c>
      <c r="EI69" s="3">
        <v>0</v>
      </c>
      <c r="EJ69" s="3">
        <v>1</v>
      </c>
      <c r="EK69" s="14">
        <v>45470</v>
      </c>
      <c r="EL69" s="15">
        <v>-0.83</v>
      </c>
      <c r="EM69" s="15">
        <v>-5.2</v>
      </c>
      <c r="EN69" s="15">
        <v>-2.99</v>
      </c>
      <c r="EO69" s="15">
        <v>-0.75</v>
      </c>
      <c r="EP69" s="15">
        <v>-2.35</v>
      </c>
    </row>
    <row r="70" spans="1:146" ht="96" x14ac:dyDescent="0.25">
      <c r="C70" s="7" t="str">
        <f>""&amp;CHAR(10)&amp;Basic_Fundamental_Information_Constructure(F70)&amp;CHAR(10)&amp;Basic_Fundamental_Information_Concatenate("")</f>
        <v xml:space="preserve">
市值96.504991亿, 利润5109.06万; PE74.24; 平均PE68.34; 平均PEG11.2, PB4.82; ROIC9.7733%; ROE10.69%; 股利率.3289%; 毛利50.8%; 净利22.0467%; 上一年度营收增-74.8%, 利润增-85.57%; 当季营收增-22.08%, 利润增-19.62%; 过往5年营收增6.1%, 利润增40.96%
Income profile:
</v>
      </c>
      <c r="D70" s="3" t="s">
        <v>76</v>
      </c>
      <c r="E70" s="3" t="s">
        <v>77</v>
      </c>
      <c r="F70" s="3">
        <v>60.81</v>
      </c>
      <c r="G70" s="3">
        <v>2.93</v>
      </c>
      <c r="H70" s="3" t="s">
        <v>3945</v>
      </c>
      <c r="I70" s="3">
        <v>9650499100</v>
      </c>
      <c r="J70" s="3">
        <v>74.239999999999995</v>
      </c>
      <c r="K70" s="3">
        <v>4.82</v>
      </c>
      <c r="L70" s="3" t="s">
        <v>2983</v>
      </c>
      <c r="M70" s="3" t="s">
        <v>396</v>
      </c>
      <c r="N70" s="3" t="s">
        <v>2325</v>
      </c>
      <c r="O70" s="3" t="s">
        <v>439</v>
      </c>
      <c r="P70" s="3">
        <v>72.489999999999995</v>
      </c>
      <c r="Q70" s="3" t="s">
        <v>439</v>
      </c>
      <c r="R70" s="3">
        <v>51090568</v>
      </c>
      <c r="S70" s="5">
        <v>1.381</v>
      </c>
      <c r="T70" s="3" t="s">
        <v>3946</v>
      </c>
      <c r="U70" s="3">
        <v>158699210</v>
      </c>
      <c r="V70" s="3">
        <v>158699210</v>
      </c>
      <c r="W70" s="3">
        <v>1.05</v>
      </c>
      <c r="X70" s="3">
        <v>0.12</v>
      </c>
      <c r="Y70" s="3">
        <v>20.23</v>
      </c>
      <c r="Z70" s="3" t="s">
        <v>302</v>
      </c>
      <c r="AA70" s="3" t="s">
        <v>24</v>
      </c>
      <c r="AB70" s="3" t="s">
        <v>3947</v>
      </c>
      <c r="AC70" s="3" t="s">
        <v>3948</v>
      </c>
      <c r="AD70" s="3" t="s">
        <v>22</v>
      </c>
      <c r="AE70" s="3">
        <v>-3570961</v>
      </c>
      <c r="AF70" s="3" t="s">
        <v>2447</v>
      </c>
      <c r="AG70" s="3" t="s">
        <v>3949</v>
      </c>
      <c r="AH70" s="3" t="s">
        <v>2448</v>
      </c>
      <c r="AI70" s="3" t="s">
        <v>3950</v>
      </c>
      <c r="AJ70" s="3" t="s">
        <v>2449</v>
      </c>
      <c r="AK70" s="3" t="s">
        <v>3951</v>
      </c>
      <c r="AL70" s="3" t="s">
        <v>2450</v>
      </c>
      <c r="AM70" s="3" t="s">
        <v>22</v>
      </c>
      <c r="AN70" s="3" t="s">
        <v>3952</v>
      </c>
      <c r="AO70" s="3" t="s">
        <v>22</v>
      </c>
      <c r="AP70" s="3" t="s">
        <v>22</v>
      </c>
      <c r="AQ70" s="3" t="s">
        <v>3953</v>
      </c>
      <c r="AR70" s="3" t="s">
        <v>22</v>
      </c>
      <c r="AS70" s="3" t="s">
        <v>3954</v>
      </c>
      <c r="AT70" s="3" t="s">
        <v>22</v>
      </c>
      <c r="AU70" s="3" t="s">
        <v>3955</v>
      </c>
      <c r="AV70" s="3" t="s">
        <v>3956</v>
      </c>
      <c r="AW70" s="3" t="s">
        <v>3957</v>
      </c>
      <c r="AX70" s="3" t="s">
        <v>1549</v>
      </c>
      <c r="AY70" s="3" t="s">
        <v>588</v>
      </c>
      <c r="AZ70" s="3" t="s">
        <v>202</v>
      </c>
      <c r="BA70" s="3" t="s">
        <v>167</v>
      </c>
      <c r="BB70" s="3" t="s">
        <v>330</v>
      </c>
      <c r="BC70" s="3" t="s">
        <v>189</v>
      </c>
      <c r="BD70" s="3" t="s">
        <v>396</v>
      </c>
      <c r="BE70" s="3" t="s">
        <v>331</v>
      </c>
      <c r="BF70" s="3" t="s">
        <v>418</v>
      </c>
      <c r="BG70" s="3" t="s">
        <v>652</v>
      </c>
      <c r="BH70" s="3" t="s">
        <v>174</v>
      </c>
      <c r="BI70" s="3" t="s">
        <v>287</v>
      </c>
      <c r="BJ70" s="3" t="s">
        <v>1549</v>
      </c>
      <c r="BK70" s="3" t="s">
        <v>277</v>
      </c>
      <c r="BL70" s="3" t="s">
        <v>3958</v>
      </c>
      <c r="BM70" s="3" t="s">
        <v>189</v>
      </c>
      <c r="BN70" s="3">
        <v>3.15</v>
      </c>
      <c r="BO70" s="3">
        <v>19.649999999999999</v>
      </c>
      <c r="BP70" s="3">
        <v>6.52</v>
      </c>
      <c r="BQ70" s="3">
        <v>4.25</v>
      </c>
      <c r="BR70" s="3">
        <v>20.57</v>
      </c>
      <c r="BS70" s="3">
        <v>7.25</v>
      </c>
      <c r="BT70" s="3" t="s">
        <v>1379</v>
      </c>
      <c r="BU70" s="3" t="s">
        <v>2998</v>
      </c>
      <c r="BV70" s="3">
        <v>46.59</v>
      </c>
      <c r="BW70" s="3">
        <v>67.03</v>
      </c>
      <c r="BX70" s="3">
        <v>38.78</v>
      </c>
      <c r="BY70" s="3">
        <v>11.76</v>
      </c>
      <c r="BZ70" s="3">
        <v>35.32</v>
      </c>
      <c r="CA70" s="3">
        <v>19.059999999999999</v>
      </c>
      <c r="CB70" s="3">
        <v>-0.03</v>
      </c>
      <c r="CC70" s="3">
        <v>17.420000000000002</v>
      </c>
      <c r="CD70" s="3" t="s">
        <v>3959</v>
      </c>
      <c r="CE70" s="3" t="s">
        <v>3960</v>
      </c>
      <c r="CF70" s="10">
        <v>-0.22082018927444785</v>
      </c>
      <c r="CG70" s="11">
        <v>-0.19616340247709194</v>
      </c>
      <c r="CH70" s="10">
        <v>-0.7479591965675354</v>
      </c>
      <c r="CI70" s="10">
        <v>0.80147057771682739</v>
      </c>
      <c r="CJ70" s="10">
        <v>0.10121457278728485</v>
      </c>
      <c r="CK70" s="10">
        <v>-3.7037037312984467E-2</v>
      </c>
      <c r="CL70" s="10">
        <v>0.1875</v>
      </c>
      <c r="CM70" s="11">
        <v>-0.85567629337310791</v>
      </c>
      <c r="CN70" s="11">
        <v>2.2777776718139648</v>
      </c>
      <c r="CO70" s="11">
        <v>-0.33742332458496094</v>
      </c>
      <c r="CP70" s="11">
        <v>0.71387356519699097</v>
      </c>
      <c r="CQ70" s="11">
        <v>0.24950180947780609</v>
      </c>
      <c r="CR70" s="3">
        <v>68.337268640445473</v>
      </c>
      <c r="CS70" s="3">
        <v>11.195896200373797</v>
      </c>
      <c r="CT70" s="3">
        <v>0.32889327413254399</v>
      </c>
      <c r="CU70" s="10">
        <v>6.1037783324718473E-2</v>
      </c>
      <c r="CV70" s="11">
        <v>0.40961068570613862</v>
      </c>
      <c r="CW70" s="3">
        <v>0.06</v>
      </c>
      <c r="CX70" s="3">
        <v>152.37396677376734</v>
      </c>
      <c r="CY70" s="3">
        <v>51140619.78559421</v>
      </c>
      <c r="CZ70" s="3">
        <v>6.1037783324718473E-2</v>
      </c>
      <c r="DA70" s="3">
        <v>51.034745707390137</v>
      </c>
      <c r="DB70" s="3">
        <v>152690074.02679387</v>
      </c>
      <c r="DC70" s="3">
        <v>5.798589415848255E-2</v>
      </c>
      <c r="DD70" s="3">
        <v>25.953986946124559</v>
      </c>
      <c r="DE70" s="3">
        <v>300242853.48434967</v>
      </c>
      <c r="DF70" s="3">
        <v>5.3713249325752256E-2</v>
      </c>
      <c r="DG70" s="3">
        <v>16.159890873211573</v>
      </c>
      <c r="DH70" s="3">
        <v>482212359.05235666</v>
      </c>
      <c r="DI70" s="3">
        <v>4.8830226659774781E-2</v>
      </c>
      <c r="DJ70" s="3">
        <v>9.0215458977039464</v>
      </c>
      <c r="DK70" s="3">
        <v>863765388.81027603</v>
      </c>
      <c r="DL70" s="3">
        <v>4.2726448327302928E-2</v>
      </c>
      <c r="DM70" s="3">
        <v>51090600.000000007</v>
      </c>
      <c r="DN70" s="3">
        <v>6.1037783324718473E-2</v>
      </c>
      <c r="DO70" s="3">
        <v>7792499100</v>
      </c>
      <c r="DP70" s="3">
        <v>1647578400</v>
      </c>
      <c r="DQ70" s="3">
        <v>4649</v>
      </c>
      <c r="DR70" s="3">
        <v>-0.28185797259916634</v>
      </c>
      <c r="DS70" s="3">
        <v>-0.60577408818323053</v>
      </c>
      <c r="DT70" s="12">
        <v>-0.37333333333333335</v>
      </c>
      <c r="DU70" s="3">
        <v>-3.6666666666666736E-2</v>
      </c>
      <c r="DV70" s="3">
        <v>-0.41000000000000009</v>
      </c>
      <c r="DW70" s="3">
        <v>3.016059523809524</v>
      </c>
      <c r="DX70" s="3">
        <v>0.33546579130084719</v>
      </c>
      <c r="DY70" s="3">
        <v>3.0020149208626767</v>
      </c>
      <c r="DZ70" s="3">
        <v>3530</v>
      </c>
      <c r="EA70" s="3">
        <v>3.0006230087990273</v>
      </c>
      <c r="EB70" s="3">
        <v>3</v>
      </c>
      <c r="EC70" s="3">
        <v>7.6972657897918961E-2</v>
      </c>
      <c r="ED70" s="3">
        <v>0.61349517744921356</v>
      </c>
      <c r="EE70" s="13">
        <v>-3.0249000000000001</v>
      </c>
      <c r="EF70" s="3">
        <v>-3.0103</v>
      </c>
      <c r="EG70" s="3">
        <v>21.125465791300847</v>
      </c>
      <c r="EH70" s="3" t="s">
        <v>1745</v>
      </c>
      <c r="EI70" s="3">
        <v>0</v>
      </c>
      <c r="EJ70" s="3">
        <v>0</v>
      </c>
      <c r="EK70" s="14">
        <v>45470</v>
      </c>
      <c r="EL70" s="15">
        <v>-2.09</v>
      </c>
      <c r="EM70" s="15">
        <v>-6.34</v>
      </c>
      <c r="EN70" s="15">
        <v>-1.19</v>
      </c>
      <c r="EO70" s="15">
        <v>3.01</v>
      </c>
      <c r="EP70" s="15">
        <v>-1.46</v>
      </c>
    </row>
    <row r="71" spans="1:146" ht="156" x14ac:dyDescent="0.25">
      <c r="A71" s="7" t="s">
        <v>1195</v>
      </c>
      <c r="C71" s="7" t="str">
        <f>"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amp;CHAR(10)&amp;Basic_Fundamental_Information_Constructure(F71)&amp;CHAR(10)&amp;Basic_Fundamental_Information_Concatenate("200mm及以下半导体硅片 9.90亿 60.13% 79.84% 29.00%
300mm半导体硅片分部 6.56亿 39.87% 20.16% 11.04%")</f>
        <v>公司的主营业务为从事半导体硅片及其他材料的研发,生产和销售。公司提供的产品类型涵盖300mm抛光片及外延片、200mm及以下抛光片、外延片及SOI硅片。产品主要应用于存储芯片、图像处理芯片、通用处理器芯片、功率器件、传感器、射频芯片、模拟芯片、分立器件等领域。
市值386.25311亿, 利润-1.98亿; PE; 平均PE823.68; 平均PEG57.67, PB2.9; ROIC1.4267%; ROE1.74%; 股利率.2845%; 毛利18.38%; 净利6.8367%; 上一年度营收增-79.86%, 利润增-160.92%; 当季营收增-53.94%, 利润增-205.73%; 过往5年营收增14.28%, 利润增-135.24%
Income profile:
200mm及以下半导体硅片 9.90亿 60.13% 79.84% 29.00%
300mm半导体硅片分部 6.56亿 39.87% 20.16% 11.04%</v>
      </c>
      <c r="D71" s="3" t="s">
        <v>87</v>
      </c>
      <c r="E71" s="3" t="s">
        <v>1623</v>
      </c>
      <c r="F71" s="3">
        <v>14.06</v>
      </c>
      <c r="G71" s="3">
        <v>1.96</v>
      </c>
      <c r="H71" s="3" t="s">
        <v>3961</v>
      </c>
      <c r="I71" s="3">
        <v>38625311000</v>
      </c>
      <c r="K71" s="3">
        <v>2.9</v>
      </c>
      <c r="L71" s="3" t="s">
        <v>2983</v>
      </c>
      <c r="M71" s="3" t="s">
        <v>2451</v>
      </c>
      <c r="N71" s="3" t="s">
        <v>3962</v>
      </c>
      <c r="O71" s="3" t="s">
        <v>1296</v>
      </c>
      <c r="P71" s="3">
        <v>-9.74</v>
      </c>
      <c r="Q71" s="3" t="s">
        <v>1296</v>
      </c>
      <c r="R71" s="3">
        <v>-197718960</v>
      </c>
      <c r="S71" s="5">
        <v>-2.887</v>
      </c>
      <c r="T71" s="3" t="s">
        <v>3963</v>
      </c>
      <c r="U71" s="3">
        <v>2720298400</v>
      </c>
      <c r="V71" s="3">
        <v>2747177200</v>
      </c>
      <c r="W71" s="3">
        <v>1.45</v>
      </c>
      <c r="X71" s="3">
        <v>0.03</v>
      </c>
      <c r="Y71" s="3">
        <v>-31.54</v>
      </c>
      <c r="Z71" s="3" t="s">
        <v>3964</v>
      </c>
      <c r="AA71" s="3" t="s">
        <v>2136</v>
      </c>
      <c r="AB71" s="3" t="s">
        <v>3965</v>
      </c>
      <c r="AC71" s="3" t="s">
        <v>3966</v>
      </c>
      <c r="AD71" s="3" t="s">
        <v>22</v>
      </c>
      <c r="AE71" s="3">
        <v>20490253</v>
      </c>
      <c r="AF71" s="3" t="s">
        <v>2452</v>
      </c>
      <c r="AG71" s="3" t="s">
        <v>3967</v>
      </c>
      <c r="AH71" s="3" t="s">
        <v>2453</v>
      </c>
      <c r="AI71" s="3" t="s">
        <v>3968</v>
      </c>
      <c r="AJ71" s="3" t="s">
        <v>2454</v>
      </c>
      <c r="AK71" s="3" t="s">
        <v>3969</v>
      </c>
      <c r="AL71" s="3" t="s">
        <v>2455</v>
      </c>
      <c r="AM71" s="3" t="s">
        <v>22</v>
      </c>
      <c r="AN71" s="3" t="s">
        <v>3970</v>
      </c>
      <c r="AO71" s="3" t="s">
        <v>555</v>
      </c>
      <c r="AP71" s="3" t="s">
        <v>3971</v>
      </c>
      <c r="AQ71" s="3" t="s">
        <v>1078</v>
      </c>
      <c r="AR71" s="3" t="s">
        <v>22</v>
      </c>
      <c r="AS71" s="3" t="s">
        <v>3972</v>
      </c>
      <c r="AT71" s="3" t="s">
        <v>3973</v>
      </c>
      <c r="AU71" s="3" t="s">
        <v>3974</v>
      </c>
      <c r="AV71" s="3" t="s">
        <v>3975</v>
      </c>
      <c r="AW71" s="3" t="s">
        <v>3976</v>
      </c>
      <c r="AX71" s="3" t="s">
        <v>1624</v>
      </c>
      <c r="AY71" s="3" t="s">
        <v>966</v>
      </c>
      <c r="AZ71" s="3" t="s">
        <v>387</v>
      </c>
      <c r="BA71" s="3" t="s">
        <v>295</v>
      </c>
      <c r="BB71" s="3" t="s">
        <v>654</v>
      </c>
      <c r="BC71" s="3" t="s">
        <v>600</v>
      </c>
      <c r="BD71" s="3" t="s">
        <v>494</v>
      </c>
      <c r="BE71" s="3" t="s">
        <v>653</v>
      </c>
      <c r="BF71" s="3" t="s">
        <v>419</v>
      </c>
      <c r="BG71" s="3" t="s">
        <v>655</v>
      </c>
      <c r="BH71" s="3" t="s">
        <v>1849</v>
      </c>
      <c r="BI71" s="3" t="s">
        <v>3977</v>
      </c>
      <c r="BJ71" s="3" t="s">
        <v>1624</v>
      </c>
      <c r="BK71" s="3" t="s">
        <v>446</v>
      </c>
      <c r="BL71" s="3" t="s">
        <v>446</v>
      </c>
      <c r="BM71" s="3" t="s">
        <v>600</v>
      </c>
      <c r="BN71" s="3">
        <v>0.76</v>
      </c>
      <c r="BO71" s="3">
        <v>1.95</v>
      </c>
      <c r="BP71" s="3">
        <v>1.57</v>
      </c>
      <c r="BQ71" s="3">
        <v>1.46</v>
      </c>
      <c r="BR71" s="3">
        <v>2.29</v>
      </c>
      <c r="BS71" s="3">
        <v>1.47</v>
      </c>
      <c r="BT71" s="3" t="s">
        <v>1611</v>
      </c>
      <c r="BU71" s="3" t="s">
        <v>1211</v>
      </c>
      <c r="BV71" s="3">
        <v>16.46</v>
      </c>
      <c r="BW71" s="3">
        <v>22.72</v>
      </c>
      <c r="BX71" s="3">
        <v>15.96</v>
      </c>
      <c r="BY71" s="3">
        <v>5.04</v>
      </c>
      <c r="BZ71" s="3">
        <v>9.57</v>
      </c>
      <c r="CA71" s="3">
        <v>5.9</v>
      </c>
      <c r="CB71" s="3">
        <v>1.81</v>
      </c>
      <c r="CC71" s="3">
        <v>9.93</v>
      </c>
      <c r="CD71" s="3" t="s">
        <v>3978</v>
      </c>
      <c r="CE71" s="3" t="s">
        <v>558</v>
      </c>
      <c r="CF71" s="10">
        <v>-0.53939008894536211</v>
      </c>
      <c r="CG71" s="11">
        <v>-2.0573206417112297</v>
      </c>
      <c r="CH71" s="10">
        <v>-0.7986111044883728</v>
      </c>
      <c r="CI71" s="10">
        <v>0.45926222205162048</v>
      </c>
      <c r="CJ71" s="10">
        <v>0.3622308075428009</v>
      </c>
      <c r="CK71" s="10">
        <v>0.21299406886100769</v>
      </c>
      <c r="CL71" s="10">
        <v>0.47821775078773499</v>
      </c>
      <c r="CM71" s="11">
        <v>-1.6092307567596436</v>
      </c>
      <c r="CN71" s="11">
        <v>1.2260273694992065</v>
      </c>
      <c r="CO71" s="11">
        <v>0.67679637670516968</v>
      </c>
      <c r="CP71" s="11">
        <v>1.9683732986450195</v>
      </c>
      <c r="CQ71" s="11">
        <v>-9.0239963531494141</v>
      </c>
      <c r="CR71" s="3">
        <v>823.67862753321344</v>
      </c>
      <c r="CS71" s="3">
        <v>57.673003970651777</v>
      </c>
      <c r="CT71" s="3">
        <v>0.28449502133712662</v>
      </c>
      <c r="CU71" s="10">
        <v>0.14281874895095825</v>
      </c>
      <c r="CV71" s="11">
        <v>-1.3524060130119324</v>
      </c>
      <c r="CW71" s="3">
        <v>0.06</v>
      </c>
      <c r="CX71" s="3" t="e">
        <v>#VALUE!</v>
      </c>
      <c r="CY71" s="3" t="s">
        <v>1073</v>
      </c>
      <c r="CZ71" s="3">
        <v>0.14281874895095825</v>
      </c>
      <c r="DA71" s="3" t="e">
        <v>#VALUE!</v>
      </c>
      <c r="DB71" s="3" t="s">
        <v>1074</v>
      </c>
      <c r="DC71" s="3">
        <v>0.13567781150341032</v>
      </c>
      <c r="DD71" s="3" t="e">
        <v>#VALUE!</v>
      </c>
      <c r="DE71" s="3" t="s">
        <v>1074</v>
      </c>
      <c r="DF71" s="3">
        <v>0.12568049907684326</v>
      </c>
      <c r="DG71" s="3" t="e">
        <v>#VALUE!</v>
      </c>
      <c r="DH71" s="3" t="s">
        <v>1074</v>
      </c>
      <c r="DI71" s="3">
        <v>0.1142549991607666</v>
      </c>
      <c r="DJ71" s="3" t="e">
        <v>#VALUE!</v>
      </c>
      <c r="DK71" s="3" t="s">
        <v>1074</v>
      </c>
      <c r="DL71" s="3">
        <v>9.9973124265670774E-2</v>
      </c>
      <c r="DM71" s="3">
        <v>-198000000</v>
      </c>
      <c r="DN71" s="3">
        <v>0.14281874895095825</v>
      </c>
      <c r="DO71" s="3">
        <v>28493311000</v>
      </c>
      <c r="DP71" s="3">
        <v>6700191700</v>
      </c>
      <c r="DQ71" s="3">
        <v>4651</v>
      </c>
      <c r="DR71" s="3">
        <v>-0.68220883789632036</v>
      </c>
      <c r="DS71" s="3">
        <v>-0.70491462869929733</v>
      </c>
      <c r="DT71" s="12">
        <v>-0.27333333333333343</v>
      </c>
      <c r="DU71" s="3">
        <v>-1.2666666666666666</v>
      </c>
      <c r="DV71" s="3">
        <v>-1.54</v>
      </c>
      <c r="DW71" s="3">
        <v>2.0992999999999999</v>
      </c>
      <c r="DX71" s="3">
        <v>0.39761062906724604</v>
      </c>
      <c r="DY71" s="3">
        <v>2.0086997354663776</v>
      </c>
      <c r="DZ71" s="3">
        <v>1052</v>
      </c>
      <c r="EA71" s="3">
        <v>2.0069087136051977</v>
      </c>
      <c r="EB71" s="3">
        <v>2</v>
      </c>
      <c r="EC71" s="3">
        <v>1.4701818288241473E-2</v>
      </c>
      <c r="ED71" s="3">
        <v>0.1678086146026547</v>
      </c>
      <c r="EE71" s="13">
        <v>-2.0441099999999999</v>
      </c>
      <c r="EF71" s="3">
        <v>-2.0508099999999998</v>
      </c>
      <c r="EG71" s="3">
        <v>31.087610629067246</v>
      </c>
      <c r="EH71" s="3" t="s">
        <v>1401</v>
      </c>
      <c r="EI71" s="3">
        <v>1</v>
      </c>
      <c r="EJ71" s="3">
        <v>1</v>
      </c>
      <c r="EK71" s="14">
        <v>45470</v>
      </c>
      <c r="EL71" s="15">
        <v>1.01</v>
      </c>
      <c r="EM71" s="15">
        <v>-4.09</v>
      </c>
      <c r="EN71" s="15">
        <v>-4.05</v>
      </c>
      <c r="EO71" s="15">
        <v>2.68</v>
      </c>
      <c r="EP71" s="15">
        <v>-0.67</v>
      </c>
    </row>
    <row r="72" spans="1:146" ht="96" x14ac:dyDescent="0.25">
      <c r="C72" s="7" t="str">
        <f>""&amp;CHAR(10)&amp;Basic_Fundamental_Information_Constructure(F72)&amp;CHAR(10)&amp;Basic_Fundamental_Information_Concatenate("")</f>
        <v xml:space="preserve">
市值18.789888亿, 利润-114.29万; PE; 平均PE52.4; 平均PEG2.11, PB1.48; ROIC16.575%; ROE11.4633%; 股利率0%; 毛利67.3233%; 净利16.16%; 上一年度营收增-75.94%, 利润增-105.17%; 当季营收增-58.87%, 利润增-151.51%; 过往5年营收增24.86%, 利润增139.13%
Income profile:
</v>
      </c>
      <c r="D72" s="3" t="s">
        <v>1130</v>
      </c>
      <c r="E72" s="3" t="s">
        <v>1131</v>
      </c>
      <c r="F72" s="3">
        <v>28.23</v>
      </c>
      <c r="G72" s="3">
        <v>1.07</v>
      </c>
      <c r="H72" s="3" t="s">
        <v>3979</v>
      </c>
      <c r="I72" s="3">
        <v>1878988800</v>
      </c>
      <c r="K72" s="3">
        <v>1.48</v>
      </c>
      <c r="L72" s="3" t="s">
        <v>2983</v>
      </c>
      <c r="M72" s="3" t="s">
        <v>2457</v>
      </c>
      <c r="N72" s="3" t="s">
        <v>1955</v>
      </c>
      <c r="O72" s="3" t="s">
        <v>2458</v>
      </c>
      <c r="P72" s="3">
        <v>-8.81</v>
      </c>
      <c r="Q72" s="3" t="s">
        <v>2458</v>
      </c>
      <c r="R72" s="3">
        <v>-1142937</v>
      </c>
      <c r="S72" s="5">
        <v>-1.3859999999999999</v>
      </c>
      <c r="T72" s="3" t="s">
        <v>3980</v>
      </c>
      <c r="U72" s="3">
        <v>20894400</v>
      </c>
      <c r="V72" s="3">
        <v>66560000</v>
      </c>
      <c r="W72" s="3">
        <v>1.01</v>
      </c>
      <c r="X72" s="3">
        <v>0.02</v>
      </c>
      <c r="Y72" s="3">
        <v>-4.28</v>
      </c>
      <c r="Z72" s="3" t="s">
        <v>3981</v>
      </c>
      <c r="AA72" s="3" t="s">
        <v>3982</v>
      </c>
      <c r="AB72" s="3" t="s">
        <v>3983</v>
      </c>
      <c r="AC72" s="3" t="s">
        <v>3984</v>
      </c>
      <c r="AD72" s="3" t="s">
        <v>22</v>
      </c>
      <c r="AE72" s="3">
        <v>-434691</v>
      </c>
      <c r="AF72" s="3" t="s">
        <v>2460</v>
      </c>
      <c r="AG72" s="3">
        <v>97.35</v>
      </c>
      <c r="AH72" s="3" t="s">
        <v>2461</v>
      </c>
      <c r="AI72" s="3" t="s">
        <v>3985</v>
      </c>
      <c r="AJ72" s="3" t="s">
        <v>2462</v>
      </c>
      <c r="AK72" s="3" t="s">
        <v>22</v>
      </c>
      <c r="AL72" s="3" t="s">
        <v>2463</v>
      </c>
      <c r="AM72" s="3" t="s">
        <v>22</v>
      </c>
      <c r="AN72" s="3">
        <v>0</v>
      </c>
      <c r="AO72" s="3" t="s">
        <v>22</v>
      </c>
      <c r="AP72" s="3" t="s">
        <v>22</v>
      </c>
      <c r="AQ72" s="3" t="s">
        <v>3986</v>
      </c>
      <c r="AR72" s="3" t="s">
        <v>22</v>
      </c>
      <c r="AS72" s="3" t="s">
        <v>3987</v>
      </c>
      <c r="AT72" s="3" t="s">
        <v>22</v>
      </c>
      <c r="AU72" s="3" t="s">
        <v>3988</v>
      </c>
      <c r="AV72" s="3" t="s">
        <v>3989</v>
      </c>
      <c r="AW72" s="3" t="s">
        <v>3990</v>
      </c>
      <c r="AX72" s="3" t="s">
        <v>181</v>
      </c>
      <c r="AY72" s="3" t="s">
        <v>356</v>
      </c>
      <c r="AZ72" s="3" t="s">
        <v>183</v>
      </c>
      <c r="BA72" s="3" t="s">
        <v>1133</v>
      </c>
      <c r="BB72" s="3" t="s">
        <v>1134</v>
      </c>
      <c r="BC72" s="3" t="s">
        <v>1625</v>
      </c>
      <c r="BD72" s="3" t="s">
        <v>1132</v>
      </c>
      <c r="BE72" s="3" t="s">
        <v>277</v>
      </c>
      <c r="BF72" s="3" t="s">
        <v>1135</v>
      </c>
      <c r="BG72" s="3" t="s">
        <v>1136</v>
      </c>
      <c r="BH72" s="3" t="s">
        <v>166</v>
      </c>
      <c r="BI72" s="3" t="s">
        <v>3991</v>
      </c>
      <c r="BJ72" s="3" t="s">
        <v>181</v>
      </c>
      <c r="BK72" s="3" t="s">
        <v>2459</v>
      </c>
      <c r="BL72" s="3" t="s">
        <v>3992</v>
      </c>
      <c r="BM72" s="3" t="s">
        <v>1625</v>
      </c>
      <c r="BN72" s="3" t="s">
        <v>22</v>
      </c>
      <c r="BO72" s="3">
        <v>2.2000000000000002</v>
      </c>
      <c r="BP72" s="3">
        <v>30.95</v>
      </c>
      <c r="BQ72" s="3">
        <v>0.34</v>
      </c>
      <c r="BR72" s="3">
        <v>2.91</v>
      </c>
      <c r="BS72" s="3">
        <v>31.14</v>
      </c>
      <c r="BT72" s="3" t="s">
        <v>1383</v>
      </c>
      <c r="BU72" s="3" t="s">
        <v>3311</v>
      </c>
      <c r="BV72" s="3">
        <v>63.51</v>
      </c>
      <c r="BW72" s="3">
        <v>69.849999999999994</v>
      </c>
      <c r="BX72" s="3">
        <v>68.61</v>
      </c>
      <c r="BY72" s="3">
        <v>-16.05</v>
      </c>
      <c r="BZ72" s="3">
        <v>19.920000000000002</v>
      </c>
      <c r="CA72" s="3">
        <v>44.61</v>
      </c>
      <c r="CB72" s="3">
        <v>-7.02</v>
      </c>
      <c r="CC72" s="3">
        <v>-5.52</v>
      </c>
      <c r="CD72" s="3" t="s">
        <v>3993</v>
      </c>
      <c r="CE72" s="3" t="s">
        <v>3994</v>
      </c>
      <c r="CF72" s="10">
        <v>-0.58872576121825726</v>
      </c>
      <c r="CG72" s="11">
        <v>-1.5151149269875608</v>
      </c>
      <c r="CH72" s="10">
        <v>-0.75941532850265503</v>
      </c>
      <c r="CI72" s="10">
        <v>-0.35838150978088379</v>
      </c>
      <c r="CJ72" s="10">
        <v>-0.12182740867137909</v>
      </c>
      <c r="CK72" s="10">
        <v>2.2926845550537109</v>
      </c>
      <c r="CL72" s="10">
        <v>0.18995679914951324</v>
      </c>
      <c r="CM72" s="11">
        <v>-1.0516562461853027</v>
      </c>
      <c r="CN72" s="11">
        <v>-0.71396678686141968</v>
      </c>
      <c r="CO72" s="11">
        <v>-0.22648495435714722</v>
      </c>
      <c r="CP72" s="11">
        <v>7.9939379692077637</v>
      </c>
      <c r="CQ72" s="11">
        <v>0.95471245050430298</v>
      </c>
      <c r="CR72" s="3">
        <v>52.402676577713898</v>
      </c>
      <c r="CS72" s="3">
        <v>2.107882356250061</v>
      </c>
      <c r="CT72" s="3">
        <v>0</v>
      </c>
      <c r="CU72" s="10">
        <v>0.24860342144966124</v>
      </c>
      <c r="CV72" s="11">
        <v>1.3913084864616394</v>
      </c>
      <c r="CW72" s="3">
        <v>0.06</v>
      </c>
      <c r="CX72" s="3" t="e">
        <v>#VALUE!</v>
      </c>
      <c r="CY72" s="3" t="s">
        <v>1073</v>
      </c>
      <c r="CZ72" s="3">
        <v>0.24860342144966124</v>
      </c>
      <c r="DA72" s="3" t="e">
        <v>#VALUE!</v>
      </c>
      <c r="DB72" s="3" t="s">
        <v>1074</v>
      </c>
      <c r="DC72" s="3">
        <v>0.23617325037717818</v>
      </c>
      <c r="DD72" s="3" t="e">
        <v>#VALUE!</v>
      </c>
      <c r="DE72" s="3" t="s">
        <v>1074</v>
      </c>
      <c r="DF72" s="3">
        <v>0.21877101087570189</v>
      </c>
      <c r="DG72" s="3" t="e">
        <v>#VALUE!</v>
      </c>
      <c r="DH72" s="3" t="s">
        <v>1074</v>
      </c>
      <c r="DI72" s="3">
        <v>0.19888273715972901</v>
      </c>
      <c r="DJ72" s="3" t="e">
        <v>#VALUE!</v>
      </c>
      <c r="DK72" s="3" t="s">
        <v>1074</v>
      </c>
      <c r="DL72" s="3">
        <v>0.17402239501476285</v>
      </c>
      <c r="DM72" s="3">
        <v>-1142900</v>
      </c>
      <c r="DN72" s="3">
        <v>0.24860342144966124</v>
      </c>
      <c r="DO72" s="3">
        <v>631910800</v>
      </c>
      <c r="DP72" s="3">
        <v>1257013720</v>
      </c>
      <c r="DQ72" s="3">
        <v>4655</v>
      </c>
      <c r="DR72" s="3">
        <v>-0.83732918266791856</v>
      </c>
      <c r="DS72" s="3">
        <v>-2.9064234134492004</v>
      </c>
      <c r="DT72" s="12">
        <v>-0.4216666666666668</v>
      </c>
      <c r="DU72" s="3">
        <v>-1.55</v>
      </c>
      <c r="DV72" s="3">
        <v>-1.9716666666666669</v>
      </c>
      <c r="DW72" s="3">
        <v>-5.7863247863247862</v>
      </c>
      <c r="DX72" s="3">
        <v>0.32629991407769282</v>
      </c>
      <c r="DY72" s="3">
        <v>-5.1071760008132276</v>
      </c>
      <c r="DZ72" s="3">
        <v>706</v>
      </c>
      <c r="EA72" s="3">
        <v>-5.0923685142038071</v>
      </c>
      <c r="EB72" s="3">
        <v>5</v>
      </c>
      <c r="EC72" s="3">
        <v>8.1508413461538462E-2</v>
      </c>
      <c r="ED72" s="3">
        <v>0.59800781250000001</v>
      </c>
      <c r="EE72" s="13">
        <v>-3.0844100000000001</v>
      </c>
      <c r="EF72" s="3">
        <v>-3.1234099999999998</v>
      </c>
      <c r="EG72" s="3">
        <v>19.136299914077693</v>
      </c>
      <c r="EH72" s="3" t="s">
        <v>1838</v>
      </c>
      <c r="EI72" s="3">
        <v>0</v>
      </c>
      <c r="EJ72" s="3">
        <v>1</v>
      </c>
      <c r="EK72" s="14">
        <v>45470</v>
      </c>
      <c r="EL72" s="15">
        <v>0.4</v>
      </c>
      <c r="EM72" s="15">
        <v>-6.86</v>
      </c>
      <c r="EN72" s="15">
        <v>-3.03</v>
      </c>
      <c r="EO72" s="15">
        <v>5.05</v>
      </c>
      <c r="EP72" s="15">
        <v>-3.9</v>
      </c>
    </row>
    <row r="73" spans="1:146" ht="204" x14ac:dyDescent="0.25">
      <c r="A73" s="7" t="s">
        <v>1188</v>
      </c>
      <c r="B73" s="7" t="s">
        <v>1187</v>
      </c>
      <c r="C73" s="7" t="str">
        <f>"公司的主营业务有集成电路测试方案开发、晶圆测试服务、芯片成品测试服务以及与集成电路测试相关的配套服务。公司的主要产品有晶圆测试和成品测试。"&amp;CHAR(10)&amp;Basic_Fundamental_Information_Constructure(F73)&amp;CHAR(10)&amp;Basic_Fundamental_Information_Concatenate("芯片成品测试 2.66亿 67.98% 73.54% 57.10%
晶圆测试 1.08亿 27.71% 22.54% 42.93%
其他业务 1687.56万 4.31% 3.92% 47.97%")</f>
        <v>公司的主营业务有集成电路测试方案开发、晶圆测试服务、芯片成品测试服务以及与集成电路测试相关的配套服务。公司的主要产品有晶圆测试和成品测试。
市值28.844516亿, 利润33.85万; PE183; 平均PE64.8; 平均PEG4.43, PB2.56; ROIC5.2633%; ROE5.3767%; 股利率.6944%; 毛利40.1167%; 净利13.0433%; 上一年度营收增-74.12%, 利润增-98.94%; 当季营收增-52.05%, 利润增-98.4%; 过往5年营收增14.64%, 利润增40.54%
Income profile:
芯片成品测试 2.66亿 67.98% 73.54% 57.10%
晶圆测试 1.08亿 27.71% 22.54% 42.93%
其他业务 1687.56万 4.31% 3.92% 47.97%</v>
      </c>
      <c r="D73" s="3" t="s">
        <v>656</v>
      </c>
      <c r="E73" s="3" t="s">
        <v>657</v>
      </c>
      <c r="F73" s="3">
        <v>14.4</v>
      </c>
      <c r="G73" s="3">
        <v>0.14000000000000001</v>
      </c>
      <c r="H73" s="3" t="s">
        <v>3995</v>
      </c>
      <c r="I73" s="3">
        <v>2884451600</v>
      </c>
      <c r="J73" s="3">
        <v>183</v>
      </c>
      <c r="K73" s="3">
        <v>2.56</v>
      </c>
      <c r="L73" s="3" t="s">
        <v>2983</v>
      </c>
      <c r="M73" s="3" t="s">
        <v>1289</v>
      </c>
      <c r="N73" s="3" t="s">
        <v>3996</v>
      </c>
      <c r="O73" s="3" t="s">
        <v>450</v>
      </c>
      <c r="P73" s="3">
        <v>11.01</v>
      </c>
      <c r="Q73" s="3" t="s">
        <v>450</v>
      </c>
      <c r="R73" s="3">
        <v>338497</v>
      </c>
      <c r="S73" s="5">
        <v>-0.94630000000000003</v>
      </c>
      <c r="T73" s="3" t="s">
        <v>3997</v>
      </c>
      <c r="U73" s="3">
        <v>200309140</v>
      </c>
      <c r="V73" s="3">
        <v>200309140</v>
      </c>
      <c r="W73" s="3">
        <v>1.9</v>
      </c>
      <c r="X73" s="3">
        <v>0.06</v>
      </c>
      <c r="Y73" s="3">
        <v>0.71</v>
      </c>
      <c r="Z73" s="3" t="s">
        <v>198</v>
      </c>
      <c r="AA73" s="3" t="s">
        <v>3998</v>
      </c>
      <c r="AB73" s="3" t="s">
        <v>3999</v>
      </c>
      <c r="AC73" s="3" t="s">
        <v>4000</v>
      </c>
      <c r="AD73" s="3" t="s">
        <v>22</v>
      </c>
      <c r="AE73" s="3">
        <v>5749347</v>
      </c>
      <c r="AF73" s="3" t="s">
        <v>2465</v>
      </c>
      <c r="AG73" s="3" t="s">
        <v>4001</v>
      </c>
      <c r="AH73" s="3" t="s">
        <v>2466</v>
      </c>
      <c r="AI73" s="3" t="s">
        <v>4002</v>
      </c>
      <c r="AJ73" s="3" t="s">
        <v>2467</v>
      </c>
      <c r="AK73" s="3" t="s">
        <v>4003</v>
      </c>
      <c r="AL73" s="3" t="s">
        <v>2468</v>
      </c>
      <c r="AM73" s="3" t="s">
        <v>22</v>
      </c>
      <c r="AN73" s="3" t="s">
        <v>551</v>
      </c>
      <c r="AO73" s="3" t="s">
        <v>2469</v>
      </c>
      <c r="AP73" s="3" t="s">
        <v>22</v>
      </c>
      <c r="AQ73" s="3" t="s">
        <v>140</v>
      </c>
      <c r="AR73" s="3" t="s">
        <v>4004</v>
      </c>
      <c r="AS73" s="3" t="s">
        <v>2340</v>
      </c>
      <c r="AT73" s="3" t="s">
        <v>479</v>
      </c>
      <c r="AU73" s="3" t="s">
        <v>4005</v>
      </c>
      <c r="AV73" s="3" t="s">
        <v>4006</v>
      </c>
      <c r="AW73" s="3" t="s">
        <v>4007</v>
      </c>
      <c r="AX73" s="3" t="s">
        <v>562</v>
      </c>
      <c r="AY73" s="3" t="s">
        <v>228</v>
      </c>
      <c r="AZ73" s="3" t="s">
        <v>399</v>
      </c>
      <c r="BA73" s="3" t="s">
        <v>285</v>
      </c>
      <c r="BB73" s="3" t="s">
        <v>221</v>
      </c>
      <c r="BC73" s="3" t="s">
        <v>2470</v>
      </c>
      <c r="BD73" s="3" t="s">
        <v>490</v>
      </c>
      <c r="BE73" s="3" t="s">
        <v>658</v>
      </c>
      <c r="BF73" s="3" t="s">
        <v>659</v>
      </c>
      <c r="BG73" s="3" t="s">
        <v>660</v>
      </c>
      <c r="BH73" s="3" t="s">
        <v>1236</v>
      </c>
      <c r="BI73" s="3" t="s">
        <v>144</v>
      </c>
      <c r="BJ73" s="3" t="s">
        <v>562</v>
      </c>
      <c r="BK73" s="3" t="s">
        <v>2464</v>
      </c>
      <c r="BL73" s="3" t="s">
        <v>4008</v>
      </c>
      <c r="BM73" s="3" t="s">
        <v>2470</v>
      </c>
      <c r="BN73" s="3">
        <v>2.79</v>
      </c>
      <c r="BO73" s="3">
        <v>3.17</v>
      </c>
      <c r="BP73" s="3">
        <v>9.83</v>
      </c>
      <c r="BQ73" s="3">
        <v>2.6</v>
      </c>
      <c r="BR73" s="3">
        <v>3.04</v>
      </c>
      <c r="BS73" s="3">
        <v>10.49</v>
      </c>
      <c r="BT73" s="3" t="s">
        <v>1369</v>
      </c>
      <c r="BU73" s="3" t="s">
        <v>1209</v>
      </c>
      <c r="BV73" s="3">
        <v>30.33</v>
      </c>
      <c r="BW73" s="3">
        <v>37.24</v>
      </c>
      <c r="BX73" s="3">
        <v>52.78</v>
      </c>
      <c r="BY73" s="3">
        <v>4.92</v>
      </c>
      <c r="BZ73" s="3">
        <v>7.15</v>
      </c>
      <c r="CA73" s="3">
        <v>27.06</v>
      </c>
      <c r="CB73" s="3">
        <v>-10.11</v>
      </c>
      <c r="CC73" s="3">
        <v>-8.1</v>
      </c>
      <c r="CD73" s="3" t="s">
        <v>4009</v>
      </c>
      <c r="CE73" s="3" t="s">
        <v>4010</v>
      </c>
      <c r="CF73" s="10">
        <v>-0.52049180327868849</v>
      </c>
      <c r="CG73" s="11">
        <v>-0.98403986062454918</v>
      </c>
      <c r="CH73" s="10">
        <v>-0.74115043878555298</v>
      </c>
      <c r="CI73" s="10">
        <v>0.1560102254152298</v>
      </c>
      <c r="CJ73" s="10">
        <v>0.54545456171035767</v>
      </c>
      <c r="CK73" s="10">
        <v>9.0517237782478333E-2</v>
      </c>
      <c r="CL73" s="10">
        <v>0.68115943670272827</v>
      </c>
      <c r="CM73" s="11">
        <v>-0.98942774534225464</v>
      </c>
      <c r="CN73" s="11">
        <v>-0.69794625043869019</v>
      </c>
      <c r="CO73" s="11">
        <v>1.0405334234237671</v>
      </c>
      <c r="CP73" s="11">
        <v>-0.14613752067089081</v>
      </c>
      <c r="CQ73" s="11">
        <v>2.819772481918335</v>
      </c>
      <c r="CR73" s="3">
        <v>64.802535979546818</v>
      </c>
      <c r="CS73" s="3">
        <v>4.4264570164693184</v>
      </c>
      <c r="CT73" s="3">
        <v>0.69444444444444442</v>
      </c>
      <c r="CU73" s="10">
        <v>0.14639820456504821</v>
      </c>
      <c r="CV73" s="11">
        <v>0.40535887777805329</v>
      </c>
      <c r="CW73" s="3">
        <v>0.06</v>
      </c>
      <c r="CX73" s="3">
        <v>7335.4882284577097</v>
      </c>
      <c r="CY73" s="3">
        <v>366090.37004270643</v>
      </c>
      <c r="CZ73" s="3">
        <v>0.14639820456504821</v>
      </c>
      <c r="DA73" s="3">
        <v>2286.0876274000516</v>
      </c>
      <c r="DB73" s="3">
        <v>1174693.2041507708</v>
      </c>
      <c r="DC73" s="3">
        <v>0.13907829433679578</v>
      </c>
      <c r="DD73" s="3">
        <v>1054.8086822564803</v>
      </c>
      <c r="DE73" s="3">
        <v>2545913.4392553503</v>
      </c>
      <c r="DF73" s="3">
        <v>0.12883042001724243</v>
      </c>
      <c r="DG73" s="3">
        <v>587.72160983099161</v>
      </c>
      <c r="DH73" s="3">
        <v>4569257.8851613831</v>
      </c>
      <c r="DI73" s="3">
        <v>0.11711856365203857</v>
      </c>
      <c r="DJ73" s="3">
        <v>255.95455116938123</v>
      </c>
      <c r="DK73" s="3">
        <v>10491907.988082102</v>
      </c>
      <c r="DL73" s="3">
        <v>0.10247874319553374</v>
      </c>
      <c r="DM73" s="3">
        <v>338500</v>
      </c>
      <c r="DN73" s="3">
        <v>0.14639820456504821</v>
      </c>
      <c r="DO73" s="3">
        <v>2685451600</v>
      </c>
      <c r="DP73" s="3">
        <v>-86743520</v>
      </c>
      <c r="DQ73" s="3">
        <v>4659</v>
      </c>
      <c r="DR73" s="3">
        <v>-0.66689000784373675</v>
      </c>
      <c r="DS73" s="3">
        <v>-1.3893987384026025</v>
      </c>
      <c r="DT73" s="12">
        <v>-0.29000000000000004</v>
      </c>
      <c r="DU73" s="3">
        <v>-0.34333333333333332</v>
      </c>
      <c r="DV73" s="3">
        <v>-0.6333333333333333</v>
      </c>
      <c r="DW73" s="3">
        <v>-5.8011869436201779</v>
      </c>
      <c r="DX73" s="3">
        <v>0.27865661082897508</v>
      </c>
      <c r="DY73" s="3">
        <v>-5.1431373439876058</v>
      </c>
      <c r="DZ73" s="3">
        <v>3853</v>
      </c>
      <c r="EA73" s="3">
        <v>-5.0352101059476357</v>
      </c>
      <c r="EB73" s="3">
        <v>5</v>
      </c>
      <c r="EC73" s="3">
        <v>7.0601371460134066E-2</v>
      </c>
      <c r="ED73" s="3">
        <v>0.39517917155452814</v>
      </c>
      <c r="EE73" s="13">
        <v>-3.0417000000000001</v>
      </c>
      <c r="EF73" s="3">
        <v>-3.0203000000000002</v>
      </c>
      <c r="EG73" s="3">
        <v>10.178656610828975</v>
      </c>
      <c r="EH73" s="3" t="s">
        <v>1745</v>
      </c>
      <c r="EI73" s="3">
        <v>0</v>
      </c>
      <c r="EJ73" s="3">
        <v>0</v>
      </c>
      <c r="EK73" s="14">
        <v>45470</v>
      </c>
      <c r="EL73" s="15">
        <v>2.64</v>
      </c>
      <c r="EM73" s="15">
        <v>-5.99</v>
      </c>
      <c r="EN73" s="15">
        <v>-2.08</v>
      </c>
      <c r="EO73" s="15">
        <v>5.05</v>
      </c>
      <c r="EP73" s="15">
        <v>-2.14</v>
      </c>
    </row>
    <row r="74" spans="1:146" ht="96" x14ac:dyDescent="0.25">
      <c r="C74" s="7" t="str">
        <f>""&amp;CHAR(10)&amp;Basic_Fundamental_Information_Constructure(F74)&amp;CHAR(10)&amp;Basic_Fundamental_Information_Concatenate("")</f>
        <v xml:space="preserve">
市值54.00032亿, 利润4959.08万; PE32.92; 平均PE80.52; 平均PEG58.62, PB3.85; ROIC5.87%; ROE6.2833%; 股利率.7905%; 毛利25.9467%; 净利11.89%; 上一年度营收增-64.3%, 利润增-49.92%; 当季营收增-34.77%, 利润增-7.07%; 过往5年营收增1.37%, 利润增10.32%
Income profile:
</v>
      </c>
      <c r="D74" s="3" t="s">
        <v>85</v>
      </c>
      <c r="E74" s="3" t="s">
        <v>86</v>
      </c>
      <c r="F74" s="3">
        <v>20.239999999999998</v>
      </c>
      <c r="G74" s="3">
        <v>0</v>
      </c>
      <c r="H74" s="3" t="s">
        <v>4011</v>
      </c>
      <c r="I74" s="3">
        <v>5400032000</v>
      </c>
      <c r="J74" s="3">
        <v>32.92</v>
      </c>
      <c r="K74" s="3">
        <v>3.85</v>
      </c>
      <c r="L74" s="3" t="s">
        <v>2983</v>
      </c>
      <c r="M74" s="3" t="s">
        <v>1840</v>
      </c>
      <c r="N74" s="3" t="s">
        <v>4012</v>
      </c>
      <c r="O74" s="3" t="s">
        <v>344</v>
      </c>
      <c r="P74" s="3">
        <v>48.54</v>
      </c>
      <c r="Q74" s="3" t="s">
        <v>344</v>
      </c>
      <c r="R74" s="3">
        <v>49590831</v>
      </c>
      <c r="S74" s="5">
        <v>1.552</v>
      </c>
      <c r="T74" s="3" t="s">
        <v>4013</v>
      </c>
      <c r="U74" s="3">
        <v>266800000</v>
      </c>
      <c r="V74" s="3">
        <v>266800000</v>
      </c>
      <c r="W74" s="3">
        <v>1.59</v>
      </c>
      <c r="X74" s="3">
        <v>0.13</v>
      </c>
      <c r="Y74" s="3">
        <v>18.239999999999998</v>
      </c>
      <c r="Z74" s="3" t="s">
        <v>390</v>
      </c>
      <c r="AA74" s="3" t="s">
        <v>173</v>
      </c>
      <c r="AB74" s="3" t="s">
        <v>4014</v>
      </c>
      <c r="AC74" s="3" t="s">
        <v>4015</v>
      </c>
      <c r="AD74" s="3" t="s">
        <v>22</v>
      </c>
      <c r="AE74" s="3">
        <v>-422545</v>
      </c>
      <c r="AF74" s="3" t="s">
        <v>108</v>
      </c>
      <c r="AG74" s="3" t="s">
        <v>4016</v>
      </c>
      <c r="AH74" s="3" t="s">
        <v>2471</v>
      </c>
      <c r="AI74" s="3" t="s">
        <v>1280</v>
      </c>
      <c r="AJ74" s="3" t="s">
        <v>2472</v>
      </c>
      <c r="AK74" s="3" t="s">
        <v>4017</v>
      </c>
      <c r="AL74" s="3" t="s">
        <v>2473</v>
      </c>
      <c r="AM74" s="3" t="s">
        <v>22</v>
      </c>
      <c r="AN74" s="3" t="s">
        <v>4018</v>
      </c>
      <c r="AO74" s="3" t="s">
        <v>732</v>
      </c>
      <c r="AP74" s="3" t="s">
        <v>22</v>
      </c>
      <c r="AQ74" s="3" t="s">
        <v>1085</v>
      </c>
      <c r="AR74" s="3" t="s">
        <v>22</v>
      </c>
      <c r="AS74" s="3" t="s">
        <v>605</v>
      </c>
      <c r="AT74" s="3" t="s">
        <v>331</v>
      </c>
      <c r="AU74" s="3" t="s">
        <v>4019</v>
      </c>
      <c r="AV74" s="3" t="s">
        <v>4020</v>
      </c>
      <c r="AW74" s="3" t="s">
        <v>4021</v>
      </c>
      <c r="AX74" s="3" t="s">
        <v>1546</v>
      </c>
      <c r="AY74" s="3" t="s">
        <v>588</v>
      </c>
      <c r="AZ74" s="3" t="s">
        <v>192</v>
      </c>
      <c r="BA74" s="3" t="s">
        <v>260</v>
      </c>
      <c r="BB74" s="3" t="s">
        <v>273</v>
      </c>
      <c r="BC74" s="3" t="s">
        <v>1627</v>
      </c>
      <c r="BD74" s="3" t="s">
        <v>967</v>
      </c>
      <c r="BE74" s="3" t="s">
        <v>661</v>
      </c>
      <c r="BF74" s="3" t="s">
        <v>420</v>
      </c>
      <c r="BG74" s="3" t="s">
        <v>663</v>
      </c>
      <c r="BH74" s="3" t="s">
        <v>2071</v>
      </c>
      <c r="BI74" s="3" t="s">
        <v>1522</v>
      </c>
      <c r="BJ74" s="3" t="s">
        <v>1546</v>
      </c>
      <c r="BK74" s="3" t="s">
        <v>146</v>
      </c>
      <c r="BL74" s="3" t="s">
        <v>4022</v>
      </c>
      <c r="BM74" s="3" t="s">
        <v>1627</v>
      </c>
      <c r="BN74" s="3">
        <v>6.33</v>
      </c>
      <c r="BO74" s="3">
        <v>7.48</v>
      </c>
      <c r="BP74" s="3">
        <v>3.8</v>
      </c>
      <c r="BQ74" s="3">
        <v>7.12</v>
      </c>
      <c r="BR74" s="3">
        <v>7.98</v>
      </c>
      <c r="BS74" s="3">
        <v>3.75</v>
      </c>
      <c r="BT74" s="3" t="s">
        <v>1377</v>
      </c>
      <c r="BU74" s="3" t="s">
        <v>1211</v>
      </c>
      <c r="BV74" s="3">
        <v>27.62</v>
      </c>
      <c r="BW74" s="3">
        <v>25.19</v>
      </c>
      <c r="BX74" s="3">
        <v>25.03</v>
      </c>
      <c r="BY74" s="3">
        <v>14.49</v>
      </c>
      <c r="BZ74" s="3">
        <v>12.99</v>
      </c>
      <c r="CA74" s="3">
        <v>8.19</v>
      </c>
      <c r="CB74" s="3">
        <v>-5.86</v>
      </c>
      <c r="CC74" s="3">
        <v>-4.26</v>
      </c>
      <c r="CD74" s="3" t="s">
        <v>4023</v>
      </c>
      <c r="CE74" s="3" t="s">
        <v>181</v>
      </c>
      <c r="CF74" s="10">
        <v>-0.34772182254196643</v>
      </c>
      <c r="CG74" s="11">
        <v>-7.0744572407254028E-2</v>
      </c>
      <c r="CH74" s="10">
        <v>-0.64304459095001221</v>
      </c>
      <c r="CI74" s="10">
        <v>0.4007352888584137</v>
      </c>
      <c r="CJ74" s="10">
        <v>0.11704312264919281</v>
      </c>
      <c r="CK74" s="10">
        <v>1.4583333395421505E-2</v>
      </c>
      <c r="CL74" s="10">
        <v>0.17936117947101593</v>
      </c>
      <c r="CM74" s="11">
        <v>-0.49924266338348389</v>
      </c>
      <c r="CN74" s="11">
        <v>1.2241396903991699</v>
      </c>
      <c r="CO74" s="11">
        <v>-0.41636356711387634</v>
      </c>
      <c r="CP74" s="11">
        <v>8.5456147789955139E-2</v>
      </c>
      <c r="CQ74" s="11">
        <v>0.12176714092493057</v>
      </c>
      <c r="CR74" s="3">
        <v>80.521898098650666</v>
      </c>
      <c r="CS74" s="3">
        <v>58.62248986262869</v>
      </c>
      <c r="CT74" s="3">
        <v>0.79051383399209496</v>
      </c>
      <c r="CU74" s="10">
        <v>1.3735666684806348E-2</v>
      </c>
      <c r="CV74" s="11">
        <v>0.10315134972333909</v>
      </c>
      <c r="CW74" s="3">
        <v>0.06</v>
      </c>
      <c r="CX74" s="3">
        <v>98.890786296196893</v>
      </c>
      <c r="CY74" s="3">
        <v>47426379.905125372</v>
      </c>
      <c r="CZ74" s="3">
        <v>1.3735666684806348E-2</v>
      </c>
      <c r="DA74" s="3">
        <v>34.491119060839345</v>
      </c>
      <c r="DB74" s="3">
        <v>135977959.76776487</v>
      </c>
      <c r="DC74" s="3">
        <v>1.304888335056603E-2</v>
      </c>
      <c r="DD74" s="3">
        <v>18.474675464730495</v>
      </c>
      <c r="DE74" s="3">
        <v>253862754.39336476</v>
      </c>
      <c r="DF74" s="3">
        <v>1.2087386682629585E-2</v>
      </c>
      <c r="DG74" s="3">
        <v>12.157530620900145</v>
      </c>
      <c r="DH74" s="3">
        <v>385771761.24379355</v>
      </c>
      <c r="DI74" s="3">
        <v>1.0988533347845079E-2</v>
      </c>
      <c r="DJ74" s="3">
        <v>7.5828146258834241</v>
      </c>
      <c r="DK74" s="3">
        <v>618508064.80101645</v>
      </c>
      <c r="DL74" s="3">
        <v>9.6149666793644423E-3</v>
      </c>
      <c r="DM74" s="3">
        <v>49590800</v>
      </c>
      <c r="DN74" s="3">
        <v>1.3735666684806348E-2</v>
      </c>
      <c r="DO74" s="3">
        <v>4690032000</v>
      </c>
      <c r="DP74" s="3">
        <v>388744230</v>
      </c>
      <c r="DQ74" s="3">
        <v>4662</v>
      </c>
      <c r="DR74" s="3">
        <v>-0.36145748922677279</v>
      </c>
      <c r="DS74" s="3">
        <v>-0.17389592213059313</v>
      </c>
      <c r="DT74" s="12">
        <v>-0.52333333333333332</v>
      </c>
      <c r="DU74" s="3">
        <v>0</v>
      </c>
      <c r="DV74" s="3">
        <v>-0.52333333333333332</v>
      </c>
      <c r="DW74" s="3">
        <v>-4.7269624573378834</v>
      </c>
      <c r="DX74" s="3">
        <v>0.39359459459459445</v>
      </c>
      <c r="DY74" s="3">
        <v>-4.0971182547735445</v>
      </c>
      <c r="DZ74" s="3">
        <v>1307</v>
      </c>
      <c r="EA74" s="3">
        <v>-4.0722780279655169</v>
      </c>
      <c r="EB74" s="3">
        <v>4</v>
      </c>
      <c r="EC74" s="3">
        <v>5.5580959520239878E-2</v>
      </c>
      <c r="ED74" s="3">
        <v>0.41604197901049483</v>
      </c>
      <c r="EE74" s="13">
        <v>4.0070100000000002</v>
      </c>
      <c r="EF74" s="3">
        <v>4.0398100000000001</v>
      </c>
      <c r="EG74" s="3">
        <v>26.133594594594594</v>
      </c>
      <c r="EH74" s="3" t="s">
        <v>1722</v>
      </c>
      <c r="EI74" s="3">
        <v>0</v>
      </c>
      <c r="EJ74" s="3">
        <v>1</v>
      </c>
      <c r="EK74" s="14">
        <v>45470</v>
      </c>
      <c r="EL74" s="15">
        <v>0.32</v>
      </c>
      <c r="EM74" s="15">
        <v>-2.89</v>
      </c>
      <c r="EN74" s="15">
        <v>0.3</v>
      </c>
      <c r="EO74" s="15">
        <v>6.21</v>
      </c>
      <c r="EP74" s="15">
        <v>-3.28</v>
      </c>
    </row>
    <row r="75" spans="1:146" ht="96" x14ac:dyDescent="0.25">
      <c r="A75" s="3"/>
      <c r="B75" s="3"/>
      <c r="C75" s="7" t="str">
        <f>""&amp;CHAR(10)&amp;Basic_Fundamental_Information_Constructure(F75)&amp;CHAR(10)&amp;Basic_Fundamental_Information_Concatenate("")</f>
        <v xml:space="preserve">
市值63.278208亿, 利润-2.09亿; PE; 平均PE-115.21; 平均PEG-2.8, PB2.56; ROIC0%; ROE8.26%; 股利率0%; 毛利36.5033%; 净利-6.04%; 上一年度营收增-77.28%, 利润增-252.55%; 当季营收增-49.31%, 利润增-9.49%; 过往5年营收增41.17%, 利润增-80.47%
Income profile:
</v>
      </c>
      <c r="D75" s="3" t="s">
        <v>1342</v>
      </c>
      <c r="E75" s="3" t="s">
        <v>1343</v>
      </c>
      <c r="F75" s="3">
        <v>14.16</v>
      </c>
      <c r="G75" s="3">
        <v>-1.46</v>
      </c>
      <c r="H75" s="3" t="s">
        <v>4024</v>
      </c>
      <c r="I75" s="3">
        <v>6327820800</v>
      </c>
      <c r="K75" s="3">
        <v>2.56</v>
      </c>
      <c r="L75" s="3" t="s">
        <v>2983</v>
      </c>
      <c r="M75" s="3" t="s">
        <v>2474</v>
      </c>
      <c r="N75" s="3" t="s">
        <v>4025</v>
      </c>
      <c r="O75" s="3" t="s">
        <v>157</v>
      </c>
      <c r="P75" s="5">
        <v>9.18</v>
      </c>
      <c r="Q75" s="3" t="s">
        <v>157</v>
      </c>
      <c r="R75" s="3">
        <v>-209131930</v>
      </c>
      <c r="S75" s="3">
        <v>-2.66</v>
      </c>
      <c r="T75" s="3" t="s">
        <v>2295</v>
      </c>
      <c r="U75" s="3">
        <v>233403820</v>
      </c>
      <c r="V75" s="3">
        <v>446880000</v>
      </c>
      <c r="W75" s="3">
        <v>1.66</v>
      </c>
      <c r="X75" s="3">
        <v>0.08</v>
      </c>
      <c r="Y75" s="3">
        <v>-63.7</v>
      </c>
      <c r="Z75" s="3" t="s">
        <v>372</v>
      </c>
      <c r="AA75" s="3" t="s">
        <v>269</v>
      </c>
      <c r="AB75" s="3" t="s">
        <v>4026</v>
      </c>
      <c r="AC75" s="3" t="s">
        <v>4027</v>
      </c>
      <c r="AD75" s="3" t="s">
        <v>22</v>
      </c>
      <c r="AE75" s="3">
        <v>6362514</v>
      </c>
      <c r="AF75" s="3" t="s">
        <v>2477</v>
      </c>
      <c r="AG75" s="3" t="s">
        <v>4028</v>
      </c>
      <c r="AH75" s="3" t="s">
        <v>2478</v>
      </c>
      <c r="AI75" s="3" t="s">
        <v>4029</v>
      </c>
      <c r="AJ75" s="3" t="s">
        <v>2479</v>
      </c>
      <c r="AK75" s="3" t="s">
        <v>4030</v>
      </c>
      <c r="AL75" s="3" t="s">
        <v>2480</v>
      </c>
      <c r="AM75" s="3" t="s">
        <v>22</v>
      </c>
      <c r="AN75" s="3" t="s">
        <v>732</v>
      </c>
      <c r="AO75" s="3" t="s">
        <v>1545</v>
      </c>
      <c r="AP75" s="3" t="s">
        <v>4031</v>
      </c>
      <c r="AQ75" s="3" t="s">
        <v>578</v>
      </c>
      <c r="AR75" s="3" t="s">
        <v>22</v>
      </c>
      <c r="AS75" s="3" t="s">
        <v>4032</v>
      </c>
      <c r="AT75" s="3" t="s">
        <v>755</v>
      </c>
      <c r="AU75" s="3" t="s">
        <v>4033</v>
      </c>
      <c r="AV75" s="3" t="s">
        <v>4034</v>
      </c>
      <c r="AW75" s="3" t="s">
        <v>4035</v>
      </c>
      <c r="AX75" s="3" t="s">
        <v>1309</v>
      </c>
      <c r="AY75" s="3" t="s">
        <v>1344</v>
      </c>
      <c r="AZ75" s="3" t="s">
        <v>273</v>
      </c>
      <c r="BA75" s="3" t="s">
        <v>110</v>
      </c>
      <c r="BB75" s="3" t="s">
        <v>697</v>
      </c>
      <c r="BC75" s="3" t="s">
        <v>305</v>
      </c>
      <c r="BD75" s="3" t="s">
        <v>359</v>
      </c>
      <c r="BE75" s="3" t="s">
        <v>1360</v>
      </c>
      <c r="BF75" s="3" t="s">
        <v>1361</v>
      </c>
      <c r="BG75" s="3" t="s">
        <v>1362</v>
      </c>
      <c r="BH75" s="3" t="s">
        <v>2475</v>
      </c>
      <c r="BI75" s="3" t="s">
        <v>698</v>
      </c>
      <c r="BJ75" s="3" t="s">
        <v>1309</v>
      </c>
      <c r="BK75" s="3" t="s">
        <v>2476</v>
      </c>
      <c r="BL75" s="3" t="s">
        <v>4036</v>
      </c>
      <c r="BM75" s="3" t="s">
        <v>305</v>
      </c>
      <c r="BN75" s="3" t="s">
        <v>22</v>
      </c>
      <c r="BO75" s="3" t="s">
        <v>22</v>
      </c>
      <c r="BP75" s="3" t="s">
        <v>22</v>
      </c>
      <c r="BQ75" s="3">
        <v>-12.28</v>
      </c>
      <c r="BR75" s="3">
        <v>13.55</v>
      </c>
      <c r="BS75" s="3">
        <v>23.51</v>
      </c>
      <c r="BT75" s="3" t="s">
        <v>1368</v>
      </c>
      <c r="BU75" s="3" t="s">
        <v>3311</v>
      </c>
      <c r="BV75" s="3">
        <v>27.4</v>
      </c>
      <c r="BW75" s="3">
        <v>39.93</v>
      </c>
      <c r="BX75" s="3">
        <v>42.18</v>
      </c>
      <c r="BY75" s="3">
        <v>-41.13</v>
      </c>
      <c r="BZ75" s="3">
        <v>9.43</v>
      </c>
      <c r="CA75" s="3">
        <v>13.58</v>
      </c>
      <c r="CB75" s="3">
        <v>-12.38</v>
      </c>
      <c r="CC75" s="10">
        <v>-12.92</v>
      </c>
      <c r="CD75" s="11" t="s">
        <v>4037</v>
      </c>
      <c r="CE75" s="10" t="s">
        <v>335</v>
      </c>
      <c r="CF75" s="10">
        <v>-0.49306625577812019</v>
      </c>
      <c r="CG75" s="10">
        <v>-9.4931570680628269E-2</v>
      </c>
      <c r="CH75" s="10">
        <v>-0.77279007434844971</v>
      </c>
      <c r="CI75" s="10">
        <v>0.38963532447814941</v>
      </c>
      <c r="CJ75" s="11">
        <v>1.5601965188980103</v>
      </c>
      <c r="CK75" s="11">
        <v>0.58365756273269653</v>
      </c>
      <c r="CL75" s="11">
        <v>0.29797980189323425</v>
      </c>
      <c r="CM75" s="11">
        <v>-2.5255475044250488</v>
      </c>
      <c r="CN75" s="11">
        <v>-3.5211268812417984E-2</v>
      </c>
      <c r="CO75" s="3">
        <v>1.525925874710083</v>
      </c>
      <c r="CP75" s="3">
        <v>-2.3770854473114014</v>
      </c>
      <c r="CQ75" s="3">
        <v>-0.61171555519104004</v>
      </c>
      <c r="CR75" s="10">
        <v>-115.20611731220595</v>
      </c>
      <c r="CS75" s="11">
        <v>-2.7980590911159595</v>
      </c>
      <c r="CT75" s="3">
        <v>0</v>
      </c>
      <c r="CU75" s="3">
        <v>0.41173582673072817</v>
      </c>
      <c r="CV75" s="3">
        <v>-0.804726780205965</v>
      </c>
      <c r="CW75" s="3">
        <v>0.06</v>
      </c>
      <c r="CX75" s="3" t="e">
        <v>#VALUE!</v>
      </c>
      <c r="CY75" s="3" t="s">
        <v>1073</v>
      </c>
      <c r="CZ75" s="3">
        <v>0.41173582673072817</v>
      </c>
      <c r="DA75" s="3" t="e">
        <v>#VALUE!</v>
      </c>
      <c r="DB75" s="3" t="s">
        <v>1074</v>
      </c>
      <c r="DC75" s="3">
        <v>0.39114903539419177</v>
      </c>
      <c r="DD75" s="3" t="e">
        <v>#VALUE!</v>
      </c>
      <c r="DE75" s="3" t="s">
        <v>1074</v>
      </c>
      <c r="DF75" s="3">
        <v>0.36232752752304082</v>
      </c>
      <c r="DG75" s="3" t="e">
        <v>#VALUE!</v>
      </c>
      <c r="DH75" s="3" t="s">
        <v>1074</v>
      </c>
      <c r="DI75" s="3">
        <v>0.32938866138458256</v>
      </c>
      <c r="DJ75" s="3" t="e">
        <v>#VALUE!</v>
      </c>
      <c r="DK75" s="3" t="s">
        <v>1074</v>
      </c>
      <c r="DL75" s="3">
        <v>0.2882150787115097</v>
      </c>
      <c r="DM75" s="3">
        <v>-209000000</v>
      </c>
      <c r="DN75" s="3">
        <v>0.41173582673072817</v>
      </c>
      <c r="DO75" s="3">
        <v>5368820800</v>
      </c>
      <c r="DP75" s="3">
        <v>2381116400</v>
      </c>
      <c r="DQ75" s="12">
        <v>4664</v>
      </c>
      <c r="DR75" s="3">
        <v>-0.9048020825088483</v>
      </c>
      <c r="DS75" s="3">
        <v>0.7097952095253367</v>
      </c>
      <c r="DT75" s="3">
        <v>-0.14000000000000004</v>
      </c>
      <c r="DU75" s="3">
        <v>-2.6483333333333334</v>
      </c>
      <c r="DV75" s="3">
        <v>-2.7883333333333336</v>
      </c>
      <c r="DW75" s="3">
        <v>-9.958204334365325</v>
      </c>
      <c r="DX75" s="3">
        <v>0.25281119999999924</v>
      </c>
      <c r="DY75" s="3">
        <v>-9.117678224148607</v>
      </c>
      <c r="DZ75" s="3">
        <v>1200</v>
      </c>
      <c r="EA75" s="3">
        <v>-9.0900434161293653</v>
      </c>
      <c r="EB75" s="13">
        <v>9</v>
      </c>
      <c r="EC75" s="3">
        <v>6.8704797708557114E-2</v>
      </c>
      <c r="ED75" s="3">
        <v>0.55943430003580374</v>
      </c>
      <c r="EE75" s="3">
        <v>-3.1022099999999999</v>
      </c>
      <c r="EF75" s="3">
        <v>-3.10791</v>
      </c>
      <c r="EG75" s="3">
        <v>13.122811199999999</v>
      </c>
      <c r="EH75" s="14" t="s">
        <v>1838</v>
      </c>
      <c r="EI75" s="15">
        <v>0</v>
      </c>
      <c r="EJ75" s="15">
        <v>1</v>
      </c>
      <c r="EK75" s="15">
        <v>45470</v>
      </c>
      <c r="EL75" s="15">
        <v>-5.0999999999999996</v>
      </c>
      <c r="EM75" s="15">
        <v>-6.75</v>
      </c>
      <c r="EN75" s="15">
        <v>-1.29</v>
      </c>
      <c r="EO75" s="15">
        <v>1.3</v>
      </c>
      <c r="EP75" s="15">
        <v>-0.56999999999999995</v>
      </c>
    </row>
    <row r="76" spans="1:146" ht="96" x14ac:dyDescent="0.25">
      <c r="C76" s="7" t="str">
        <f>""&amp;CHAR(10)&amp;Basic_Fundamental_Information_Constructure(F76)&amp;CHAR(10)&amp;Basic_Fundamental_Information_Concatenate("")</f>
        <v xml:space="preserve">
市值146.24359亿, 利润-537.30万; PE77.17; 平均PE-541.71; 平均PEG-9.17, PB3.62; ROIC-3.085%; ROE-2.24%; 股利率.1573%; 毛利27.7333%; 净利1.3833%; 上一年度营收增-79.85%, 利润增-110.06%; 当季营收增-48.26%, 利润增92.35%; 过往5年营收增59.07%, 利润增-13.56%
Income profile:
</v>
      </c>
      <c r="D76" s="3" t="s">
        <v>968</v>
      </c>
      <c r="E76" s="3" t="s">
        <v>1628</v>
      </c>
      <c r="F76" s="3">
        <v>34.96</v>
      </c>
      <c r="G76" s="3">
        <v>1.45</v>
      </c>
      <c r="H76" s="3" t="s">
        <v>4038</v>
      </c>
      <c r="I76" s="3">
        <v>14624359000</v>
      </c>
      <c r="J76" s="3">
        <v>77.17</v>
      </c>
      <c r="K76" s="3">
        <v>3.62</v>
      </c>
      <c r="L76" s="3" t="s">
        <v>2983</v>
      </c>
      <c r="M76" s="3" t="s">
        <v>862</v>
      </c>
      <c r="N76" s="3" t="s">
        <v>4039</v>
      </c>
      <c r="O76" s="3" t="s">
        <v>558</v>
      </c>
      <c r="P76" s="3">
        <v>45.06</v>
      </c>
      <c r="Q76" s="3" t="s">
        <v>558</v>
      </c>
      <c r="R76" s="3">
        <v>-5372975</v>
      </c>
      <c r="S76" s="5">
        <v>0.93489999999999995</v>
      </c>
      <c r="T76" s="3" t="s">
        <v>4040</v>
      </c>
      <c r="U76" s="3">
        <v>113762101</v>
      </c>
      <c r="V76" s="3">
        <v>418316910</v>
      </c>
      <c r="W76" s="3">
        <v>1.1499999999999999</v>
      </c>
      <c r="X76" s="3">
        <v>0.1</v>
      </c>
      <c r="Y76" s="3">
        <v>-1.1599999999999999</v>
      </c>
      <c r="Z76" s="3" t="s">
        <v>475</v>
      </c>
      <c r="AA76" s="3" t="s">
        <v>404</v>
      </c>
      <c r="AB76" s="3" t="s">
        <v>4041</v>
      </c>
      <c r="AC76" s="3" t="s">
        <v>4042</v>
      </c>
      <c r="AD76" s="3" t="s">
        <v>22</v>
      </c>
      <c r="AE76" s="3">
        <v>-19968770</v>
      </c>
      <c r="AF76" s="3" t="s">
        <v>108</v>
      </c>
      <c r="AG76" s="3" t="s">
        <v>4043</v>
      </c>
      <c r="AH76" s="3" t="s">
        <v>2481</v>
      </c>
      <c r="AI76" s="3" t="s">
        <v>4044</v>
      </c>
      <c r="AJ76" s="3" t="s">
        <v>2482</v>
      </c>
      <c r="AK76" s="3" t="s">
        <v>22</v>
      </c>
      <c r="AL76" s="3" t="s">
        <v>2483</v>
      </c>
      <c r="AM76" s="3" t="s">
        <v>22</v>
      </c>
      <c r="AN76" s="3">
        <v>0</v>
      </c>
      <c r="AO76" s="3" t="s">
        <v>111</v>
      </c>
      <c r="AP76" s="3" t="s">
        <v>22</v>
      </c>
      <c r="AQ76" s="3" t="s">
        <v>514</v>
      </c>
      <c r="AR76" s="3" t="s">
        <v>22</v>
      </c>
      <c r="AS76" s="3" t="s">
        <v>1850</v>
      </c>
      <c r="AT76" s="3" t="s">
        <v>22</v>
      </c>
      <c r="AU76" s="3" t="s">
        <v>1835</v>
      </c>
      <c r="AV76" s="3" t="s">
        <v>4045</v>
      </c>
      <c r="AW76" s="3" t="s">
        <v>4046</v>
      </c>
      <c r="AX76" s="3" t="s">
        <v>1629</v>
      </c>
      <c r="AY76" s="3" t="s">
        <v>969</v>
      </c>
      <c r="AZ76" s="3" t="s">
        <v>971</v>
      </c>
      <c r="BA76" s="3" t="s">
        <v>497</v>
      </c>
      <c r="BB76" s="3" t="s">
        <v>149</v>
      </c>
      <c r="BC76" s="3" t="s">
        <v>1630</v>
      </c>
      <c r="BD76" s="3" t="s">
        <v>970</v>
      </c>
      <c r="BE76" s="3" t="s">
        <v>972</v>
      </c>
      <c r="BF76" s="3" t="s">
        <v>973</v>
      </c>
      <c r="BG76" s="3" t="s">
        <v>974</v>
      </c>
      <c r="BH76" s="3" t="s">
        <v>2414</v>
      </c>
      <c r="BI76" s="3" t="s">
        <v>1303</v>
      </c>
      <c r="BJ76" s="3" t="s">
        <v>1629</v>
      </c>
      <c r="BK76" s="3" t="s">
        <v>24</v>
      </c>
      <c r="BL76" s="3" t="s">
        <v>4047</v>
      </c>
      <c r="BM76" s="3" t="s">
        <v>1630</v>
      </c>
      <c r="BN76" s="3" t="s">
        <v>22</v>
      </c>
      <c r="BO76" s="3">
        <v>1.59</v>
      </c>
      <c r="BP76" s="3">
        <v>-7.76</v>
      </c>
      <c r="BQ76" s="3">
        <v>-0.32</v>
      </c>
      <c r="BR76" s="3">
        <v>1.85</v>
      </c>
      <c r="BS76" s="3">
        <v>-8.25</v>
      </c>
      <c r="BT76" s="3" t="s">
        <v>2484</v>
      </c>
      <c r="BU76" s="3" t="s">
        <v>3311</v>
      </c>
      <c r="BV76" s="3">
        <v>24.76</v>
      </c>
      <c r="BW76" s="3">
        <v>30.68</v>
      </c>
      <c r="BX76" s="3">
        <v>27.76</v>
      </c>
      <c r="BY76" s="3">
        <v>3.77</v>
      </c>
      <c r="BZ76" s="3">
        <v>2.33</v>
      </c>
      <c r="CA76" s="3">
        <v>-1.95</v>
      </c>
      <c r="CB76" s="3">
        <v>-5.51</v>
      </c>
      <c r="CC76" s="3">
        <v>-26.12</v>
      </c>
      <c r="CD76" s="3" t="s">
        <v>4048</v>
      </c>
      <c r="CE76" s="3" t="s">
        <v>4049</v>
      </c>
      <c r="CF76" s="10">
        <v>-0.48260381593714918</v>
      </c>
      <c r="CG76" s="11">
        <v>0.92346298485776557</v>
      </c>
      <c r="CH76" s="10">
        <v>-0.79851400852203369</v>
      </c>
      <c r="CI76" s="10">
        <v>-0.34796237945556641</v>
      </c>
      <c r="CJ76" s="10">
        <v>0.93867397308349609</v>
      </c>
      <c r="CK76" s="10">
        <v>2.1153182983398437</v>
      </c>
      <c r="CL76" s="10">
        <v>1.0457746982574463</v>
      </c>
      <c r="CM76" s="11">
        <v>-1.1006349325180054</v>
      </c>
      <c r="CN76" s="11">
        <v>1.7803831100463867</v>
      </c>
      <c r="CO76" s="11">
        <v>0.11980974674224854</v>
      </c>
      <c r="CP76" s="11">
        <v>-1.5914797782897949</v>
      </c>
      <c r="CQ76" s="11">
        <v>0.11414167284965515</v>
      </c>
      <c r="CR76" s="3">
        <v>-541.70846596254853</v>
      </c>
      <c r="CS76" s="3">
        <v>-9.1712693176663453</v>
      </c>
      <c r="CT76" s="3">
        <v>0.15732265446224258</v>
      </c>
      <c r="CU76" s="10">
        <v>0.59065811634063725</v>
      </c>
      <c r="CV76" s="11">
        <v>-0.13555603623390197</v>
      </c>
      <c r="CW76" s="3">
        <v>0.06</v>
      </c>
      <c r="CX76" s="3" t="e">
        <v>#VALUE!</v>
      </c>
      <c r="CY76" s="3" t="s">
        <v>1073</v>
      </c>
      <c r="CZ76" s="3">
        <v>0.59065811634063725</v>
      </c>
      <c r="DA76" s="3" t="e">
        <v>#VALUE!</v>
      </c>
      <c r="DB76" s="3" t="s">
        <v>1074</v>
      </c>
      <c r="DC76" s="3">
        <v>0.56112521052360531</v>
      </c>
      <c r="DD76" s="3" t="e">
        <v>#VALUE!</v>
      </c>
      <c r="DE76" s="3" t="s">
        <v>1074</v>
      </c>
      <c r="DF76" s="3">
        <v>0.51977914237976075</v>
      </c>
      <c r="DG76" s="3" t="e">
        <v>#VALUE!</v>
      </c>
      <c r="DH76" s="3" t="s">
        <v>1074</v>
      </c>
      <c r="DI76" s="3">
        <v>0.47252649307250982</v>
      </c>
      <c r="DJ76" s="3" t="e">
        <v>#VALUE!</v>
      </c>
      <c r="DK76" s="3" t="s">
        <v>1074</v>
      </c>
      <c r="DL76" s="3">
        <v>0.41346068143844605</v>
      </c>
      <c r="DM76" s="3">
        <v>-5373000</v>
      </c>
      <c r="DN76" s="3">
        <v>0.59065811634063725</v>
      </c>
      <c r="DO76" s="3">
        <v>11367359000</v>
      </c>
      <c r="DP76" s="3">
        <v>3603469000</v>
      </c>
      <c r="DQ76" s="3">
        <v>4672</v>
      </c>
      <c r="DR76" s="3">
        <v>-1.0732619322777865</v>
      </c>
      <c r="DS76" s="3">
        <v>1.0590190210916675</v>
      </c>
      <c r="DT76" s="12">
        <v>-2.8333333333333394E-2</v>
      </c>
      <c r="DU76" s="3">
        <v>-2.3916666666666671</v>
      </c>
      <c r="DV76" s="3">
        <v>-2.4200000000000004</v>
      </c>
      <c r="DW76" s="3">
        <v>-8.210949464012252</v>
      </c>
      <c r="DX76" s="3">
        <v>0.2994029186567127</v>
      </c>
      <c r="DY76" s="3">
        <v>-8.0230784870520093</v>
      </c>
      <c r="DZ76" s="3">
        <v>312</v>
      </c>
      <c r="EA76" s="3">
        <v>-8.021669389603824</v>
      </c>
      <c r="EB76" s="3">
        <v>8</v>
      </c>
      <c r="EC76" s="3">
        <v>2.0941300221403912E-2</v>
      </c>
      <c r="ED76" s="3">
        <v>0.19141444700382779</v>
      </c>
      <c r="EE76" s="13">
        <v>3.1023999999999998</v>
      </c>
      <c r="EF76" s="3">
        <v>3.1063000000000001</v>
      </c>
      <c r="EG76" s="3">
        <v>19.109402918656713</v>
      </c>
      <c r="EH76" s="3" t="s">
        <v>1926</v>
      </c>
      <c r="EI76" s="3">
        <v>0</v>
      </c>
      <c r="EJ76" s="3">
        <v>1</v>
      </c>
      <c r="EK76" s="14">
        <v>45470</v>
      </c>
      <c r="EL76" s="15">
        <v>-1.43</v>
      </c>
      <c r="EM76" s="15">
        <v>0.85</v>
      </c>
      <c r="EN76" s="15">
        <v>-0.87</v>
      </c>
      <c r="EO76" s="15">
        <v>0.79</v>
      </c>
      <c r="EP76" s="15">
        <v>0.39</v>
      </c>
    </row>
    <row r="77" spans="1:146" ht="96" x14ac:dyDescent="0.25">
      <c r="A77" s="3"/>
      <c r="B77" s="3"/>
      <c r="C77" s="7" t="str">
        <f>""&amp;CHAR(10)&amp;Basic_Fundamental_Information_Constructure(F77)&amp;CHAR(10)&amp;Basic_Fundamental_Information_Concatenate("")</f>
        <v xml:space="preserve">
市值185.50141亿, 利润2417.17万; PE47.89; 平均PE95.75; 平均PEG21.76, PB1.25; ROIC3.4233%; ROE5.1167%; 股利率.2586%; 毛利37.8033%; 净利23.1067%; 上一年度营收增-85.79%, 利润增-94.77%; 当季营收增-71.49%, 利润增-90.98%; 过往5年营收增4.4%, 利润增218.99%
Income profile:
</v>
      </c>
      <c r="D77" s="3" t="s">
        <v>1345</v>
      </c>
      <c r="E77" s="3" t="s">
        <v>1346</v>
      </c>
      <c r="F77" s="3">
        <v>15.47</v>
      </c>
      <c r="G77" s="3">
        <v>1.78</v>
      </c>
      <c r="H77" s="3" t="s">
        <v>4050</v>
      </c>
      <c r="I77" s="3">
        <v>18550141000</v>
      </c>
      <c r="J77" s="3">
        <v>47.89</v>
      </c>
      <c r="K77" s="3">
        <v>1.25</v>
      </c>
      <c r="L77" s="3" t="s">
        <v>2983</v>
      </c>
      <c r="M77" s="3" t="s">
        <v>467</v>
      </c>
      <c r="N77" s="3" t="s">
        <v>4051</v>
      </c>
      <c r="O77" s="3" t="s">
        <v>322</v>
      </c>
      <c r="P77" s="3">
        <v>-39.869999999999997</v>
      </c>
      <c r="Q77" s="3" t="s">
        <v>322</v>
      </c>
      <c r="R77" s="3">
        <v>24171731</v>
      </c>
      <c r="S77" s="3">
        <v>-0.72870000000000001</v>
      </c>
      <c r="T77" s="3" t="s">
        <v>4052</v>
      </c>
      <c r="U77" s="3">
        <v>459588880</v>
      </c>
      <c r="V77" s="3">
        <v>1199104110</v>
      </c>
      <c r="W77" s="3">
        <v>1.21</v>
      </c>
      <c r="X77" s="3">
        <v>0.02</v>
      </c>
      <c r="Y77" s="3">
        <v>5.91</v>
      </c>
      <c r="Z77" s="3" t="s">
        <v>1199</v>
      </c>
      <c r="AA77" s="3" t="s">
        <v>133</v>
      </c>
      <c r="AB77" s="3" t="s">
        <v>4053</v>
      </c>
      <c r="AC77" s="3" t="s">
        <v>4054</v>
      </c>
      <c r="AD77" s="3" t="s">
        <v>22</v>
      </c>
      <c r="AE77" s="3">
        <v>-19720068</v>
      </c>
      <c r="AF77" s="3" t="s">
        <v>2486</v>
      </c>
      <c r="AG77" s="3" t="s">
        <v>4055</v>
      </c>
      <c r="AH77" s="3" t="s">
        <v>2487</v>
      </c>
      <c r="AI77" s="3" t="s">
        <v>4056</v>
      </c>
      <c r="AJ77" s="3" t="s">
        <v>2488</v>
      </c>
      <c r="AK77" s="3" t="s">
        <v>372</v>
      </c>
      <c r="AL77" s="3" t="s">
        <v>2489</v>
      </c>
      <c r="AM77" s="3" t="s">
        <v>22</v>
      </c>
      <c r="AN77" s="3" t="s">
        <v>4057</v>
      </c>
      <c r="AO77" s="3" t="s">
        <v>4058</v>
      </c>
      <c r="AP77" s="3" t="s">
        <v>155</v>
      </c>
      <c r="AQ77" s="3" t="s">
        <v>278</v>
      </c>
      <c r="AR77" s="3" t="s">
        <v>22</v>
      </c>
      <c r="AS77" s="3" t="s">
        <v>902</v>
      </c>
      <c r="AT77" s="3" t="s">
        <v>4059</v>
      </c>
      <c r="AU77" s="3" t="s">
        <v>4060</v>
      </c>
      <c r="AV77" s="3" t="s">
        <v>1129</v>
      </c>
      <c r="AW77" s="3" t="s">
        <v>4061</v>
      </c>
      <c r="AX77" s="3" t="s">
        <v>1631</v>
      </c>
      <c r="AY77" s="3" t="s">
        <v>1347</v>
      </c>
      <c r="AZ77" s="3" t="s">
        <v>1259</v>
      </c>
      <c r="BA77" s="3" t="s">
        <v>789</v>
      </c>
      <c r="BB77" s="3" t="s">
        <v>22</v>
      </c>
      <c r="BC77" s="3" t="s">
        <v>475</v>
      </c>
      <c r="BD77" s="3" t="s">
        <v>325</v>
      </c>
      <c r="BE77" s="3" t="s">
        <v>1349</v>
      </c>
      <c r="BF77" s="3" t="s">
        <v>1350</v>
      </c>
      <c r="BG77" s="3" t="s">
        <v>22</v>
      </c>
      <c r="BH77" s="3" t="s">
        <v>2485</v>
      </c>
      <c r="BI77" s="3" t="s">
        <v>1796</v>
      </c>
      <c r="BJ77" s="3" t="s">
        <v>1631</v>
      </c>
      <c r="BK77" s="3" t="s">
        <v>562</v>
      </c>
      <c r="BL77" s="3" t="s">
        <v>334</v>
      </c>
      <c r="BM77" s="3" t="s">
        <v>475</v>
      </c>
      <c r="BN77" s="3">
        <v>1.56</v>
      </c>
      <c r="BO77" s="3">
        <v>2.72</v>
      </c>
      <c r="BP77" s="3">
        <v>5.99</v>
      </c>
      <c r="BQ77" s="3">
        <v>2.4</v>
      </c>
      <c r="BR77" s="3">
        <v>4.46</v>
      </c>
      <c r="BS77" s="3">
        <v>8.49</v>
      </c>
      <c r="BT77" s="3" t="s">
        <v>1611</v>
      </c>
      <c r="BU77" s="3" t="s">
        <v>1210</v>
      </c>
      <c r="BV77" s="3">
        <v>32.5</v>
      </c>
      <c r="BW77" s="3">
        <v>38.85</v>
      </c>
      <c r="BX77" s="3">
        <v>42.06</v>
      </c>
      <c r="BY77" s="3">
        <v>20</v>
      </c>
      <c r="BZ77" s="3">
        <v>21.35</v>
      </c>
      <c r="CA77" s="3">
        <v>27.97</v>
      </c>
      <c r="CB77" s="3">
        <v>-4.3899999999999997</v>
      </c>
      <c r="CC77" s="10">
        <v>-4.9800000000000004</v>
      </c>
      <c r="CD77" s="11" t="s">
        <v>4062</v>
      </c>
      <c r="CE77" s="10" t="s">
        <v>282</v>
      </c>
      <c r="CF77" s="10">
        <v>-0.7149446494464945</v>
      </c>
      <c r="CG77" s="10">
        <v>-0.90980697388059706</v>
      </c>
      <c r="CH77" s="10">
        <v>-0.85793107748031616</v>
      </c>
      <c r="CI77" s="10">
        <v>6.8796068429946899E-2</v>
      </c>
      <c r="CJ77" s="11">
        <v>0.97572821378707886</v>
      </c>
      <c r="CK77" s="11">
        <v>-1.0566762648522854E-2</v>
      </c>
      <c r="CL77" s="11" t="s">
        <v>22</v>
      </c>
      <c r="CM77" s="11">
        <v>-0.94768029451370239</v>
      </c>
      <c r="CN77" s="11">
        <v>-0.15999999642372131</v>
      </c>
      <c r="CO77" s="3">
        <v>8.4032363891601562</v>
      </c>
      <c r="CP77" s="3">
        <v>1.4642102718353271</v>
      </c>
      <c r="CQ77" s="3" t="s">
        <v>22</v>
      </c>
      <c r="CR77" s="10">
        <v>95.751341386088981</v>
      </c>
      <c r="CS77" s="11">
        <v>21.758399533660725</v>
      </c>
      <c r="CT77" s="3">
        <v>0.25856496444731741</v>
      </c>
      <c r="CU77" s="3">
        <v>4.4006610522046685E-2</v>
      </c>
      <c r="CV77" s="3">
        <v>2.1899415925145149</v>
      </c>
      <c r="CW77" s="3">
        <v>0.06</v>
      </c>
      <c r="CX77" s="3">
        <v>294.03715299605454</v>
      </c>
      <c r="CY77" s="3">
        <v>23806994.893920522</v>
      </c>
      <c r="CZ77" s="3">
        <v>4.4006610522046685E-2</v>
      </c>
      <c r="DA77" s="3">
        <v>99.924673049310044</v>
      </c>
      <c r="DB77" s="3">
        <v>70054179.677381814</v>
      </c>
      <c r="DC77" s="3">
        <v>4.180627999594435E-2</v>
      </c>
      <c r="DD77" s="3">
        <v>51.785161105231033</v>
      </c>
      <c r="DE77" s="3">
        <v>135176580.5222702</v>
      </c>
      <c r="DF77" s="3">
        <v>3.8725817259401087E-2</v>
      </c>
      <c r="DG77" s="3">
        <v>32.910391078099657</v>
      </c>
      <c r="DH77" s="3">
        <v>212703063.39988372</v>
      </c>
      <c r="DI77" s="3">
        <v>3.520528841763735E-2</v>
      </c>
      <c r="DJ77" s="3">
        <v>19.165140354394694</v>
      </c>
      <c r="DK77" s="3">
        <v>365253834.33442056</v>
      </c>
      <c r="DL77" s="3">
        <v>3.0804627365432678E-2</v>
      </c>
      <c r="DM77" s="3">
        <v>24171700</v>
      </c>
      <c r="DN77" s="3">
        <v>4.4006610522046685E-2</v>
      </c>
      <c r="DO77" s="3">
        <v>7000140999.9999981</v>
      </c>
      <c r="DP77" s="3">
        <v>7546697300</v>
      </c>
      <c r="DQ77" s="12">
        <v>4689</v>
      </c>
      <c r="DR77" s="3">
        <v>-0.75895125996854118</v>
      </c>
      <c r="DS77" s="3">
        <v>-3.0997485663951121</v>
      </c>
      <c r="DT77" s="3">
        <v>-0.60799999999999998</v>
      </c>
      <c r="DU77" s="3">
        <v>-0.40600000000000014</v>
      </c>
      <c r="DV77" s="3">
        <v>-1.0140000000000002</v>
      </c>
      <c r="DW77" s="3">
        <v>-8.8815261044176701</v>
      </c>
      <c r="DX77" s="3">
        <v>0.31224840764331319</v>
      </c>
      <c r="DY77" s="3">
        <v>-8.0548735962960123</v>
      </c>
      <c r="DZ77" s="3">
        <v>4947</v>
      </c>
      <c r="EA77" s="3">
        <v>-8.0017503710755875</v>
      </c>
      <c r="EB77" s="13">
        <v>8</v>
      </c>
      <c r="EC77" s="3">
        <v>8.150251440635959E-3</v>
      </c>
      <c r="ED77" s="3">
        <v>0.13093108320677843</v>
      </c>
      <c r="EE77" s="3">
        <v>-3.03511</v>
      </c>
      <c r="EF77" s="3">
        <v>-3.0748099999999998</v>
      </c>
      <c r="EG77" s="3">
        <v>25.062248407643313</v>
      </c>
      <c r="EH77" s="14" t="s">
        <v>1838</v>
      </c>
      <c r="EI77" s="15">
        <v>0</v>
      </c>
      <c r="EJ77" s="15">
        <v>0</v>
      </c>
      <c r="EK77" s="15">
        <v>45470</v>
      </c>
      <c r="EL77" s="15">
        <v>2.21</v>
      </c>
      <c r="EM77" s="15">
        <v>-5.29</v>
      </c>
      <c r="EN77" s="15">
        <v>-7.02</v>
      </c>
      <c r="EO77" s="15">
        <v>5.37</v>
      </c>
      <c r="EP77" s="15">
        <v>-3.97</v>
      </c>
    </row>
    <row r="78" spans="1:146" ht="96" x14ac:dyDescent="0.25">
      <c r="C78" s="7" t="str">
        <f>""&amp;CHAR(10)&amp;Basic_Fundamental_Information_Constructure(F78)&amp;CHAR(10)&amp;Basic_Fundamental_Information_Concatenate("")</f>
        <v xml:space="preserve">
市值40.196547亿, 利润-4889.14万; PE; 平均PE-121.59; 平均PEG-2.86, PB2.31; ROIC1.105%; ROE1.91%; 股利率0%; 毛利46.9867%; 净利-3.6467%; 上一年度营收增-78%, 利润增-222.66%; 当季营收增-1.6%, 利润增-221.91%; 过往5年营收增42.56%, 利润增-351.25%
Income profile:
</v>
      </c>
      <c r="D78" s="3" t="s">
        <v>975</v>
      </c>
      <c r="E78" s="3" t="s">
        <v>976</v>
      </c>
      <c r="F78" s="3">
        <v>9.81</v>
      </c>
      <c r="G78" s="3">
        <v>1.45</v>
      </c>
      <c r="H78" s="3" t="s">
        <v>4063</v>
      </c>
      <c r="I78" s="3">
        <v>4019654700</v>
      </c>
      <c r="K78" s="3">
        <v>2.31</v>
      </c>
      <c r="L78" s="3" t="s">
        <v>2983</v>
      </c>
      <c r="M78" s="3" t="s">
        <v>216</v>
      </c>
      <c r="N78" s="3" t="s">
        <v>4064</v>
      </c>
      <c r="O78" s="3" t="s">
        <v>120</v>
      </c>
      <c r="P78" s="3">
        <v>205.94</v>
      </c>
      <c r="Q78" s="3" t="s">
        <v>120</v>
      </c>
      <c r="R78" s="3">
        <v>-48891401</v>
      </c>
      <c r="S78" s="5">
        <v>-1.911</v>
      </c>
      <c r="T78" s="3" t="s">
        <v>4065</v>
      </c>
      <c r="U78" s="3">
        <v>238646850</v>
      </c>
      <c r="V78" s="3">
        <v>409750730</v>
      </c>
      <c r="W78" s="3">
        <v>1.1100000000000001</v>
      </c>
      <c r="X78" s="3">
        <v>0.06</v>
      </c>
      <c r="Y78" s="3">
        <v>-39.78</v>
      </c>
      <c r="Z78" s="3" t="s">
        <v>220</v>
      </c>
      <c r="AA78" s="3" t="s">
        <v>4066</v>
      </c>
      <c r="AB78" s="3" t="s">
        <v>4067</v>
      </c>
      <c r="AC78" s="3" t="s">
        <v>4068</v>
      </c>
      <c r="AD78" s="3" t="s">
        <v>22</v>
      </c>
      <c r="AE78" s="3">
        <v>-2872840</v>
      </c>
      <c r="AF78" s="3" t="s">
        <v>2491</v>
      </c>
      <c r="AG78" s="3">
        <v>5265.49</v>
      </c>
      <c r="AH78" s="3" t="s">
        <v>2492</v>
      </c>
      <c r="AI78" s="3" t="s">
        <v>647</v>
      </c>
      <c r="AJ78" s="3" t="s">
        <v>2493</v>
      </c>
      <c r="AK78" s="3" t="s">
        <v>22</v>
      </c>
      <c r="AL78" s="3" t="s">
        <v>2494</v>
      </c>
      <c r="AM78" s="3" t="s">
        <v>22</v>
      </c>
      <c r="AN78" s="3" t="s">
        <v>4069</v>
      </c>
      <c r="AO78" s="3" t="s">
        <v>4070</v>
      </c>
      <c r="AP78" s="3" t="s">
        <v>22</v>
      </c>
      <c r="AQ78" s="3" t="s">
        <v>283</v>
      </c>
      <c r="AR78" s="3" t="s">
        <v>22</v>
      </c>
      <c r="AS78" s="3" t="s">
        <v>385</v>
      </c>
      <c r="AT78" s="3" t="s">
        <v>22</v>
      </c>
      <c r="AU78" s="3" t="s">
        <v>4071</v>
      </c>
      <c r="AV78" s="3" t="s">
        <v>785</v>
      </c>
      <c r="AW78" s="3" t="s">
        <v>4072</v>
      </c>
      <c r="AX78" s="3" t="s">
        <v>1312</v>
      </c>
      <c r="AY78" s="3" t="s">
        <v>351</v>
      </c>
      <c r="AZ78" s="3" t="s">
        <v>466</v>
      </c>
      <c r="BA78" s="3" t="s">
        <v>283</v>
      </c>
      <c r="BB78" s="3" t="s">
        <v>978</v>
      </c>
      <c r="BC78" s="3" t="s">
        <v>1632</v>
      </c>
      <c r="BD78" s="3" t="s">
        <v>977</v>
      </c>
      <c r="BE78" s="3" t="s">
        <v>896</v>
      </c>
      <c r="BF78" s="3" t="s">
        <v>979</v>
      </c>
      <c r="BG78" s="3" t="s">
        <v>980</v>
      </c>
      <c r="BH78" s="3" t="s">
        <v>563</v>
      </c>
      <c r="BI78" s="3" t="s">
        <v>162</v>
      </c>
      <c r="BJ78" s="3" t="s">
        <v>1312</v>
      </c>
      <c r="BK78" s="3" t="s">
        <v>2490</v>
      </c>
      <c r="BL78" s="3" t="s">
        <v>4073</v>
      </c>
      <c r="BM78" s="3" t="s">
        <v>1632</v>
      </c>
      <c r="BN78" s="3">
        <v>-3.01</v>
      </c>
      <c r="BO78" s="3" t="s">
        <v>22</v>
      </c>
      <c r="BP78" s="3">
        <v>5.22</v>
      </c>
      <c r="BQ78" s="3">
        <v>0.87</v>
      </c>
      <c r="BR78" s="3">
        <v>-0.92</v>
      </c>
      <c r="BS78" s="3">
        <v>5.78</v>
      </c>
      <c r="BT78" s="3" t="s">
        <v>1368</v>
      </c>
      <c r="BU78" s="3" t="s">
        <v>3311</v>
      </c>
      <c r="BV78" s="3">
        <v>36.659999999999997</v>
      </c>
      <c r="BW78" s="3">
        <v>50.29</v>
      </c>
      <c r="BX78" s="3">
        <v>54.01</v>
      </c>
      <c r="BY78" s="3">
        <v>-13.77</v>
      </c>
      <c r="BZ78" s="3">
        <v>-2.71</v>
      </c>
      <c r="CA78" s="3">
        <v>5.54</v>
      </c>
      <c r="CB78" s="3">
        <v>-11.06</v>
      </c>
      <c r="CC78" s="3">
        <v>-9.67</v>
      </c>
      <c r="CD78" s="3" t="s">
        <v>4074</v>
      </c>
      <c r="CE78" s="3" t="s">
        <v>537</v>
      </c>
      <c r="CF78" s="10">
        <v>-1.6E-2</v>
      </c>
      <c r="CG78" s="11">
        <v>-2.2190970861197967</v>
      </c>
      <c r="CH78" s="10">
        <v>-0.77996420860290527</v>
      </c>
      <c r="CI78" s="10">
        <v>0.20734341442584991</v>
      </c>
      <c r="CJ78" s="10">
        <v>1.030701756477356</v>
      </c>
      <c r="CK78" s="10">
        <v>0.98260867595672607</v>
      </c>
      <c r="CL78" s="10">
        <v>0.68712735176086426</v>
      </c>
      <c r="CM78" s="11">
        <v>-2.2266225814819336</v>
      </c>
      <c r="CN78" s="11">
        <v>-1.5908259153366089</v>
      </c>
      <c r="CO78" s="11">
        <v>1.1768710613250732</v>
      </c>
      <c r="CP78" s="11">
        <v>-14.14328670501709</v>
      </c>
      <c r="CQ78" s="11">
        <v>-0.77845466136932373</v>
      </c>
      <c r="CR78" s="3">
        <v>-121.58861304477587</v>
      </c>
      <c r="CS78" s="3">
        <v>-2.8571210215722909</v>
      </c>
      <c r="CT78" s="3">
        <v>0</v>
      </c>
      <c r="CU78" s="10">
        <v>0.42556339800357817</v>
      </c>
      <c r="CV78" s="11">
        <v>-3.5124637603759767</v>
      </c>
      <c r="CW78" s="3">
        <v>0.06</v>
      </c>
      <c r="CX78" s="3" t="e">
        <v>#VALUE!</v>
      </c>
      <c r="CY78" s="3" t="s">
        <v>1073</v>
      </c>
      <c r="CZ78" s="3">
        <v>0.42556339800357817</v>
      </c>
      <c r="DA78" s="3" t="e">
        <v>#VALUE!</v>
      </c>
      <c r="DB78" s="3" t="s">
        <v>1074</v>
      </c>
      <c r="DC78" s="3">
        <v>0.40428522810339923</v>
      </c>
      <c r="DD78" s="3" t="e">
        <v>#VALUE!</v>
      </c>
      <c r="DE78" s="3" t="s">
        <v>1074</v>
      </c>
      <c r="DF78" s="3">
        <v>0.37449579024314877</v>
      </c>
      <c r="DG78" s="3" t="e">
        <v>#VALUE!</v>
      </c>
      <c r="DH78" s="3" t="s">
        <v>1074</v>
      </c>
      <c r="DI78" s="3">
        <v>0.34045071840286256</v>
      </c>
      <c r="DJ78" s="3" t="e">
        <v>#VALUE!</v>
      </c>
      <c r="DK78" s="3" t="s">
        <v>1074</v>
      </c>
      <c r="DL78" s="3">
        <v>0.29789437860250473</v>
      </c>
      <c r="DM78" s="3">
        <v>-48891400</v>
      </c>
      <c r="DN78" s="3">
        <v>0.42556339800357817</v>
      </c>
      <c r="DO78" s="3">
        <v>2461654700</v>
      </c>
      <c r="DP78" s="3">
        <v>1372947500</v>
      </c>
      <c r="DQ78" s="3">
        <v>4690</v>
      </c>
      <c r="DR78" s="3">
        <v>-0.44156339800357819</v>
      </c>
      <c r="DS78" s="3">
        <v>1.29336667425618</v>
      </c>
      <c r="DT78" s="12">
        <v>7.6666666666666591E-2</v>
      </c>
      <c r="DU78" s="3">
        <v>-3.3650000000000002</v>
      </c>
      <c r="DV78" s="3">
        <v>-3.2883333333333336</v>
      </c>
      <c r="DW78" s="3">
        <v>-5.8743218806509949</v>
      </c>
      <c r="DX78" s="3">
        <v>0.31383612565444896</v>
      </c>
      <c r="DY78" s="3">
        <v>-5.1257590718877521</v>
      </c>
      <c r="DZ78" s="3">
        <v>2637</v>
      </c>
      <c r="EA78" s="3">
        <v>-5.0608614843010589</v>
      </c>
      <c r="EB78" s="3">
        <v>5</v>
      </c>
      <c r="EC78" s="3">
        <v>6.7047348518451691E-2</v>
      </c>
      <c r="ED78" s="3">
        <v>0.4661370584989562</v>
      </c>
      <c r="EE78" s="13">
        <v>-1.0336099999999999</v>
      </c>
      <c r="EF78" s="3">
        <v>-1.0679099999999999</v>
      </c>
      <c r="EG78" s="3">
        <v>17.143836125654449</v>
      </c>
      <c r="EH78" s="3" t="s">
        <v>1386</v>
      </c>
      <c r="EI78" s="3">
        <v>0</v>
      </c>
      <c r="EJ78" s="3">
        <v>0</v>
      </c>
      <c r="EK78" s="14">
        <v>45470</v>
      </c>
      <c r="EL78" s="15">
        <v>6.83</v>
      </c>
      <c r="EM78" s="15">
        <v>-11.8</v>
      </c>
      <c r="EN78" s="15">
        <v>-3.46</v>
      </c>
      <c r="EO78" s="15">
        <v>4.41</v>
      </c>
      <c r="EP78" s="15">
        <v>-3.43</v>
      </c>
    </row>
    <row r="79" spans="1:146" ht="120" x14ac:dyDescent="0.25">
      <c r="C79" s="7" t="str">
        <f>"公司主营业务为半导体自动化测试系统的研发，生产和销售。公司的主要产品为半导体自动化测试系统及测试系统配件。"&amp;CHAR(10)&amp;Basic_Fundamental_Information_Constructure(F79)&amp;CHAR(10)&amp;Basic_Fundamental_Information_Concatenate("测试系统 8.21亿 93.49% 93.66% 80.37%
测试系统配件 5570.93万 6.34% 6.48% 81.93%")</f>
        <v>公司主营业务为半导体自动化测试系统的研发，生产和销售。公司的主要产品为半导体自动化测试系统及测试系统配件。
市值119.850349亿, 利润2343.83万; PE59.81; 平均PE52.1; 平均PEG2.03, PB3.58; ROIC13.2733%; ROE14.3933%; 股利率.6328%; 毛利76.5233%; 净利45.1833%; 上一年度营收增-87.21%, 利润增-95.54%; 当季营收增-64.04%, 利润增-85.44%; 过往5年营收增25.61%, 利润增30.48%
Income profile:
测试系统 8.21亿 93.49% 93.66% 80.37%
测试系统配件 5570.93万 6.34% 6.48% 81.93%</v>
      </c>
      <c r="D79" s="3" t="s">
        <v>809</v>
      </c>
      <c r="E79" s="3" t="s">
        <v>4075</v>
      </c>
      <c r="F79" s="3">
        <v>88.49</v>
      </c>
      <c r="G79" s="3">
        <v>1.71</v>
      </c>
      <c r="H79" s="3" t="s">
        <v>4076</v>
      </c>
      <c r="I79" s="3">
        <v>11985034900</v>
      </c>
      <c r="J79" s="3">
        <v>59.81</v>
      </c>
      <c r="K79" s="3">
        <v>3.58</v>
      </c>
      <c r="L79" s="3" t="s">
        <v>2983</v>
      </c>
      <c r="M79" s="3" t="s">
        <v>146</v>
      </c>
      <c r="N79" s="3" t="s">
        <v>4077</v>
      </c>
      <c r="O79" s="3" t="s">
        <v>305</v>
      </c>
      <c r="P79" s="3">
        <v>-31.61</v>
      </c>
      <c r="Q79" s="3" t="s">
        <v>305</v>
      </c>
      <c r="R79" s="3">
        <v>23438331</v>
      </c>
      <c r="S79" s="5">
        <v>-0.68620000000000003</v>
      </c>
      <c r="T79" s="3" t="s">
        <v>4078</v>
      </c>
      <c r="U79" s="3">
        <v>135439430</v>
      </c>
      <c r="V79" s="3">
        <v>135439430</v>
      </c>
      <c r="W79" s="3">
        <v>1.04</v>
      </c>
      <c r="X79" s="3">
        <v>0.04</v>
      </c>
      <c r="Y79" s="3">
        <v>17.13</v>
      </c>
      <c r="Z79" s="3" t="s">
        <v>112</v>
      </c>
      <c r="AA79" s="3" t="s">
        <v>4079</v>
      </c>
      <c r="AB79" s="3" t="s">
        <v>4080</v>
      </c>
      <c r="AC79" s="3" t="s">
        <v>4081</v>
      </c>
      <c r="AD79" s="3" t="s">
        <v>22</v>
      </c>
      <c r="AE79" s="3">
        <v>-12762790</v>
      </c>
      <c r="AF79" s="3" t="s">
        <v>108</v>
      </c>
      <c r="AG79" s="3">
        <v>1366.12</v>
      </c>
      <c r="AH79" s="3" t="s">
        <v>2496</v>
      </c>
      <c r="AI79" s="3" t="s">
        <v>4082</v>
      </c>
      <c r="AJ79" s="3" t="s">
        <v>2497</v>
      </c>
      <c r="AK79" s="3" t="s">
        <v>4083</v>
      </c>
      <c r="AL79" s="3" t="s">
        <v>2498</v>
      </c>
      <c r="AM79" s="3" t="s">
        <v>22</v>
      </c>
      <c r="AN79" s="3">
        <v>0</v>
      </c>
      <c r="AO79" s="3" t="s">
        <v>22</v>
      </c>
      <c r="AP79" s="3" t="s">
        <v>22</v>
      </c>
      <c r="AQ79" s="3" t="s">
        <v>4084</v>
      </c>
      <c r="AR79" s="3" t="s">
        <v>4085</v>
      </c>
      <c r="AS79" s="3" t="s">
        <v>396</v>
      </c>
      <c r="AT79" s="3" t="s">
        <v>22</v>
      </c>
      <c r="AU79" s="3" t="s">
        <v>4086</v>
      </c>
      <c r="AV79" s="3" t="s">
        <v>4087</v>
      </c>
      <c r="AW79" s="3" t="s">
        <v>4088</v>
      </c>
      <c r="AX79" s="3" t="s">
        <v>604</v>
      </c>
      <c r="AY79" s="3" t="s">
        <v>981</v>
      </c>
      <c r="AZ79" s="3" t="s">
        <v>636</v>
      </c>
      <c r="BA79" s="3" t="s">
        <v>134</v>
      </c>
      <c r="BB79" s="3" t="s">
        <v>390</v>
      </c>
      <c r="BC79" s="3" t="s">
        <v>333</v>
      </c>
      <c r="BD79" s="3" t="s">
        <v>493</v>
      </c>
      <c r="BE79" s="3" t="s">
        <v>193</v>
      </c>
      <c r="BF79" s="3" t="s">
        <v>111</v>
      </c>
      <c r="BG79" s="3" t="s">
        <v>810</v>
      </c>
      <c r="BH79" s="3" t="s">
        <v>1836</v>
      </c>
      <c r="BI79" s="3" t="s">
        <v>409</v>
      </c>
      <c r="BJ79" s="3" t="s">
        <v>604</v>
      </c>
      <c r="BK79" s="3" t="s">
        <v>340</v>
      </c>
      <c r="BL79" s="3" t="s">
        <v>1085</v>
      </c>
      <c r="BM79" s="3" t="s">
        <v>333</v>
      </c>
      <c r="BN79" s="3">
        <v>4.88</v>
      </c>
      <c r="BO79" s="3">
        <v>17.3</v>
      </c>
      <c r="BP79" s="3">
        <v>17.64</v>
      </c>
      <c r="BQ79" s="3">
        <v>6.13</v>
      </c>
      <c r="BR79" s="3">
        <v>18.47</v>
      </c>
      <c r="BS79" s="3">
        <v>18.579999999999998</v>
      </c>
      <c r="BT79" s="3" t="s">
        <v>2499</v>
      </c>
      <c r="BU79" s="3" t="s">
        <v>1212</v>
      </c>
      <c r="BV79" s="3">
        <v>72.47</v>
      </c>
      <c r="BW79" s="3">
        <v>76.88</v>
      </c>
      <c r="BX79" s="3">
        <v>80.22</v>
      </c>
      <c r="BY79" s="3">
        <v>36.43</v>
      </c>
      <c r="BZ79" s="3">
        <v>49.16</v>
      </c>
      <c r="CA79" s="3">
        <v>49.96</v>
      </c>
      <c r="CB79" s="3">
        <v>-3.55</v>
      </c>
      <c r="CC79" s="3">
        <v>-12.82</v>
      </c>
      <c r="CD79" s="3" t="s">
        <v>4089</v>
      </c>
      <c r="CE79" s="3" t="s">
        <v>4090</v>
      </c>
      <c r="CF79" s="10">
        <v>-0.64041994750656173</v>
      </c>
      <c r="CG79" s="11">
        <v>-0.85442030434782612</v>
      </c>
      <c r="CH79" s="10">
        <v>-0.8720821738243103</v>
      </c>
      <c r="CI79" s="10">
        <v>0.21981777250766754</v>
      </c>
      <c r="CJ79" s="10">
        <v>1.2115869522094727</v>
      </c>
      <c r="CK79" s="10">
        <v>0.55686277151107788</v>
      </c>
      <c r="CL79" s="10">
        <v>0.16438356041908264</v>
      </c>
      <c r="CM79" s="11">
        <v>-0.9554404616355896</v>
      </c>
      <c r="CN79" s="11">
        <v>0.19817768037319183</v>
      </c>
      <c r="CO79" s="11">
        <v>1.2060301303863525</v>
      </c>
      <c r="CP79" s="11">
        <v>0.95098036527633667</v>
      </c>
      <c r="CQ79" s="11">
        <v>0.12422342598438263</v>
      </c>
      <c r="CR79" s="3">
        <v>52.102519578057041</v>
      </c>
      <c r="CS79" s="3">
        <v>2.0343505248697746</v>
      </c>
      <c r="CT79" s="3">
        <v>0.63283986891174149</v>
      </c>
      <c r="CU79" s="10">
        <v>0.25611377656459811</v>
      </c>
      <c r="CV79" s="11">
        <v>0.30479422807693479</v>
      </c>
      <c r="CW79" s="3">
        <v>0.06</v>
      </c>
      <c r="CX79" s="3">
        <v>315.97237850255175</v>
      </c>
      <c r="CY79" s="3">
        <v>27774690.121937748</v>
      </c>
      <c r="CZ79" s="3">
        <v>0.25611377656459811</v>
      </c>
      <c r="DA79" s="3">
        <v>89.955931984208689</v>
      </c>
      <c r="DB79" s="3">
        <v>97559268.259713978</v>
      </c>
      <c r="DC79" s="3">
        <v>0.24330808773636819</v>
      </c>
      <c r="DD79" s="3">
        <v>36.443160065888208</v>
      </c>
      <c r="DE79" s="3">
        <v>240814322.47184867</v>
      </c>
      <c r="DF79" s="3">
        <v>0.22538012337684635</v>
      </c>
      <c r="DG79" s="3">
        <v>17.311362608289389</v>
      </c>
      <c r="DH79" s="3">
        <v>506952289.00107926</v>
      </c>
      <c r="DI79" s="3">
        <v>0.20489102125167849</v>
      </c>
      <c r="DJ79" s="3">
        <v>5.0920091142845223</v>
      </c>
      <c r="DK79" s="3">
        <v>1723491593.0100646</v>
      </c>
      <c r="DL79" s="3">
        <v>0.17927964359521867</v>
      </c>
      <c r="DM79" s="3">
        <v>23438300</v>
      </c>
      <c r="DN79" s="3">
        <v>0.25611377656459811</v>
      </c>
      <c r="DO79" s="3">
        <v>8776034900</v>
      </c>
      <c r="DP79" s="3">
        <v>2520064800</v>
      </c>
      <c r="DQ79" s="3">
        <v>4715</v>
      </c>
      <c r="DR79" s="3">
        <v>-0.89653372407115983</v>
      </c>
      <c r="DS79" s="3">
        <v>-1.1592145324247609</v>
      </c>
      <c r="DT79" s="12">
        <v>-0.14000000000000004</v>
      </c>
      <c r="DU79" s="3">
        <v>-0.12333333333333336</v>
      </c>
      <c r="DV79" s="3">
        <v>-0.26333333333333342</v>
      </c>
      <c r="DW79" s="3">
        <v>-8.2769110764430582</v>
      </c>
      <c r="DX79" s="3">
        <v>0.39935419587954812</v>
      </c>
      <c r="DY79" s="3">
        <v>-8.0385887203878621</v>
      </c>
      <c r="DZ79" s="3">
        <v>2955</v>
      </c>
      <c r="EA79" s="3">
        <v>-8.0162737167193434</v>
      </c>
      <c r="EB79" s="3">
        <v>8</v>
      </c>
      <c r="EC79" s="3">
        <v>3.6761820394548325E-2</v>
      </c>
      <c r="ED79" s="3">
        <v>0.26380131694293163</v>
      </c>
      <c r="EE79" s="13">
        <v>1.0543100000000001</v>
      </c>
      <c r="EF79" s="3">
        <v>1.08761</v>
      </c>
      <c r="EG79" s="3">
        <v>26.139354195879548</v>
      </c>
      <c r="EH79" s="3" t="s">
        <v>2954</v>
      </c>
      <c r="EI79" s="3">
        <v>0</v>
      </c>
      <c r="EJ79" s="3">
        <v>0</v>
      </c>
      <c r="EK79" s="14">
        <v>45470</v>
      </c>
      <c r="EL79" s="15">
        <v>-4.91</v>
      </c>
      <c r="EM79" s="15">
        <v>-6.37</v>
      </c>
      <c r="EN79" s="15">
        <v>-5.92</v>
      </c>
      <c r="EO79" s="15">
        <v>4.68</v>
      </c>
      <c r="EP79" s="15">
        <v>-3.33</v>
      </c>
    </row>
    <row r="80" spans="1:146" ht="96" x14ac:dyDescent="0.25">
      <c r="C80" s="7" t="str">
        <f>""&amp;CHAR(10)&amp;Basic_Fundamental_Information_Constructure(F80)&amp;CHAR(10)&amp;Basic_Fundamental_Information_Concatenate("")</f>
        <v xml:space="preserve">
市值47.789399亿, 利润396.25万; PE98.88; 平均PE67.88; 平均PEG2.98, PB2.63; ROIC11.6167%; ROE12.97%; 股利率.2489%; 毛利38.9233%; 净利13.4467%; 上一年度营收增-69.9%, 利润增-97.44%; 当季营收增-49.42%, 利润增90.39%; 过往5年营收增22.81%, 利润增60.25%
Income profile:
</v>
      </c>
      <c r="D80" s="3" t="s">
        <v>982</v>
      </c>
      <c r="E80" s="3" t="s">
        <v>983</v>
      </c>
      <c r="F80" s="3">
        <v>11.25</v>
      </c>
      <c r="G80" s="3">
        <v>1.44</v>
      </c>
      <c r="H80" s="3" t="s">
        <v>4091</v>
      </c>
      <c r="I80" s="3">
        <v>4778939900</v>
      </c>
      <c r="J80" s="3">
        <v>98.88</v>
      </c>
      <c r="K80" s="3">
        <v>2.63</v>
      </c>
      <c r="L80" s="3" t="s">
        <v>2983</v>
      </c>
      <c r="M80" s="3" t="s">
        <v>343</v>
      </c>
      <c r="N80" s="3" t="s">
        <v>4092</v>
      </c>
      <c r="O80" s="3" t="s">
        <v>769</v>
      </c>
      <c r="P80" s="3">
        <v>18.41</v>
      </c>
      <c r="Q80" s="3" t="s">
        <v>769</v>
      </c>
      <c r="R80" s="3">
        <v>3962487</v>
      </c>
      <c r="S80" s="5">
        <v>1.264</v>
      </c>
      <c r="T80" s="3" t="s">
        <v>4093</v>
      </c>
      <c r="U80" s="3">
        <v>294432630</v>
      </c>
      <c r="V80" s="3">
        <v>424794660</v>
      </c>
      <c r="W80" s="3">
        <v>1.07</v>
      </c>
      <c r="X80" s="3">
        <v>0.13</v>
      </c>
      <c r="Y80" s="3">
        <v>1.53</v>
      </c>
      <c r="Z80" s="3" t="s">
        <v>3563</v>
      </c>
      <c r="AA80" s="3" t="s">
        <v>132</v>
      </c>
      <c r="AB80" s="3" t="s">
        <v>4094</v>
      </c>
      <c r="AC80" s="3" t="s">
        <v>4095</v>
      </c>
      <c r="AD80" s="3" t="s">
        <v>22</v>
      </c>
      <c r="AE80" s="3">
        <v>-5787339</v>
      </c>
      <c r="AF80" s="3" t="s">
        <v>2502</v>
      </c>
      <c r="AG80" s="3" t="s">
        <v>4096</v>
      </c>
      <c r="AH80" s="3" t="s">
        <v>2503</v>
      </c>
      <c r="AI80" s="3" t="s">
        <v>950</v>
      </c>
      <c r="AJ80" s="3" t="s">
        <v>2504</v>
      </c>
      <c r="AK80" s="3" t="s">
        <v>4097</v>
      </c>
      <c r="AL80" s="3" t="s">
        <v>2505</v>
      </c>
      <c r="AM80" s="3" t="s">
        <v>22</v>
      </c>
      <c r="AN80" s="3">
        <v>0</v>
      </c>
      <c r="AO80" s="3" t="s">
        <v>22</v>
      </c>
      <c r="AP80" s="3" t="s">
        <v>22</v>
      </c>
      <c r="AQ80" s="3" t="s">
        <v>4098</v>
      </c>
      <c r="AR80" s="3" t="s">
        <v>22</v>
      </c>
      <c r="AS80" s="3" t="s">
        <v>450</v>
      </c>
      <c r="AT80" s="3" t="s">
        <v>22</v>
      </c>
      <c r="AU80" s="3" t="s">
        <v>350</v>
      </c>
      <c r="AV80" s="3" t="s">
        <v>4099</v>
      </c>
      <c r="AW80" s="3" t="s">
        <v>4100</v>
      </c>
      <c r="AX80" s="3" t="s">
        <v>1082</v>
      </c>
      <c r="AY80" s="3" t="s">
        <v>984</v>
      </c>
      <c r="AZ80" s="3" t="s">
        <v>416</v>
      </c>
      <c r="BA80" s="3" t="s">
        <v>158</v>
      </c>
      <c r="BB80" s="3" t="s">
        <v>215</v>
      </c>
      <c r="BC80" s="3" t="s">
        <v>138</v>
      </c>
      <c r="BD80" s="3" t="s">
        <v>417</v>
      </c>
      <c r="BE80" s="3" t="s">
        <v>985</v>
      </c>
      <c r="BF80" s="3" t="s">
        <v>986</v>
      </c>
      <c r="BG80" s="3" t="s">
        <v>987</v>
      </c>
      <c r="BH80" s="3" t="s">
        <v>2500</v>
      </c>
      <c r="BI80" s="3" t="s">
        <v>1227</v>
      </c>
      <c r="BJ80" s="3" t="s">
        <v>1082</v>
      </c>
      <c r="BK80" s="3" t="s">
        <v>2501</v>
      </c>
      <c r="BL80" s="3" t="s">
        <v>4101</v>
      </c>
      <c r="BM80" s="3" t="s">
        <v>138</v>
      </c>
      <c r="BN80" s="3">
        <v>-0.6</v>
      </c>
      <c r="BO80" s="3">
        <v>10.3</v>
      </c>
      <c r="BP80" s="3">
        <v>25.15</v>
      </c>
      <c r="BQ80" s="3">
        <v>0.89</v>
      </c>
      <c r="BR80" s="3">
        <v>11.31</v>
      </c>
      <c r="BS80" s="3">
        <v>26.71</v>
      </c>
      <c r="BT80" s="3" t="s">
        <v>2506</v>
      </c>
      <c r="BU80" s="3" t="s">
        <v>3311</v>
      </c>
      <c r="BV80" s="3">
        <v>31.29</v>
      </c>
      <c r="BW80" s="3">
        <v>40.54</v>
      </c>
      <c r="BX80" s="3">
        <v>44.94</v>
      </c>
      <c r="BY80" s="3">
        <v>2.4</v>
      </c>
      <c r="BZ80" s="3">
        <v>17.79</v>
      </c>
      <c r="CA80" s="3">
        <v>20.149999999999999</v>
      </c>
      <c r="CB80" s="3">
        <v>-9.35</v>
      </c>
      <c r="CC80" s="3">
        <v>-5.16</v>
      </c>
      <c r="CD80" s="3" t="s">
        <v>4102</v>
      </c>
      <c r="CE80" s="3" t="s">
        <v>141</v>
      </c>
      <c r="CF80" s="10">
        <v>-0.4941860465116279</v>
      </c>
      <c r="CG80" s="11">
        <v>0.90385191947340604</v>
      </c>
      <c r="CH80" s="10">
        <v>-0.69896191358566284</v>
      </c>
      <c r="CI80" s="10">
        <v>0.11011523753404617</v>
      </c>
      <c r="CJ80" s="10">
        <v>1.0077121257781982</v>
      </c>
      <c r="CK80" s="10">
        <v>0.11781609058380127</v>
      </c>
      <c r="CL80" s="10">
        <v>0.6036866307258606</v>
      </c>
      <c r="CM80" s="11">
        <v>-0.97443550825119019</v>
      </c>
      <c r="CN80" s="11">
        <v>-1.8987340852618217E-2</v>
      </c>
      <c r="CO80" s="11">
        <v>1.5450948476791382</v>
      </c>
      <c r="CP80" s="11">
        <v>2.8753378391265869</v>
      </c>
      <c r="CQ80" s="11">
        <v>-0.41446930170059204</v>
      </c>
      <c r="CR80" s="3">
        <v>67.8793586297638</v>
      </c>
      <c r="CS80" s="3">
        <v>2.9762036662283538</v>
      </c>
      <c r="CT80" s="3">
        <v>0.24888888888888891</v>
      </c>
      <c r="CU80" s="10">
        <v>0.22807363420724869</v>
      </c>
      <c r="CV80" s="11">
        <v>0.60250810720026493</v>
      </c>
      <c r="CW80" s="3">
        <v>0.06</v>
      </c>
      <c r="CX80" s="3">
        <v>678.7365787285114</v>
      </c>
      <c r="CY80" s="3">
        <v>4590794.1278737951</v>
      </c>
      <c r="CZ80" s="3">
        <v>0.22807363420724869</v>
      </c>
      <c r="DA80" s="3">
        <v>197.70524614857703</v>
      </c>
      <c r="DB80" s="3">
        <v>15760532.209946251</v>
      </c>
      <c r="DC80" s="3">
        <v>0.21666995249688625</v>
      </c>
      <c r="DD80" s="3">
        <v>82.836138362758632</v>
      </c>
      <c r="DE80" s="3">
        <v>37615706.883324012</v>
      </c>
      <c r="DF80" s="3">
        <v>0.20070479810237885</v>
      </c>
      <c r="DG80" s="3">
        <v>41.046656791954398</v>
      </c>
      <c r="DH80" s="3">
        <v>75912148.358225346</v>
      </c>
      <c r="DI80" s="3">
        <v>0.18245890736579895</v>
      </c>
      <c r="DJ80" s="3">
        <v>13.429806735980279</v>
      </c>
      <c r="DK80" s="3">
        <v>232016734.21345469</v>
      </c>
      <c r="DL80" s="3">
        <v>0.15965154394507408</v>
      </c>
      <c r="DM80" s="3">
        <v>3962500</v>
      </c>
      <c r="DN80" s="3">
        <v>0.22807363420724869</v>
      </c>
      <c r="DO80" s="3">
        <v>3115939900</v>
      </c>
      <c r="DP80" s="3">
        <v>1436542000</v>
      </c>
      <c r="DQ80" s="3">
        <v>4723</v>
      </c>
      <c r="DR80" s="3">
        <v>-0.72225968071887658</v>
      </c>
      <c r="DS80" s="3">
        <v>0.30134381227314111</v>
      </c>
      <c r="DT80" s="12">
        <v>-0.3066666666666667</v>
      </c>
      <c r="DU80" s="3">
        <v>0.71666666666666667</v>
      </c>
      <c r="DV80" s="3">
        <v>0.41</v>
      </c>
      <c r="DW80" s="3">
        <v>-5.5518716577540106</v>
      </c>
      <c r="DX80" s="3">
        <v>0.33807622950819838</v>
      </c>
      <c r="DY80" s="3">
        <v>-5.0927565074077323</v>
      </c>
      <c r="DZ80" s="3">
        <v>30</v>
      </c>
      <c r="EA80" s="3">
        <v>-5.0922119486558275</v>
      </c>
      <c r="EB80" s="3">
        <v>5</v>
      </c>
      <c r="EC80" s="3">
        <v>4.8271087023551575E-2</v>
      </c>
      <c r="ED80" s="3">
        <v>0.28719758388676542</v>
      </c>
      <c r="EE80" s="13">
        <v>-6.0747099999999996</v>
      </c>
      <c r="EF80" s="3">
        <v>-6.0825100000000001</v>
      </c>
      <c r="EG80" s="3">
        <v>17.168076229508198</v>
      </c>
      <c r="EH80" s="3" t="s">
        <v>2953</v>
      </c>
      <c r="EI80" s="3">
        <v>0</v>
      </c>
      <c r="EJ80" s="3">
        <v>1</v>
      </c>
      <c r="EK80" s="14">
        <v>45470</v>
      </c>
      <c r="EL80" s="15">
        <v>-0.18</v>
      </c>
      <c r="EM80" s="15">
        <v>-2.99</v>
      </c>
      <c r="EN80" s="15">
        <v>-2.12</v>
      </c>
      <c r="EO80" s="15">
        <v>3.06</v>
      </c>
      <c r="EP80" s="15">
        <v>-0.78</v>
      </c>
    </row>
    <row r="81" spans="1:146" ht="96" x14ac:dyDescent="0.25">
      <c r="C81" s="7" t="str">
        <f>""&amp;CHAR(10)&amp;Basic_Fundamental_Information_Constructure(F81)&amp;CHAR(10)&amp;Basic_Fundamental_Information_Concatenate("")</f>
        <v xml:space="preserve">
市值191.64479亿, 利润1402.61万; PE355.4; 平均PE2719.77; 平均PEG57.63, PB5.06; ROIC12.5%; ROE4.0467%; 股利率.3444%; 毛利23.74%; 净利3.9933%; 上一年度营收增-66.29%, 利润增116.95%; 当季营收增-21.99%, 利润增121.14%; 过往5年营收增47.19%, 利润增65.86%
Income profile:
</v>
      </c>
      <c r="D81" s="3" t="s">
        <v>1116</v>
      </c>
      <c r="E81" s="3" t="s">
        <v>1117</v>
      </c>
      <c r="F81" s="3">
        <v>47.91</v>
      </c>
      <c r="G81" s="3">
        <v>2.5</v>
      </c>
      <c r="H81" s="3" t="s">
        <v>4103</v>
      </c>
      <c r="I81" s="3">
        <v>19164479000</v>
      </c>
      <c r="J81" s="3">
        <v>355.4</v>
      </c>
      <c r="K81" s="3">
        <v>5.0599999999999996</v>
      </c>
      <c r="L81" s="3" t="s">
        <v>2983</v>
      </c>
      <c r="M81" s="3" t="s">
        <v>1831</v>
      </c>
      <c r="N81" s="3" t="s">
        <v>4104</v>
      </c>
      <c r="O81" s="3" t="s">
        <v>402</v>
      </c>
      <c r="P81" s="3">
        <v>84.31</v>
      </c>
      <c r="Q81" s="3" t="s">
        <v>402</v>
      </c>
      <c r="R81" s="3">
        <v>14026121</v>
      </c>
      <c r="S81" s="5">
        <v>1.546</v>
      </c>
      <c r="T81" s="3" t="s">
        <v>4105</v>
      </c>
      <c r="U81" s="3">
        <v>321212700</v>
      </c>
      <c r="V81" s="3">
        <v>400010000</v>
      </c>
      <c r="W81" s="3">
        <v>1.81</v>
      </c>
      <c r="X81" s="3">
        <v>0.13</v>
      </c>
      <c r="Y81" s="3">
        <v>1.68</v>
      </c>
      <c r="Z81" s="3" t="s">
        <v>4106</v>
      </c>
      <c r="AA81" s="3" t="s">
        <v>787</v>
      </c>
      <c r="AB81" s="3" t="s">
        <v>4107</v>
      </c>
      <c r="AC81" s="3" t="s">
        <v>4108</v>
      </c>
      <c r="AD81" s="3" t="s">
        <v>22</v>
      </c>
      <c r="AE81" s="3">
        <v>25301257</v>
      </c>
      <c r="AF81" s="3" t="s">
        <v>2510</v>
      </c>
      <c r="AG81" s="3" t="s">
        <v>22</v>
      </c>
      <c r="AH81" s="3" t="s">
        <v>2511</v>
      </c>
      <c r="AI81" s="3" t="s">
        <v>4109</v>
      </c>
      <c r="AJ81" s="3" t="s">
        <v>2512</v>
      </c>
      <c r="AK81" s="3" t="s">
        <v>4110</v>
      </c>
      <c r="AL81" s="3" t="s">
        <v>2513</v>
      </c>
      <c r="AM81" s="3" t="s">
        <v>22</v>
      </c>
      <c r="AN81" s="3" t="s">
        <v>4111</v>
      </c>
      <c r="AO81" s="3" t="s">
        <v>2812</v>
      </c>
      <c r="AP81" s="3" t="s">
        <v>22</v>
      </c>
      <c r="AQ81" s="3" t="s">
        <v>329</v>
      </c>
      <c r="AR81" s="3" t="s">
        <v>22</v>
      </c>
      <c r="AS81" s="3" t="s">
        <v>4112</v>
      </c>
      <c r="AT81" s="3" t="s">
        <v>1078</v>
      </c>
      <c r="AU81" s="3" t="s">
        <v>4113</v>
      </c>
      <c r="AV81" s="3" t="s">
        <v>1876</v>
      </c>
      <c r="AW81" s="3" t="s">
        <v>698</v>
      </c>
      <c r="AX81" s="3" t="s">
        <v>1597</v>
      </c>
      <c r="AY81" s="3" t="s">
        <v>1118</v>
      </c>
      <c r="AZ81" s="3" t="s">
        <v>1120</v>
      </c>
      <c r="BA81" s="3" t="s">
        <v>766</v>
      </c>
      <c r="BB81" s="3" t="s">
        <v>600</v>
      </c>
      <c r="BC81" s="3" t="s">
        <v>1634</v>
      </c>
      <c r="BD81" s="3" t="s">
        <v>884</v>
      </c>
      <c r="BE81" s="3" t="s">
        <v>317</v>
      </c>
      <c r="BF81" s="3" t="s">
        <v>1121</v>
      </c>
      <c r="BG81" s="3" t="s">
        <v>1122</v>
      </c>
      <c r="BH81" s="3" t="s">
        <v>2508</v>
      </c>
      <c r="BI81" s="3" t="s">
        <v>577</v>
      </c>
      <c r="BJ81" s="3" t="s">
        <v>1597</v>
      </c>
      <c r="BK81" s="3" t="s">
        <v>2509</v>
      </c>
      <c r="BL81" s="3" t="s">
        <v>4114</v>
      </c>
      <c r="BM81" s="3" t="s">
        <v>1634</v>
      </c>
      <c r="BN81" s="3" t="s">
        <v>22</v>
      </c>
      <c r="BO81" s="3" t="s">
        <v>22</v>
      </c>
      <c r="BP81" s="3">
        <v>12.5</v>
      </c>
      <c r="BQ81" s="3">
        <v>-1.77</v>
      </c>
      <c r="BR81" s="3">
        <v>-2.52</v>
      </c>
      <c r="BS81" s="3">
        <v>16.43</v>
      </c>
      <c r="BT81" s="3" t="s">
        <v>2515</v>
      </c>
      <c r="BU81" s="3" t="s">
        <v>2998</v>
      </c>
      <c r="BV81" s="3">
        <v>19.96</v>
      </c>
      <c r="BW81" s="3">
        <v>22.14</v>
      </c>
      <c r="BX81" s="3">
        <v>29.12</v>
      </c>
      <c r="BY81" s="3">
        <v>0.5</v>
      </c>
      <c r="BZ81" s="3">
        <v>-3.33</v>
      </c>
      <c r="CA81" s="3">
        <v>14.81</v>
      </c>
      <c r="CB81" s="3">
        <v>-1.22</v>
      </c>
      <c r="CC81" s="3">
        <v>6.16</v>
      </c>
      <c r="CD81" s="3" t="s">
        <v>4115</v>
      </c>
      <c r="CE81" s="3" t="s">
        <v>111</v>
      </c>
      <c r="CF81" s="10">
        <v>-0.21994408201304763</v>
      </c>
      <c r="CG81" s="11">
        <v>1.2114313170703765</v>
      </c>
      <c r="CH81" s="10">
        <v>-0.66290777921676636</v>
      </c>
      <c r="CI81" s="10">
        <v>-7.6608359813690186E-2</v>
      </c>
      <c r="CJ81" s="10">
        <v>0.76096910238265991</v>
      </c>
      <c r="CK81" s="10">
        <v>1.248895525932312</v>
      </c>
      <c r="CL81" s="10">
        <v>1.0892307758331299</v>
      </c>
      <c r="CM81" s="11">
        <v>1.1695036888122559</v>
      </c>
      <c r="CN81" s="11">
        <v>-1.2079095840454102</v>
      </c>
      <c r="CO81" s="11">
        <v>2.2892560958862305</v>
      </c>
      <c r="CP81" s="11">
        <v>1.5</v>
      </c>
      <c r="CQ81" s="11">
        <v>-0.45783132314682007</v>
      </c>
      <c r="CR81" s="3">
        <v>2719.7739255075321</v>
      </c>
      <c r="CS81" s="3">
        <v>57.632603526288577</v>
      </c>
      <c r="CT81" s="3">
        <v>0.34439574201628054</v>
      </c>
      <c r="CU81" s="10">
        <v>0.47191585302352906</v>
      </c>
      <c r="CV81" s="11">
        <v>0.65860377550125127</v>
      </c>
      <c r="CW81" s="3">
        <v>0.06</v>
      </c>
      <c r="CX81" s="3">
        <v>912.96437833511561</v>
      </c>
      <c r="CY81" s="3">
        <v>19476640.515182372</v>
      </c>
      <c r="CZ81" s="3">
        <v>0.47191585302352906</v>
      </c>
      <c r="DA81" s="3">
        <v>219.18005945827079</v>
      </c>
      <c r="DB81" s="3">
        <v>81127266.065850198</v>
      </c>
      <c r="DC81" s="3">
        <v>0.44832006037235261</v>
      </c>
      <c r="DD81" s="3">
        <v>68.214488755853878</v>
      </c>
      <c r="DE81" s="3">
        <v>260670120.44379014</v>
      </c>
      <c r="DF81" s="3">
        <v>0.41528595066070556</v>
      </c>
      <c r="DG81" s="3">
        <v>22.93910008890342</v>
      </c>
      <c r="DH81" s="3">
        <v>775160269.19476354</v>
      </c>
      <c r="DI81" s="3">
        <v>0.37753268241882326</v>
      </c>
      <c r="DJ81" s="3">
        <v>2.7700136684766967</v>
      </c>
      <c r="DK81" s="3">
        <v>6419274822.4879704</v>
      </c>
      <c r="DL81" s="3">
        <v>0.33034109711647031</v>
      </c>
      <c r="DM81" s="3">
        <v>14026099.999999998</v>
      </c>
      <c r="DN81" s="3">
        <v>0.47191585302352906</v>
      </c>
      <c r="DO81" s="3">
        <v>17781479000</v>
      </c>
      <c r="DP81" s="3">
        <v>2595162200</v>
      </c>
      <c r="DQ81" s="3">
        <v>4727</v>
      </c>
      <c r="DR81" s="3">
        <v>-0.69185993503657672</v>
      </c>
      <c r="DS81" s="3">
        <v>0.55282754156912528</v>
      </c>
      <c r="DT81" s="12">
        <v>-7.3333333333333472E-2</v>
      </c>
      <c r="DU81" s="3">
        <v>0.13500000000000001</v>
      </c>
      <c r="DV81" s="3">
        <v>6.1666666666666536E-2</v>
      </c>
      <c r="DW81" s="3">
        <v>2.0615999999999999</v>
      </c>
      <c r="DX81" s="3">
        <v>0.36985098039215814</v>
      </c>
      <c r="DY81" s="3">
        <v>2.0073828203921567</v>
      </c>
      <c r="DZ81" s="3">
        <v>2625</v>
      </c>
      <c r="EA81" s="3">
        <v>2.0035902756701582</v>
      </c>
      <c r="EB81" s="3">
        <v>2</v>
      </c>
      <c r="EC81" s="3">
        <v>3.0561235969100771E-2</v>
      </c>
      <c r="ED81" s="3">
        <v>0.25499362515937102</v>
      </c>
      <c r="EE81" s="13">
        <v>-1.10111</v>
      </c>
      <c r="EF81" s="3">
        <v>-1.10751</v>
      </c>
      <c r="EG81" s="3">
        <v>25.119850980392158</v>
      </c>
      <c r="EH81" s="3" t="s">
        <v>1386</v>
      </c>
      <c r="EI81" s="3">
        <v>1</v>
      </c>
      <c r="EJ81" s="3">
        <v>0</v>
      </c>
      <c r="EK81" s="14">
        <v>45470</v>
      </c>
      <c r="EL81" s="15">
        <v>-4.1100000000000003</v>
      </c>
      <c r="EM81" s="15">
        <v>-4.03</v>
      </c>
      <c r="EN81" s="15">
        <v>1.07</v>
      </c>
      <c r="EO81" s="15">
        <v>3.58</v>
      </c>
      <c r="EP81" s="15">
        <v>-0.64</v>
      </c>
    </row>
    <row r="82" spans="1:146" ht="132" x14ac:dyDescent="0.25">
      <c r="A82" s="7" t="s">
        <v>1185</v>
      </c>
      <c r="B82" s="7" t="s">
        <v>1186</v>
      </c>
      <c r="C82" s="7" t="s">
        <v>1194</v>
      </c>
      <c r="D82" s="3" t="s">
        <v>733</v>
      </c>
      <c r="E82" s="3" t="s">
        <v>1137</v>
      </c>
      <c r="F82" s="3">
        <v>16.739999999999998</v>
      </c>
      <c r="G82" s="3">
        <v>1.33</v>
      </c>
      <c r="H82" s="3" t="s">
        <v>4116</v>
      </c>
      <c r="I82" s="3">
        <v>1794084400</v>
      </c>
      <c r="K82" s="3">
        <v>2.4700000000000002</v>
      </c>
      <c r="L82" s="3" t="s">
        <v>2983</v>
      </c>
      <c r="M82" s="3" t="s">
        <v>190</v>
      </c>
      <c r="N82" s="3" t="s">
        <v>1293</v>
      </c>
      <c r="O82" s="3" t="s">
        <v>27</v>
      </c>
      <c r="P82" s="3">
        <v>28.83</v>
      </c>
      <c r="Q82" s="3" t="s">
        <v>27</v>
      </c>
      <c r="R82" s="3">
        <v>-21106037</v>
      </c>
      <c r="S82" s="5">
        <v>0.37240000000000001</v>
      </c>
      <c r="T82" s="3" t="s">
        <v>4117</v>
      </c>
      <c r="U82" s="3">
        <v>106270000</v>
      </c>
      <c r="V82" s="3">
        <v>107173500</v>
      </c>
      <c r="W82" s="3">
        <v>2.5299999999999998</v>
      </c>
      <c r="X82" s="3">
        <v>7.0000000000000007E-2</v>
      </c>
      <c r="Y82" s="3">
        <v>-17.09</v>
      </c>
      <c r="Z82" s="3" t="s">
        <v>138</v>
      </c>
      <c r="AA82" s="3" t="s">
        <v>318</v>
      </c>
      <c r="AB82" s="3" t="s">
        <v>4118</v>
      </c>
      <c r="AC82" s="3" t="s">
        <v>4119</v>
      </c>
      <c r="AD82" s="3" t="s">
        <v>22</v>
      </c>
      <c r="AE82" s="3">
        <v>2411154</v>
      </c>
      <c r="AF82" s="3" t="s">
        <v>2517</v>
      </c>
      <c r="AG82" s="3">
        <v>43.41</v>
      </c>
      <c r="AH82" s="3" t="s">
        <v>2518</v>
      </c>
      <c r="AI82" s="3" t="s">
        <v>4120</v>
      </c>
      <c r="AJ82" s="3" t="s">
        <v>2519</v>
      </c>
      <c r="AK82" s="3" t="s">
        <v>4121</v>
      </c>
      <c r="AL82" s="3" t="s">
        <v>2520</v>
      </c>
      <c r="AM82" s="3" t="s">
        <v>22</v>
      </c>
      <c r="AN82" s="3" t="s">
        <v>348</v>
      </c>
      <c r="AO82" s="3" t="s">
        <v>200</v>
      </c>
      <c r="AP82" s="3" t="s">
        <v>370</v>
      </c>
      <c r="AQ82" s="3" t="s">
        <v>646</v>
      </c>
      <c r="AR82" s="3" t="s">
        <v>22</v>
      </c>
      <c r="AS82" s="3" t="s">
        <v>868</v>
      </c>
      <c r="AT82" s="3" t="s">
        <v>390</v>
      </c>
      <c r="AU82" s="3" t="s">
        <v>4122</v>
      </c>
      <c r="AV82" s="3" t="s">
        <v>4123</v>
      </c>
      <c r="AW82" s="3" t="s">
        <v>4124</v>
      </c>
      <c r="AX82" s="3" t="s">
        <v>281</v>
      </c>
      <c r="AY82" s="3" t="s">
        <v>486</v>
      </c>
      <c r="AZ82" s="3" t="s">
        <v>605</v>
      </c>
      <c r="BA82" s="3" t="s">
        <v>735</v>
      </c>
      <c r="BB82" s="3" t="s">
        <v>204</v>
      </c>
      <c r="BC82" s="3" t="s">
        <v>2521</v>
      </c>
      <c r="BD82" s="3" t="s">
        <v>170</v>
      </c>
      <c r="BE82" s="3" t="s">
        <v>734</v>
      </c>
      <c r="BF82" s="3" t="s">
        <v>736</v>
      </c>
      <c r="BG82" s="3" t="s">
        <v>737</v>
      </c>
      <c r="BH82" s="3" t="s">
        <v>872</v>
      </c>
      <c r="BI82" s="3" t="s">
        <v>439</v>
      </c>
      <c r="BJ82" s="3" t="s">
        <v>281</v>
      </c>
      <c r="BK82" s="3" t="s">
        <v>2516</v>
      </c>
      <c r="BL82" s="3" t="s">
        <v>4125</v>
      </c>
      <c r="BM82" s="3" t="s">
        <v>2521</v>
      </c>
      <c r="BN82" s="3" t="s">
        <v>22</v>
      </c>
      <c r="BO82" s="3" t="s">
        <v>22</v>
      </c>
      <c r="BP82" s="3">
        <v>16.11</v>
      </c>
      <c r="BQ82" s="3">
        <v>-12.15</v>
      </c>
      <c r="BR82" s="3">
        <v>-6.15</v>
      </c>
      <c r="BS82" s="3">
        <v>17.3</v>
      </c>
      <c r="BT82" s="3" t="s">
        <v>1368</v>
      </c>
      <c r="BU82" s="3" t="s">
        <v>1209</v>
      </c>
      <c r="BV82" s="3">
        <v>-12.97</v>
      </c>
      <c r="BW82" s="3">
        <v>3.42</v>
      </c>
      <c r="BX82" s="3">
        <v>32.1</v>
      </c>
      <c r="BY82" s="3">
        <v>-23.63</v>
      </c>
      <c r="BZ82" s="3">
        <v>-10.84</v>
      </c>
      <c r="CA82" s="3">
        <v>16.63</v>
      </c>
      <c r="CB82" s="3">
        <v>-6.17</v>
      </c>
      <c r="CC82" s="3">
        <v>2.2000000000000002</v>
      </c>
      <c r="CD82" s="3" t="s">
        <v>4126</v>
      </c>
      <c r="CE82" s="3" t="s">
        <v>151</v>
      </c>
      <c r="CF82" s="10">
        <v>-0.49797570850202433</v>
      </c>
      <c r="CG82" s="11">
        <v>0.69600633451055172</v>
      </c>
      <c r="CH82" s="10">
        <v>-0.77037036418914795</v>
      </c>
      <c r="CI82" s="10">
        <v>-0.33250927925109863</v>
      </c>
      <c r="CJ82" s="10">
        <v>0.47627738118171692</v>
      </c>
      <c r="CK82" s="10">
        <v>0.32367148995399475</v>
      </c>
      <c r="CL82" s="10">
        <v>9.2348285019397736E-2</v>
      </c>
      <c r="CM82" s="11">
        <v>0.63959997892379761</v>
      </c>
      <c r="CN82" s="11">
        <v>-1.4337978363037109</v>
      </c>
      <c r="CO82" s="11">
        <v>0.67973124980926514</v>
      </c>
      <c r="CP82" s="11">
        <v>1.3826746940612793</v>
      </c>
      <c r="CQ82" s="11">
        <v>1.2045829296112061</v>
      </c>
      <c r="CR82" s="3">
        <v>58.270714388952257</v>
      </c>
      <c r="CS82" s="3">
        <v>13.835603126401333</v>
      </c>
      <c r="CT82" s="3">
        <v>0</v>
      </c>
      <c r="CU82" s="10">
        <v>-4.2116497457027433E-2</v>
      </c>
      <c r="CV82" s="11">
        <v>0.49455820322036742</v>
      </c>
      <c r="CW82" s="3">
        <v>0.06</v>
      </c>
      <c r="CX82" s="3" t="e">
        <v>#VALUE!</v>
      </c>
      <c r="CY82" s="3" t="s">
        <v>1073</v>
      </c>
      <c r="CZ82" s="3">
        <v>-4.2116497457027433E-2</v>
      </c>
      <c r="DA82" s="3" t="e">
        <v>#VALUE!</v>
      </c>
      <c r="DB82" s="3" t="s">
        <v>1074</v>
      </c>
      <c r="DC82" s="3">
        <v>-4.0010672584176059E-2</v>
      </c>
      <c r="DD82" s="3" t="e">
        <v>#VALUE!</v>
      </c>
      <c r="DE82" s="3" t="s">
        <v>1074</v>
      </c>
      <c r="DF82" s="3">
        <v>-3.7062517762184138E-2</v>
      </c>
      <c r="DG82" s="3" t="e">
        <v>#VALUE!</v>
      </c>
      <c r="DH82" s="3" t="s">
        <v>1074</v>
      </c>
      <c r="DI82" s="3">
        <v>-3.3693197965621945E-2</v>
      </c>
      <c r="DJ82" s="3" t="e">
        <v>#VALUE!</v>
      </c>
      <c r="DK82" s="3" t="s">
        <v>1074</v>
      </c>
      <c r="DL82" s="3">
        <v>-2.9481548219919201E-2</v>
      </c>
      <c r="DM82" s="3">
        <v>-21106000</v>
      </c>
      <c r="DN82" s="3">
        <v>-4.2116497457027433E-2</v>
      </c>
      <c r="DO82" s="3">
        <v>2187084400</v>
      </c>
      <c r="DP82" s="3">
        <v>-456993080</v>
      </c>
      <c r="DQ82" s="3">
        <v>4729</v>
      </c>
      <c r="DR82" s="3">
        <v>-0.45585921104499688</v>
      </c>
      <c r="DS82" s="3">
        <v>0.2014481312901843</v>
      </c>
      <c r="DT82" s="12">
        <v>-0.67333333333333334</v>
      </c>
      <c r="DU82" s="3">
        <v>-0.1183333333333334</v>
      </c>
      <c r="DV82" s="3">
        <v>-0.79166666666666674</v>
      </c>
      <c r="DW82" s="3">
        <v>-5.3565640194489461</v>
      </c>
      <c r="DX82" s="3">
        <v>0.36571150442477901</v>
      </c>
      <c r="DY82" s="3">
        <v>-5.0626524002811202</v>
      </c>
      <c r="DZ82" s="3">
        <v>3173</v>
      </c>
      <c r="EA82" s="3">
        <v>-5.0237490605370896</v>
      </c>
      <c r="EB82" s="3">
        <v>5</v>
      </c>
      <c r="EC82" s="3">
        <v>0.18526408113946077</v>
      </c>
      <c r="ED82" s="3">
        <v>1.0543651182428491</v>
      </c>
      <c r="EE82" s="13">
        <v>-2.0789</v>
      </c>
      <c r="EF82" s="3">
        <v>-2.0512000000000001</v>
      </c>
      <c r="EG82" s="3">
        <v>19.175711504424779</v>
      </c>
      <c r="EH82" s="3" t="s">
        <v>1923</v>
      </c>
      <c r="EI82" s="3">
        <v>0</v>
      </c>
      <c r="EJ82" s="3">
        <v>0</v>
      </c>
      <c r="EK82" s="14">
        <v>45470</v>
      </c>
      <c r="EL82" s="15">
        <v>-0.96</v>
      </c>
      <c r="EM82" s="15">
        <v>-4.0999999999999996</v>
      </c>
      <c r="EN82" s="15">
        <v>0.96</v>
      </c>
      <c r="EO82" s="15">
        <v>2.54</v>
      </c>
      <c r="EP82" s="15">
        <v>-2.77</v>
      </c>
    </row>
    <row r="83" spans="1:146" ht="96" x14ac:dyDescent="0.25">
      <c r="C83" s="7" t="str">
        <f>""&amp;CHAR(10)&amp;Basic_Fundamental_Information_Constructure(F83)&amp;CHAR(10)&amp;Basic_Fundamental_Information_Concatenate("")</f>
        <v xml:space="preserve">
市值150.0027亿, 利润-1.25亿; PE; 平均PE-20.39; 平均PEG-.22, PB2.41; ROIC0%; ROE-17.0333%; 股利率0%; 毛利29.5333%; 净利-19.5967%; 上一年度营收增-61.21%, 利润增50.4%; 当季营收增-21.48%, 利润增62.71%; 过往5年营收增90.86%, 利润增-24.98%
Income profile:
</v>
      </c>
      <c r="D83" s="3" t="s">
        <v>988</v>
      </c>
      <c r="E83" s="3" t="s">
        <v>989</v>
      </c>
      <c r="F83" s="3">
        <v>35.86</v>
      </c>
      <c r="G83" s="3">
        <v>1.36</v>
      </c>
      <c r="H83" s="3" t="s">
        <v>4127</v>
      </c>
      <c r="I83" s="3">
        <v>15000270000</v>
      </c>
      <c r="K83" s="3">
        <v>2.41</v>
      </c>
      <c r="L83" s="3" t="s">
        <v>2983</v>
      </c>
      <c r="M83" s="3" t="s">
        <v>857</v>
      </c>
      <c r="N83" s="3" t="s">
        <v>4128</v>
      </c>
      <c r="O83" s="3" t="s">
        <v>2522</v>
      </c>
      <c r="P83" s="3">
        <v>103.34</v>
      </c>
      <c r="Q83" s="3" t="s">
        <v>2522</v>
      </c>
      <c r="R83" s="3">
        <v>-125285670</v>
      </c>
      <c r="S83" s="5">
        <v>0.3599</v>
      </c>
      <c r="T83" s="3" t="s">
        <v>2143</v>
      </c>
      <c r="U83" s="3">
        <v>224607370</v>
      </c>
      <c r="V83" s="3">
        <v>418300890</v>
      </c>
      <c r="W83" s="3">
        <v>1.1499999999999999</v>
      </c>
      <c r="X83" s="3">
        <v>0.12</v>
      </c>
      <c r="Y83" s="3">
        <v>-15.09</v>
      </c>
      <c r="Z83" s="3" t="s">
        <v>2025</v>
      </c>
      <c r="AA83" s="3" t="s">
        <v>4129</v>
      </c>
      <c r="AB83" s="3" t="s">
        <v>4130</v>
      </c>
      <c r="AC83" s="3" t="s">
        <v>4131</v>
      </c>
      <c r="AD83" s="3" t="s">
        <v>22</v>
      </c>
      <c r="AE83" s="3">
        <v>-13660076</v>
      </c>
      <c r="AF83" s="3" t="s">
        <v>2524</v>
      </c>
      <c r="AG83" s="3" t="s">
        <v>3949</v>
      </c>
      <c r="AH83" s="3" t="s">
        <v>2525</v>
      </c>
      <c r="AI83" s="3" t="s">
        <v>4132</v>
      </c>
      <c r="AJ83" s="3" t="s">
        <v>2526</v>
      </c>
      <c r="AK83" s="3" t="s">
        <v>22</v>
      </c>
      <c r="AL83" s="3" t="s">
        <v>2527</v>
      </c>
      <c r="AM83" s="3" t="s">
        <v>22</v>
      </c>
      <c r="AN83" s="3">
        <v>0</v>
      </c>
      <c r="AO83" s="3" t="s">
        <v>4133</v>
      </c>
      <c r="AP83" s="3" t="s">
        <v>22</v>
      </c>
      <c r="AQ83" s="3" t="s">
        <v>194</v>
      </c>
      <c r="AR83" s="3" t="s">
        <v>22</v>
      </c>
      <c r="AS83" s="3" t="s">
        <v>247</v>
      </c>
      <c r="AT83" s="3" t="s">
        <v>22</v>
      </c>
      <c r="AU83" s="3" t="s">
        <v>4134</v>
      </c>
      <c r="AV83" s="3" t="s">
        <v>4135</v>
      </c>
      <c r="AW83" s="3" t="s">
        <v>4136</v>
      </c>
      <c r="AX83" s="3" t="s">
        <v>1637</v>
      </c>
      <c r="AY83" s="3" t="s">
        <v>990</v>
      </c>
      <c r="AZ83" s="3" t="s">
        <v>992</v>
      </c>
      <c r="BA83" s="3" t="s">
        <v>884</v>
      </c>
      <c r="BB83" s="3" t="s">
        <v>283</v>
      </c>
      <c r="BC83" s="3" t="s">
        <v>1638</v>
      </c>
      <c r="BD83" s="3" t="s">
        <v>991</v>
      </c>
      <c r="BE83" s="3" t="s">
        <v>993</v>
      </c>
      <c r="BF83" s="3" t="s">
        <v>912</v>
      </c>
      <c r="BG83" s="3" t="s">
        <v>994</v>
      </c>
      <c r="BH83" s="3" t="s">
        <v>1862</v>
      </c>
      <c r="BI83" s="3" t="s">
        <v>403</v>
      </c>
      <c r="BJ83" s="3" t="s">
        <v>1637</v>
      </c>
      <c r="BK83" s="3" t="s">
        <v>2523</v>
      </c>
      <c r="BL83" s="3" t="s">
        <v>1527</v>
      </c>
      <c r="BM83" s="3" t="s">
        <v>1638</v>
      </c>
      <c r="BN83" s="3" t="s">
        <v>22</v>
      </c>
      <c r="BO83" s="3" t="s">
        <v>22</v>
      </c>
      <c r="BP83" s="3" t="s">
        <v>22</v>
      </c>
      <c r="BQ83" s="3">
        <v>-6</v>
      </c>
      <c r="BR83" s="3">
        <v>-3.58</v>
      </c>
      <c r="BS83" s="3">
        <v>-41.52</v>
      </c>
      <c r="BT83" s="3" t="s">
        <v>1368</v>
      </c>
      <c r="BU83" s="3" t="s">
        <v>3311</v>
      </c>
      <c r="BV83" s="3">
        <v>24.35</v>
      </c>
      <c r="BW83" s="3">
        <v>37.130000000000003</v>
      </c>
      <c r="BX83" s="3">
        <v>27.12</v>
      </c>
      <c r="BY83" s="3">
        <v>-19.46</v>
      </c>
      <c r="BZ83" s="3">
        <v>-11.75</v>
      </c>
      <c r="CA83" s="3">
        <v>-27.58</v>
      </c>
      <c r="CB83" s="3">
        <v>-4.2699999999999996</v>
      </c>
      <c r="CC83" s="3">
        <v>-6.61</v>
      </c>
      <c r="CD83" s="3" t="s">
        <v>4137</v>
      </c>
      <c r="CE83" s="3" t="s">
        <v>4138</v>
      </c>
      <c r="CF83" s="10">
        <v>-0.21475875118259213</v>
      </c>
      <c r="CG83" s="11">
        <v>0.6271259821428572</v>
      </c>
      <c r="CH83" s="10">
        <v>-0.61214953660964966</v>
      </c>
      <c r="CI83" s="10">
        <v>1.4038671506568789E-3</v>
      </c>
      <c r="CJ83" s="10">
        <v>0.97687333822250366</v>
      </c>
      <c r="CK83" s="10">
        <v>1.7160801887512207</v>
      </c>
      <c r="CL83" s="10">
        <v>2.4608695507049561</v>
      </c>
      <c r="CM83" s="11">
        <v>0.50396823883056641</v>
      </c>
      <c r="CN83" s="11">
        <v>0.57215619087219238</v>
      </c>
      <c r="CO83" s="11">
        <v>0.74688440561294556</v>
      </c>
      <c r="CP83" s="11">
        <v>-2.9845890998840332</v>
      </c>
      <c r="CQ83" s="11">
        <v>-8.7523274123668671E-2</v>
      </c>
      <c r="CR83" s="3">
        <v>-20.390036248300863</v>
      </c>
      <c r="CS83" s="3">
        <v>-0.22440775729915619</v>
      </c>
      <c r="CT83" s="3">
        <v>0</v>
      </c>
      <c r="CU83" s="10">
        <v>0.90861548164393757</v>
      </c>
      <c r="CV83" s="11">
        <v>-0.24982070773839951</v>
      </c>
      <c r="CW83" s="3">
        <v>0.06</v>
      </c>
      <c r="CX83" s="3" t="e">
        <v>#VALUE!</v>
      </c>
      <c r="CY83" s="3" t="s">
        <v>1073</v>
      </c>
      <c r="CZ83" s="3">
        <v>0.90861548164393757</v>
      </c>
      <c r="DA83" s="3" t="e">
        <v>#VALUE!</v>
      </c>
      <c r="DB83" s="3" t="s">
        <v>1074</v>
      </c>
      <c r="DC83" s="3">
        <v>0.86318470756174071</v>
      </c>
      <c r="DD83" s="3" t="e">
        <v>#VALUE!</v>
      </c>
      <c r="DE83" s="3" t="s">
        <v>1074</v>
      </c>
      <c r="DF83" s="3">
        <v>0.79958162384666509</v>
      </c>
      <c r="DG83" s="3" t="e">
        <v>#VALUE!</v>
      </c>
      <c r="DH83" s="3" t="s">
        <v>1074</v>
      </c>
      <c r="DI83" s="3">
        <v>0.7268923853151501</v>
      </c>
      <c r="DJ83" s="3" t="e">
        <v>#VALUE!</v>
      </c>
      <c r="DK83" s="3" t="s">
        <v>1074</v>
      </c>
      <c r="DL83" s="3">
        <v>0.63603083715075626</v>
      </c>
      <c r="DM83" s="3">
        <v>-125000000</v>
      </c>
      <c r="DN83" s="3">
        <v>0.90861548164393757</v>
      </c>
      <c r="DO83" s="3">
        <v>9726270000</v>
      </c>
      <c r="DP83" s="3">
        <v>5472142100</v>
      </c>
      <c r="DQ83" s="3">
        <v>4733</v>
      </c>
      <c r="DR83" s="3">
        <v>-1.1233742328265297</v>
      </c>
      <c r="DS83" s="3">
        <v>0.87694668988125668</v>
      </c>
      <c r="DT83" s="12">
        <v>0.2433333333333334</v>
      </c>
      <c r="DU83" s="3">
        <v>-2.4116666666666666</v>
      </c>
      <c r="DV83" s="3">
        <v>-2.168333333333333</v>
      </c>
      <c r="DW83" s="3">
        <v>-8.6459909228441756</v>
      </c>
      <c r="DX83" s="3">
        <v>0.39625499922053509</v>
      </c>
      <c r="DY83" s="3">
        <v>-8.0815595834601641</v>
      </c>
      <c r="DZ83" s="3">
        <v>4141</v>
      </c>
      <c r="EA83" s="3">
        <v>-8.0154659953763012</v>
      </c>
      <c r="EB83" s="3">
        <v>8</v>
      </c>
      <c r="EC83" s="3">
        <v>2.5742713576344532E-2</v>
      </c>
      <c r="ED83" s="3">
        <v>0.20389461758018254</v>
      </c>
      <c r="EE83" s="13">
        <v>-3.0095000000000001</v>
      </c>
      <c r="EF83" s="3">
        <v>-3.0397099999999999</v>
      </c>
      <c r="EG83" s="3">
        <v>27.126254999220535</v>
      </c>
      <c r="EH83" s="3" t="s">
        <v>1838</v>
      </c>
      <c r="EI83" s="3">
        <v>0</v>
      </c>
      <c r="EJ83" s="3">
        <v>0</v>
      </c>
      <c r="EK83" s="14">
        <v>45470</v>
      </c>
      <c r="EL83" s="15">
        <v>20.04</v>
      </c>
      <c r="EM83" s="15">
        <v>-6.37</v>
      </c>
      <c r="EN83" s="15">
        <v>-4.38</v>
      </c>
      <c r="EO83" s="15">
        <v>0</v>
      </c>
      <c r="EP83" s="15">
        <v>-4.92</v>
      </c>
    </row>
    <row r="84" spans="1:146" ht="96" x14ac:dyDescent="0.25">
      <c r="C84" s="7" t="str">
        <f>""&amp;CHAR(10)&amp;Basic_Fundamental_Information_Constructure(F84)&amp;CHAR(10)&amp;Basic_Fundamental_Information_Concatenate("")</f>
        <v xml:space="preserve">
市值40.03104亿, 利润2446.87万; PE38.11; 平均PE55.81; 平均PEG5.27, PB1.78; ROIC6.0633%; ROE13.6767%; 股利率1.7626%; 毛利34.9967%; 净利29.9067%; 上一年度营收增-79.55%, 利润增-79.44%; 当季营收增-47.56%, 利润增-36.06%; 过往5年营收增-10.59%, 利润增6.03%
Income profile:
</v>
      </c>
      <c r="D84" s="3" t="s">
        <v>995</v>
      </c>
      <c r="E84" s="3" t="s">
        <v>996</v>
      </c>
      <c r="F84" s="3">
        <v>34.04</v>
      </c>
      <c r="G84" s="3">
        <v>1.1299999999999999</v>
      </c>
      <c r="H84" s="3" t="s">
        <v>2943</v>
      </c>
      <c r="I84" s="3">
        <v>4003104000</v>
      </c>
      <c r="J84" s="3">
        <v>38.11</v>
      </c>
      <c r="K84" s="3">
        <v>1.78</v>
      </c>
      <c r="L84" s="3" t="s">
        <v>2983</v>
      </c>
      <c r="M84" s="3" t="s">
        <v>2528</v>
      </c>
      <c r="N84" s="3" t="s">
        <v>4139</v>
      </c>
      <c r="O84" s="3" t="s">
        <v>2529</v>
      </c>
      <c r="P84" s="3">
        <v>26.98</v>
      </c>
      <c r="Q84" s="3" t="s">
        <v>2529</v>
      </c>
      <c r="R84" s="3">
        <v>24468672</v>
      </c>
      <c r="S84" s="5">
        <v>0.53669999999999995</v>
      </c>
      <c r="T84" s="3" t="s">
        <v>4140</v>
      </c>
      <c r="U84" s="3">
        <v>29400000</v>
      </c>
      <c r="V84" s="3">
        <v>117600000</v>
      </c>
      <c r="W84" s="3">
        <v>1.02</v>
      </c>
      <c r="X84" s="3">
        <v>0.03</v>
      </c>
      <c r="Y84" s="3">
        <v>35.619999999999997</v>
      </c>
      <c r="Z84" s="3" t="s">
        <v>4141</v>
      </c>
      <c r="AA84" s="3" t="s">
        <v>4142</v>
      </c>
      <c r="AB84" s="3" t="s">
        <v>4143</v>
      </c>
      <c r="AC84" s="3" t="s">
        <v>4144</v>
      </c>
      <c r="AD84" s="3" t="s">
        <v>22</v>
      </c>
      <c r="AE84" s="3">
        <v>-1024054</v>
      </c>
      <c r="AF84" s="3" t="s">
        <v>2531</v>
      </c>
      <c r="AG84" s="3">
        <v>9183.2800000000007</v>
      </c>
      <c r="AH84" s="3" t="s">
        <v>2532</v>
      </c>
      <c r="AI84" s="3" t="s">
        <v>4145</v>
      </c>
      <c r="AJ84" s="3" t="s">
        <v>2533</v>
      </c>
      <c r="AK84" s="3" t="s">
        <v>22</v>
      </c>
      <c r="AL84" s="3" t="s">
        <v>2534</v>
      </c>
      <c r="AM84" s="3" t="s">
        <v>22</v>
      </c>
      <c r="AN84" s="3">
        <v>0</v>
      </c>
      <c r="AO84" s="3" t="s">
        <v>22</v>
      </c>
      <c r="AP84" s="3" t="s">
        <v>22</v>
      </c>
      <c r="AQ84" s="3" t="s">
        <v>4146</v>
      </c>
      <c r="AR84" s="3" t="s">
        <v>22</v>
      </c>
      <c r="AS84" s="3" t="s">
        <v>4147</v>
      </c>
      <c r="AT84" s="3" t="s">
        <v>22</v>
      </c>
      <c r="AU84" s="3" t="s">
        <v>4148</v>
      </c>
      <c r="AV84" s="3" t="s">
        <v>4149</v>
      </c>
      <c r="AW84" s="3" t="s">
        <v>4150</v>
      </c>
      <c r="AX84" s="3" t="s">
        <v>452</v>
      </c>
      <c r="AY84" s="3" t="s">
        <v>794</v>
      </c>
      <c r="AZ84" s="3" t="s">
        <v>145</v>
      </c>
      <c r="BA84" s="3" t="s">
        <v>394</v>
      </c>
      <c r="BB84" s="3" t="s">
        <v>590</v>
      </c>
      <c r="BC84" s="3" t="s">
        <v>304</v>
      </c>
      <c r="BD84" s="3" t="s">
        <v>283</v>
      </c>
      <c r="BE84" s="3" t="s">
        <v>997</v>
      </c>
      <c r="BF84" s="3" t="s">
        <v>998</v>
      </c>
      <c r="BG84" s="3" t="s">
        <v>999</v>
      </c>
      <c r="BH84" s="3" t="s">
        <v>393</v>
      </c>
      <c r="BI84" s="3" t="s">
        <v>194</v>
      </c>
      <c r="BJ84" s="3" t="s">
        <v>452</v>
      </c>
      <c r="BK84" s="3" t="s">
        <v>2530</v>
      </c>
      <c r="BL84" s="3" t="s">
        <v>4151</v>
      </c>
      <c r="BM84" s="3" t="s">
        <v>304</v>
      </c>
      <c r="BN84" s="3">
        <v>2.8</v>
      </c>
      <c r="BO84" s="3">
        <v>5.43</v>
      </c>
      <c r="BP84" s="3">
        <v>9.9600000000000009</v>
      </c>
      <c r="BQ84" s="3">
        <v>2.93</v>
      </c>
      <c r="BR84" s="3">
        <v>5.61</v>
      </c>
      <c r="BS84" s="3">
        <v>32.49</v>
      </c>
      <c r="BT84" s="3" t="s">
        <v>1374</v>
      </c>
      <c r="BU84" s="3" t="s">
        <v>1210</v>
      </c>
      <c r="BV84" s="3">
        <v>34.590000000000003</v>
      </c>
      <c r="BW84" s="3">
        <v>34.83</v>
      </c>
      <c r="BX84" s="3">
        <v>35.57</v>
      </c>
      <c r="BY84" s="3">
        <v>30.11</v>
      </c>
      <c r="BZ84" s="3">
        <v>35.53</v>
      </c>
      <c r="CA84" s="3">
        <v>24.08</v>
      </c>
      <c r="CB84" s="3">
        <v>-6.12</v>
      </c>
      <c r="CC84" s="3">
        <v>5.35</v>
      </c>
      <c r="CD84" s="3" t="s">
        <v>4152</v>
      </c>
      <c r="CE84" s="3" t="s">
        <v>4153</v>
      </c>
      <c r="CF84" s="10">
        <v>-0.47559618320610686</v>
      </c>
      <c r="CG84" s="11">
        <v>-0.36062044348748606</v>
      </c>
      <c r="CH84" s="10">
        <v>-0.79554498195648193</v>
      </c>
      <c r="CI84" s="10">
        <v>-0.29411765933036804</v>
      </c>
      <c r="CJ84" s="10">
        <v>0.29347825050354004</v>
      </c>
      <c r="CK84" s="10">
        <v>0.31428572535514832</v>
      </c>
      <c r="CL84" s="10">
        <v>-4.76190485060215E-2</v>
      </c>
      <c r="CM84" s="11">
        <v>-0.79438066482543945</v>
      </c>
      <c r="CN84" s="11">
        <v>3.4782607108354568E-2</v>
      </c>
      <c r="CO84" s="11">
        <v>0.55062174797058105</v>
      </c>
      <c r="CP84" s="11">
        <v>0.54208177328109741</v>
      </c>
      <c r="CQ84" s="11">
        <v>-3.1788341701030731E-2</v>
      </c>
      <c r="CR84" s="3">
        <v>55.805599513566619</v>
      </c>
      <c r="CS84" s="3">
        <v>5.2694742824508252</v>
      </c>
      <c r="CT84" s="3">
        <v>1.7626321974148063</v>
      </c>
      <c r="CU84" s="10">
        <v>-0.10590354278683663</v>
      </c>
      <c r="CV84" s="11">
        <v>6.0263424366712573E-2</v>
      </c>
      <c r="CW84" s="3">
        <v>0.06</v>
      </c>
      <c r="CX84" s="3">
        <v>74.098717953957504</v>
      </c>
      <c r="CY84" s="3" t="s">
        <v>4154</v>
      </c>
      <c r="CZ84" s="3">
        <v>-0.10590354278683663</v>
      </c>
      <c r="DA84" s="3">
        <v>24.699572651319169</v>
      </c>
      <c r="DB84" s="3" t="s">
        <v>4155</v>
      </c>
      <c r="DC84" s="3">
        <v>-0.10060836564749479</v>
      </c>
      <c r="DD84" s="3">
        <v>12.349786325659585</v>
      </c>
      <c r="DE84" s="3" t="s">
        <v>4156</v>
      </c>
      <c r="DF84" s="3">
        <v>-9.3195117652416226E-2</v>
      </c>
      <c r="DG84" s="3">
        <v>7.4098717953957509</v>
      </c>
      <c r="DH84" s="3" t="s">
        <v>4157</v>
      </c>
      <c r="DI84" s="3">
        <v>-8.4722834229469302E-2</v>
      </c>
      <c r="DJ84" s="3">
        <v>3.7049358976978755</v>
      </c>
      <c r="DK84" s="3" t="s">
        <v>4158</v>
      </c>
      <c r="DL84" s="3">
        <v>-7.4132479950785632E-2</v>
      </c>
      <c r="DM84" s="3">
        <v>24468700</v>
      </c>
      <c r="DN84" s="3">
        <v>-0.10590354278683663</v>
      </c>
      <c r="DO84" s="3">
        <v>1813099300</v>
      </c>
      <c r="DP84" s="3">
        <v>1762666500</v>
      </c>
      <c r="DQ84" s="3">
        <v>4742</v>
      </c>
      <c r="DR84" s="3">
        <v>-0.36969264041927025</v>
      </c>
      <c r="DS84" s="3">
        <v>-0.42088386785419862</v>
      </c>
      <c r="DT84" s="12">
        <v>-0.67333333333333334</v>
      </c>
      <c r="DU84" s="3">
        <v>-0.30333333333333334</v>
      </c>
      <c r="DV84" s="3">
        <v>-0.97666666666666668</v>
      </c>
      <c r="DW84" s="3">
        <v>-5.8741830065359473</v>
      </c>
      <c r="DX84" s="3">
        <v>0.27387712308660156</v>
      </c>
      <c r="DY84" s="3">
        <v>-5.0733239556394309</v>
      </c>
      <c r="DZ84" s="3">
        <v>1008</v>
      </c>
      <c r="EA84" s="3">
        <v>-5.0588600520612417</v>
      </c>
      <c r="EB84" s="3">
        <v>5</v>
      </c>
      <c r="EC84" s="3">
        <v>3.4014455782312922E-2</v>
      </c>
      <c r="ED84" s="3">
        <v>0.40552721088435373</v>
      </c>
      <c r="EE84" s="13">
        <v>-2.0718100000000002</v>
      </c>
      <c r="EF84" s="3">
        <v>-2.10161</v>
      </c>
      <c r="EG84" s="3">
        <v>19.083877123086602</v>
      </c>
      <c r="EH84" s="3" t="s">
        <v>1401</v>
      </c>
      <c r="EI84" s="3">
        <v>0</v>
      </c>
      <c r="EJ84" s="3">
        <v>1</v>
      </c>
      <c r="EK84" s="14">
        <v>45470</v>
      </c>
      <c r="EL84" s="15">
        <v>-3.12</v>
      </c>
      <c r="EM84" s="15">
        <v>-7.74</v>
      </c>
      <c r="EN84" s="15">
        <v>-0.43</v>
      </c>
      <c r="EO84" s="15">
        <v>3.21</v>
      </c>
      <c r="EP84" s="15">
        <v>-2.98</v>
      </c>
    </row>
    <row r="85" spans="1:146" ht="144" x14ac:dyDescent="0.25">
      <c r="A85" s="7" t="s">
        <v>1402</v>
      </c>
      <c r="B85" s="7" t="s">
        <v>1403</v>
      </c>
      <c r="C85" s="7" t="str">
        <f>"公司的主营业务为单晶硅材材料、硅零部件、半导体级大尺寸硅片及其应用产品的研发、生产和销售。主要产品为大直径单晶硅材料、硅零部件、大尺寸硅片。"&amp;CHAR(10)&amp;Basic_Fundamental_Information_Constructure(F85)&amp;CHAR(10)&amp;Basic_Fundamental_Information_Concatenate("大直径硅材料 4.54亿 95.79% 97.88% 65.47%
其他业务 1422.16万 3.00% 1.75% 37.37%
硅零部件及其他 574.52万 1.21% 0.37% 19.44%")</f>
        <v>公司的主营业务为单晶硅材材料、硅零部件、半导体级大尺寸硅片及其应用产品的研发、生产和销售。主要产品为大直径单晶硅材料、硅零部件、大尺寸硅片。
市值29.956779亿, 利润146.16万; PE; 平均PE27.05; 平均PEG2.78, PB1.71; ROIC12.625%; ROE8.27%; 股利率0%; 毛利37.1467%; 净利7.8267%; 上一年度营收增-89.18%, 利润增-99.07%; 当季营收增-26.02%, 利润增106.17%; 过往5年营收增9.73%, 利润增-.94%
Income profile:
大直径硅材料 4.54亿 95.79% 97.88% 65.47%
其他业务 1422.16万 3.00% 1.75% 37.37%
硅零部件及其他 574.52万 1.21% 0.37% 19.44%</v>
      </c>
      <c r="D85" s="3" t="s">
        <v>78</v>
      </c>
      <c r="E85" s="3" t="s">
        <v>79</v>
      </c>
      <c r="F85" s="3">
        <v>17.59</v>
      </c>
      <c r="G85" s="3">
        <v>-0.45</v>
      </c>
      <c r="H85" s="3" t="s">
        <v>4159</v>
      </c>
      <c r="I85" s="3">
        <v>2995677900</v>
      </c>
      <c r="K85" s="3">
        <v>1.71</v>
      </c>
      <c r="L85" s="3" t="s">
        <v>2983</v>
      </c>
      <c r="M85" s="3" t="s">
        <v>317</v>
      </c>
      <c r="N85" s="3" t="s">
        <v>4160</v>
      </c>
      <c r="O85" s="3" t="s">
        <v>2535</v>
      </c>
      <c r="P85" s="3">
        <v>11.86</v>
      </c>
      <c r="Q85" s="3" t="s">
        <v>2535</v>
      </c>
      <c r="R85" s="3">
        <v>1461564</v>
      </c>
      <c r="S85" s="5">
        <v>1.121</v>
      </c>
      <c r="T85" s="3" t="s">
        <v>4161</v>
      </c>
      <c r="U85" s="3">
        <v>170305740</v>
      </c>
      <c r="V85" s="3">
        <v>170305740</v>
      </c>
      <c r="W85" s="3">
        <v>1.06</v>
      </c>
      <c r="X85" s="3">
        <v>0.03</v>
      </c>
      <c r="Y85" s="3">
        <v>3.72</v>
      </c>
      <c r="Z85" s="3" t="s">
        <v>4162</v>
      </c>
      <c r="AA85" s="3" t="s">
        <v>4163</v>
      </c>
      <c r="AB85" s="3" t="s">
        <v>4164</v>
      </c>
      <c r="AC85" s="3" t="s">
        <v>4165</v>
      </c>
      <c r="AD85" s="3" t="s">
        <v>22</v>
      </c>
      <c r="AE85" s="3">
        <v>-3580275</v>
      </c>
      <c r="AF85" s="3" t="s">
        <v>2537</v>
      </c>
      <c r="AG85" s="3">
        <v>3883.71</v>
      </c>
      <c r="AH85" s="3" t="s">
        <v>2538</v>
      </c>
      <c r="AI85" s="3" t="s">
        <v>1294</v>
      </c>
      <c r="AJ85" s="3" t="s">
        <v>2539</v>
      </c>
      <c r="AK85" s="3" t="s">
        <v>4166</v>
      </c>
      <c r="AL85" s="3" t="s">
        <v>2540</v>
      </c>
      <c r="AM85" s="3" t="s">
        <v>22</v>
      </c>
      <c r="AN85" s="3" t="s">
        <v>337</v>
      </c>
      <c r="AO85" s="3" t="s">
        <v>22</v>
      </c>
      <c r="AP85" s="3" t="s">
        <v>4167</v>
      </c>
      <c r="AQ85" s="3" t="s">
        <v>4168</v>
      </c>
      <c r="AR85" s="3" t="s">
        <v>22</v>
      </c>
      <c r="AS85" s="3" t="s">
        <v>4169</v>
      </c>
      <c r="AT85" s="3" t="s">
        <v>22</v>
      </c>
      <c r="AU85" s="3" t="s">
        <v>4170</v>
      </c>
      <c r="AV85" s="3" t="s">
        <v>183</v>
      </c>
      <c r="AW85" s="3" t="s">
        <v>4171</v>
      </c>
      <c r="AX85" s="3" t="s">
        <v>747</v>
      </c>
      <c r="AY85" s="3" t="s">
        <v>180</v>
      </c>
      <c r="AZ85" s="3" t="s">
        <v>445</v>
      </c>
      <c r="BA85" s="3" t="s">
        <v>127</v>
      </c>
      <c r="BB85" s="3" t="s">
        <v>397</v>
      </c>
      <c r="BC85" s="3" t="s">
        <v>417</v>
      </c>
      <c r="BD85" s="3" t="s">
        <v>208</v>
      </c>
      <c r="BE85" s="3" t="s">
        <v>277</v>
      </c>
      <c r="BF85" s="3" t="s">
        <v>421</v>
      </c>
      <c r="BG85" s="3" t="s">
        <v>327</v>
      </c>
      <c r="BH85" s="3" t="s">
        <v>170</v>
      </c>
      <c r="BI85" s="3" t="s">
        <v>4172</v>
      </c>
      <c r="BJ85" s="3" t="s">
        <v>747</v>
      </c>
      <c r="BK85" s="3" t="s">
        <v>2536</v>
      </c>
      <c r="BL85" s="3" t="s">
        <v>4173</v>
      </c>
      <c r="BM85" s="3" t="s">
        <v>417</v>
      </c>
      <c r="BN85" s="3" t="s">
        <v>22</v>
      </c>
      <c r="BO85" s="3">
        <v>9.77</v>
      </c>
      <c r="BP85" s="3">
        <v>15.48</v>
      </c>
      <c r="BQ85" s="3">
        <v>-2.67</v>
      </c>
      <c r="BR85" s="3">
        <v>10.84</v>
      </c>
      <c r="BS85" s="3">
        <v>16.64</v>
      </c>
      <c r="BT85" s="3" t="s">
        <v>1368</v>
      </c>
      <c r="BU85" s="3" t="s">
        <v>1211</v>
      </c>
      <c r="BV85" s="3">
        <v>0.09</v>
      </c>
      <c r="BW85" s="3">
        <v>47.28</v>
      </c>
      <c r="BX85" s="3">
        <v>64.069999999999993</v>
      </c>
      <c r="BY85" s="3">
        <v>-51.97</v>
      </c>
      <c r="BZ85" s="3">
        <v>29.35</v>
      </c>
      <c r="CA85" s="3">
        <v>46.1</v>
      </c>
      <c r="CB85" s="3">
        <v>-8.7200000000000006</v>
      </c>
      <c r="CC85" s="3">
        <v>-12.36</v>
      </c>
      <c r="CD85" s="3" t="s">
        <v>4174</v>
      </c>
      <c r="CE85" s="3" t="s">
        <v>283</v>
      </c>
      <c r="CF85" s="10">
        <v>-0.26022137431692605</v>
      </c>
      <c r="CG85" s="11">
        <v>1.0616709283779335</v>
      </c>
      <c r="CH85" s="10">
        <v>-0.89179909229278564</v>
      </c>
      <c r="CI85" s="10">
        <v>6.9444447755813599E-2</v>
      </c>
      <c r="CJ85" s="10">
        <v>1.625</v>
      </c>
      <c r="CK85" s="10">
        <v>1.587301678955555E-2</v>
      </c>
      <c r="CL85" s="10">
        <v>-0.33215546607971191</v>
      </c>
      <c r="CM85" s="11">
        <v>-0.99074935913085938</v>
      </c>
      <c r="CN85" s="11">
        <v>-0.28506788611412048</v>
      </c>
      <c r="CO85" s="11">
        <v>1.2100000381469727</v>
      </c>
      <c r="CP85" s="11">
        <v>0.29954853653907776</v>
      </c>
      <c r="CQ85" s="11">
        <v>-0.28084298968315125</v>
      </c>
      <c r="CR85" s="3">
        <v>27.052617399400432</v>
      </c>
      <c r="CS85" s="3">
        <v>2.7811143752999246</v>
      </c>
      <c r="CT85" s="3">
        <v>0</v>
      </c>
      <c r="CU85" s="10">
        <v>9.7272581234574315E-2</v>
      </c>
      <c r="CV85" s="11">
        <v>-9.4223320484161377E-3</v>
      </c>
      <c r="CW85" s="3">
        <v>0.06</v>
      </c>
      <c r="CX85" s="3">
        <v>866.94192365882418</v>
      </c>
      <c r="CY85" s="3">
        <v>1512993.9667287297</v>
      </c>
      <c r="CZ85" s="3">
        <v>9.7272581234574315E-2</v>
      </c>
      <c r="DA85" s="3">
        <v>281.57062863206994</v>
      </c>
      <c r="DB85" s="3">
        <v>4658432.9706987217</v>
      </c>
      <c r="DC85" s="3">
        <v>9.2408952172845601E-2</v>
      </c>
      <c r="DD85" s="3">
        <v>137.4716319732764</v>
      </c>
      <c r="DE85" s="3">
        <v>9541444.1595847327</v>
      </c>
      <c r="DF85" s="3">
        <v>8.5599871486425394E-2</v>
      </c>
      <c r="DG85" s="3">
        <v>81.786798091803746</v>
      </c>
      <c r="DH85" s="3">
        <v>16037770.52780172</v>
      </c>
      <c r="DI85" s="3">
        <v>7.781806498765946E-2</v>
      </c>
      <c r="DJ85" s="3">
        <v>41.388245760083748</v>
      </c>
      <c r="DK85" s="3">
        <v>31692039.029714748</v>
      </c>
      <c r="DL85" s="3">
        <v>6.8090806864202019E-2</v>
      </c>
      <c r="DM85" s="3">
        <v>1461600</v>
      </c>
      <c r="DN85" s="3">
        <v>9.7272581234574315E-2</v>
      </c>
      <c r="DO85" s="3">
        <v>1311677900</v>
      </c>
      <c r="DP85" s="3">
        <v>1007773240</v>
      </c>
      <c r="DQ85" s="3">
        <v>4745</v>
      </c>
      <c r="DR85" s="3">
        <v>-0.35749395555150038</v>
      </c>
      <c r="DS85" s="3">
        <v>1.0710932604263497</v>
      </c>
      <c r="DT85" s="12">
        <v>-0.60666666666666669</v>
      </c>
      <c r="DU85" s="3">
        <v>-0.19999999999999996</v>
      </c>
      <c r="DV85" s="3">
        <v>-0.80666666666666664</v>
      </c>
      <c r="DW85" s="3">
        <v>-9.7055016181229767</v>
      </c>
      <c r="DX85" s="3">
        <v>0.34357739130434806</v>
      </c>
      <c r="DY85" s="3">
        <v>-9.0871840495286342</v>
      </c>
      <c r="DZ85" s="3">
        <v>3600</v>
      </c>
      <c r="EA85" s="3">
        <v>-9.0257628013284226</v>
      </c>
      <c r="EB85" s="3">
        <v>9</v>
      </c>
      <c r="EC85" s="3">
        <v>8.3446394701670076E-2</v>
      </c>
      <c r="ED85" s="3">
        <v>0.67525615989220322</v>
      </c>
      <c r="EE85" s="13">
        <v>9.6809999999999993E-2</v>
      </c>
      <c r="EF85" s="3">
        <v>0.13951</v>
      </c>
      <c r="EG85" s="3">
        <v>22.123577391304348</v>
      </c>
      <c r="EH85" s="3">
        <v>-1</v>
      </c>
      <c r="EI85" s="3">
        <v>0</v>
      </c>
      <c r="EJ85" s="3">
        <v>0</v>
      </c>
      <c r="EK85" s="14">
        <v>45470</v>
      </c>
      <c r="EL85" s="15">
        <v>-0.92</v>
      </c>
      <c r="EM85" s="15">
        <v>-5.31</v>
      </c>
      <c r="EN85" s="15">
        <v>-4.43</v>
      </c>
      <c r="EO85" s="15">
        <v>2.2999999999999998</v>
      </c>
      <c r="EP85" s="15">
        <v>-4.2699999999999996</v>
      </c>
    </row>
    <row r="86" spans="1:146" ht="216" x14ac:dyDescent="0.25">
      <c r="A86" s="7" t="s">
        <v>1191</v>
      </c>
      <c r="B86" s="7" t="s">
        <v>1192</v>
      </c>
      <c r="C86" s="7" t="str">
        <f>"公司是一家国内领先的宽禁带半导体（第三代半导体）衬底材料生产商，主要从事碳化硅衬底的研发、生产和销售，产品可广泛应用于微波电子、电力电子等领域。公司主要产品包括半绝缘型和导电型碳化硅衬底。"&amp;CHAR(10)&amp;Basic_Fundamental_Information_Constructure(C86)&amp;CHAR(10)&amp;Basic_Fundamental_Information_Concatenate("碳化硅衬底 3.87亿 78.38% 90.52% 32.83%
其他业务 1.07亿 21.62% 9.48% 12.47%")</f>
        <v>公司是一家国内领先的宽禁带半导体（第三代半导体）衬底材料生产商，主要从事碳化硅衬底的研发、生产和销售，产品可广泛应用于微波电子、电力电子等领域。公司主要产品包括半绝缘型和导电型碳化硅衬底。
市值214.81255亿, 利润-4572.05万; PE752.8; 平均PE-126.74; 平均PEG-1.78, PB4.12; ROIC3.82%; ROE-.2367%; 股利率0%; 毛利12.4833%; 净利-10.6967%; 上一年度营收增200%, 利润增74.02%; 当季营收增120.73%, 利润增263.73%; 过往5年营收增71.29%, 利润增-140.8%
Income profile:
碳化硅衬底 3.87亿 78.38% 90.52% 32.83%
其他业务 1.07亿 21.62% 9.48% 12.47%</v>
      </c>
      <c r="D86" s="3" t="s">
        <v>1000</v>
      </c>
      <c r="E86" s="3" t="s">
        <v>1001</v>
      </c>
      <c r="F86" s="3">
        <v>45.54</v>
      </c>
      <c r="G86" s="3">
        <v>-1</v>
      </c>
      <c r="H86" s="3" t="s">
        <v>4175</v>
      </c>
      <c r="I86" s="3">
        <v>19569041000</v>
      </c>
      <c r="J86" s="3">
        <v>685.8</v>
      </c>
      <c r="K86" s="3">
        <v>3.75</v>
      </c>
      <c r="L86" s="3" t="s">
        <v>2983</v>
      </c>
      <c r="M86" s="3" t="s">
        <v>2019</v>
      </c>
      <c r="N86" s="3" t="s">
        <v>4176</v>
      </c>
      <c r="O86" s="3" t="s">
        <v>1585</v>
      </c>
      <c r="P86" s="3">
        <v>120.66</v>
      </c>
      <c r="Q86" s="3" t="s">
        <v>1585</v>
      </c>
      <c r="R86" s="3">
        <v>46099896</v>
      </c>
      <c r="S86" s="5">
        <v>2.637</v>
      </c>
      <c r="T86" s="3" t="s">
        <v>4177</v>
      </c>
      <c r="U86" s="3">
        <v>264375320</v>
      </c>
      <c r="V86" s="3">
        <v>429711040</v>
      </c>
      <c r="W86" s="3">
        <v>1.36</v>
      </c>
      <c r="X86" s="3">
        <v>0.06</v>
      </c>
      <c r="Y86" s="3">
        <v>10.82</v>
      </c>
      <c r="Z86" s="3" t="s">
        <v>316</v>
      </c>
      <c r="AA86" s="3" t="s">
        <v>1144</v>
      </c>
      <c r="AB86" s="3" t="s">
        <v>4178</v>
      </c>
      <c r="AC86" s="3" t="s">
        <v>4179</v>
      </c>
      <c r="AD86" s="3" t="s">
        <v>22</v>
      </c>
      <c r="AE86" s="3">
        <v>-4155993</v>
      </c>
      <c r="AF86" s="3" t="s">
        <v>2542</v>
      </c>
      <c r="AG86" s="3" t="s">
        <v>4180</v>
      </c>
      <c r="AH86" s="3" t="s">
        <v>2543</v>
      </c>
      <c r="AI86" s="3" t="s">
        <v>2729</v>
      </c>
      <c r="AJ86" s="3" t="s">
        <v>2544</v>
      </c>
      <c r="AK86" s="3" t="s">
        <v>4181</v>
      </c>
      <c r="AL86" s="3" t="s">
        <v>2545</v>
      </c>
      <c r="AM86" s="3" t="s">
        <v>22</v>
      </c>
      <c r="AN86" s="3" t="s">
        <v>366</v>
      </c>
      <c r="AO86" s="3" t="s">
        <v>4182</v>
      </c>
      <c r="AP86" s="3" t="s">
        <v>1856</v>
      </c>
      <c r="AQ86" s="3" t="s">
        <v>1848</v>
      </c>
      <c r="AR86" s="3" t="s">
        <v>22</v>
      </c>
      <c r="AS86" s="3" t="s">
        <v>618</v>
      </c>
      <c r="AT86" s="3" t="s">
        <v>22</v>
      </c>
      <c r="AU86" s="3" t="s">
        <v>4183</v>
      </c>
      <c r="AV86" s="3" t="s">
        <v>4184</v>
      </c>
      <c r="AW86" s="3" t="s">
        <v>4185</v>
      </c>
      <c r="AX86" s="3" t="s">
        <v>1522</v>
      </c>
      <c r="AY86" s="3" t="s">
        <v>202</v>
      </c>
      <c r="AZ86" s="3" t="s">
        <v>1003</v>
      </c>
      <c r="BA86" s="3" t="s">
        <v>533</v>
      </c>
      <c r="BB86" s="3" t="s">
        <v>179</v>
      </c>
      <c r="BC86" s="3" t="s">
        <v>1876</v>
      </c>
      <c r="BD86" s="3" t="s">
        <v>1002</v>
      </c>
      <c r="BE86" s="3" t="s">
        <v>1004</v>
      </c>
      <c r="BF86" s="3" t="s">
        <v>1005</v>
      </c>
      <c r="BG86" s="3" t="s">
        <v>1006</v>
      </c>
      <c r="BH86" s="3" t="s">
        <v>411</v>
      </c>
      <c r="BI86" s="3" t="s">
        <v>449</v>
      </c>
      <c r="BJ86" s="3" t="s">
        <v>1522</v>
      </c>
      <c r="BK86" s="3" t="s">
        <v>2541</v>
      </c>
      <c r="BL86" s="3" t="s">
        <v>4186</v>
      </c>
      <c r="BM86" s="3" t="s">
        <v>1876</v>
      </c>
      <c r="BN86" s="3" t="s">
        <v>22</v>
      </c>
      <c r="BO86" s="3" t="s">
        <v>22</v>
      </c>
      <c r="BP86" s="3">
        <v>3.82</v>
      </c>
      <c r="BQ86" s="3">
        <v>-1.31</v>
      </c>
      <c r="BR86" s="3">
        <v>-3.46</v>
      </c>
      <c r="BS86" s="3">
        <v>4.13</v>
      </c>
      <c r="BT86" s="3" t="s">
        <v>1368</v>
      </c>
      <c r="BU86" s="3" t="s">
        <v>1211</v>
      </c>
      <c r="BV86" s="3">
        <v>15.81</v>
      </c>
      <c r="BW86" s="3">
        <v>-5.75</v>
      </c>
      <c r="BX86" s="3">
        <v>28.43</v>
      </c>
      <c r="BY86" s="3">
        <v>-3.66</v>
      </c>
      <c r="BZ86" s="3">
        <v>-42.02</v>
      </c>
      <c r="CA86" s="3">
        <v>18.21</v>
      </c>
      <c r="CB86" s="3">
        <v>-2.94</v>
      </c>
      <c r="CC86" s="3">
        <v>-9.4600000000000009</v>
      </c>
      <c r="CD86" s="3" t="s">
        <v>4187</v>
      </c>
      <c r="CE86" s="3" t="s">
        <v>181</v>
      </c>
      <c r="CF86" s="10">
        <v>-2.7397260273972601E-2</v>
      </c>
      <c r="CG86" s="11">
        <v>1.6397813913403103</v>
      </c>
      <c r="CH86" s="10">
        <v>2.158273383975029E-2</v>
      </c>
      <c r="CI86" s="10">
        <v>-0.15587045252323151</v>
      </c>
      <c r="CJ86" s="10">
        <v>0.16235293447971344</v>
      </c>
      <c r="CK86" s="10">
        <v>0.57992565631866455</v>
      </c>
      <c r="CL86" s="10">
        <v>0.97794115543365479</v>
      </c>
      <c r="CM86" s="11">
        <v>1.261931300163269</v>
      </c>
      <c r="CN86" s="11">
        <v>-2.9566099643707275</v>
      </c>
      <c r="CO86" s="11">
        <v>1.1401113271713257</v>
      </c>
      <c r="CP86" s="11">
        <v>-2.1940298080444336</v>
      </c>
      <c r="CQ86" s="11">
        <v>-3.7698602676391602</v>
      </c>
      <c r="CR86" s="3">
        <v>-126.92221779501675</v>
      </c>
      <c r="CS86" s="3">
        <v>-4.0015024474663736</v>
      </c>
      <c r="CT86" s="3">
        <v>0</v>
      </c>
      <c r="CU86" s="10">
        <v>0.31718640550971033</v>
      </c>
      <c r="CV86" s="11">
        <v>-1.3036914825439454</v>
      </c>
      <c r="CW86" s="3">
        <v>0.06</v>
      </c>
      <c r="CX86" s="3">
        <v>279.93409686025393</v>
      </c>
      <c r="CY86" s="3">
        <v>57285058.08995951</v>
      </c>
      <c r="CZ86" s="3">
        <v>0.31718640550971033</v>
      </c>
      <c r="DA86" s="3">
        <v>75.865675319635699</v>
      </c>
      <c r="DB86" s="3">
        <v>211374128.45054477</v>
      </c>
      <c r="DC86" s="3">
        <v>0.3013270852342248</v>
      </c>
      <c r="DD86" s="3">
        <v>28.542897347652779</v>
      </c>
      <c r="DE86" s="3">
        <v>561822466.88837707</v>
      </c>
      <c r="DF86" s="3">
        <v>0.27912403684854509</v>
      </c>
      <c r="DG86" s="3">
        <v>12.333423631307655</v>
      </c>
      <c r="DH86" s="3">
        <v>1300210021.1082892</v>
      </c>
      <c r="DI86" s="3">
        <v>0.25374912440776826</v>
      </c>
      <c r="DJ86" s="3">
        <v>2.847096026325024</v>
      </c>
      <c r="DK86" s="3">
        <v>5632420140.2855415</v>
      </c>
      <c r="DL86" s="3">
        <v>0.22203048385679722</v>
      </c>
      <c r="DM86" s="3">
        <v>46099900</v>
      </c>
      <c r="DN86" s="3">
        <v>0.31718640550971033</v>
      </c>
      <c r="DO86" s="3">
        <v>16036041000</v>
      </c>
      <c r="DP86" s="3">
        <v>1363244700</v>
      </c>
      <c r="DQ86" s="3">
        <v>4746</v>
      </c>
      <c r="DR86" s="3">
        <v>-0.34458366578368294</v>
      </c>
      <c r="DS86" s="3">
        <v>2.9434728738842555</v>
      </c>
      <c r="DT86" s="12">
        <v>-0.13999999999999999</v>
      </c>
      <c r="DU86" s="3">
        <v>-0.78333333333333355</v>
      </c>
      <c r="DV86" s="3">
        <v>-0.92333333333333356</v>
      </c>
      <c r="DW86" s="3">
        <v>-8.3107822410147989</v>
      </c>
      <c r="DX86" s="3">
        <v>0.35106126126126225</v>
      </c>
      <c r="DY86" s="3">
        <v>-8.0407315124850012</v>
      </c>
      <c r="DZ86" s="3" t="s">
        <v>1881</v>
      </c>
      <c r="EA86" s="3" t="e">
        <v>#VALUE!</v>
      </c>
      <c r="EB86" s="3" t="e">
        <v>#VALUE!</v>
      </c>
      <c r="EC86" s="3">
        <v>3.3854843478073077E-2</v>
      </c>
      <c r="ED86" s="3">
        <v>0.2583131213012354</v>
      </c>
      <c r="EE86" s="13">
        <v>3.32E-2</v>
      </c>
      <c r="EF86" s="3">
        <v>9.5099999999999942E-3</v>
      </c>
      <c r="EG86" s="3">
        <v>22.131061261261262</v>
      </c>
      <c r="EH86" s="3">
        <v>-1</v>
      </c>
      <c r="EI86" s="3" t="e">
        <v>#VALUE!</v>
      </c>
      <c r="EJ86" s="3">
        <v>0</v>
      </c>
      <c r="EK86" s="14">
        <v>45470</v>
      </c>
      <c r="EL86" s="15">
        <v>0.81</v>
      </c>
      <c r="EM86" s="15">
        <v>-1.24</v>
      </c>
      <c r="EN86" s="15">
        <v>-0.39</v>
      </c>
      <c r="EO86" s="15">
        <v>0.28000000000000003</v>
      </c>
      <c r="EP86" s="15">
        <v>-4.2699999999999996</v>
      </c>
    </row>
    <row r="87" spans="1:146" ht="156" x14ac:dyDescent="0.25">
      <c r="A87" s="7" t="s">
        <v>2949</v>
      </c>
      <c r="B87" s="7" t="s">
        <v>2950</v>
      </c>
      <c r="C87" s="7" t="str">
        <f>"公司的主营业务为12 英寸晶圆代工业务，致力于研发并应用行业先进的工艺，为客户提供多种制程节点、不同工艺平台的晶圆代工服务。公司的主要服务为向客户提供12英寸晶圆代工服务。"&amp;CHAR(10)&amp;Basic_Fundamental_Information_Constructure(F87)&amp;CHAR(10)&amp;Basic_Fundamental_Information_Concatenate("90nm 52.12亿 51.86% 50.12% 44.61%
110nm 31.65亿 31.49% 34.22% 50.16%
150nm 16.09亿 16.01% 16.32% 47.05%
55nm 3912.65万 0.39% -1.02% -121.06%")</f>
        <v>公司的主营业务为12 英寸晶圆代工业务，致力于研发并应用行业先进的工艺，为客户提供多种制程节点、不同工艺平台的晶圆代工服务。公司的主要服务为向客户提供12英寸晶圆代工服务。
市值300.71966亿, 利润7925.88万; PE48.39; 平均PE155.38; 平均PEG1.31, PB1.4; ROIC13.465%; ROE13.54%; 股利率0%; 毛利37.6333%; 净利21.63%; 上一年度营收增-77.83%, 利润增-97.4%; 当季营收增-24.98%, 利润增281.74%; 过往5年营收增118.89%, 利润增42.12%
Income profile:
90nm 52.12亿 51.86% 50.12% 44.61%
110nm 31.65亿 31.49% 34.22% 50.16%
150nm 16.09亿 16.01% 16.32% 47.05%
55nm 3912.65万 0.39% -1.02% -121.06%</v>
      </c>
      <c r="D87" s="3" t="s">
        <v>1420</v>
      </c>
      <c r="E87" s="3" t="s">
        <v>1421</v>
      </c>
      <c r="F87" s="3">
        <v>14.99</v>
      </c>
      <c r="G87" s="3">
        <v>1.63</v>
      </c>
      <c r="H87" s="3" t="s">
        <v>4188</v>
      </c>
      <c r="I87" s="3">
        <v>30071966000</v>
      </c>
      <c r="J87" s="3">
        <v>48.39</v>
      </c>
      <c r="K87" s="3">
        <v>1.4</v>
      </c>
      <c r="L87" s="3" t="s">
        <v>2983</v>
      </c>
      <c r="M87" s="3" t="s">
        <v>2546</v>
      </c>
      <c r="N87" s="3" t="s">
        <v>4189</v>
      </c>
      <c r="O87" s="3" t="s">
        <v>1875</v>
      </c>
      <c r="P87" s="5">
        <v>104.44</v>
      </c>
      <c r="Q87" s="3" t="s">
        <v>1875</v>
      </c>
      <c r="R87" s="3">
        <v>79258820</v>
      </c>
      <c r="S87" s="3">
        <v>1.24</v>
      </c>
      <c r="T87" s="3" t="s">
        <v>4190</v>
      </c>
      <c r="U87" s="3">
        <v>1176731020</v>
      </c>
      <c r="V87" s="3">
        <v>2006135200</v>
      </c>
      <c r="W87" s="3">
        <v>2.16</v>
      </c>
      <c r="X87" s="3">
        <v>0.05</v>
      </c>
      <c r="Y87" s="3">
        <v>3.67</v>
      </c>
      <c r="Z87" s="3" t="s">
        <v>4191</v>
      </c>
      <c r="AA87" s="3" t="s">
        <v>4192</v>
      </c>
      <c r="AB87" s="3" t="s">
        <v>4193</v>
      </c>
      <c r="AC87" s="3" t="s">
        <v>4194</v>
      </c>
      <c r="AD87" s="3" t="s">
        <v>22</v>
      </c>
      <c r="AE87" s="3">
        <v>86688892</v>
      </c>
      <c r="AF87" s="3" t="s">
        <v>2548</v>
      </c>
      <c r="AG87" s="3" t="s">
        <v>4195</v>
      </c>
      <c r="AH87" s="3" t="s">
        <v>2549</v>
      </c>
      <c r="AI87" s="3" t="s">
        <v>4196</v>
      </c>
      <c r="AJ87" s="3" t="s">
        <v>2550</v>
      </c>
      <c r="AK87" s="3" t="s">
        <v>22</v>
      </c>
      <c r="AL87" s="3" t="s">
        <v>2551</v>
      </c>
      <c r="AM87" s="3" t="s">
        <v>22</v>
      </c>
      <c r="AN87" s="3" t="s">
        <v>4197</v>
      </c>
      <c r="AO87" s="3" t="s">
        <v>1769</v>
      </c>
      <c r="AP87" s="3" t="s">
        <v>22</v>
      </c>
      <c r="AQ87" s="3" t="s">
        <v>4198</v>
      </c>
      <c r="AR87" s="3" t="s">
        <v>22</v>
      </c>
      <c r="AS87" s="3" t="s">
        <v>4199</v>
      </c>
      <c r="AT87" s="3" t="s">
        <v>4200</v>
      </c>
      <c r="AU87" s="3" t="s">
        <v>256</v>
      </c>
      <c r="AV87" s="3" t="s">
        <v>4201</v>
      </c>
      <c r="AW87" s="3" t="s">
        <v>4202</v>
      </c>
      <c r="AX87" s="3" t="s">
        <v>1422</v>
      </c>
      <c r="AY87" s="3" t="s">
        <v>1640</v>
      </c>
      <c r="AZ87" s="3" t="s">
        <v>237</v>
      </c>
      <c r="BA87" s="3" t="s">
        <v>623</v>
      </c>
      <c r="BB87" s="3" t="s">
        <v>378</v>
      </c>
      <c r="BC87" s="3" t="s">
        <v>1423</v>
      </c>
      <c r="BD87" s="3" t="s">
        <v>1639</v>
      </c>
      <c r="BE87" s="3" t="s">
        <v>1641</v>
      </c>
      <c r="BF87" s="3" t="s">
        <v>1642</v>
      </c>
      <c r="BG87" s="3" t="s">
        <v>1643</v>
      </c>
      <c r="BH87" s="3" t="s">
        <v>2547</v>
      </c>
      <c r="BI87" s="3" t="s">
        <v>4203</v>
      </c>
      <c r="BJ87" s="3" t="s">
        <v>1422</v>
      </c>
      <c r="BK87" s="3" t="s">
        <v>324</v>
      </c>
      <c r="BL87" s="3" t="s">
        <v>4204</v>
      </c>
      <c r="BM87" s="3" t="s">
        <v>1423</v>
      </c>
      <c r="BN87" s="3" t="s">
        <v>22</v>
      </c>
      <c r="BO87" s="3">
        <v>14.77</v>
      </c>
      <c r="BP87" s="3">
        <v>12.16</v>
      </c>
      <c r="BQ87" s="3">
        <v>0.17</v>
      </c>
      <c r="BR87" s="3">
        <v>26.91</v>
      </c>
      <c r="BS87" s="3" t="s">
        <v>22</v>
      </c>
      <c r="BT87" s="3" t="s">
        <v>1368</v>
      </c>
      <c r="BU87" s="3" t="s">
        <v>1221</v>
      </c>
      <c r="BV87" s="3">
        <v>21.61</v>
      </c>
      <c r="BW87" s="3">
        <v>46.16</v>
      </c>
      <c r="BX87" s="3">
        <v>45.13</v>
      </c>
      <c r="BY87" s="3">
        <v>1.65</v>
      </c>
      <c r="BZ87" s="3">
        <v>31.4</v>
      </c>
      <c r="CA87" s="3">
        <v>31.84</v>
      </c>
      <c r="CB87" s="3">
        <v>2.1800000000000002</v>
      </c>
      <c r="CC87" s="1">
        <v>4.46</v>
      </c>
      <c r="CD87" s="1" t="s">
        <v>4205</v>
      </c>
      <c r="CE87" s="1" t="s">
        <v>303</v>
      </c>
      <c r="CF87" s="10">
        <v>-0.24983164983164982</v>
      </c>
      <c r="CG87" s="11">
        <v>2.8174376636658391</v>
      </c>
      <c r="CH87" s="10">
        <v>-0.77833056449890137</v>
      </c>
      <c r="CI87" s="10">
        <v>0.85135382413864136</v>
      </c>
      <c r="CJ87" s="10">
        <v>2.5906085968017578</v>
      </c>
      <c r="CK87" s="10">
        <v>1.83146071434021</v>
      </c>
      <c r="CL87" s="10">
        <v>1.4495413303375244</v>
      </c>
      <c r="CM87" s="11">
        <v>-0.97397083044052124</v>
      </c>
      <c r="CN87" s="11">
        <v>0.76113361120223999</v>
      </c>
      <c r="CO87" s="11">
        <v>2.374403715133667</v>
      </c>
      <c r="CP87" s="11">
        <v>-1.2067526578903198E-2</v>
      </c>
      <c r="CQ87" s="11">
        <v>-4.3660786002874374E-2</v>
      </c>
      <c r="CR87" s="1">
        <v>155.37604192967149</v>
      </c>
      <c r="CS87" s="1">
        <v>1.3068596360527593</v>
      </c>
      <c r="CT87" s="3">
        <v>0</v>
      </c>
      <c r="CU87" s="10">
        <v>1.1889267802238463</v>
      </c>
      <c r="CV87" s="11">
        <v>0.42116763666272161</v>
      </c>
      <c r="CW87" s="3">
        <v>0.06</v>
      </c>
      <c r="CX87" s="3">
        <v>207.01821420229263</v>
      </c>
      <c r="CY87" s="3">
        <v>163671424.42302433</v>
      </c>
      <c r="CZ87" s="3">
        <v>1.1889267802238463</v>
      </c>
      <c r="DA87" s="3">
        <v>30.20629971089221</v>
      </c>
      <c r="DB87" s="3">
        <v>1121718526.4099729</v>
      </c>
      <c r="DC87" s="3">
        <v>1.129480441212654</v>
      </c>
      <c r="DD87" s="3">
        <v>4.0598828960342006</v>
      </c>
      <c r="DE87" s="3">
        <v>8345798848.8036852</v>
      </c>
      <c r="DF87" s="3">
        <v>1.0462555665969848</v>
      </c>
      <c r="DG87" s="3">
        <v>0.43826491686132873</v>
      </c>
      <c r="DH87" s="3">
        <v>77311609249.163101</v>
      </c>
      <c r="DI87" s="3">
        <v>0.9511414241790771</v>
      </c>
      <c r="DJ87" s="3">
        <v>3.1779203471652699E-3</v>
      </c>
      <c r="DK87" s="3">
        <v>10661993473254.883</v>
      </c>
      <c r="DL87" s="3">
        <v>0.83224874615669242</v>
      </c>
      <c r="DM87" s="3">
        <v>79258800</v>
      </c>
      <c r="DN87" s="3">
        <v>1.1889267802238463</v>
      </c>
      <c r="DO87" s="3">
        <v>33882966000</v>
      </c>
      <c r="DP87" s="3">
        <v>3354346600</v>
      </c>
      <c r="DQ87" s="12">
        <v>4756</v>
      </c>
      <c r="DR87" s="3">
        <v>-1.4387584300554961</v>
      </c>
      <c r="DS87" s="3">
        <v>2.3962700270031174</v>
      </c>
      <c r="DT87" s="3">
        <v>0.56966666666666665</v>
      </c>
      <c r="DU87" s="3">
        <v>-0.24999999999999989</v>
      </c>
      <c r="DV87" s="3">
        <v>0.31966666666666677</v>
      </c>
      <c r="DW87" s="3">
        <v>1.0446</v>
      </c>
      <c r="DX87" s="3">
        <v>0.3723873646209388</v>
      </c>
      <c r="DY87" s="3">
        <v>1.0067964764620938</v>
      </c>
      <c r="DZ87" s="3">
        <v>1320</v>
      </c>
      <c r="EA87" s="3">
        <v>1.0050408308789307</v>
      </c>
      <c r="EB87" s="13">
        <v>1</v>
      </c>
      <c r="EC87" s="13">
        <v>2.1041104308423479E-2</v>
      </c>
      <c r="ED87" s="3">
        <v>0.13807643672270942</v>
      </c>
      <c r="EE87" s="3">
        <v>-2.0535999999999999</v>
      </c>
      <c r="EF87" s="3">
        <v>-2.0293999999999999</v>
      </c>
      <c r="EG87" s="3">
        <v>22.152387364620939</v>
      </c>
      <c r="EH87" s="14" t="s">
        <v>1923</v>
      </c>
      <c r="EI87" s="15">
        <v>0</v>
      </c>
      <c r="EJ87" s="15">
        <v>1</v>
      </c>
      <c r="EK87" s="15">
        <v>45470</v>
      </c>
      <c r="EL87" s="15">
        <v>-1.36</v>
      </c>
      <c r="EM87" s="15">
        <v>-4.84</v>
      </c>
      <c r="EN87" s="15">
        <v>3.75</v>
      </c>
      <c r="EO87" s="15">
        <v>2.37</v>
      </c>
      <c r="EP87" s="15">
        <v>-2.42</v>
      </c>
    </row>
    <row r="88" spans="1:146" ht="96" x14ac:dyDescent="0.25">
      <c r="C88" s="7" t="str">
        <f>""&amp;CHAR(10)&amp;Basic_Fundamental_Information_Constructure(F88)&amp;CHAR(10)&amp;Basic_Fundamental_Information_Concatenate("")</f>
        <v xml:space="preserve">
市值61.353201亿, 利润3252.58万; PE45.54; 平均PE62.72; 平均PEG6.24, PB3.16; ROIC18.5633%; ROE20.8533%; 股利率.3733%; 毛利32.89%; 净利16.56%; 上一年度营收增-71.2%, 利润增-74.98%; 当季营收增-31.27%, 利润增-30.25%; 过往5年营收增10.06%, 利润增111.46%
Income profile:
</v>
      </c>
      <c r="D88" s="3" t="s">
        <v>1260</v>
      </c>
      <c r="E88" s="3" t="s">
        <v>4206</v>
      </c>
      <c r="F88" s="3">
        <v>15</v>
      </c>
      <c r="G88" s="3">
        <v>1.08</v>
      </c>
      <c r="H88" s="3" t="s">
        <v>4207</v>
      </c>
      <c r="I88" s="3">
        <v>6135320100</v>
      </c>
      <c r="J88" s="3">
        <v>45.54</v>
      </c>
      <c r="K88" s="3">
        <v>3.16</v>
      </c>
      <c r="L88" s="3" t="s">
        <v>2983</v>
      </c>
      <c r="M88" s="3" t="s">
        <v>550</v>
      </c>
      <c r="N88" s="3" t="s">
        <v>4208</v>
      </c>
      <c r="O88" s="3" t="s">
        <v>1844</v>
      </c>
      <c r="P88" s="3">
        <v>46.07</v>
      </c>
      <c r="Q88" s="3" t="s">
        <v>1844</v>
      </c>
      <c r="R88" s="3">
        <v>32525835</v>
      </c>
      <c r="S88" s="3">
        <v>2.06</v>
      </c>
      <c r="T88" s="3" t="s">
        <v>4209</v>
      </c>
      <c r="U88" s="3">
        <v>180494470</v>
      </c>
      <c r="V88" s="3">
        <v>409021340</v>
      </c>
      <c r="W88" s="3">
        <v>1.1499999999999999</v>
      </c>
      <c r="X88" s="3">
        <v>0.15</v>
      </c>
      <c r="Y88" s="3">
        <v>9.42</v>
      </c>
      <c r="Z88" s="3" t="s">
        <v>320</v>
      </c>
      <c r="AA88" s="3" t="s">
        <v>1284</v>
      </c>
      <c r="AB88" s="3" t="s">
        <v>4210</v>
      </c>
      <c r="AC88" s="3" t="s">
        <v>4211</v>
      </c>
      <c r="AD88" s="3" t="s">
        <v>22</v>
      </c>
      <c r="AE88" s="3">
        <v>-11930474</v>
      </c>
      <c r="AF88" s="3" t="s">
        <v>108</v>
      </c>
      <c r="AG88" s="3" t="s">
        <v>4212</v>
      </c>
      <c r="AH88" s="3" t="s">
        <v>2553</v>
      </c>
      <c r="AI88" s="3" t="s">
        <v>765</v>
      </c>
      <c r="AJ88" s="3" t="s">
        <v>2554</v>
      </c>
      <c r="AK88" s="3" t="s">
        <v>22</v>
      </c>
      <c r="AL88" s="3" t="s">
        <v>2555</v>
      </c>
      <c r="AM88" s="3" t="s">
        <v>22</v>
      </c>
      <c r="AN88" s="3">
        <v>0</v>
      </c>
      <c r="AO88" s="3" t="s">
        <v>22</v>
      </c>
      <c r="AP88" s="3" t="s">
        <v>22</v>
      </c>
      <c r="AQ88" s="3" t="s">
        <v>302</v>
      </c>
      <c r="AR88" s="3" t="s">
        <v>22</v>
      </c>
      <c r="AS88" s="3" t="s">
        <v>149</v>
      </c>
      <c r="AT88" s="3" t="s">
        <v>22</v>
      </c>
      <c r="AU88" s="3" t="s">
        <v>4213</v>
      </c>
      <c r="AV88" s="3" t="s">
        <v>4214</v>
      </c>
      <c r="AW88" s="3" t="s">
        <v>4215</v>
      </c>
      <c r="AX88" s="3" t="s">
        <v>1281</v>
      </c>
      <c r="AY88" s="3" t="s">
        <v>1251</v>
      </c>
      <c r="AZ88" s="3" t="s">
        <v>383</v>
      </c>
      <c r="BA88" s="3" t="s">
        <v>1076</v>
      </c>
      <c r="BB88" s="3" t="s">
        <v>763</v>
      </c>
      <c r="BC88" s="3" t="s">
        <v>198</v>
      </c>
      <c r="BD88" s="3" t="s">
        <v>157</v>
      </c>
      <c r="BE88" s="3" t="s">
        <v>1261</v>
      </c>
      <c r="BF88" s="3" t="s">
        <v>1262</v>
      </c>
      <c r="BG88" s="3" t="s">
        <v>1263</v>
      </c>
      <c r="BH88" s="3" t="s">
        <v>1348</v>
      </c>
      <c r="BI88" s="3" t="s">
        <v>817</v>
      </c>
      <c r="BJ88" s="3" t="s">
        <v>1281</v>
      </c>
      <c r="BK88" s="3" t="s">
        <v>151</v>
      </c>
      <c r="BL88" s="3" t="s">
        <v>4216</v>
      </c>
      <c r="BM88" s="3" t="s">
        <v>198</v>
      </c>
      <c r="BN88" s="3">
        <v>2.3199999999999998</v>
      </c>
      <c r="BO88" s="3">
        <v>8.44</v>
      </c>
      <c r="BP88" s="3">
        <v>44.93</v>
      </c>
      <c r="BQ88" s="3">
        <v>4.0199999999999996</v>
      </c>
      <c r="BR88" s="3">
        <v>11.34</v>
      </c>
      <c r="BS88" s="3">
        <v>47.2</v>
      </c>
      <c r="BT88" s="3" t="s">
        <v>2556</v>
      </c>
      <c r="BU88" s="3" t="s">
        <v>2998</v>
      </c>
      <c r="BV88" s="3">
        <v>20.010000000000002</v>
      </c>
      <c r="BW88" s="3">
        <v>27.49</v>
      </c>
      <c r="BX88" s="3">
        <v>51.17</v>
      </c>
      <c r="BY88" s="3">
        <v>9.33</v>
      </c>
      <c r="BZ88" s="3">
        <v>10.83</v>
      </c>
      <c r="CA88" s="3">
        <v>29.52</v>
      </c>
      <c r="CB88" s="3">
        <v>3.23</v>
      </c>
      <c r="CC88" s="10">
        <v>13.86</v>
      </c>
      <c r="CD88" s="11" t="s">
        <v>4217</v>
      </c>
      <c r="CE88" s="10" t="s">
        <v>370</v>
      </c>
      <c r="CF88" s="10">
        <v>-0.31274900398406369</v>
      </c>
      <c r="CG88" s="10">
        <v>-0.30245629874906443</v>
      </c>
      <c r="CH88" s="10">
        <v>-0.71202003955841064</v>
      </c>
      <c r="CI88" s="10">
        <v>7.3476701974868774E-2</v>
      </c>
      <c r="CJ88" s="11">
        <v>0.98930484056472778</v>
      </c>
      <c r="CK88" s="11">
        <v>0.20905172824859619</v>
      </c>
      <c r="CL88" s="11">
        <v>-5.6910570710897446E-2</v>
      </c>
      <c r="CM88" s="11">
        <v>-0.74980151653289795</v>
      </c>
      <c r="CN88" s="11">
        <v>-0.60486322641372681</v>
      </c>
      <c r="CO88" s="3">
        <v>4.4160213470458984</v>
      </c>
      <c r="CP88" s="3">
        <v>2.5158441066741943</v>
      </c>
      <c r="CQ88" s="3">
        <v>-4.1958442889153957E-3</v>
      </c>
      <c r="CR88" s="10">
        <v>62.72267748645978</v>
      </c>
      <c r="CS88" s="11">
        <v>6.2360653870615641</v>
      </c>
      <c r="CT88" s="3">
        <v>0.37333333333333335</v>
      </c>
      <c r="CU88" s="3">
        <v>0.10058053210377693</v>
      </c>
      <c r="CV88" s="3">
        <v>1.1146009732969104</v>
      </c>
      <c r="CW88" s="3">
        <v>0.06</v>
      </c>
      <c r="CX88" s="3">
        <v>132.78611280386608</v>
      </c>
      <c r="CY88" s="3">
        <v>33771002.142548136</v>
      </c>
      <c r="CZ88" s="3">
        <v>0.10058053210377693</v>
      </c>
      <c r="DA88" s="3">
        <v>43.006684712495037</v>
      </c>
      <c r="DB88" s="3">
        <v>104270304.25568095</v>
      </c>
      <c r="DC88" s="3">
        <v>9.5551505498588082E-2</v>
      </c>
      <c r="DD88" s="3">
        <v>20.918335899447158</v>
      </c>
      <c r="DE88" s="3">
        <v>214372697.78799728</v>
      </c>
      <c r="DF88" s="3">
        <v>8.8510868251323704E-2</v>
      </c>
      <c r="DG88" s="3">
        <v>12.391915016377512</v>
      </c>
      <c r="DH88" s="3">
        <v>361874665.38250089</v>
      </c>
      <c r="DI88" s="3">
        <v>8.0464425683021548E-2</v>
      </c>
      <c r="DJ88" s="3">
        <v>6.2115519052689994</v>
      </c>
      <c r="DK88" s="3">
        <v>721932323.57861149</v>
      </c>
      <c r="DL88" s="3">
        <v>7.0406372472643849E-2</v>
      </c>
      <c r="DM88" s="3">
        <v>32525800</v>
      </c>
      <c r="DN88" s="3">
        <v>0.10058053210377693</v>
      </c>
      <c r="DO88" s="3">
        <v>4484320100</v>
      </c>
      <c r="DP88" s="3">
        <v>1816934600</v>
      </c>
      <c r="DQ88" s="12">
        <v>4758</v>
      </c>
      <c r="DR88" s="3">
        <v>-0.41332953608784062</v>
      </c>
      <c r="DS88" s="3">
        <v>-1.4170572720459749</v>
      </c>
      <c r="DT88" s="3">
        <v>-0.39000000000000007</v>
      </c>
      <c r="DU88" s="3">
        <v>-0.13633333333333339</v>
      </c>
      <c r="DV88" s="3">
        <v>-0.52633333333333343</v>
      </c>
      <c r="DW88" s="3">
        <v>8.2330447330447338</v>
      </c>
      <c r="DX88" s="3">
        <v>0.45900000000000118</v>
      </c>
      <c r="DY88" s="3">
        <v>8.0510367965367973</v>
      </c>
      <c r="DZ88" s="3">
        <v>147</v>
      </c>
      <c r="EA88" s="3">
        <v>8.0495686147186163</v>
      </c>
      <c r="EB88" s="13">
        <v>8</v>
      </c>
      <c r="EC88" s="3">
        <v>7.1211443393149124E-2</v>
      </c>
      <c r="ED88" s="3">
        <v>0.32516640818789555</v>
      </c>
      <c r="EE88" s="3">
        <v>5.0471000000000004</v>
      </c>
      <c r="EF88" s="3">
        <v>5.0168999999999997</v>
      </c>
      <c r="EG88" s="3">
        <v>24.219000000000001</v>
      </c>
      <c r="EH88" s="14" t="s">
        <v>1931</v>
      </c>
      <c r="EI88" s="15">
        <v>0</v>
      </c>
      <c r="EJ88" s="15">
        <v>1</v>
      </c>
      <c r="EK88" s="15">
        <v>45470</v>
      </c>
      <c r="EL88" s="15">
        <v>1.58</v>
      </c>
      <c r="EM88" s="15">
        <v>-3.21</v>
      </c>
      <c r="EN88" s="15">
        <v>-1.48</v>
      </c>
      <c r="EO88" s="15">
        <v>3.44</v>
      </c>
      <c r="EP88" s="15">
        <v>-3.02</v>
      </c>
    </row>
    <row r="89" spans="1:146" ht="96" x14ac:dyDescent="0.25">
      <c r="C89" s="7" t="str">
        <f>""&amp;CHAR(10)&amp;Basic_Fundamental_Information_Constructure(F89)&amp;CHAR(10)&amp;Basic_Fundamental_Information_Concatenate("")</f>
        <v xml:space="preserve">
市值803.1941亿, 利润-2.27亿; PE; 平均PE-121.6; 平均PEG-2.49, PB14.68; ROIC0%; ROE-17.28%; 股利率0%; 毛利65.77%; 净利-140.2033%; 上一年度营收增-96.48%, 利润增81.93%; 当季营收增-77.49%, 利润增58.41%; 过往5年营收增48.92%, 利润增-553.84%
Income profile:
</v>
      </c>
      <c r="D89" s="3" t="s">
        <v>88</v>
      </c>
      <c r="E89" s="3" t="s">
        <v>89</v>
      </c>
      <c r="F89" s="3">
        <v>192.8</v>
      </c>
      <c r="G89" s="3">
        <v>-0.34</v>
      </c>
      <c r="H89" s="3" t="s">
        <v>4218</v>
      </c>
      <c r="I89" s="3">
        <v>80319410000</v>
      </c>
      <c r="K89" s="3">
        <v>14.68</v>
      </c>
      <c r="L89" s="3" t="s">
        <v>2983</v>
      </c>
      <c r="M89" s="3" t="s">
        <v>1201</v>
      </c>
      <c r="N89" s="3" t="s">
        <v>4219</v>
      </c>
      <c r="O89" s="3" t="s">
        <v>2557</v>
      </c>
      <c r="P89" s="3">
        <v>-65.91</v>
      </c>
      <c r="Q89" s="3" t="s">
        <v>2557</v>
      </c>
      <c r="R89" s="3">
        <v>-226677270</v>
      </c>
      <c r="S89" s="5">
        <v>0.11119999999999999</v>
      </c>
      <c r="T89" s="3" t="s">
        <v>3417</v>
      </c>
      <c r="U89" s="3">
        <v>416594450</v>
      </c>
      <c r="V89" s="3">
        <v>416594450</v>
      </c>
      <c r="W89" s="3">
        <v>1.1000000000000001</v>
      </c>
      <c r="X89" s="3">
        <v>0</v>
      </c>
      <c r="Y89" s="3">
        <v>-892.43</v>
      </c>
      <c r="Z89" s="3" t="s">
        <v>377</v>
      </c>
      <c r="AA89" s="3" t="s">
        <v>4220</v>
      </c>
      <c r="AB89" s="3" t="s">
        <v>4221</v>
      </c>
      <c r="AC89" s="3" t="s">
        <v>4222</v>
      </c>
      <c r="AD89" s="3" t="s">
        <v>22</v>
      </c>
      <c r="AE89" s="3">
        <v>-15247271</v>
      </c>
      <c r="AF89" s="3" t="s">
        <v>2559</v>
      </c>
      <c r="AG89" s="3" t="s">
        <v>4223</v>
      </c>
      <c r="AH89" s="3" t="s">
        <v>2560</v>
      </c>
      <c r="AI89" s="3" t="s">
        <v>4224</v>
      </c>
      <c r="AJ89" s="3" t="s">
        <v>2561</v>
      </c>
      <c r="AK89" s="3" t="s">
        <v>4225</v>
      </c>
      <c r="AL89" s="3" t="s">
        <v>2562</v>
      </c>
      <c r="AM89" s="3" t="s">
        <v>22</v>
      </c>
      <c r="AN89" s="3" t="s">
        <v>155</v>
      </c>
      <c r="AO89" s="3" t="s">
        <v>22</v>
      </c>
      <c r="AP89" s="3" t="s">
        <v>22</v>
      </c>
      <c r="AQ89" s="3" t="s">
        <v>446</v>
      </c>
      <c r="AR89" s="3" t="s">
        <v>22</v>
      </c>
      <c r="AS89" s="3" t="s">
        <v>778</v>
      </c>
      <c r="AT89" s="3" t="s">
        <v>22</v>
      </c>
      <c r="AU89" s="3" t="s">
        <v>339</v>
      </c>
      <c r="AV89" s="3" t="s">
        <v>4226</v>
      </c>
      <c r="AW89" s="3" t="s">
        <v>4227</v>
      </c>
      <c r="AX89" s="3" t="s">
        <v>894</v>
      </c>
      <c r="AY89" s="3" t="s">
        <v>911</v>
      </c>
      <c r="AZ89" s="3" t="s">
        <v>506</v>
      </c>
      <c r="BA89" s="3" t="s">
        <v>296</v>
      </c>
      <c r="BB89" s="3" t="s">
        <v>450</v>
      </c>
      <c r="BC89" s="3" t="s">
        <v>2563</v>
      </c>
      <c r="BD89" s="3" t="s">
        <v>1007</v>
      </c>
      <c r="BE89" s="3" t="s">
        <v>665</v>
      </c>
      <c r="BF89" s="3" t="s">
        <v>422</v>
      </c>
      <c r="BG89" s="3" t="s">
        <v>666</v>
      </c>
      <c r="BH89" s="3" t="s">
        <v>1254</v>
      </c>
      <c r="BI89" s="3" t="s">
        <v>349</v>
      </c>
      <c r="BJ89" s="3" t="s">
        <v>894</v>
      </c>
      <c r="BK89" s="3" t="s">
        <v>2558</v>
      </c>
      <c r="BL89" s="3" t="s">
        <v>1878</v>
      </c>
      <c r="BM89" s="3" t="s">
        <v>2563</v>
      </c>
      <c r="BN89" s="3" t="s">
        <v>22</v>
      </c>
      <c r="BO89" s="3" t="s">
        <v>22</v>
      </c>
      <c r="BP89" s="3" t="s">
        <v>22</v>
      </c>
      <c r="BQ89" s="3">
        <v>-14.91</v>
      </c>
      <c r="BR89" s="3">
        <v>-23.4</v>
      </c>
      <c r="BS89" s="3">
        <v>-13.53</v>
      </c>
      <c r="BT89" s="3" t="s">
        <v>1368</v>
      </c>
      <c r="BU89" s="3" t="s">
        <v>2998</v>
      </c>
      <c r="BV89" s="3">
        <v>69.16</v>
      </c>
      <c r="BW89" s="3">
        <v>65.760000000000005</v>
      </c>
      <c r="BX89" s="3">
        <v>62.39</v>
      </c>
      <c r="BY89" s="3">
        <v>-123.78</v>
      </c>
      <c r="BZ89" s="3">
        <v>-181.75</v>
      </c>
      <c r="CA89" s="3">
        <v>-115.08</v>
      </c>
      <c r="CB89" s="3">
        <v>-2.95</v>
      </c>
      <c r="CC89" s="3">
        <v>4.95</v>
      </c>
      <c r="CD89" s="3" t="s">
        <v>4228</v>
      </c>
      <c r="CE89" s="3" t="s">
        <v>441</v>
      </c>
      <c r="CF89" s="10">
        <v>-0.77485877192982455</v>
      </c>
      <c r="CG89" s="11">
        <v>0.58407840366972474</v>
      </c>
      <c r="CH89" s="10">
        <v>-0.96479272842407227</v>
      </c>
      <c r="CI89" s="10">
        <v>1.1095700785517693E-2</v>
      </c>
      <c r="CJ89" s="10">
        <v>0.57080608606338501</v>
      </c>
      <c r="CK89" s="10">
        <v>3.378378227353096E-2</v>
      </c>
      <c r="CL89" s="10">
        <v>2.7948718070983887</v>
      </c>
      <c r="CM89" s="11">
        <v>0.81926751136779785</v>
      </c>
      <c r="CN89" s="11">
        <v>-0.52242422103881836</v>
      </c>
      <c r="CO89" s="11">
        <v>-0.89655172824859619</v>
      </c>
      <c r="CP89" s="11">
        <v>0.63104325532913208</v>
      </c>
      <c r="CQ89" s="11">
        <v>-27.723522186279297</v>
      </c>
      <c r="CR89" s="3">
        <v>-121.60252472435032</v>
      </c>
      <c r="CS89" s="3">
        <v>-2.4859817324184301</v>
      </c>
      <c r="CT89" s="3">
        <v>0</v>
      </c>
      <c r="CU89" s="10">
        <v>0.48915292955935002</v>
      </c>
      <c r="CV89" s="11">
        <v>-5.5384374737739561</v>
      </c>
      <c r="CW89" s="3">
        <v>0.06</v>
      </c>
      <c r="CX89" s="3" t="e">
        <v>#VALUE!</v>
      </c>
      <c r="CY89" s="3" t="s">
        <v>1073</v>
      </c>
      <c r="CZ89" s="3">
        <v>0.48915292955935002</v>
      </c>
      <c r="DA89" s="3" t="e">
        <v>#VALUE!</v>
      </c>
      <c r="DB89" s="3" t="s">
        <v>1074</v>
      </c>
      <c r="DC89" s="3">
        <v>0.46469528308138253</v>
      </c>
      <c r="DD89" s="3" t="e">
        <v>#VALUE!</v>
      </c>
      <c r="DE89" s="3" t="s">
        <v>1074</v>
      </c>
      <c r="DF89" s="3">
        <v>0.43045457801222803</v>
      </c>
      <c r="DG89" s="3" t="e">
        <v>#VALUE!</v>
      </c>
      <c r="DH89" s="3" t="s">
        <v>1074</v>
      </c>
      <c r="DI89" s="3">
        <v>0.39132234364748003</v>
      </c>
      <c r="DJ89" s="3" t="e">
        <v>#VALUE!</v>
      </c>
      <c r="DK89" s="3" t="s">
        <v>1074</v>
      </c>
      <c r="DL89" s="3">
        <v>0.34240705069154498</v>
      </c>
      <c r="DM89" s="3">
        <v>-227000000</v>
      </c>
      <c r="DN89" s="3">
        <v>0.48915292955935002</v>
      </c>
      <c r="DO89" s="3">
        <v>75459410000</v>
      </c>
      <c r="DP89" s="3">
        <v>4996848100</v>
      </c>
      <c r="DQ89" s="3">
        <v>4761</v>
      </c>
      <c r="DR89" s="3">
        <v>-1.2640117014891745</v>
      </c>
      <c r="DS89" s="3">
        <v>6.1225158774436812</v>
      </c>
      <c r="DT89" s="12">
        <v>-0.16</v>
      </c>
      <c r="DU89" s="3">
        <v>-3.0316666666666667</v>
      </c>
      <c r="DV89" s="3">
        <v>-3.1916666666666669</v>
      </c>
      <c r="DW89" s="3">
        <v>-6.3734177215189876</v>
      </c>
      <c r="DX89" s="3">
        <v>0.34914159292035518</v>
      </c>
      <c r="DY89" s="3">
        <v>-6.048223759381651</v>
      </c>
      <c r="DZ89" s="3">
        <v>941</v>
      </c>
      <c r="EA89" s="3">
        <v>-6.0393434154328967</v>
      </c>
      <c r="EB89" s="3">
        <v>6</v>
      </c>
      <c r="EC89" s="3">
        <v>7.0058542546594174E-2</v>
      </c>
      <c r="ED89" s="3">
        <v>0.54249402506442412</v>
      </c>
      <c r="EE89" s="13">
        <v>-1.1393</v>
      </c>
      <c r="EF89" s="3">
        <v>-1.1438999999999999</v>
      </c>
      <c r="EG89" s="3">
        <v>22.129141592920355</v>
      </c>
      <c r="EH89" s="3" t="s">
        <v>1929</v>
      </c>
      <c r="EI89" s="3">
        <v>0</v>
      </c>
      <c r="EJ89" s="3">
        <v>1</v>
      </c>
      <c r="EK89" s="14">
        <v>45470</v>
      </c>
      <c r="EL89" s="15">
        <v>-0.13</v>
      </c>
      <c r="EM89" s="15">
        <v>-4.28</v>
      </c>
      <c r="EN89" s="15">
        <v>0.48</v>
      </c>
      <c r="EO89" s="15">
        <v>4.18</v>
      </c>
      <c r="EP89" s="15">
        <v>0.46</v>
      </c>
    </row>
    <row r="90" spans="1:146" ht="96" x14ac:dyDescent="0.25">
      <c r="C90" s="7" t="str">
        <f>""&amp;CHAR(10)&amp;Basic_Fundamental_Information_Constructure(F90)&amp;CHAR(10)&amp;Basic_Fundamental_Information_Concatenate("")</f>
        <v xml:space="preserve">
市值29.584亿, 利润1514.28万; PE50.58; 平均PE56.96; 平均PEG1.17, PB1.96; ROIC17.7333%; ROE19.4767%; 股利率.7031%; 毛利30.0233%; 净利10.2967%; 上一年度营收增-86.8%, 利润增-83.36%; 当季营收增-58.45%, 利润增-55.53%; 过往5年营收增48.5%, 利润增64.21%
Income profile:
</v>
      </c>
      <c r="D90" s="3" t="s">
        <v>1008</v>
      </c>
      <c r="E90" s="3" t="s">
        <v>1009</v>
      </c>
      <c r="F90" s="3">
        <v>36.979999999999997</v>
      </c>
      <c r="G90" s="3">
        <v>-0.35</v>
      </c>
      <c r="H90" s="3" t="s">
        <v>4229</v>
      </c>
      <c r="I90" s="3">
        <v>2958400000</v>
      </c>
      <c r="J90" s="3">
        <v>50.58</v>
      </c>
      <c r="K90" s="3">
        <v>1.96</v>
      </c>
      <c r="L90" s="3" t="s">
        <v>2983</v>
      </c>
      <c r="M90" s="3" t="s">
        <v>26</v>
      </c>
      <c r="N90" s="3" t="s">
        <v>2198</v>
      </c>
      <c r="O90" s="3" t="s">
        <v>120</v>
      </c>
      <c r="P90" s="3">
        <v>-13.55</v>
      </c>
      <c r="Q90" s="3" t="s">
        <v>120</v>
      </c>
      <c r="R90" s="3">
        <v>15142821</v>
      </c>
      <c r="S90" s="5">
        <v>3.62E-3</v>
      </c>
      <c r="T90" s="3" t="s">
        <v>4230</v>
      </c>
      <c r="U90" s="3">
        <v>57888800</v>
      </c>
      <c r="V90" s="3">
        <v>80000000</v>
      </c>
      <c r="W90" s="3">
        <v>1.54</v>
      </c>
      <c r="X90" s="3">
        <v>0.05</v>
      </c>
      <c r="Y90" s="3">
        <v>12.31</v>
      </c>
      <c r="Z90" s="3" t="s">
        <v>450</v>
      </c>
      <c r="AA90" s="3" t="s">
        <v>4231</v>
      </c>
      <c r="AB90" s="3" t="s">
        <v>4232</v>
      </c>
      <c r="AC90" s="3" t="s">
        <v>4233</v>
      </c>
      <c r="AD90" s="3" t="s">
        <v>22</v>
      </c>
      <c r="AE90" s="3">
        <v>-5858323</v>
      </c>
      <c r="AF90" s="3" t="s">
        <v>2565</v>
      </c>
      <c r="AG90" s="3" t="s">
        <v>22</v>
      </c>
      <c r="AH90" s="3" t="s">
        <v>2566</v>
      </c>
      <c r="AI90" s="3" t="s">
        <v>340</v>
      </c>
      <c r="AJ90" s="3" t="s">
        <v>2567</v>
      </c>
      <c r="AK90" s="3" t="s">
        <v>4234</v>
      </c>
      <c r="AL90" s="3" t="s">
        <v>2568</v>
      </c>
      <c r="AM90" s="3" t="s">
        <v>22</v>
      </c>
      <c r="AN90" s="3">
        <v>0</v>
      </c>
      <c r="AO90" s="3" t="s">
        <v>183</v>
      </c>
      <c r="AP90" s="3" t="s">
        <v>22</v>
      </c>
      <c r="AQ90" s="3" t="s">
        <v>4235</v>
      </c>
      <c r="AR90" s="3" t="s">
        <v>22</v>
      </c>
      <c r="AS90" s="3" t="s">
        <v>115</v>
      </c>
      <c r="AT90" s="3" t="s">
        <v>22</v>
      </c>
      <c r="AU90" s="3" t="s">
        <v>4236</v>
      </c>
      <c r="AV90" s="3" t="s">
        <v>4237</v>
      </c>
      <c r="AW90" s="3" t="s">
        <v>4238</v>
      </c>
      <c r="AX90" s="3" t="s">
        <v>242</v>
      </c>
      <c r="AY90" s="3" t="s">
        <v>751</v>
      </c>
      <c r="AZ90" s="3" t="s">
        <v>139</v>
      </c>
      <c r="BA90" s="3" t="s">
        <v>300</v>
      </c>
      <c r="BB90" s="3" t="s">
        <v>205</v>
      </c>
      <c r="BC90" s="3" t="s">
        <v>1645</v>
      </c>
      <c r="BD90" s="3" t="s">
        <v>1010</v>
      </c>
      <c r="BE90" s="3" t="s">
        <v>1011</v>
      </c>
      <c r="BF90" s="3" t="s">
        <v>1012</v>
      </c>
      <c r="BG90" s="3" t="s">
        <v>1013</v>
      </c>
      <c r="BH90" s="3" t="s">
        <v>1534</v>
      </c>
      <c r="BI90" s="3" t="s">
        <v>1744</v>
      </c>
      <c r="BJ90" s="3" t="s">
        <v>242</v>
      </c>
      <c r="BK90" s="3" t="s">
        <v>2564</v>
      </c>
      <c r="BL90" s="3" t="s">
        <v>4239</v>
      </c>
      <c r="BM90" s="3" t="s">
        <v>1645</v>
      </c>
      <c r="BN90" s="3">
        <v>0.91</v>
      </c>
      <c r="BO90" s="3">
        <v>8.35</v>
      </c>
      <c r="BP90" s="3">
        <v>43.94</v>
      </c>
      <c r="BQ90" s="3">
        <v>2.68</v>
      </c>
      <c r="BR90" s="3">
        <v>6.75</v>
      </c>
      <c r="BS90" s="3">
        <v>49</v>
      </c>
      <c r="BT90" s="3" t="s">
        <v>2570</v>
      </c>
      <c r="BU90" s="3" t="s">
        <v>2998</v>
      </c>
      <c r="BV90" s="3">
        <v>31.77</v>
      </c>
      <c r="BW90" s="3">
        <v>28.53</v>
      </c>
      <c r="BX90" s="3">
        <v>29.77</v>
      </c>
      <c r="BY90" s="3">
        <v>8.84</v>
      </c>
      <c r="BZ90" s="3">
        <v>9.77</v>
      </c>
      <c r="CA90" s="3">
        <v>12.28</v>
      </c>
      <c r="CB90" s="3">
        <v>-7.46</v>
      </c>
      <c r="CC90" s="3">
        <v>-18.059999999999999</v>
      </c>
      <c r="CD90" s="3" t="s">
        <v>4240</v>
      </c>
      <c r="CE90" s="3" t="s">
        <v>4241</v>
      </c>
      <c r="CF90" s="10">
        <v>-0.58445945945945943</v>
      </c>
      <c r="CG90" s="11">
        <v>-0.55529520078469607</v>
      </c>
      <c r="CH90" s="10">
        <v>-0.86802577972412109</v>
      </c>
      <c r="CI90" s="10">
        <v>0.45397815108299255</v>
      </c>
      <c r="CJ90" s="10">
        <v>2.0523810386657715</v>
      </c>
      <c r="CK90" s="10">
        <v>0.27272728085517883</v>
      </c>
      <c r="CL90" s="10">
        <v>0.51376146078109741</v>
      </c>
      <c r="CM90" s="11">
        <v>-0.83363711833953857</v>
      </c>
      <c r="CN90" s="11">
        <v>0.15674281120300293</v>
      </c>
      <c r="CO90" s="11">
        <v>0.15886682271957397</v>
      </c>
      <c r="CP90" s="11">
        <v>0.42155659198760986</v>
      </c>
      <c r="CQ90" s="11">
        <v>3.3068933486938477</v>
      </c>
      <c r="CR90" s="3">
        <v>56.963164757186746</v>
      </c>
      <c r="CS90" s="3">
        <v>1.1745843858727731</v>
      </c>
      <c r="CT90" s="3">
        <v>0.70308274743104393</v>
      </c>
      <c r="CU90" s="10">
        <v>0.48496443033218384</v>
      </c>
      <c r="CV90" s="11">
        <v>0.64208449125289913</v>
      </c>
      <c r="CW90" s="3">
        <v>0.06</v>
      </c>
      <c r="CX90" s="3">
        <v>116.35878173458785</v>
      </c>
      <c r="CY90" s="3">
        <v>21213697.524183203</v>
      </c>
      <c r="CZ90" s="3">
        <v>0.48496443033218384</v>
      </c>
      <c r="DA90" s="3">
        <v>27.657241925950707</v>
      </c>
      <c r="DB90" s="3">
        <v>89249680.30466941</v>
      </c>
      <c r="DC90" s="3">
        <v>0.46071620881557462</v>
      </c>
      <c r="DD90" s="3">
        <v>8.470717307429247</v>
      </c>
      <c r="DE90" s="3">
        <v>291403893.01329756</v>
      </c>
      <c r="DF90" s="3">
        <v>0.42676869869232176</v>
      </c>
      <c r="DG90" s="3">
        <v>2.7878247432527825</v>
      </c>
      <c r="DH90" s="3">
        <v>885421512.22889149</v>
      </c>
      <c r="DI90" s="3">
        <v>0.38797154426574709</v>
      </c>
      <c r="DJ90" s="3">
        <v>0.31848585069794866</v>
      </c>
      <c r="DK90" s="3">
        <v>7750422803.9977369</v>
      </c>
      <c r="DL90" s="3">
        <v>0.33947510123252866</v>
      </c>
      <c r="DM90" s="3">
        <v>15142800</v>
      </c>
      <c r="DN90" s="3">
        <v>0.48496443033218384</v>
      </c>
      <c r="DO90" s="3">
        <v>2468400000</v>
      </c>
      <c r="DP90" s="3">
        <v>875645600</v>
      </c>
      <c r="DQ90" s="3">
        <v>4764</v>
      </c>
      <c r="DR90" s="3">
        <v>-1.0694238897916433</v>
      </c>
      <c r="DS90" s="3">
        <v>-1.1973796920375952</v>
      </c>
      <c r="DT90" s="12">
        <v>-2.4999999999999984E-2</v>
      </c>
      <c r="DU90" s="3">
        <v>0.35333333333333344</v>
      </c>
      <c r="DV90" s="3">
        <v>0.32833333333333348</v>
      </c>
      <c r="DW90" s="3">
        <v>-9.4130675526024365</v>
      </c>
      <c r="DX90" s="3">
        <v>0.33611464643893357</v>
      </c>
      <c r="DY90" s="3">
        <v>-9.0562245438778763</v>
      </c>
      <c r="DZ90" s="3">
        <v>4863</v>
      </c>
      <c r="EA90" s="3">
        <v>-9.0027177030015331</v>
      </c>
      <c r="EB90" s="3">
        <v>9</v>
      </c>
      <c r="EC90" s="3">
        <v>6.6842499999999999E-2</v>
      </c>
      <c r="ED90" s="3">
        <v>0.49107499999999998</v>
      </c>
      <c r="EE90" s="13">
        <v>-1.03671</v>
      </c>
      <c r="EF90" s="3">
        <v>-1.05311</v>
      </c>
      <c r="EG90" s="3">
        <v>20.136114646438934</v>
      </c>
      <c r="EH90" s="3" t="s">
        <v>1386</v>
      </c>
      <c r="EI90" s="3">
        <v>0</v>
      </c>
      <c r="EJ90" s="3">
        <v>0</v>
      </c>
      <c r="EK90" s="14">
        <v>45470</v>
      </c>
      <c r="EL90" s="15">
        <v>-2.66</v>
      </c>
      <c r="EM90" s="15">
        <v>-7.56</v>
      </c>
      <c r="EN90" s="15">
        <v>-2.2599999999999998</v>
      </c>
      <c r="EO90" s="15">
        <v>5.26</v>
      </c>
      <c r="EP90" s="15">
        <v>-1.64</v>
      </c>
    </row>
    <row r="91" spans="1:146" ht="96" x14ac:dyDescent="0.25">
      <c r="C91" s="7" t="str">
        <f>""&amp;CHAR(10)&amp;Basic_Fundamental_Information_Constructure(F91)&amp;CHAR(10)&amp;Basic_Fundamental_Information_Concatenate("")</f>
        <v xml:space="preserve">
市值46.52519亿, 利润429.41万; PE63.57; 平均PE57.55; 平均PEG1.46, PB1.63; ROIC15.9%; ROE15.2233%; 股利率.4708%; 毛利28.47%; 净利19.5467%; 上一年度营收增-84.5%, 利润增-98.49%; 当季营收增-67.54%, 利润增-95.71%; 过往5年营收增39.41%, 利润增119.96%
Income profile:
</v>
      </c>
      <c r="D91" s="3" t="s">
        <v>1014</v>
      </c>
      <c r="E91" s="3" t="s">
        <v>1015</v>
      </c>
      <c r="F91" s="3">
        <v>37.97</v>
      </c>
      <c r="G91" s="3">
        <v>5.33</v>
      </c>
      <c r="H91" s="3" t="s">
        <v>4242</v>
      </c>
      <c r="I91" s="3">
        <v>4652519000</v>
      </c>
      <c r="J91" s="3">
        <v>63.57</v>
      </c>
      <c r="K91" s="3">
        <v>1.63</v>
      </c>
      <c r="L91" s="3" t="s">
        <v>2983</v>
      </c>
      <c r="M91" s="3" t="s">
        <v>850</v>
      </c>
      <c r="N91" s="3" t="s">
        <v>4243</v>
      </c>
      <c r="O91" s="3" t="s">
        <v>356</v>
      </c>
      <c r="P91" s="3">
        <v>-42.71</v>
      </c>
      <c r="Q91" s="3" t="s">
        <v>356</v>
      </c>
      <c r="R91" s="3">
        <v>4294058</v>
      </c>
      <c r="S91" s="5">
        <v>-0.93959999999999999</v>
      </c>
      <c r="T91" s="3" t="s">
        <v>4244</v>
      </c>
      <c r="U91" s="3">
        <v>82515584</v>
      </c>
      <c r="V91" s="3">
        <v>122531446</v>
      </c>
      <c r="W91" s="3">
        <v>1.04</v>
      </c>
      <c r="X91" s="3">
        <v>0.06</v>
      </c>
      <c r="Y91" s="3">
        <v>2.48</v>
      </c>
      <c r="Z91" s="3" t="s">
        <v>818</v>
      </c>
      <c r="AA91" s="3" t="s">
        <v>579</v>
      </c>
      <c r="AB91" s="3" t="s">
        <v>4245</v>
      </c>
      <c r="AC91" s="3" t="s">
        <v>4246</v>
      </c>
      <c r="AD91" s="3" t="s">
        <v>22</v>
      </c>
      <c r="AE91" s="3">
        <v>-7273264</v>
      </c>
      <c r="AF91" s="3" t="s">
        <v>2572</v>
      </c>
      <c r="AG91" s="3" t="s">
        <v>4247</v>
      </c>
      <c r="AH91" s="3" t="s">
        <v>2573</v>
      </c>
      <c r="AI91" s="3" t="s">
        <v>4248</v>
      </c>
      <c r="AJ91" s="3" t="s">
        <v>2574</v>
      </c>
      <c r="AK91" s="3" t="s">
        <v>4249</v>
      </c>
      <c r="AL91" s="3" t="s">
        <v>2575</v>
      </c>
      <c r="AM91" s="3" t="s">
        <v>22</v>
      </c>
      <c r="AN91" s="3">
        <v>0</v>
      </c>
      <c r="AO91" s="3" t="s">
        <v>4250</v>
      </c>
      <c r="AP91" s="3" t="s">
        <v>22</v>
      </c>
      <c r="AQ91" s="3" t="s">
        <v>4251</v>
      </c>
      <c r="AR91" s="3" t="s">
        <v>22</v>
      </c>
      <c r="AS91" s="3" t="s">
        <v>275</v>
      </c>
      <c r="AT91" s="3" t="s">
        <v>22</v>
      </c>
      <c r="AU91" s="3" t="s">
        <v>4252</v>
      </c>
      <c r="AV91" s="3" t="s">
        <v>457</v>
      </c>
      <c r="AW91" s="3" t="s">
        <v>4253</v>
      </c>
      <c r="AX91" s="3" t="s">
        <v>1251</v>
      </c>
      <c r="AY91" s="3" t="s">
        <v>868</v>
      </c>
      <c r="AZ91" s="3" t="s">
        <v>322</v>
      </c>
      <c r="BA91" s="3" t="s">
        <v>871</v>
      </c>
      <c r="BB91" s="3" t="s">
        <v>343</v>
      </c>
      <c r="BC91" s="3" t="s">
        <v>149</v>
      </c>
      <c r="BD91" s="3" t="s">
        <v>472</v>
      </c>
      <c r="BE91" s="3" t="s">
        <v>1016</v>
      </c>
      <c r="BF91" s="3" t="s">
        <v>1017</v>
      </c>
      <c r="BG91" s="3" t="s">
        <v>1018</v>
      </c>
      <c r="BH91" s="3" t="s">
        <v>2571</v>
      </c>
      <c r="BI91" s="3" t="s">
        <v>1327</v>
      </c>
      <c r="BJ91" s="3" t="s">
        <v>1251</v>
      </c>
      <c r="BK91" s="3" t="s">
        <v>156</v>
      </c>
      <c r="BL91" s="3" t="s">
        <v>277</v>
      </c>
      <c r="BM91" s="3" t="s">
        <v>149</v>
      </c>
      <c r="BN91" s="3">
        <v>3.67</v>
      </c>
      <c r="BO91" s="3">
        <v>15.3</v>
      </c>
      <c r="BP91" s="3">
        <v>28.73</v>
      </c>
      <c r="BQ91" s="3">
        <v>4.6100000000000003</v>
      </c>
      <c r="BR91" s="3">
        <v>11.22</v>
      </c>
      <c r="BS91" s="3">
        <v>29.84</v>
      </c>
      <c r="BT91" s="3" t="s">
        <v>4254</v>
      </c>
      <c r="BU91" s="3" t="s">
        <v>1210</v>
      </c>
      <c r="BV91" s="3">
        <v>22.73</v>
      </c>
      <c r="BW91" s="3">
        <v>33.96</v>
      </c>
      <c r="BX91" s="3">
        <v>28.72</v>
      </c>
      <c r="BY91" s="3">
        <v>14.39</v>
      </c>
      <c r="BZ91" s="3">
        <v>25.47</v>
      </c>
      <c r="CA91" s="3">
        <v>18.78</v>
      </c>
      <c r="CB91" s="3">
        <v>-3.59</v>
      </c>
      <c r="CC91" s="3">
        <v>1.04</v>
      </c>
      <c r="CD91" s="3" t="s">
        <v>4255</v>
      </c>
      <c r="CE91" s="3" t="s">
        <v>4256</v>
      </c>
      <c r="CF91" s="10">
        <v>-0.67542213883677293</v>
      </c>
      <c r="CG91" s="11">
        <v>-0.95705941999999999</v>
      </c>
      <c r="CH91" s="10">
        <v>-0.8449820876121521</v>
      </c>
      <c r="CI91" s="10">
        <v>0.4271099865436554</v>
      </c>
      <c r="CJ91" s="10">
        <v>1.5307443141937256</v>
      </c>
      <c r="CK91" s="10">
        <v>0.57653063535690308</v>
      </c>
      <c r="CL91" s="10">
        <v>0.28104576468467712</v>
      </c>
      <c r="CM91" s="11">
        <v>-0.98487991094589233</v>
      </c>
      <c r="CN91" s="11">
        <v>0.93197280168533325</v>
      </c>
      <c r="CO91" s="11">
        <v>4.3100795745849609</v>
      </c>
      <c r="CP91" s="11">
        <v>2.0387372970581055</v>
      </c>
      <c r="CQ91" s="11">
        <v>-0.29783496260643005</v>
      </c>
      <c r="CR91" s="3">
        <v>57.549614822196844</v>
      </c>
      <c r="CS91" s="3">
        <v>1.4603175753389961</v>
      </c>
      <c r="CT91" s="3">
        <v>0.47076639452199109</v>
      </c>
      <c r="CU91" s="10">
        <v>0.39408972263336184</v>
      </c>
      <c r="CV91" s="11">
        <v>1.1996149599552155</v>
      </c>
      <c r="CW91" s="3">
        <v>0.06</v>
      </c>
      <c r="CX91" s="3">
        <v>343.78318492853418</v>
      </c>
      <c r="CY91" s="3">
        <v>5647510.0735470932</v>
      </c>
      <c r="CZ91" s="3">
        <v>0.39408972263336184</v>
      </c>
      <c r="DA91" s="3">
        <v>87.665965483710011</v>
      </c>
      <c r="DB91" s="3">
        <v>22146781.699002344</v>
      </c>
      <c r="DC91" s="3">
        <v>0.37438523650169375</v>
      </c>
      <c r="DD91" s="3">
        <v>30.021585273462275</v>
      </c>
      <c r="DE91" s="3">
        <v>64670768.792353384</v>
      </c>
      <c r="DF91" s="3">
        <v>0.34679895591735843</v>
      </c>
      <c r="DG91" s="3">
        <v>11.468447027602149</v>
      </c>
      <c r="DH91" s="3">
        <v>169292232.44674459</v>
      </c>
      <c r="DI91" s="3">
        <v>0.31527177810668949</v>
      </c>
      <c r="DJ91" s="3">
        <v>1.9251994927867955</v>
      </c>
      <c r="DK91" s="3">
        <v>1008476787.6131016</v>
      </c>
      <c r="DL91" s="3">
        <v>0.27586280584335326</v>
      </c>
      <c r="DM91" s="3">
        <v>4294100</v>
      </c>
      <c r="DN91" s="3">
        <v>0.39408972263336184</v>
      </c>
      <c r="DO91" s="3">
        <v>1941519000</v>
      </c>
      <c r="DP91" s="3">
        <v>2603820000</v>
      </c>
      <c r="DQ91" s="3">
        <v>4766</v>
      </c>
      <c r="DR91" s="3">
        <v>-1.0695118614701347</v>
      </c>
      <c r="DS91" s="3">
        <v>-2.1566743799552155</v>
      </c>
      <c r="DT91" s="12">
        <v>-0.14000000000000004</v>
      </c>
      <c r="DU91" s="3">
        <v>0.26966666666666678</v>
      </c>
      <c r="DV91" s="3">
        <v>0.12966666666666674</v>
      </c>
      <c r="DW91" s="3">
        <v>-4.2896935933147633</v>
      </c>
      <c r="DX91" s="3">
        <v>0.55864281854141118</v>
      </c>
      <c r="DY91" s="3">
        <v>-4.0430608722236956</v>
      </c>
      <c r="DZ91" s="3">
        <v>3569</v>
      </c>
      <c r="EA91" s="3">
        <v>-4.0129856759484763</v>
      </c>
      <c r="EB91" s="3">
        <v>4</v>
      </c>
      <c r="EC91" s="3">
        <v>8.0136979694175811E-2</v>
      </c>
      <c r="ED91" s="3">
        <v>0.53912446279300419</v>
      </c>
      <c r="EE91" s="13">
        <v>-6.0153100000000004</v>
      </c>
      <c r="EF91" s="3">
        <v>-6.06351</v>
      </c>
      <c r="EG91" s="3">
        <v>41.148642818541411</v>
      </c>
      <c r="EH91" s="3" t="s">
        <v>2953</v>
      </c>
      <c r="EI91" s="3">
        <v>0</v>
      </c>
      <c r="EJ91" s="3">
        <v>0</v>
      </c>
      <c r="EK91" s="14">
        <v>45470</v>
      </c>
      <c r="EL91" s="15">
        <v>-0.24</v>
      </c>
      <c r="EM91" s="15">
        <v>-6.38</v>
      </c>
      <c r="EN91" s="15">
        <v>-4.92</v>
      </c>
      <c r="EO91" s="15">
        <v>2.86</v>
      </c>
      <c r="EP91" s="15">
        <v>-4.82</v>
      </c>
    </row>
    <row r="92" spans="1:146" ht="96" x14ac:dyDescent="0.25">
      <c r="C92" s="7" t="str">
        <f>""&amp;CHAR(10)&amp;Basic_Fundamental_Information_Constructure(F92)&amp;CHAR(10)&amp;Basic_Fundamental_Information_Concatenate("")</f>
        <v xml:space="preserve">
市值52.247986亿, 利润-4634.76万; PE; 平均PE175.22; 平均PEG19.09, PB2.21; ROIC3.05%; ROE4.83%; 股利率0%; 毛利39.4367%; 净利-1.75%; 上一年度营收增-63.98%, 利润增-161.82%; 当季营收增-27.82%, 利润增-30.88%; 过往5年营收增9.18%, 利润增163.88%
Income profile:
</v>
      </c>
      <c r="D92" s="3" t="s">
        <v>1019</v>
      </c>
      <c r="E92" s="3" t="s">
        <v>1138</v>
      </c>
      <c r="F92" s="3">
        <v>15.55</v>
      </c>
      <c r="G92" s="3">
        <v>1.04</v>
      </c>
      <c r="H92" s="3" t="s">
        <v>4257</v>
      </c>
      <c r="I92" s="3">
        <v>5224798600</v>
      </c>
      <c r="K92" s="3">
        <v>2.21</v>
      </c>
      <c r="L92" s="3" t="s">
        <v>2983</v>
      </c>
      <c r="M92" s="3" t="s">
        <v>747</v>
      </c>
      <c r="N92" s="3" t="s">
        <v>4258</v>
      </c>
      <c r="O92" s="3" t="s">
        <v>1174</v>
      </c>
      <c r="P92" s="3">
        <v>9.17</v>
      </c>
      <c r="Q92" s="3" t="s">
        <v>1174</v>
      </c>
      <c r="R92" s="3">
        <v>-46347609</v>
      </c>
      <c r="S92" s="4">
        <v>-0.85389999999999999</v>
      </c>
      <c r="T92" s="3" t="s">
        <v>4259</v>
      </c>
      <c r="U92" s="3">
        <v>264350640</v>
      </c>
      <c r="V92" s="3">
        <v>335999910</v>
      </c>
      <c r="W92" s="3">
        <v>1.24</v>
      </c>
      <c r="X92" s="3">
        <v>0.06</v>
      </c>
      <c r="Y92" s="3">
        <v>-25.96</v>
      </c>
      <c r="Z92" s="3" t="s">
        <v>767</v>
      </c>
      <c r="AA92" s="3" t="s">
        <v>417</v>
      </c>
      <c r="AB92" s="3" t="s">
        <v>4260</v>
      </c>
      <c r="AC92" s="3" t="s">
        <v>4261</v>
      </c>
      <c r="AD92" s="3" t="s">
        <v>22</v>
      </c>
      <c r="AE92" s="3">
        <v>-3111221</v>
      </c>
      <c r="AF92" s="3" t="s">
        <v>2577</v>
      </c>
      <c r="AG92" s="3" t="s">
        <v>22</v>
      </c>
      <c r="AH92" s="3" t="s">
        <v>2578</v>
      </c>
      <c r="AI92" s="3" t="s">
        <v>1879</v>
      </c>
      <c r="AJ92" s="3" t="s">
        <v>2579</v>
      </c>
      <c r="AK92" s="3" t="s">
        <v>4262</v>
      </c>
      <c r="AL92" s="3" t="s">
        <v>2580</v>
      </c>
      <c r="AM92" s="3" t="s">
        <v>22</v>
      </c>
      <c r="AN92" s="3" t="s">
        <v>4263</v>
      </c>
      <c r="AO92" s="3" t="s">
        <v>535</v>
      </c>
      <c r="AP92" s="3" t="s">
        <v>4264</v>
      </c>
      <c r="AQ92" s="3" t="s">
        <v>4265</v>
      </c>
      <c r="AR92" s="3" t="s">
        <v>22</v>
      </c>
      <c r="AS92" s="3" t="s">
        <v>631</v>
      </c>
      <c r="AT92" s="3" t="s">
        <v>22</v>
      </c>
      <c r="AU92" s="3" t="s">
        <v>338</v>
      </c>
      <c r="AV92" s="3" t="s">
        <v>1085</v>
      </c>
      <c r="AW92" s="3" t="s">
        <v>4266</v>
      </c>
      <c r="AX92" s="3" t="s">
        <v>374</v>
      </c>
      <c r="AY92" s="3" t="s">
        <v>273</v>
      </c>
      <c r="AZ92" s="3" t="s">
        <v>786</v>
      </c>
      <c r="BA92" s="3" t="s">
        <v>285</v>
      </c>
      <c r="BB92" s="3" t="s">
        <v>519</v>
      </c>
      <c r="BC92" s="3" t="s">
        <v>2582</v>
      </c>
      <c r="BD92" s="3" t="s">
        <v>1020</v>
      </c>
      <c r="BE92" s="3" t="s">
        <v>1021</v>
      </c>
      <c r="BF92" s="3" t="s">
        <v>1022</v>
      </c>
      <c r="BG92" s="3" t="s">
        <v>1023</v>
      </c>
      <c r="BH92" s="3" t="s">
        <v>477</v>
      </c>
      <c r="BI92" s="3" t="s">
        <v>581</v>
      </c>
      <c r="BJ92" s="3" t="s">
        <v>374</v>
      </c>
      <c r="BK92" s="3" t="s">
        <v>2576</v>
      </c>
      <c r="BL92" s="3" t="s">
        <v>4267</v>
      </c>
      <c r="BM92" s="3" t="s">
        <v>2582</v>
      </c>
      <c r="BN92" s="3" t="s">
        <v>22</v>
      </c>
      <c r="BO92" s="3">
        <v>1.84</v>
      </c>
      <c r="BP92" s="3">
        <v>4.26</v>
      </c>
      <c r="BQ92" s="3">
        <v>-2.1</v>
      </c>
      <c r="BR92" s="3">
        <v>2.73</v>
      </c>
      <c r="BS92" s="3">
        <v>13.86</v>
      </c>
      <c r="BT92" s="3" t="s">
        <v>1368</v>
      </c>
      <c r="BU92" s="3" t="s">
        <v>2998</v>
      </c>
      <c r="BV92" s="3">
        <v>21.54</v>
      </c>
      <c r="BW92" s="3">
        <v>43.82</v>
      </c>
      <c r="BX92" s="3">
        <v>52.95</v>
      </c>
      <c r="BY92" s="3">
        <v>-37.549999999999997</v>
      </c>
      <c r="BZ92" s="3">
        <v>15.07</v>
      </c>
      <c r="CA92" s="3">
        <v>17.23</v>
      </c>
      <c r="CB92" s="3">
        <v>-14.61</v>
      </c>
      <c r="CC92" s="3">
        <v>-19.600000000000001</v>
      </c>
      <c r="CD92" s="3" t="s">
        <v>4268</v>
      </c>
      <c r="CE92" s="3" t="s">
        <v>444</v>
      </c>
      <c r="CF92" s="10">
        <v>-0.27822580645161288</v>
      </c>
      <c r="CG92" s="11">
        <v>-0.30879234733498057</v>
      </c>
      <c r="CH92" s="10">
        <v>-0.6398390531539917</v>
      </c>
      <c r="CI92" s="10">
        <v>0.22113022208213806</v>
      </c>
      <c r="CJ92" s="10">
        <v>0.57142859697341919</v>
      </c>
      <c r="CK92" s="10">
        <v>0.11637931317090988</v>
      </c>
      <c r="CL92" s="10">
        <v>0.18974359333515167</v>
      </c>
      <c r="CM92" s="11">
        <v>-1.6181749105453491</v>
      </c>
      <c r="CN92" s="11">
        <v>6.7948482930660248E-2</v>
      </c>
      <c r="CO92" s="11">
        <v>0.53470790386199951</v>
      </c>
      <c r="CP92" s="11">
        <v>0.46916791796684265</v>
      </c>
      <c r="CQ92" s="11">
        <v>8.7404747009277344</v>
      </c>
      <c r="CR92" s="3">
        <v>175.22150360936675</v>
      </c>
      <c r="CS92" s="3">
        <v>19.093854402201643</v>
      </c>
      <c r="CT92" s="3">
        <v>0</v>
      </c>
      <c r="CU92" s="10">
        <v>9.1768534481525416E-2</v>
      </c>
      <c r="CV92" s="11">
        <v>1.6388248190283776</v>
      </c>
      <c r="CW92" s="3">
        <v>0.06</v>
      </c>
      <c r="CX92" s="3" t="e">
        <v>#VALUE!</v>
      </c>
      <c r="CY92" s="3" t="s">
        <v>1073</v>
      </c>
      <c r="CZ92" s="3">
        <v>9.1768534481525416E-2</v>
      </c>
      <c r="DA92" s="3" t="e">
        <v>#VALUE!</v>
      </c>
      <c r="DB92" s="3" t="s">
        <v>1074</v>
      </c>
      <c r="DC92" s="3">
        <v>8.7180107757449138E-2</v>
      </c>
      <c r="DD92" s="3" t="e">
        <v>#VALUE!</v>
      </c>
      <c r="DE92" s="3" t="s">
        <v>1074</v>
      </c>
      <c r="DF92" s="3">
        <v>8.0756310343742366E-2</v>
      </c>
      <c r="DG92" s="3" t="e">
        <v>#VALUE!</v>
      </c>
      <c r="DH92" s="3" t="s">
        <v>1074</v>
      </c>
      <c r="DI92" s="3">
        <v>7.3414827585220332E-2</v>
      </c>
      <c r="DJ92" s="3" t="e">
        <v>#VALUE!</v>
      </c>
      <c r="DK92" s="3" t="s">
        <v>1074</v>
      </c>
      <c r="DL92" s="3">
        <v>6.4237974137067791E-2</v>
      </c>
      <c r="DM92" s="3">
        <v>-46347600</v>
      </c>
      <c r="DN92" s="3">
        <v>9.1768534481525416E-2</v>
      </c>
      <c r="DO92" s="3">
        <v>3400798600</v>
      </c>
      <c r="DP92" s="3">
        <v>1708810500</v>
      </c>
      <c r="DQ92" s="3">
        <v>4767</v>
      </c>
      <c r="DR92" s="3">
        <v>-0.36999434093313832</v>
      </c>
      <c r="DS92" s="3">
        <v>-1.9476171663633581</v>
      </c>
      <c r="DT92" s="12">
        <v>-0.39000000000000007</v>
      </c>
      <c r="DU92" s="3">
        <v>-0.72833333333333339</v>
      </c>
      <c r="DV92" s="3">
        <v>-1.1183333333333334</v>
      </c>
      <c r="DW92" s="3">
        <v>-9.7454081632653065</v>
      </c>
      <c r="DX92" s="3">
        <v>0.28760982142857172</v>
      </c>
      <c r="DY92" s="3">
        <v>-9.1323918107689508</v>
      </c>
      <c r="DZ92" s="3">
        <v>4095</v>
      </c>
      <c r="EA92" s="3">
        <v>-9.0262970035089012</v>
      </c>
      <c r="EB92" s="3">
        <v>9</v>
      </c>
      <c r="EC92" s="3">
        <v>0.11840657933509566</v>
      </c>
      <c r="ED92" s="3">
        <v>0.66666684523814312</v>
      </c>
      <c r="EE92" s="13">
        <v>-2.0101100000000001</v>
      </c>
      <c r="EF92" s="3">
        <v>-2.0260099999999999</v>
      </c>
      <c r="EG92" s="3">
        <v>11.177609821428572</v>
      </c>
      <c r="EH92" s="3" t="s">
        <v>1401</v>
      </c>
      <c r="EI92" s="3">
        <v>0</v>
      </c>
      <c r="EJ92" s="3">
        <v>0</v>
      </c>
      <c r="EK92" s="14">
        <v>45470</v>
      </c>
      <c r="EL92" s="15">
        <v>-0.87</v>
      </c>
      <c r="EM92" s="15">
        <v>-4.8</v>
      </c>
      <c r="EN92" s="15">
        <v>0.73</v>
      </c>
      <c r="EO92" s="15">
        <v>2.79</v>
      </c>
      <c r="EP92" s="15">
        <v>-1.59</v>
      </c>
    </row>
    <row r="93" spans="1:146" ht="192" x14ac:dyDescent="0.25">
      <c r="C93" s="7" t="str">
        <f>"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amp;CHAR(10)&amp;Basic_Fundamental_Information_Constructure(F93)&amp;CHAR(10)&amp;Basic_Fundamental_Information_Concatenate("电源管理芯片 6619.61万 34.73% 34.95% 89.01%
射频收发芯片及高速高精度ADC/DAC芯片 6308.87万 33.10% 35.51% 94.90%
技术服务 3519.85万 18.47% 17.62% 84.39%
终端射频前端芯片 1772.51万 9.30% 9.08% 86.39%")</f>
        <v>公司专注于集成电路芯片和微系统的研发、生产和销售，并围绕相关产品提供技术服务。公司主要产品包括终端射频前端芯片、射频收发芯片及高速高精度ADC/DAC、电源管理芯片、微系统及模组等，为客户提供从天线到信号处理之间的芯片及微系统产品和技术解决方案。
市值50.302126亿, 利润-567.72万; PE84.45; 平均PE129.36; 平均PEG.45, PB2.36; ROIC0%; ROE10.5367%; 股利率.7234%; 毛利86.4867%; 净利40.6933%; 上一年度营收增-77.83%, 利润增-105.26%; 当季营收增-51.47%, 利润增-116.93%; 过往5年营收增287.54%, 利润增355.85%
Income profile:
电源管理芯片 6619.61万 34.73% 34.95% 89.01%
射频收发芯片及高速高精度ADC/DAC芯片 6308.87万 33.10% 35.51% 94.90%
技术服务 3519.85万 18.47% 17.62% 84.39%
终端射频前端芯片 1772.51万 9.30% 9.08% 86.39%</v>
      </c>
      <c r="D93" s="3" t="s">
        <v>1024</v>
      </c>
      <c r="E93" s="3" t="s">
        <v>1025</v>
      </c>
      <c r="F93" s="3">
        <v>23.5</v>
      </c>
      <c r="G93" s="3">
        <v>-1.01</v>
      </c>
      <c r="H93" s="3" t="s">
        <v>4269</v>
      </c>
      <c r="I93" s="3">
        <v>5030212600</v>
      </c>
      <c r="J93" s="3">
        <v>84.45</v>
      </c>
      <c r="K93" s="3">
        <v>2.36</v>
      </c>
      <c r="L93" s="3" t="s">
        <v>2983</v>
      </c>
      <c r="M93" s="3" t="s">
        <v>181</v>
      </c>
      <c r="N93" s="3" t="s">
        <v>4270</v>
      </c>
      <c r="O93" s="3" t="s">
        <v>2583</v>
      </c>
      <c r="P93" s="3">
        <v>29.3</v>
      </c>
      <c r="Q93" s="3" t="s">
        <v>2583</v>
      </c>
      <c r="R93" s="3">
        <v>-5677219</v>
      </c>
      <c r="S93" s="5">
        <v>-1.784</v>
      </c>
      <c r="T93" s="3" t="s">
        <v>4271</v>
      </c>
      <c r="U93" s="3">
        <v>144231700</v>
      </c>
      <c r="V93" s="3">
        <v>214051600</v>
      </c>
      <c r="W93" s="3">
        <v>1.05</v>
      </c>
      <c r="X93" s="3">
        <v>0.02</v>
      </c>
      <c r="Y93" s="3">
        <v>-10.54</v>
      </c>
      <c r="Z93" s="3" t="s">
        <v>4272</v>
      </c>
      <c r="AA93" s="3" t="s">
        <v>4273</v>
      </c>
      <c r="AB93" s="3" t="s">
        <v>4274</v>
      </c>
      <c r="AC93" s="3" t="s">
        <v>4275</v>
      </c>
      <c r="AD93" s="3" t="s">
        <v>22</v>
      </c>
      <c r="AE93" s="3">
        <v>-10077200</v>
      </c>
      <c r="AF93" s="3" t="s">
        <v>2585</v>
      </c>
      <c r="AG93" s="3">
        <v>0.35</v>
      </c>
      <c r="AH93" s="3" t="s">
        <v>2586</v>
      </c>
      <c r="AI93" s="3" t="s">
        <v>808</v>
      </c>
      <c r="AJ93" s="3" t="s">
        <v>2587</v>
      </c>
      <c r="AK93" s="3" t="s">
        <v>4276</v>
      </c>
      <c r="AL93" s="3" t="s">
        <v>2588</v>
      </c>
      <c r="AM93" s="3" t="s">
        <v>22</v>
      </c>
      <c r="AN93" s="3">
        <v>0</v>
      </c>
      <c r="AO93" s="3" t="s">
        <v>22</v>
      </c>
      <c r="AP93" s="3" t="s">
        <v>22</v>
      </c>
      <c r="AQ93" s="3" t="s">
        <v>4277</v>
      </c>
      <c r="AR93" s="3" t="s">
        <v>22</v>
      </c>
      <c r="AS93" s="3" t="s">
        <v>4278</v>
      </c>
      <c r="AT93" s="3" t="s">
        <v>22</v>
      </c>
      <c r="AU93" s="3" t="s">
        <v>4279</v>
      </c>
      <c r="AV93" s="3" t="s">
        <v>4280</v>
      </c>
      <c r="AW93" s="3" t="s">
        <v>4281</v>
      </c>
      <c r="AX93" s="3" t="s">
        <v>336</v>
      </c>
      <c r="AY93" s="3" t="s">
        <v>537</v>
      </c>
      <c r="AZ93" s="3" t="s">
        <v>579</v>
      </c>
      <c r="BA93" s="3" t="s">
        <v>1027</v>
      </c>
      <c r="BB93" s="3" t="s">
        <v>1028</v>
      </c>
      <c r="BC93" s="3" t="s">
        <v>396</v>
      </c>
      <c r="BD93" s="3" t="s">
        <v>1026</v>
      </c>
      <c r="BE93" s="3" t="s">
        <v>1029</v>
      </c>
      <c r="BF93" s="3" t="s">
        <v>1030</v>
      </c>
      <c r="BG93" s="3" t="s">
        <v>1031</v>
      </c>
      <c r="BH93" s="3" t="s">
        <v>585</v>
      </c>
      <c r="BI93" s="3" t="s">
        <v>181</v>
      </c>
      <c r="BJ93" s="3" t="s">
        <v>336</v>
      </c>
      <c r="BK93" s="3" t="s">
        <v>2584</v>
      </c>
      <c r="BL93" s="3" t="s">
        <v>4282</v>
      </c>
      <c r="BM93" s="3" t="s">
        <v>396</v>
      </c>
      <c r="BN93" s="3" t="s">
        <v>22</v>
      </c>
      <c r="BO93" s="3" t="s">
        <v>22</v>
      </c>
      <c r="BP93" s="3" t="s">
        <v>22</v>
      </c>
      <c r="BQ93" s="3">
        <v>1.91</v>
      </c>
      <c r="BR93" s="3">
        <v>5.66</v>
      </c>
      <c r="BS93" s="3">
        <v>24.04</v>
      </c>
      <c r="BT93" s="3" t="s">
        <v>2589</v>
      </c>
      <c r="BU93" s="3" t="s">
        <v>3311</v>
      </c>
      <c r="BV93" s="3">
        <v>83.12</v>
      </c>
      <c r="BW93" s="3">
        <v>87.88</v>
      </c>
      <c r="BX93" s="3">
        <v>88.46</v>
      </c>
      <c r="BY93" s="3">
        <v>25.81</v>
      </c>
      <c r="BZ93" s="3">
        <v>44.41</v>
      </c>
      <c r="CA93" s="3">
        <v>51.86</v>
      </c>
      <c r="CB93" s="3">
        <v>-9.9600000000000009</v>
      </c>
      <c r="CC93" s="3">
        <v>-24.56</v>
      </c>
      <c r="CD93" s="3" t="s">
        <v>4283</v>
      </c>
      <c r="CE93" s="3" t="s">
        <v>305</v>
      </c>
      <c r="CF93" s="10">
        <v>-0.51472432432432436</v>
      </c>
      <c r="CG93" s="11">
        <v>-1.1693165862416568</v>
      </c>
      <c r="CH93" s="10">
        <v>-0.77833086252212524</v>
      </c>
      <c r="CI93" s="10">
        <v>0.27225130796432495</v>
      </c>
      <c r="CJ93" s="10">
        <v>0.2565789520740509</v>
      </c>
      <c r="CK93" s="10">
        <v>1.7412132024765015</v>
      </c>
      <c r="CL93" s="10">
        <v>12.885038375854492</v>
      </c>
      <c r="CM93" s="11">
        <v>-1.0525666475296021</v>
      </c>
      <c r="CN93" s="11">
        <v>9.2628598213195801E-2</v>
      </c>
      <c r="CO93" s="11">
        <v>0.28475874662399292</v>
      </c>
      <c r="CP93" s="11">
        <v>17.382434844970703</v>
      </c>
      <c r="CQ93" s="11">
        <v>1.0854537487030029</v>
      </c>
      <c r="CR93" s="3">
        <v>129.36076111317558</v>
      </c>
      <c r="CS93" s="3">
        <v>0.4498956729879372</v>
      </c>
      <c r="CT93" s="3">
        <v>0.72340425531914887</v>
      </c>
      <c r="CU93" s="10">
        <v>2.8753501951694487</v>
      </c>
      <c r="CV93" s="11">
        <v>3.5585418581962585</v>
      </c>
      <c r="CW93" s="3">
        <v>0.06</v>
      </c>
      <c r="CX93" s="3" t="e">
        <v>#VALUE!</v>
      </c>
      <c r="CY93" s="3" t="s">
        <v>1073</v>
      </c>
      <c r="CZ93" s="3">
        <v>2.8753501951694487</v>
      </c>
      <c r="DA93" s="3" t="e">
        <v>#VALUE!</v>
      </c>
      <c r="DB93" s="3" t="s">
        <v>1074</v>
      </c>
      <c r="DC93" s="3">
        <v>2.7315826854109759</v>
      </c>
      <c r="DD93" s="3" t="e">
        <v>#VALUE!</v>
      </c>
      <c r="DE93" s="3" t="s">
        <v>1074</v>
      </c>
      <c r="DF93" s="3">
        <v>2.5303081717491147</v>
      </c>
      <c r="DG93" s="3" t="e">
        <v>#VALUE!</v>
      </c>
      <c r="DH93" s="3" t="s">
        <v>1074</v>
      </c>
      <c r="DI93" s="3">
        <v>2.300280156135559</v>
      </c>
      <c r="DJ93" s="3" t="e">
        <v>#VALUE!</v>
      </c>
      <c r="DK93" s="3" t="s">
        <v>1074</v>
      </c>
      <c r="DL93" s="3">
        <v>2.012745136618614</v>
      </c>
      <c r="DM93" s="3">
        <v>-5677200</v>
      </c>
      <c r="DN93" s="3">
        <v>2.8753501951694487</v>
      </c>
      <c r="DO93" s="3">
        <v>3011212600</v>
      </c>
      <c r="DP93" s="3">
        <v>1982330500</v>
      </c>
      <c r="DQ93" s="3">
        <v>4773</v>
      </c>
      <c r="DR93" s="3">
        <v>-3.3900745194937731</v>
      </c>
      <c r="DS93" s="3">
        <v>-4.7278584444379153</v>
      </c>
      <c r="DT93" s="12">
        <v>0.26166666666666666</v>
      </c>
      <c r="DU93" s="3">
        <v>-0.92666666666666664</v>
      </c>
      <c r="DV93" s="3">
        <v>-0.66500000000000004</v>
      </c>
      <c r="DW93" s="3">
        <v>-9.4055374592833871</v>
      </c>
      <c r="DX93" s="3">
        <v>0.35905547445255565</v>
      </c>
      <c r="DY93" s="3">
        <v>-9.0685583275874375</v>
      </c>
      <c r="DZ93" s="3">
        <v>220</v>
      </c>
      <c r="EA93" s="3">
        <v>-9.0656066970455118</v>
      </c>
      <c r="EB93" s="3">
        <v>9</v>
      </c>
      <c r="EC93" s="3">
        <v>0.10820101321363634</v>
      </c>
      <c r="ED93" s="3">
        <v>0.64003259027262582</v>
      </c>
      <c r="EE93" s="13">
        <v>-2.1213000000000002</v>
      </c>
      <c r="EF93" s="3">
        <v>-2.0954000000000002</v>
      </c>
      <c r="EG93" s="3">
        <v>19.169055474452556</v>
      </c>
      <c r="EH93" s="3" t="s">
        <v>1923</v>
      </c>
      <c r="EI93" s="3">
        <v>0</v>
      </c>
      <c r="EJ93" s="3">
        <v>1</v>
      </c>
      <c r="EK93" s="14">
        <v>45470</v>
      </c>
      <c r="EL93" s="15">
        <v>1.03</v>
      </c>
      <c r="EM93" s="15">
        <v>-2.2000000000000002</v>
      </c>
      <c r="EN93" s="15">
        <v>-0.19</v>
      </c>
      <c r="EO93" s="15">
        <v>-0.18</v>
      </c>
      <c r="EP93" s="15">
        <v>-2.59</v>
      </c>
    </row>
    <row r="94" spans="1:146" ht="96" x14ac:dyDescent="0.25">
      <c r="C94" s="7" t="str">
        <f>""&amp;CHAR(10)&amp;Basic_Fundamental_Information_Constructure(F94)&amp;CHAR(10)&amp;Basic_Fundamental_Information_Concatenate("")</f>
        <v xml:space="preserve">
市值92.104763亿, 利润5056.10万; PE49.64; 平均PE121.63; 平均PEG6.41, PB3.78; ROIC17.4267%; ROE17.4467%; 股利率.6117%; 毛利56.11%; 净利42.47%; 上一年度营收增-64.09%, 利润增-64.39%; 当季营收增-35.2%, 利润增-39.22%; 过往5年营收增18.97%, 利润增59.7%
Income profile:
</v>
      </c>
      <c r="D94" s="3" t="s">
        <v>1032</v>
      </c>
      <c r="E94" s="3" t="s">
        <v>1033</v>
      </c>
      <c r="F94" s="3">
        <v>99.72</v>
      </c>
      <c r="G94" s="3">
        <v>3.02</v>
      </c>
      <c r="H94" s="3" t="s">
        <v>4284</v>
      </c>
      <c r="I94" s="3">
        <v>9210476300</v>
      </c>
      <c r="J94" s="3">
        <v>49.64</v>
      </c>
      <c r="K94" s="3">
        <v>3.78</v>
      </c>
      <c r="L94" s="3" t="s">
        <v>2983</v>
      </c>
      <c r="M94" s="3" t="s">
        <v>309</v>
      </c>
      <c r="N94" s="3" t="s">
        <v>4285</v>
      </c>
      <c r="O94" s="3" t="s">
        <v>118</v>
      </c>
      <c r="P94" s="3">
        <v>31.14</v>
      </c>
      <c r="Q94" s="3" t="s">
        <v>118</v>
      </c>
      <c r="R94" s="3">
        <v>50560982</v>
      </c>
      <c r="S94" s="5">
        <v>0.26869999999999999</v>
      </c>
      <c r="T94" s="3" t="s">
        <v>4286</v>
      </c>
      <c r="U94" s="3">
        <v>55858233</v>
      </c>
      <c r="V94" s="3">
        <v>92363380</v>
      </c>
      <c r="W94" s="3">
        <v>1.03</v>
      </c>
      <c r="X94" s="3">
        <v>0.05</v>
      </c>
      <c r="Y94" s="3">
        <v>43.51</v>
      </c>
      <c r="Z94" s="3" t="s">
        <v>4287</v>
      </c>
      <c r="AA94" s="3" t="s">
        <v>4288</v>
      </c>
      <c r="AB94" s="3" t="s">
        <v>4289</v>
      </c>
      <c r="AC94" s="3" t="s">
        <v>4290</v>
      </c>
      <c r="AD94" s="3" t="s">
        <v>22</v>
      </c>
      <c r="AE94" s="3">
        <v>-6571706</v>
      </c>
      <c r="AF94" s="3" t="s">
        <v>2590</v>
      </c>
      <c r="AG94" s="3" t="s">
        <v>4291</v>
      </c>
      <c r="AH94" s="3" t="s">
        <v>2591</v>
      </c>
      <c r="AI94" s="3" t="s">
        <v>1790</v>
      </c>
      <c r="AJ94" s="3" t="s">
        <v>2592</v>
      </c>
      <c r="AK94" s="3" t="s">
        <v>22</v>
      </c>
      <c r="AL94" s="3" t="s">
        <v>2593</v>
      </c>
      <c r="AM94" s="3" t="s">
        <v>22</v>
      </c>
      <c r="AN94" s="3" t="s">
        <v>4292</v>
      </c>
      <c r="AO94" s="3" t="s">
        <v>22</v>
      </c>
      <c r="AP94" s="3" t="s">
        <v>22</v>
      </c>
      <c r="AQ94" s="3" t="s">
        <v>4293</v>
      </c>
      <c r="AR94" s="3" t="s">
        <v>22</v>
      </c>
      <c r="AS94" s="3" t="s">
        <v>4294</v>
      </c>
      <c r="AT94" s="3" t="s">
        <v>22</v>
      </c>
      <c r="AU94" s="3" t="s">
        <v>4295</v>
      </c>
      <c r="AV94" s="3" t="s">
        <v>4296</v>
      </c>
      <c r="AW94" s="3" t="s">
        <v>4297</v>
      </c>
      <c r="AX94" s="3" t="s">
        <v>764</v>
      </c>
      <c r="AY94" s="3" t="s">
        <v>553</v>
      </c>
      <c r="AZ94" s="3" t="s">
        <v>253</v>
      </c>
      <c r="BA94" s="3" t="s">
        <v>741</v>
      </c>
      <c r="BB94" s="3" t="s">
        <v>1034</v>
      </c>
      <c r="BC94" s="3" t="s">
        <v>359</v>
      </c>
      <c r="BD94" s="3" t="s">
        <v>170</v>
      </c>
      <c r="BE94" s="3" t="s">
        <v>1035</v>
      </c>
      <c r="BF94" s="3" t="s">
        <v>1036</v>
      </c>
      <c r="BG94" s="3" t="s">
        <v>1037</v>
      </c>
      <c r="BH94" s="3" t="s">
        <v>1842</v>
      </c>
      <c r="BI94" s="3" t="s">
        <v>1174</v>
      </c>
      <c r="BJ94" s="3" t="s">
        <v>764</v>
      </c>
      <c r="BK94" s="3" t="s">
        <v>302</v>
      </c>
      <c r="BL94" s="3" t="s">
        <v>4298</v>
      </c>
      <c r="BM94" s="3" t="s">
        <v>359</v>
      </c>
      <c r="BN94" s="3">
        <v>4.8499999999999996</v>
      </c>
      <c r="BO94" s="3">
        <v>9.99</v>
      </c>
      <c r="BP94" s="3">
        <v>37.44</v>
      </c>
      <c r="BQ94" s="3">
        <v>5.39</v>
      </c>
      <c r="BR94" s="3">
        <v>8.73</v>
      </c>
      <c r="BS94" s="3">
        <v>38.22</v>
      </c>
      <c r="BT94" s="3" t="s">
        <v>2594</v>
      </c>
      <c r="BU94" s="3" t="s">
        <v>2998</v>
      </c>
      <c r="BV94" s="3">
        <v>53.47</v>
      </c>
      <c r="BW94" s="3">
        <v>57.42</v>
      </c>
      <c r="BX94" s="3">
        <v>57.44</v>
      </c>
      <c r="BY94" s="3">
        <v>42.5</v>
      </c>
      <c r="BZ94" s="3">
        <v>43.97</v>
      </c>
      <c r="CA94" s="3">
        <v>40.94</v>
      </c>
      <c r="CB94" s="3">
        <v>-10.08</v>
      </c>
      <c r="CC94" s="3">
        <v>-12.17</v>
      </c>
      <c r="CD94" s="3" t="s">
        <v>4299</v>
      </c>
      <c r="CE94" s="3" t="s">
        <v>4300</v>
      </c>
      <c r="CF94" s="10">
        <v>-0.35195530726256991</v>
      </c>
      <c r="CG94" s="11">
        <v>-0.39223160622758185</v>
      </c>
      <c r="CH94" s="10">
        <v>-0.64086687564849854</v>
      </c>
      <c r="CI94" s="10">
        <v>-2.1212121471762657E-2</v>
      </c>
      <c r="CJ94" s="10">
        <v>0.41025641560554504</v>
      </c>
      <c r="CK94" s="10">
        <v>0.63636362552642822</v>
      </c>
      <c r="CL94" s="10">
        <v>0.56406021118164063</v>
      </c>
      <c r="CM94" s="11">
        <v>-0.6439366340637207</v>
      </c>
      <c r="CN94" s="11">
        <v>5.1851850003004074E-2</v>
      </c>
      <c r="CO94" s="11">
        <v>0.72301340103149414</v>
      </c>
      <c r="CP94" s="11">
        <v>1.2353329658508301</v>
      </c>
      <c r="CQ94" s="11">
        <v>1.6185164451599121</v>
      </c>
      <c r="CR94" s="3">
        <v>121.63080247527672</v>
      </c>
      <c r="CS94" s="3">
        <v>6.4110605910217151</v>
      </c>
      <c r="CT94" s="3">
        <v>0.61171279582831928</v>
      </c>
      <c r="CU94" s="10">
        <v>0.18972025103867055</v>
      </c>
      <c r="CV94" s="11">
        <v>0.5969556055963039</v>
      </c>
      <c r="CW94" s="3">
        <v>0.06</v>
      </c>
      <c r="CX94" s="3">
        <v>121.19214126036422</v>
      </c>
      <c r="CY94" s="3">
        <v>56748533.596949264</v>
      </c>
      <c r="CZ94" s="3">
        <v>0.18972025103867055</v>
      </c>
      <c r="DA94" s="3">
        <v>36.433249945021551</v>
      </c>
      <c r="DB94" s="3">
        <v>188769223.45325327</v>
      </c>
      <c r="DC94" s="3">
        <v>0.180234238486737</v>
      </c>
      <c r="DD94" s="3">
        <v>15.977505976780185</v>
      </c>
      <c r="DE94" s="3">
        <v>430447424.64780861</v>
      </c>
      <c r="DF94" s="3">
        <v>0.16695382091403008</v>
      </c>
      <c r="DG94" s="3">
        <v>8.3750970058787484</v>
      </c>
      <c r="DH94" s="3">
        <v>821181688.42372572</v>
      </c>
      <c r="DI94" s="3">
        <v>0.15177620083093646</v>
      </c>
      <c r="DJ94" s="3">
        <v>3.1496826738289179</v>
      </c>
      <c r="DK94" s="3">
        <v>2183545776.5779886</v>
      </c>
      <c r="DL94" s="3">
        <v>0.13280417572706937</v>
      </c>
      <c r="DM94" s="3">
        <v>50561000</v>
      </c>
      <c r="DN94" s="3">
        <v>0.18972025103867055</v>
      </c>
      <c r="DO94" s="3">
        <v>6877476300</v>
      </c>
      <c r="DP94" s="3">
        <v>1918543300</v>
      </c>
      <c r="DQ94" s="3">
        <v>4781</v>
      </c>
      <c r="DR94" s="3">
        <v>-0.54167555830124048</v>
      </c>
      <c r="DS94" s="3">
        <v>-0.9891872118238858</v>
      </c>
      <c r="DT94" s="12">
        <v>-0.3066666666666667</v>
      </c>
      <c r="DU94" s="3">
        <v>0.14666666666666653</v>
      </c>
      <c r="DV94" s="3">
        <v>-0.16000000000000017</v>
      </c>
      <c r="DW94" s="3">
        <v>-9.8282662284305662</v>
      </c>
      <c r="DX94" s="3">
        <v>0.42044083294065882</v>
      </c>
      <c r="DY94" s="3">
        <v>-9.1743010350075451</v>
      </c>
      <c r="DZ94" s="3">
        <v>5062</v>
      </c>
      <c r="EA94" s="3">
        <v>-9.0016372699961575</v>
      </c>
      <c r="EB94" s="3">
        <v>9</v>
      </c>
      <c r="EC94" s="3">
        <v>4.545091355470101E-2</v>
      </c>
      <c r="ED94" s="3">
        <v>0.21597953647863471</v>
      </c>
      <c r="EE94" s="13">
        <v>-3.0261</v>
      </c>
      <c r="EF94" s="3">
        <v>-3.0152100000000002</v>
      </c>
      <c r="EG94" s="3">
        <v>21.210440832940659</v>
      </c>
      <c r="EH94" s="3" t="s">
        <v>1838</v>
      </c>
      <c r="EI94" s="3">
        <v>0</v>
      </c>
      <c r="EJ94" s="3">
        <v>0</v>
      </c>
      <c r="EK94" s="14">
        <v>45470</v>
      </c>
      <c r="EL94" s="15">
        <v>-4.43</v>
      </c>
      <c r="EM94" s="15">
        <v>-7.28</v>
      </c>
      <c r="EN94" s="15">
        <v>-0.71</v>
      </c>
      <c r="EO94" s="15">
        <v>4.5599999999999996</v>
      </c>
      <c r="EP94" s="15">
        <v>-4.13</v>
      </c>
    </row>
    <row r="95" spans="1:146" ht="96" x14ac:dyDescent="0.25">
      <c r="C95" s="7" t="str">
        <f>""&amp;CHAR(10)&amp;Basic_Fundamental_Information_Constructure(F95)&amp;CHAR(10)&amp;Basic_Fundamental_Information_Concatenate("")</f>
        <v xml:space="preserve">
市值23.215901亿, 利润-1444.65万; PE; 平均PE143.13; 平均PEG13.88, PB2.22; ROIC-.19%; ROE-4.1167%; 股利率0%; 毛利25.8433%; 净利-14.1933%; 上一年度营收增-69.9%, 利润增73.75%; 当季营收增-43.47%, 利润增72.97%; 过往5年营收增-10.31%, 利润增-111.53%
Income profile:
</v>
      </c>
      <c r="D95" s="3" t="s">
        <v>90</v>
      </c>
      <c r="E95" s="3" t="s">
        <v>91</v>
      </c>
      <c r="F95" s="3">
        <v>41.48</v>
      </c>
      <c r="G95" s="3">
        <v>0.19</v>
      </c>
      <c r="H95" s="3" t="s">
        <v>4301</v>
      </c>
      <c r="I95" s="3">
        <v>2321590100</v>
      </c>
      <c r="K95" s="3">
        <v>2.2200000000000002</v>
      </c>
      <c r="L95" s="3" t="s">
        <v>2983</v>
      </c>
      <c r="M95" s="3" t="s">
        <v>138</v>
      </c>
      <c r="N95" s="3" t="s">
        <v>4302</v>
      </c>
      <c r="O95" s="3" t="s">
        <v>2595</v>
      </c>
      <c r="P95" s="3">
        <v>34.44</v>
      </c>
      <c r="Q95" s="3" t="s">
        <v>2595</v>
      </c>
      <c r="R95" s="3">
        <v>-14446484</v>
      </c>
      <c r="S95" s="5">
        <v>0.29720000000000002</v>
      </c>
      <c r="T95" s="3" t="s">
        <v>4303</v>
      </c>
      <c r="U95" s="3">
        <v>55968902</v>
      </c>
      <c r="V95" s="3">
        <v>55968902</v>
      </c>
      <c r="W95" s="3">
        <v>1.1499999999999999</v>
      </c>
      <c r="X95" s="3">
        <v>7.0000000000000007E-2</v>
      </c>
      <c r="Y95" s="3">
        <v>-16.63</v>
      </c>
      <c r="Z95" s="3" t="s">
        <v>112</v>
      </c>
      <c r="AA95" s="3" t="s">
        <v>4304</v>
      </c>
      <c r="AB95" s="3" t="s">
        <v>4305</v>
      </c>
      <c r="AC95" s="3" t="s">
        <v>4306</v>
      </c>
      <c r="AD95" s="3" t="s">
        <v>22</v>
      </c>
      <c r="AE95" s="3">
        <v>-920729</v>
      </c>
      <c r="AF95" s="3" t="s">
        <v>2596</v>
      </c>
      <c r="AG95" s="3" t="s">
        <v>22</v>
      </c>
      <c r="AH95" s="3" t="s">
        <v>2597</v>
      </c>
      <c r="AI95" s="3" t="s">
        <v>107</v>
      </c>
      <c r="AJ95" s="3" t="s">
        <v>2598</v>
      </c>
      <c r="AK95" s="3" t="s">
        <v>4307</v>
      </c>
      <c r="AL95" s="3" t="s">
        <v>2599</v>
      </c>
      <c r="AM95" s="3" t="s">
        <v>22</v>
      </c>
      <c r="AN95" s="3" t="s">
        <v>4308</v>
      </c>
      <c r="AO95" s="3" t="s">
        <v>22</v>
      </c>
      <c r="AP95" s="3" t="s">
        <v>22</v>
      </c>
      <c r="AQ95" s="3" t="s">
        <v>4309</v>
      </c>
      <c r="AR95" s="3" t="s">
        <v>22</v>
      </c>
      <c r="AS95" s="3" t="s">
        <v>111</v>
      </c>
      <c r="AT95" s="3" t="s">
        <v>4310</v>
      </c>
      <c r="AU95" s="3" t="s">
        <v>4311</v>
      </c>
      <c r="AV95" s="3" t="s">
        <v>4312</v>
      </c>
      <c r="AW95" s="3" t="s">
        <v>4313</v>
      </c>
      <c r="AX95" s="3" t="s">
        <v>119</v>
      </c>
      <c r="AY95" s="3" t="s">
        <v>858</v>
      </c>
      <c r="AZ95" s="3" t="s">
        <v>553</v>
      </c>
      <c r="BA95" s="3" t="s">
        <v>149</v>
      </c>
      <c r="BB95" s="3" t="s">
        <v>399</v>
      </c>
      <c r="BC95" s="3" t="s">
        <v>2600</v>
      </c>
      <c r="BD95" s="3" t="s">
        <v>1038</v>
      </c>
      <c r="BE95" s="3" t="s">
        <v>667</v>
      </c>
      <c r="BF95" s="3" t="s">
        <v>423</v>
      </c>
      <c r="BG95" s="3" t="s">
        <v>668</v>
      </c>
      <c r="BH95" s="3" t="s">
        <v>440</v>
      </c>
      <c r="BI95" s="3" t="s">
        <v>107</v>
      </c>
      <c r="BJ95" s="3" t="s">
        <v>119</v>
      </c>
      <c r="BK95" s="3" t="s">
        <v>1780</v>
      </c>
      <c r="BL95" s="3" t="s">
        <v>4314</v>
      </c>
      <c r="BM95" s="3" t="s">
        <v>2600</v>
      </c>
      <c r="BN95" s="3" t="s">
        <v>22</v>
      </c>
      <c r="BO95" s="3" t="s">
        <v>22</v>
      </c>
      <c r="BP95" s="3">
        <v>-0.19</v>
      </c>
      <c r="BQ95" s="3">
        <v>-8.32</v>
      </c>
      <c r="BR95" s="3">
        <v>-5.18</v>
      </c>
      <c r="BS95" s="3">
        <v>1.1499999999999999</v>
      </c>
      <c r="BT95" s="3" t="s">
        <v>1368</v>
      </c>
      <c r="BU95" s="3" t="s">
        <v>3311</v>
      </c>
      <c r="BV95" s="3">
        <v>16.809999999999999</v>
      </c>
      <c r="BW95" s="3">
        <v>25.75</v>
      </c>
      <c r="BX95" s="3">
        <v>34.97</v>
      </c>
      <c r="BY95" s="3">
        <v>-27.59</v>
      </c>
      <c r="BZ95" s="3">
        <v>-18.8</v>
      </c>
      <c r="CA95" s="3">
        <v>3.81</v>
      </c>
      <c r="CB95" s="3">
        <v>-12.86</v>
      </c>
      <c r="CC95" s="3">
        <v>13.12</v>
      </c>
      <c r="CD95" s="3" t="s">
        <v>4315</v>
      </c>
      <c r="CE95" s="3" t="s">
        <v>4316</v>
      </c>
      <c r="CF95" s="10">
        <v>-0.43472243589743592</v>
      </c>
      <c r="CG95" s="11">
        <v>0.72974039409512081</v>
      </c>
      <c r="CH95" s="10">
        <v>-0.69903314113616943</v>
      </c>
      <c r="CI95" s="10">
        <v>-0.16761364042758942</v>
      </c>
      <c r="CJ95" s="10">
        <v>6.6666670143604279E-2</v>
      </c>
      <c r="CK95" s="10">
        <v>0.16197183728218079</v>
      </c>
      <c r="CL95" s="10">
        <v>0.12252964079380035</v>
      </c>
      <c r="CM95" s="11">
        <v>0.73747384548187256</v>
      </c>
      <c r="CN95" s="11">
        <v>-5.4292335510253906</v>
      </c>
      <c r="CO95" s="11">
        <v>-0.70160508155822754</v>
      </c>
      <c r="CP95" s="11">
        <v>-0.30003243684768677</v>
      </c>
      <c r="CQ95" s="11">
        <v>0.11702249199151993</v>
      </c>
      <c r="CR95" s="3">
        <v>143.13279626794358</v>
      </c>
      <c r="CS95" s="3">
        <v>13.883484882716472</v>
      </c>
      <c r="CT95" s="3">
        <v>0</v>
      </c>
      <c r="CU95" s="10">
        <v>-0.10309572666883468</v>
      </c>
      <c r="CV95" s="11">
        <v>-1.1152749463915825</v>
      </c>
      <c r="CW95" s="3">
        <v>0.06</v>
      </c>
      <c r="CX95" s="3" t="e">
        <v>#VALUE!</v>
      </c>
      <c r="CY95" s="3" t="s">
        <v>1073</v>
      </c>
      <c r="CZ95" s="3">
        <v>-0.10309572666883468</v>
      </c>
      <c r="DA95" s="3" t="e">
        <v>#VALUE!</v>
      </c>
      <c r="DB95" s="3" t="s">
        <v>1074</v>
      </c>
      <c r="DC95" s="3">
        <v>-9.794094033539294E-2</v>
      </c>
      <c r="DD95" s="3" t="e">
        <v>#VALUE!</v>
      </c>
      <c r="DE95" s="3" t="s">
        <v>1074</v>
      </c>
      <c r="DF95" s="3">
        <v>-9.0724239468574525E-2</v>
      </c>
      <c r="DG95" s="3" t="e">
        <v>#VALUE!</v>
      </c>
      <c r="DH95" s="3" t="s">
        <v>1074</v>
      </c>
      <c r="DI95" s="3">
        <v>-8.2476581335067745E-2</v>
      </c>
      <c r="DJ95" s="3" t="e">
        <v>#VALUE!</v>
      </c>
      <c r="DK95" s="3" t="s">
        <v>1074</v>
      </c>
      <c r="DL95" s="3">
        <v>-7.2167008668184277E-2</v>
      </c>
      <c r="DM95" s="3">
        <v>-14446500</v>
      </c>
      <c r="DN95" s="3">
        <v>-0.10309572666883468</v>
      </c>
      <c r="DO95" s="3">
        <v>1428590100</v>
      </c>
      <c r="DP95" s="3">
        <v>501990500</v>
      </c>
      <c r="DQ95" s="3">
        <v>4787</v>
      </c>
      <c r="DR95" s="3">
        <v>-0.33162670922860127</v>
      </c>
      <c r="DS95" s="3">
        <v>1.8450153404867033</v>
      </c>
      <c r="DT95" s="12">
        <v>-0.80666666666666664</v>
      </c>
      <c r="DU95" s="3">
        <v>-2.0816666666666666</v>
      </c>
      <c r="DV95" s="3">
        <v>-2.8883333333333332</v>
      </c>
      <c r="DW95" s="3">
        <v>-7.4949961508852967</v>
      </c>
      <c r="DX95" s="3">
        <v>0.27478981445564116</v>
      </c>
      <c r="DY95" s="3">
        <v>-7.0469205932986743</v>
      </c>
      <c r="DZ95" s="3">
        <v>1352</v>
      </c>
      <c r="EA95" s="3">
        <v>-7.0345063776157373</v>
      </c>
      <c r="EB95" s="3">
        <v>7</v>
      </c>
      <c r="EC95" s="3">
        <v>0.13010796602727709</v>
      </c>
      <c r="ED95" s="3">
        <v>1.3725943739257205</v>
      </c>
      <c r="EE95" s="13">
        <v>0.12509999999999999</v>
      </c>
      <c r="EF95" s="3">
        <v>0.10959999999999999</v>
      </c>
      <c r="EG95" s="3">
        <v>18.094789814455641</v>
      </c>
      <c r="EH95" s="3" t="s">
        <v>1071</v>
      </c>
      <c r="EI95" s="3">
        <v>0</v>
      </c>
      <c r="EJ95" s="3">
        <v>1</v>
      </c>
      <c r="EK95" s="14">
        <v>45470</v>
      </c>
      <c r="EL95" s="15">
        <v>-1.57</v>
      </c>
      <c r="EM95" s="15">
        <v>-3.79</v>
      </c>
      <c r="EN95" s="15">
        <v>0</v>
      </c>
      <c r="EO95" s="15">
        <v>7.26</v>
      </c>
      <c r="EP95" s="15">
        <v>-1.55</v>
      </c>
    </row>
    <row r="96" spans="1:146" ht="96" x14ac:dyDescent="0.25">
      <c r="C96" s="7" t="str">
        <f>""&amp;CHAR(10)&amp;Basic_Fundamental_Information_Constructure(F96)&amp;CHAR(10)&amp;Basic_Fundamental_Information_Concatenate("")</f>
        <v xml:space="preserve">
市值24.80474亿, 利润741.79万; PE36.06; 平均PE79.14; 平均PEG3.47, PB1.48; ROIC17.4467%; ROE19.48%; 股利率.6849%; 毛利58.48%; 净利25.4233%; 上一年度营收增-68.05%, 利润增-85.7%; 当季营收增-24.5%, 利润增63.39%; 过往5年营收增22.81%, 利润增167.43%
Income profile:
</v>
      </c>
      <c r="D96" s="3" t="s">
        <v>1039</v>
      </c>
      <c r="E96" s="3" t="s">
        <v>1040</v>
      </c>
      <c r="F96" s="3">
        <v>29.2</v>
      </c>
      <c r="G96" s="3">
        <v>-7.0000000000000007E-2</v>
      </c>
      <c r="H96" s="3" t="s">
        <v>4317</v>
      </c>
      <c r="I96" s="3">
        <v>2480474000</v>
      </c>
      <c r="J96" s="3">
        <v>36.06</v>
      </c>
      <c r="K96" s="3">
        <v>1.48</v>
      </c>
      <c r="L96" s="3" t="s">
        <v>2983</v>
      </c>
      <c r="M96" s="3" t="s">
        <v>2601</v>
      </c>
      <c r="N96" s="3" t="s">
        <v>1218</v>
      </c>
      <c r="O96" s="3" t="s">
        <v>2602</v>
      </c>
      <c r="P96" s="3">
        <v>121.54</v>
      </c>
      <c r="Q96" s="3" t="s">
        <v>2602</v>
      </c>
      <c r="R96" s="3">
        <v>7417931</v>
      </c>
      <c r="S96" s="5">
        <v>5.657</v>
      </c>
      <c r="T96" s="3" t="s">
        <v>4318</v>
      </c>
      <c r="U96" s="3">
        <v>38304117</v>
      </c>
      <c r="V96" s="3">
        <v>84947740</v>
      </c>
      <c r="W96" s="3">
        <v>1.03</v>
      </c>
      <c r="X96" s="3">
        <v>0.04</v>
      </c>
      <c r="Y96" s="3">
        <v>11.61</v>
      </c>
      <c r="Z96" s="3" t="s">
        <v>4319</v>
      </c>
      <c r="AA96" s="3" t="s">
        <v>4320</v>
      </c>
      <c r="AB96" s="3" t="s">
        <v>4321</v>
      </c>
      <c r="AC96" s="3" t="s">
        <v>4322</v>
      </c>
      <c r="AD96" s="3" t="s">
        <v>22</v>
      </c>
      <c r="AE96" s="3">
        <v>-1008490</v>
      </c>
      <c r="AF96" s="3" t="s">
        <v>2604</v>
      </c>
      <c r="AG96" s="3">
        <v>5000</v>
      </c>
      <c r="AH96" s="3" t="s">
        <v>2605</v>
      </c>
      <c r="AI96" s="3" t="s">
        <v>1841</v>
      </c>
      <c r="AJ96" s="3" t="s">
        <v>2606</v>
      </c>
      <c r="AK96" s="3" t="s">
        <v>4323</v>
      </c>
      <c r="AL96" s="3" t="s">
        <v>2607</v>
      </c>
      <c r="AM96" s="3" t="s">
        <v>22</v>
      </c>
      <c r="AN96" s="3">
        <v>0</v>
      </c>
      <c r="AO96" s="3" t="s">
        <v>4324</v>
      </c>
      <c r="AP96" s="3" t="s">
        <v>22</v>
      </c>
      <c r="AQ96" s="3" t="s">
        <v>4325</v>
      </c>
      <c r="AR96" s="3" t="s">
        <v>22</v>
      </c>
      <c r="AS96" s="3" t="s">
        <v>4326</v>
      </c>
      <c r="AT96" s="3" t="s">
        <v>22</v>
      </c>
      <c r="AU96" s="3" t="s">
        <v>4327</v>
      </c>
      <c r="AV96" s="3" t="s">
        <v>786</v>
      </c>
      <c r="AW96" s="3" t="s">
        <v>4328</v>
      </c>
      <c r="AX96" s="3" t="s">
        <v>1304</v>
      </c>
      <c r="AY96" s="3" t="s">
        <v>233</v>
      </c>
      <c r="AZ96" s="3" t="s">
        <v>23</v>
      </c>
      <c r="BA96" s="3" t="s">
        <v>1042</v>
      </c>
      <c r="BB96" s="3" t="s">
        <v>1043</v>
      </c>
      <c r="BC96" s="3" t="s">
        <v>2608</v>
      </c>
      <c r="BD96" s="3" t="s">
        <v>1041</v>
      </c>
      <c r="BE96" s="3" t="s">
        <v>1044</v>
      </c>
      <c r="BF96" s="3" t="s">
        <v>1045</v>
      </c>
      <c r="BG96" s="3" t="s">
        <v>1046</v>
      </c>
      <c r="BH96" s="3" t="s">
        <v>767</v>
      </c>
      <c r="BI96" s="3" t="s">
        <v>4329</v>
      </c>
      <c r="BJ96" s="3" t="s">
        <v>1304</v>
      </c>
      <c r="BK96" s="3" t="s">
        <v>2603</v>
      </c>
      <c r="BL96" s="3" t="s">
        <v>4330</v>
      </c>
      <c r="BM96" s="3" t="s">
        <v>2608</v>
      </c>
      <c r="BN96" s="3">
        <v>0.14000000000000001</v>
      </c>
      <c r="BO96" s="3">
        <v>3.31</v>
      </c>
      <c r="BP96" s="3">
        <v>48.89</v>
      </c>
      <c r="BQ96" s="3">
        <v>1.1499999999999999</v>
      </c>
      <c r="BR96" s="3">
        <v>4.47</v>
      </c>
      <c r="BS96" s="3">
        <v>52.82</v>
      </c>
      <c r="BT96" s="3" t="s">
        <v>1379</v>
      </c>
      <c r="BU96" s="3" t="s">
        <v>3311</v>
      </c>
      <c r="BV96" s="3">
        <v>55.69</v>
      </c>
      <c r="BW96" s="3">
        <v>57.43</v>
      </c>
      <c r="BX96" s="3">
        <v>62.32</v>
      </c>
      <c r="BY96" s="3">
        <v>23.98</v>
      </c>
      <c r="BZ96" s="3">
        <v>25.99</v>
      </c>
      <c r="CA96" s="3">
        <v>26.3</v>
      </c>
      <c r="CB96" s="3">
        <v>-6.32</v>
      </c>
      <c r="CC96" s="3">
        <v>-3.79</v>
      </c>
      <c r="CD96" s="3" t="s">
        <v>4331</v>
      </c>
      <c r="CE96" s="3" t="s">
        <v>4332</v>
      </c>
      <c r="CF96" s="10">
        <v>-0.2450055595533924</v>
      </c>
      <c r="CG96" s="11">
        <v>0.63386951829254867</v>
      </c>
      <c r="CH96" s="10">
        <v>-0.68052750825881958</v>
      </c>
      <c r="CI96" s="10">
        <v>-0.41002950072288513</v>
      </c>
      <c r="CJ96" s="10">
        <v>0.88333332538604736</v>
      </c>
      <c r="CK96" s="10">
        <v>1.0284868478775024</v>
      </c>
      <c r="CL96" s="10">
        <v>0.31925070285797119</v>
      </c>
      <c r="CM96" s="11">
        <v>-0.85696768760681152</v>
      </c>
      <c r="CN96" s="11">
        <v>-0.41869568824768066</v>
      </c>
      <c r="CO96" s="11">
        <v>1.7486119270324707</v>
      </c>
      <c r="CP96" s="11">
        <v>7.8214702606201172</v>
      </c>
      <c r="CQ96" s="11">
        <v>7.6916322112083435E-2</v>
      </c>
      <c r="CR96" s="3">
        <v>79.142804725326442</v>
      </c>
      <c r="CS96" s="3">
        <v>3.4696116814344826</v>
      </c>
      <c r="CT96" s="3">
        <v>0.68493150684931503</v>
      </c>
      <c r="CU96" s="10">
        <v>0.22810277342796326</v>
      </c>
      <c r="CV96" s="11">
        <v>1.6742670267820359</v>
      </c>
      <c r="CW96" s="3">
        <v>0.06</v>
      </c>
      <c r="CX96" s="3">
        <v>104.86291242008835</v>
      </c>
      <c r="CY96" s="3">
        <v>8594286.3801993281</v>
      </c>
      <c r="CZ96" s="3">
        <v>0.22810277342796326</v>
      </c>
      <c r="DA96" s="3">
        <v>30.544181453457139</v>
      </c>
      <c r="DB96" s="3">
        <v>29505518.141753823</v>
      </c>
      <c r="DC96" s="3">
        <v>0.21669763475656509</v>
      </c>
      <c r="DD96" s="3">
        <v>12.7972014960257</v>
      </c>
      <c r="DE96" s="3">
        <v>70423357.816150963</v>
      </c>
      <c r="DF96" s="3">
        <v>0.20073044061660766</v>
      </c>
      <c r="DG96" s="3">
        <v>6.3409465704516528</v>
      </c>
      <c r="DH96" s="3">
        <v>142127344.8667157</v>
      </c>
      <c r="DI96" s="3">
        <v>0.18248221874237061</v>
      </c>
      <c r="DJ96" s="3">
        <v>2.0744302669343613</v>
      </c>
      <c r="DK96" s="3">
        <v>434443092.33486348</v>
      </c>
      <c r="DL96" s="3">
        <v>0.15967194139957427</v>
      </c>
      <c r="DM96" s="3">
        <v>7417900</v>
      </c>
      <c r="DN96" s="3">
        <v>0.22810277342796326</v>
      </c>
      <c r="DO96" s="3">
        <v>901221900.00000024</v>
      </c>
      <c r="DP96" s="3">
        <v>728736210</v>
      </c>
      <c r="DQ96" s="3">
        <v>4823</v>
      </c>
      <c r="DR96" s="3">
        <v>-0.47310833298135568</v>
      </c>
      <c r="DS96" s="3">
        <v>-1.0403975084894872</v>
      </c>
      <c r="DT96" s="12">
        <v>-0.32333333333333331</v>
      </c>
      <c r="DU96" s="3">
        <v>0.65166666666666673</v>
      </c>
      <c r="DV96" s="3">
        <v>0.32833333333333342</v>
      </c>
      <c r="DW96" s="3">
        <v>-5.5996835443037973</v>
      </c>
      <c r="DX96" s="3">
        <v>0.30832044545405807</v>
      </c>
      <c r="DY96" s="3">
        <v>-5.0769516595365323</v>
      </c>
      <c r="DZ96" s="3">
        <v>3598</v>
      </c>
      <c r="EA96" s="3">
        <v>-5.0227692581642343</v>
      </c>
      <c r="EB96" s="3">
        <v>5</v>
      </c>
      <c r="EC96" s="3">
        <v>5.9249369082685424E-2</v>
      </c>
      <c r="ED96" s="3">
        <v>0.46172976467649401</v>
      </c>
      <c r="EE96" s="13">
        <v>-3.0680100000000001</v>
      </c>
      <c r="EF96" s="3">
        <v>-3.1076100000000002</v>
      </c>
      <c r="EG96" s="3">
        <v>18.128320445454058</v>
      </c>
      <c r="EH96" s="3" t="s">
        <v>1838</v>
      </c>
      <c r="EI96" s="3">
        <v>0</v>
      </c>
      <c r="EJ96" s="3">
        <v>0</v>
      </c>
      <c r="EK96" s="14">
        <v>45470</v>
      </c>
      <c r="EL96" s="15">
        <v>-3.23</v>
      </c>
      <c r="EM96" s="15">
        <v>-7.9</v>
      </c>
      <c r="EN96" s="15">
        <v>-3.86</v>
      </c>
      <c r="EO96" s="15">
        <v>1.82</v>
      </c>
      <c r="EP96" s="15">
        <v>-3.96</v>
      </c>
    </row>
    <row r="97" spans="1:146" ht="96" x14ac:dyDescent="0.25">
      <c r="C97" s="7" t="str">
        <f>""&amp;CHAR(10)&amp;Basic_Fundamental_Information_Constructure(F97)&amp;CHAR(10)&amp;Basic_Fundamental_Information_Concatenate("")</f>
        <v xml:space="preserve">
市值64.122698亿, 利润5488.68万; PE24.93; 平均PE48.73; 平均PEG.37, PB1.67; ROIC0%; ROE14.1933%; 股利率1.5572%; 毛利23.0867%; 净利16.95%; 上一年度营收增-66.39%, 利润增-61.07%; 当季营收增-44.41%, 利润增-50.99%; 过往5年营收增131.93%, 利润增4108.58%
Income profile:
</v>
      </c>
      <c r="D97" s="3" t="s">
        <v>1123</v>
      </c>
      <c r="E97" s="3" t="s">
        <v>1124</v>
      </c>
      <c r="F97" s="3">
        <v>53.3</v>
      </c>
      <c r="G97" s="3">
        <v>-0.04</v>
      </c>
      <c r="H97" s="3" t="s">
        <v>4333</v>
      </c>
      <c r="I97" s="3">
        <v>6412269800</v>
      </c>
      <c r="J97" s="3">
        <v>24.93</v>
      </c>
      <c r="K97" s="3">
        <v>1.67</v>
      </c>
      <c r="L97" s="3" t="s">
        <v>2983</v>
      </c>
      <c r="M97" s="3" t="s">
        <v>2609</v>
      </c>
      <c r="N97" s="3" t="s">
        <v>4334</v>
      </c>
      <c r="O97" s="3" t="s">
        <v>546</v>
      </c>
      <c r="P97" s="3">
        <v>18.190000000000001</v>
      </c>
      <c r="Q97" s="3" t="s">
        <v>546</v>
      </c>
      <c r="R97" s="3">
        <v>54886835</v>
      </c>
      <c r="S97" s="5">
        <v>0.11070000000000001</v>
      </c>
      <c r="T97" s="3" t="s">
        <v>4335</v>
      </c>
      <c r="U97" s="3">
        <v>43121401</v>
      </c>
      <c r="V97" s="3">
        <v>120305250</v>
      </c>
      <c r="W97" s="3">
        <v>1.33</v>
      </c>
      <c r="X97" s="3">
        <v>7.0000000000000007E-2</v>
      </c>
      <c r="Y97" s="3">
        <v>15.12</v>
      </c>
      <c r="Z97" s="3" t="s">
        <v>524</v>
      </c>
      <c r="AA97" s="3" t="s">
        <v>321</v>
      </c>
      <c r="AB97" s="3" t="s">
        <v>4336</v>
      </c>
      <c r="AC97" s="3" t="s">
        <v>4337</v>
      </c>
      <c r="AD97" s="3" t="s">
        <v>22</v>
      </c>
      <c r="AE97" s="3">
        <v>-14641653</v>
      </c>
      <c r="AF97" s="3" t="s">
        <v>2611</v>
      </c>
      <c r="AG97" s="3" t="s">
        <v>22</v>
      </c>
      <c r="AH97" s="3" t="s">
        <v>2612</v>
      </c>
      <c r="AI97" s="3" t="s">
        <v>4338</v>
      </c>
      <c r="AJ97" s="3" t="s">
        <v>2613</v>
      </c>
      <c r="AK97" s="3" t="s">
        <v>4339</v>
      </c>
      <c r="AL97" s="3" t="s">
        <v>2614</v>
      </c>
      <c r="AM97" s="3" t="s">
        <v>22</v>
      </c>
      <c r="AN97" s="3">
        <v>0</v>
      </c>
      <c r="AO97" s="3" t="s">
        <v>2020</v>
      </c>
      <c r="AP97" s="3" t="s">
        <v>22</v>
      </c>
      <c r="AQ97" s="3" t="s">
        <v>130</v>
      </c>
      <c r="AR97" s="3" t="s">
        <v>22</v>
      </c>
      <c r="AS97" s="3" t="s">
        <v>1740</v>
      </c>
      <c r="AT97" s="3" t="s">
        <v>22</v>
      </c>
      <c r="AU97" s="3" t="s">
        <v>4340</v>
      </c>
      <c r="AV97" s="3" t="s">
        <v>4341</v>
      </c>
      <c r="AW97" s="3" t="s">
        <v>144</v>
      </c>
      <c r="AX97" s="3" t="s">
        <v>270</v>
      </c>
      <c r="AY97" s="3" t="s">
        <v>1125</v>
      </c>
      <c r="AZ97" s="3" t="s">
        <v>1089</v>
      </c>
      <c r="BA97" s="3" t="s">
        <v>1126</v>
      </c>
      <c r="BB97" s="3" t="s">
        <v>1127</v>
      </c>
      <c r="BC97" s="3" t="s">
        <v>195</v>
      </c>
      <c r="BD97" s="3" t="s">
        <v>619</v>
      </c>
      <c r="BE97" s="3" t="s">
        <v>311</v>
      </c>
      <c r="BF97" s="3" t="s">
        <v>188</v>
      </c>
      <c r="BG97" s="3" t="s">
        <v>1128</v>
      </c>
      <c r="BH97" s="3" t="s">
        <v>2610</v>
      </c>
      <c r="BI97" s="3" t="s">
        <v>1798</v>
      </c>
      <c r="BJ97" s="3" t="s">
        <v>270</v>
      </c>
      <c r="BK97" s="3" t="s">
        <v>340</v>
      </c>
      <c r="BL97" s="3" t="s">
        <v>24</v>
      </c>
      <c r="BM97" s="3" t="s">
        <v>195</v>
      </c>
      <c r="BN97" s="3" t="s">
        <v>22</v>
      </c>
      <c r="BO97" s="3" t="s">
        <v>22</v>
      </c>
      <c r="BP97" s="3" t="s">
        <v>22</v>
      </c>
      <c r="BQ97" s="3">
        <v>5.44</v>
      </c>
      <c r="BR97" s="3">
        <v>7.01</v>
      </c>
      <c r="BS97" s="3">
        <v>30.13</v>
      </c>
      <c r="BT97" s="3" t="s">
        <v>2615</v>
      </c>
      <c r="BU97" s="3" t="s">
        <v>2998</v>
      </c>
      <c r="BV97" s="3">
        <v>22.56</v>
      </c>
      <c r="BW97" s="3">
        <v>20.92</v>
      </c>
      <c r="BX97" s="3">
        <v>25.78</v>
      </c>
      <c r="BY97" s="3">
        <v>17.39</v>
      </c>
      <c r="BZ97" s="3">
        <v>13.05</v>
      </c>
      <c r="CA97" s="3">
        <v>20.41</v>
      </c>
      <c r="CB97" s="3">
        <v>-9.65</v>
      </c>
      <c r="CC97" s="3">
        <v>-2.63</v>
      </c>
      <c r="CD97" s="3" t="s">
        <v>4342</v>
      </c>
      <c r="CE97" s="3" t="s">
        <v>4343</v>
      </c>
      <c r="CF97" s="10">
        <v>-0.444104134762634</v>
      </c>
      <c r="CG97" s="11">
        <v>-0.50993897321428583</v>
      </c>
      <c r="CH97" s="10">
        <v>-0.66388887166976929</v>
      </c>
      <c r="CI97" s="10">
        <v>-3.9145909249782562E-2</v>
      </c>
      <c r="CJ97" s="10">
        <v>0.21251349151134491</v>
      </c>
      <c r="CK97" s="10">
        <v>0.43498453497886658</v>
      </c>
      <c r="CL97" s="10">
        <v>6.651824951171875</v>
      </c>
      <c r="CM97" s="11">
        <v>-0.61073189973831177</v>
      </c>
      <c r="CN97" s="11">
        <v>-0.38427948951721191</v>
      </c>
      <c r="CO97" s="11">
        <v>6.5116278827190399E-2</v>
      </c>
      <c r="CP97" s="11">
        <v>0.44295302033424377</v>
      </c>
      <c r="CQ97" s="11">
        <v>205.91571044921875</v>
      </c>
      <c r="CR97" s="3">
        <v>48.725028618670883</v>
      </c>
      <c r="CS97" s="3">
        <v>0.36933671760076309</v>
      </c>
      <c r="CT97" s="3">
        <v>1.5572232645403379</v>
      </c>
      <c r="CU97" s="10">
        <v>1.3192576393485069</v>
      </c>
      <c r="CV97" s="11">
        <v>41.085753671824932</v>
      </c>
      <c r="CW97" s="3">
        <v>0.06</v>
      </c>
      <c r="CX97" s="3">
        <v>30.046089845497097</v>
      </c>
      <c r="CY97" s="3">
        <v>120091160.56546569</v>
      </c>
      <c r="CZ97" s="3">
        <v>1.3192576393485069</v>
      </c>
      <c r="DA97" s="3">
        <v>4.0454454718373611</v>
      </c>
      <c r="DB97" s="3">
        <v>891933861.20742726</v>
      </c>
      <c r="DC97" s="3">
        <v>1.2532947573810815</v>
      </c>
      <c r="DD97" s="3">
        <v>0.47316945521361925</v>
      </c>
      <c r="DE97" s="3">
        <v>7625745407.3636131</v>
      </c>
      <c r="DF97" s="3">
        <v>1.1609467226266861</v>
      </c>
      <c r="DG97" s="3">
        <v>4.2422305994195358E-2</v>
      </c>
      <c r="DH97" s="3">
        <v>85055956187.146439</v>
      </c>
      <c r="DI97" s="3">
        <v>1.0554061114788056</v>
      </c>
      <c r="DJ97" s="3">
        <v>1.9695224316817442E-4</v>
      </c>
      <c r="DK97" s="3">
        <v>18320531627146.562</v>
      </c>
      <c r="DL97" s="3">
        <v>0.9234803475439548</v>
      </c>
      <c r="DM97" s="3">
        <v>54886800</v>
      </c>
      <c r="DN97" s="3">
        <v>1.3192576393485069</v>
      </c>
      <c r="DO97" s="3">
        <v>3608269800</v>
      </c>
      <c r="DP97" s="3">
        <v>3724045800</v>
      </c>
      <c r="DQ97" s="3">
        <v>4830</v>
      </c>
      <c r="DR97" s="3">
        <v>-1.7633617741111409</v>
      </c>
      <c r="DS97" s="3">
        <v>-41.595692645039215</v>
      </c>
      <c r="DT97" s="12">
        <v>-3.1666666666666655E-2</v>
      </c>
      <c r="DU97" s="3">
        <v>-0.12333333333333341</v>
      </c>
      <c r="DV97" s="3">
        <v>-0.15500000000000005</v>
      </c>
      <c r="DW97" s="3">
        <v>-5.2725388601036265</v>
      </c>
      <c r="DX97" s="3">
        <v>0.36478377280007568</v>
      </c>
      <c r="DY97" s="3">
        <v>-5.053086147405617</v>
      </c>
      <c r="DZ97" s="3">
        <v>410</v>
      </c>
      <c r="EA97" s="3">
        <v>-5.0488267891989045</v>
      </c>
      <c r="EB97" s="3">
        <v>5</v>
      </c>
      <c r="EC97" s="3">
        <v>6.7727717618308425E-2</v>
      </c>
      <c r="ED97" s="3">
        <v>0.34770718651097937</v>
      </c>
      <c r="EE97" s="13">
        <v>-3.12771</v>
      </c>
      <c r="EF97" s="3">
        <v>-4.0249100000000002</v>
      </c>
      <c r="EG97" s="3">
        <v>17.194783772800076</v>
      </c>
      <c r="EH97" s="3" t="s">
        <v>1903</v>
      </c>
      <c r="EI97" s="3">
        <v>0</v>
      </c>
      <c r="EJ97" s="3">
        <v>1</v>
      </c>
      <c r="EK97" s="14">
        <v>45470</v>
      </c>
      <c r="EL97" s="15">
        <v>-1.24</v>
      </c>
      <c r="EM97" s="15">
        <v>-4.9800000000000004</v>
      </c>
      <c r="EN97" s="15">
        <v>-0.98</v>
      </c>
      <c r="EO97" s="15">
        <v>-1.64</v>
      </c>
      <c r="EP97" s="15">
        <v>-4.72</v>
      </c>
    </row>
    <row r="98" spans="1:146" ht="156" x14ac:dyDescent="0.25">
      <c r="A98" s="3"/>
      <c r="B98" s="3"/>
      <c r="C98" s="7" t="str">
        <f>"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amp;CHAR(10)&amp;Basic_Fundamental_Information_Constructure(F98)&amp;CHAR(10)&amp;Basic_Fundamental_Information_Concatenate("晶圆代工 159.98亿 95.31%
其他主营业务 6.68亿 3.98%")</f>
        <v>公司主营业务是8英寸及12英寸晶圆的特色工艺代工服务，在不同工艺平台上，按照客户需求为其制造多种类的半导体产品；同时为客户提供包括IP设计、测试等配套服务。主要产品是功率器件、嵌入式非易失性存储器、模拟与电源管理、逻辑与射频、独立式非易失性存储器。
市值608.96456亿, 利润2.22亿; PE54.68; 平均PE47.31; 平均PEG4.9, PB1.4; ROIC5.11%; ROE11.47%; 股利率.423%; 毛利30.35%; 净利11.74%; 上一年度营收增-80.36%, 利润增-92.62%; 当季营收增-62.72%, 利润增-86.05%; 过往5年营收增9.66%, 利润增41.48%
Income profile:
晶圆代工 159.98亿 95.31%
其他主营业务 6.68亿 3.98%</v>
      </c>
      <c r="D98" s="3" t="s">
        <v>1726</v>
      </c>
      <c r="E98" s="3" t="s">
        <v>1738</v>
      </c>
      <c r="F98" s="3">
        <v>35.46</v>
      </c>
      <c r="G98" s="3">
        <v>0.08</v>
      </c>
      <c r="H98" s="3" t="s">
        <v>4344</v>
      </c>
      <c r="I98" s="3">
        <v>60896456000</v>
      </c>
      <c r="J98" s="3">
        <v>54.68</v>
      </c>
      <c r="K98" s="3">
        <v>1.4</v>
      </c>
      <c r="L98" s="3" t="s">
        <v>2983</v>
      </c>
      <c r="M98" s="3" t="s">
        <v>2616</v>
      </c>
      <c r="N98" s="3" t="s">
        <v>4345</v>
      </c>
      <c r="O98" s="3" t="s">
        <v>4346</v>
      </c>
      <c r="P98" s="5">
        <v>-24.62</v>
      </c>
      <c r="Q98" s="3" t="s">
        <v>4346</v>
      </c>
      <c r="R98" s="3">
        <v>221743450</v>
      </c>
      <c r="S98" s="3">
        <v>-0.78759999999999997</v>
      </c>
      <c r="T98" s="3" t="s">
        <v>266</v>
      </c>
      <c r="U98" s="3">
        <v>203875000</v>
      </c>
      <c r="V98" s="3">
        <v>1717328100</v>
      </c>
      <c r="W98" s="3">
        <v>1.35</v>
      </c>
      <c r="X98" s="3">
        <v>0.04</v>
      </c>
      <c r="Y98" s="3">
        <v>-5.57</v>
      </c>
      <c r="Z98" s="3" t="s">
        <v>4347</v>
      </c>
      <c r="AA98" s="3" t="s">
        <v>4348</v>
      </c>
      <c r="AB98" s="3" t="s">
        <v>4349</v>
      </c>
      <c r="AC98" s="3" t="s">
        <v>1743</v>
      </c>
      <c r="AD98" s="3" t="s">
        <v>22</v>
      </c>
      <c r="AE98" s="3">
        <v>38937025</v>
      </c>
      <c r="AF98" s="3" t="s">
        <v>4350</v>
      </c>
      <c r="AG98" s="3" t="s">
        <v>4351</v>
      </c>
      <c r="AH98" s="3" t="s">
        <v>4352</v>
      </c>
      <c r="AI98" s="3" t="s">
        <v>4353</v>
      </c>
      <c r="AJ98" s="3" t="s">
        <v>4354</v>
      </c>
      <c r="AK98" s="3" t="s">
        <v>1871</v>
      </c>
      <c r="AL98" s="3" t="s">
        <v>4355</v>
      </c>
      <c r="AM98" s="3" t="s">
        <v>22</v>
      </c>
      <c r="AN98" s="3" t="s">
        <v>4356</v>
      </c>
      <c r="AO98" s="3" t="s">
        <v>22</v>
      </c>
      <c r="AP98" s="3" t="s">
        <v>22</v>
      </c>
      <c r="AQ98" s="3" t="s">
        <v>2089</v>
      </c>
      <c r="AR98" s="3" t="s">
        <v>4357</v>
      </c>
      <c r="AS98" s="3" t="s">
        <v>4358</v>
      </c>
      <c r="AT98" s="3" t="s">
        <v>4359</v>
      </c>
      <c r="AU98" s="3" t="s">
        <v>296</v>
      </c>
      <c r="AV98" s="3" t="s">
        <v>4360</v>
      </c>
      <c r="AW98" s="3" t="s">
        <v>4361</v>
      </c>
      <c r="AX98" s="3" t="s">
        <v>1727</v>
      </c>
      <c r="AY98" s="3" t="s">
        <v>1734</v>
      </c>
      <c r="AZ98" s="3" t="s">
        <v>1735</v>
      </c>
      <c r="BA98" s="3" t="s">
        <v>1736</v>
      </c>
      <c r="BB98" s="3" t="s">
        <v>22</v>
      </c>
      <c r="BC98" s="3" t="s">
        <v>1728</v>
      </c>
      <c r="BD98" s="3" t="s">
        <v>1561</v>
      </c>
      <c r="BE98" s="3" t="s">
        <v>1433</v>
      </c>
      <c r="BF98" s="3" t="s">
        <v>1573</v>
      </c>
      <c r="BG98" s="3" t="s">
        <v>22</v>
      </c>
      <c r="BH98" s="3" t="s">
        <v>2617</v>
      </c>
      <c r="BI98" s="3" t="s">
        <v>4362</v>
      </c>
      <c r="BJ98" s="3" t="s">
        <v>1727</v>
      </c>
      <c r="BK98" s="3" t="s">
        <v>1861</v>
      </c>
      <c r="BL98" s="3" t="s">
        <v>4363</v>
      </c>
      <c r="BM98" s="3" t="s">
        <v>1728</v>
      </c>
      <c r="BN98" s="3">
        <v>2.54</v>
      </c>
      <c r="BO98" s="3">
        <v>7.64</v>
      </c>
      <c r="BP98" s="3">
        <v>5.15</v>
      </c>
      <c r="BQ98" s="3">
        <v>6.64</v>
      </c>
      <c r="BR98" s="3">
        <v>16.3</v>
      </c>
      <c r="BS98" s="3" t="s">
        <v>22</v>
      </c>
      <c r="BT98" s="3" t="s">
        <v>1371</v>
      </c>
      <c r="BU98" s="3" t="s">
        <v>1221</v>
      </c>
      <c r="BV98" s="3">
        <v>27.1</v>
      </c>
      <c r="BW98" s="3">
        <v>35.86</v>
      </c>
      <c r="BX98" s="3">
        <v>28.09</v>
      </c>
      <c r="BY98" s="3">
        <v>5.22</v>
      </c>
      <c r="BZ98" s="3">
        <v>16.239999999999998</v>
      </c>
      <c r="CA98" s="3">
        <v>13.76</v>
      </c>
      <c r="CB98" s="3">
        <v>-1.0900000000000001</v>
      </c>
      <c r="CC98" s="10">
        <v>11.02</v>
      </c>
      <c r="CD98" s="11" t="s">
        <v>4364</v>
      </c>
      <c r="CE98" s="10" t="s">
        <v>401</v>
      </c>
      <c r="CF98" s="10">
        <v>-0.62720488466757118</v>
      </c>
      <c r="CG98" s="10">
        <v>-0.86045094398993083</v>
      </c>
      <c r="CH98" s="10">
        <v>-0.80358636379241943</v>
      </c>
      <c r="CI98" s="10">
        <v>0.57911574840545654</v>
      </c>
      <c r="CJ98" s="11">
        <v>0.57785362005233765</v>
      </c>
      <c r="CK98" s="11">
        <v>3.2965358346700668E-2</v>
      </c>
      <c r="CL98" s="11" t="s">
        <v>22</v>
      </c>
      <c r="CM98" s="11">
        <v>-0.92622131109237671</v>
      </c>
      <c r="CN98" s="11">
        <v>0.81265056133270264</v>
      </c>
      <c r="CO98" s="3">
        <v>2.2871289253234863</v>
      </c>
      <c r="CP98" s="3">
        <v>-0.51442307233810425</v>
      </c>
      <c r="CQ98" s="3" t="s">
        <v>22</v>
      </c>
      <c r="CR98" s="10">
        <v>47.309241765071476</v>
      </c>
      <c r="CS98" s="11">
        <v>4.8980915975660873</v>
      </c>
      <c r="CT98" s="3">
        <v>0.4230118443316413</v>
      </c>
      <c r="CU98" s="3">
        <v>9.6587090753018856E-2</v>
      </c>
      <c r="CV98" s="3">
        <v>0.414783775806427</v>
      </c>
      <c r="CW98" s="3">
        <v>0.06</v>
      </c>
      <c r="CX98" s="3">
        <v>93.251830826909966</v>
      </c>
      <c r="CY98" s="3">
        <v>229662579.38412282</v>
      </c>
      <c r="CZ98" s="3">
        <v>9.6587090753018856E-2</v>
      </c>
      <c r="DA98" s="3">
        <v>30.304450011981782</v>
      </c>
      <c r="DB98" s="3">
        <v>706709938.35995555</v>
      </c>
      <c r="DC98" s="3">
        <v>9.175773621536791E-2</v>
      </c>
      <c r="DD98" s="3">
        <v>14.807117318064506</v>
      </c>
      <c r="DE98" s="3">
        <v>1446362282.4053795</v>
      </c>
      <c r="DF98" s="3">
        <v>8.4996639862656598E-2</v>
      </c>
      <c r="DG98" s="3">
        <v>8.8170788518328482</v>
      </c>
      <c r="DH98" s="3">
        <v>2428974080.8599052</v>
      </c>
      <c r="DI98" s="3">
        <v>7.7269672602415088E-2</v>
      </c>
      <c r="DJ98" s="3">
        <v>4.4706425215516408</v>
      </c>
      <c r="DK98" s="3">
        <v>4790464882.1187611</v>
      </c>
      <c r="DL98" s="3">
        <v>6.7610963527113196E-2</v>
      </c>
      <c r="DM98" s="3">
        <v>222000000.00000003</v>
      </c>
      <c r="DN98" s="3">
        <v>9.6587090753018856E-2</v>
      </c>
      <c r="DO98" s="3">
        <v>21416456000</v>
      </c>
      <c r="DP98" s="3">
        <v>43799751000</v>
      </c>
      <c r="DQ98" s="12">
        <v>4840</v>
      </c>
      <c r="DR98" s="3">
        <v>-0.72379197542059004</v>
      </c>
      <c r="DS98" s="3">
        <v>-1.2752347197963578</v>
      </c>
      <c r="DT98" s="3">
        <v>-0.58799999999999997</v>
      </c>
      <c r="DU98" s="3">
        <v>-0.23199999999999993</v>
      </c>
      <c r="DV98" s="3">
        <v>-0.81999999999999984</v>
      </c>
      <c r="DW98" s="3">
        <v>2.1101999999999999</v>
      </c>
      <c r="DX98" s="3">
        <v>0.36483664921466041</v>
      </c>
      <c r="DY98" s="3">
        <v>2.0159609987434557</v>
      </c>
      <c r="DZ98" s="3">
        <v>337</v>
      </c>
      <c r="EA98" s="3">
        <v>2.0149083849319989</v>
      </c>
      <c r="EB98" s="13">
        <v>2</v>
      </c>
      <c r="EC98" s="13">
        <v>3.2217256562680131E-2</v>
      </c>
      <c r="ED98" s="3">
        <v>0.22243856604920167</v>
      </c>
      <c r="EE98" s="3">
        <v>-4.0572100000000004</v>
      </c>
      <c r="EF98" s="3">
        <v>-4.0679100000000004</v>
      </c>
      <c r="EG98" s="3">
        <v>22.14483664921466</v>
      </c>
      <c r="EH98" s="14" t="s">
        <v>1903</v>
      </c>
      <c r="EI98" s="3">
        <v>1</v>
      </c>
      <c r="EJ98" s="3">
        <v>1</v>
      </c>
      <c r="EK98" s="3">
        <v>45470</v>
      </c>
      <c r="EL98" s="3">
        <v>-2.2799999999999998</v>
      </c>
      <c r="EM98" s="3">
        <v>-4.71</v>
      </c>
      <c r="EN98" s="15">
        <v>-2.81</v>
      </c>
      <c r="EO98" s="15">
        <v>2.54</v>
      </c>
      <c r="EP98" s="15">
        <v>-1.07</v>
      </c>
    </row>
    <row r="99" spans="1:146" ht="96" x14ac:dyDescent="0.25">
      <c r="A99" s="3"/>
      <c r="B99" s="3"/>
      <c r="C99" s="7" t="str">
        <f>""&amp;CHAR(10)&amp;Basic_Fundamental_Information_Constructure(F99)&amp;CHAR(10)&amp;Basic_Fundamental_Information_Concatenate("")</f>
        <v xml:space="preserve">
市值134.123406亿, 利润7668.70万; PE32.11; 平均PE85.88; 平均PEG22.59, PB2.27; ROIC7.01%; ROE7.61%; 股利率.8865%; 毛利38.5667%; 净利23.0967%; 上一年度营收增-66.36%, 利润增-74.69%; 当季营收增-35.7%, 利润增-37.14%; 过往5年营收增3.8%, 利润增103.33%
Income profile:
</v>
      </c>
      <c r="D99" s="3" t="s">
        <v>1413</v>
      </c>
      <c r="E99" s="3" t="s">
        <v>1414</v>
      </c>
      <c r="F99" s="3">
        <v>11.28</v>
      </c>
      <c r="G99" s="3">
        <v>1.62</v>
      </c>
      <c r="H99" s="3" t="s">
        <v>4365</v>
      </c>
      <c r="I99" s="3">
        <v>13412340600</v>
      </c>
      <c r="J99" s="3">
        <v>32.11</v>
      </c>
      <c r="K99" s="3">
        <v>2.27</v>
      </c>
      <c r="L99" s="3" t="s">
        <v>2983</v>
      </c>
      <c r="M99" s="3" t="s">
        <v>2619</v>
      </c>
      <c r="N99" s="3" t="s">
        <v>4366</v>
      </c>
      <c r="O99" s="3" t="s">
        <v>25</v>
      </c>
      <c r="P99" s="5">
        <v>43.74</v>
      </c>
      <c r="Q99" s="3" t="s">
        <v>25</v>
      </c>
      <c r="R99" s="3">
        <v>76687050</v>
      </c>
      <c r="S99" s="3">
        <v>1.5049999999999999</v>
      </c>
      <c r="T99" s="3" t="s">
        <v>4367</v>
      </c>
      <c r="U99" s="3">
        <v>285703330</v>
      </c>
      <c r="V99" s="3">
        <v>1189037290</v>
      </c>
      <c r="W99" s="3">
        <v>1.2</v>
      </c>
      <c r="X99" s="3">
        <v>0.06</v>
      </c>
      <c r="Y99" s="3">
        <v>17.3</v>
      </c>
      <c r="Z99" s="3" t="s">
        <v>528</v>
      </c>
      <c r="AA99" s="3" t="s">
        <v>590</v>
      </c>
      <c r="AB99" s="3" t="s">
        <v>4368</v>
      </c>
      <c r="AC99" s="3" t="s">
        <v>4369</v>
      </c>
      <c r="AD99" s="3" t="s">
        <v>22</v>
      </c>
      <c r="AE99" s="3">
        <v>-6636248</v>
      </c>
      <c r="AF99" s="3" t="s">
        <v>2621</v>
      </c>
      <c r="AG99" s="3" t="s">
        <v>4370</v>
      </c>
      <c r="AH99" s="3" t="s">
        <v>2622</v>
      </c>
      <c r="AI99" s="3" t="s">
        <v>507</v>
      </c>
      <c r="AJ99" s="3" t="s">
        <v>2624</v>
      </c>
      <c r="AK99" s="3" t="s">
        <v>22</v>
      </c>
      <c r="AL99" s="3" t="s">
        <v>2625</v>
      </c>
      <c r="AM99" s="3" t="s">
        <v>22</v>
      </c>
      <c r="AN99" s="3" t="s">
        <v>1146</v>
      </c>
      <c r="AO99" s="3" t="s">
        <v>4371</v>
      </c>
      <c r="AP99" s="3" t="s">
        <v>22</v>
      </c>
      <c r="AQ99" s="3" t="s">
        <v>1822</v>
      </c>
      <c r="AR99" s="3" t="s">
        <v>22</v>
      </c>
      <c r="AS99" s="3" t="s">
        <v>591</v>
      </c>
      <c r="AT99" s="3" t="s">
        <v>1870</v>
      </c>
      <c r="AU99" s="3" t="s">
        <v>407</v>
      </c>
      <c r="AV99" s="3" t="s">
        <v>2162</v>
      </c>
      <c r="AW99" s="3" t="s">
        <v>4372</v>
      </c>
      <c r="AX99" s="3" t="s">
        <v>1310</v>
      </c>
      <c r="AY99" s="3" t="s">
        <v>1646</v>
      </c>
      <c r="AZ99" s="3" t="s">
        <v>1086</v>
      </c>
      <c r="BA99" s="3" t="s">
        <v>1636</v>
      </c>
      <c r="BB99" s="3" t="s">
        <v>22</v>
      </c>
      <c r="BC99" s="3" t="s">
        <v>187</v>
      </c>
      <c r="BD99" s="3" t="s">
        <v>1584</v>
      </c>
      <c r="BE99" s="3" t="s">
        <v>1647</v>
      </c>
      <c r="BF99" s="3" t="s">
        <v>1648</v>
      </c>
      <c r="BG99" s="3" t="s">
        <v>22</v>
      </c>
      <c r="BH99" s="3" t="s">
        <v>2620</v>
      </c>
      <c r="BI99" s="3" t="s">
        <v>1201</v>
      </c>
      <c r="BJ99" s="3" t="s">
        <v>1310</v>
      </c>
      <c r="BK99" s="3" t="s">
        <v>491</v>
      </c>
      <c r="BL99" s="3" t="s">
        <v>141</v>
      </c>
      <c r="BM99" s="3" t="s">
        <v>187</v>
      </c>
      <c r="BN99" s="3">
        <v>4.38</v>
      </c>
      <c r="BO99" s="3">
        <v>7.77</v>
      </c>
      <c r="BP99" s="3">
        <v>8.8800000000000008</v>
      </c>
      <c r="BQ99" s="3">
        <v>5.34</v>
      </c>
      <c r="BR99" s="3">
        <v>9.8800000000000008</v>
      </c>
      <c r="BS99" s="3" t="s">
        <v>22</v>
      </c>
      <c r="BT99" s="3" t="s">
        <v>1369</v>
      </c>
      <c r="BU99" s="3" t="s">
        <v>1209</v>
      </c>
      <c r="BV99" s="3">
        <v>35.72</v>
      </c>
      <c r="BW99" s="3">
        <v>39.409999999999997</v>
      </c>
      <c r="BX99" s="3">
        <v>40.57</v>
      </c>
      <c r="BY99" s="3">
        <v>22.81</v>
      </c>
      <c r="BZ99" s="3">
        <v>23.02</v>
      </c>
      <c r="CA99" s="3">
        <v>23.46</v>
      </c>
      <c r="CB99" s="3">
        <v>-1.1399999999999999</v>
      </c>
      <c r="CC99" s="10">
        <v>2.5499999999999998</v>
      </c>
      <c r="CD99" s="11" t="s">
        <v>4373</v>
      </c>
      <c r="CE99" s="10" t="s">
        <v>585</v>
      </c>
      <c r="CF99" s="10">
        <v>-0.35703918722786648</v>
      </c>
      <c r="CG99" s="10">
        <v>-0.37141762295081965</v>
      </c>
      <c r="CH99" s="10">
        <v>-0.66362947225570679</v>
      </c>
      <c r="CI99" s="10">
        <v>-2.2727758623659611E-3</v>
      </c>
      <c r="CJ99" s="11">
        <v>0.51898735761642456</v>
      </c>
      <c r="CK99" s="11">
        <v>0.29895365238189697</v>
      </c>
      <c r="CL99" s="11" t="s">
        <v>22</v>
      </c>
      <c r="CM99" s="11">
        <v>-0.74690759181976318</v>
      </c>
      <c r="CN99" s="11">
        <v>-6.5573770552873611E-3</v>
      </c>
      <c r="CO99" s="3">
        <v>4.5575900077819824</v>
      </c>
      <c r="CP99" s="3">
        <v>0.32921987771987915</v>
      </c>
      <c r="CQ99" s="3" t="s">
        <v>22</v>
      </c>
      <c r="CR99" s="10">
        <v>85.882489970598868</v>
      </c>
      <c r="CS99" s="11">
        <v>22.594893278134695</v>
      </c>
      <c r="CT99" s="3">
        <v>0.88652482269503552</v>
      </c>
      <c r="CU99" s="3">
        <v>3.8009690470062196E-2</v>
      </c>
      <c r="CV99" s="3">
        <v>1.0333362291567028</v>
      </c>
      <c r="CW99" s="3">
        <v>0.06</v>
      </c>
      <c r="CX99" s="3">
        <v>117.56059862824682</v>
      </c>
      <c r="CY99" s="3">
        <v>75096084.087809116</v>
      </c>
      <c r="CZ99" s="3">
        <v>3.8009690470062196E-2</v>
      </c>
      <c r="DA99" s="3">
        <v>40.157023536305601</v>
      </c>
      <c r="DB99" s="3">
        <v>219845492.0848</v>
      </c>
      <c r="DC99" s="3">
        <v>3.6109205946559086E-2</v>
      </c>
      <c r="DD99" s="3">
        <v>20.948751460415817</v>
      </c>
      <c r="DE99" s="3">
        <v>421425621.31599051</v>
      </c>
      <c r="DF99" s="3">
        <v>3.344852761365473E-2</v>
      </c>
      <c r="DG99" s="3">
        <v>13.407697248578058</v>
      </c>
      <c r="DH99" s="3">
        <v>658453158.3852911</v>
      </c>
      <c r="DI99" s="3">
        <v>3.0407752376049757E-2</v>
      </c>
      <c r="DJ99" s="3">
        <v>7.9199549249659285</v>
      </c>
      <c r="DK99" s="3">
        <v>1114695813.7565384</v>
      </c>
      <c r="DL99" s="3">
        <v>2.6606783329043537E-2</v>
      </c>
      <c r="DM99" s="3">
        <v>76687000</v>
      </c>
      <c r="DN99" s="3">
        <v>3.8009690470062196E-2</v>
      </c>
      <c r="DO99" s="3">
        <v>8828340600</v>
      </c>
      <c r="DP99" s="3">
        <v>1753382600</v>
      </c>
      <c r="DQ99" s="12">
        <v>4845</v>
      </c>
      <c r="DR99" s="3">
        <v>-0.39504887769792868</v>
      </c>
      <c r="DS99" s="3">
        <v>-1.4047538521075225</v>
      </c>
      <c r="DT99" s="3">
        <v>-0.628</v>
      </c>
      <c r="DU99" s="3">
        <v>-8.4000000000000033E-2</v>
      </c>
      <c r="DV99" s="3">
        <v>-0.71200000000000008</v>
      </c>
      <c r="DW99" s="3">
        <v>1.0255000000000001</v>
      </c>
      <c r="DX99" s="3">
        <v>0.30540106761565938</v>
      </c>
      <c r="DY99" s="3">
        <v>1.0026877272241992</v>
      </c>
      <c r="DZ99" s="3">
        <v>4202</v>
      </c>
      <c r="EA99" s="3">
        <v>1.0004775844069613</v>
      </c>
      <c r="EB99" s="13">
        <v>1</v>
      </c>
      <c r="EC99" s="13">
        <v>2.4908974890097853E-2</v>
      </c>
      <c r="ED99" s="3">
        <v>0.23632564122526384</v>
      </c>
      <c r="EE99" s="3">
        <v>7.730999999999999E-2</v>
      </c>
      <c r="EF99" s="3">
        <v>9.5809999999999992E-2</v>
      </c>
      <c r="EG99" s="3">
        <v>20.105401067615659</v>
      </c>
      <c r="EH99" s="14">
        <v>-1</v>
      </c>
      <c r="EI99" s="15">
        <v>0</v>
      </c>
      <c r="EJ99" s="15">
        <v>0</v>
      </c>
      <c r="EK99" s="15">
        <v>45470</v>
      </c>
      <c r="EL99" s="15">
        <v>-2.4500000000000002</v>
      </c>
      <c r="EM99" s="15">
        <v>-5.89</v>
      </c>
      <c r="EN99" s="15">
        <v>-1.1599999999999999</v>
      </c>
      <c r="EO99" s="15">
        <v>4.75</v>
      </c>
      <c r="EP99" s="15">
        <v>-1.85</v>
      </c>
    </row>
    <row r="100" spans="1:146" ht="96" x14ac:dyDescent="0.25">
      <c r="A100" s="3"/>
      <c r="B100" s="3"/>
      <c r="C100" s="7" t="str">
        <f>""&amp;CHAR(10)&amp;Basic_Fundamental_Information_Constructure(F100)&amp;CHAR(10)&amp;Basic_Fundamental_Information_Concatenate("")</f>
        <v xml:space="preserve">
市值161.472亿, 利润3424.01万; PE112.7; 平均PE-6967.96; 平均PEG-77.13, PB6.6; ROIC3.415%; ROE3.945%; 股利率.2774%; 毛利50.0833%; 净利10.96%; 上一年度营收增-53.63%, 利润增186.03%; 当季营收增-35.34%, 利润增-25.47%; 过往5年营收增90.34%, 利润增41.78%
Income profile:
</v>
      </c>
      <c r="D100" s="3" t="s">
        <v>1649</v>
      </c>
      <c r="E100" s="3" t="s">
        <v>1952</v>
      </c>
      <c r="F100" s="3">
        <v>50.46</v>
      </c>
      <c r="G100" s="3">
        <v>3.23</v>
      </c>
      <c r="H100" s="3" t="s">
        <v>4374</v>
      </c>
      <c r="I100" s="3">
        <v>16147200000</v>
      </c>
      <c r="J100" s="3">
        <v>112.7</v>
      </c>
      <c r="K100" s="3">
        <v>6.6</v>
      </c>
      <c r="L100" s="3" t="s">
        <v>2983</v>
      </c>
      <c r="M100" s="3" t="s">
        <v>26</v>
      </c>
      <c r="N100" s="3" t="s">
        <v>4375</v>
      </c>
      <c r="O100" s="3" t="s">
        <v>354</v>
      </c>
      <c r="P100" s="3">
        <v>45.6</v>
      </c>
      <c r="Q100" s="3" t="s">
        <v>354</v>
      </c>
      <c r="R100" s="3">
        <v>34240130</v>
      </c>
      <c r="S100" s="3">
        <v>9.1600000000000001E-2</v>
      </c>
      <c r="T100" s="3" t="s">
        <v>4376</v>
      </c>
      <c r="U100" s="3">
        <v>244156880</v>
      </c>
      <c r="V100" s="3">
        <v>320000000</v>
      </c>
      <c r="W100" s="3">
        <v>1.46</v>
      </c>
      <c r="X100" s="3">
        <v>7.0000000000000007E-2</v>
      </c>
      <c r="Y100" s="3">
        <v>14.54</v>
      </c>
      <c r="Z100" s="3" t="s">
        <v>578</v>
      </c>
      <c r="AA100" s="3" t="s">
        <v>396</v>
      </c>
      <c r="AB100" s="3" t="s">
        <v>4377</v>
      </c>
      <c r="AC100" s="3" t="s">
        <v>4378</v>
      </c>
      <c r="AD100" s="3" t="s">
        <v>22</v>
      </c>
      <c r="AE100" s="3">
        <v>-2932306</v>
      </c>
      <c r="AF100" s="3" t="s">
        <v>2626</v>
      </c>
      <c r="AG100" s="3">
        <v>4494.0600000000004</v>
      </c>
      <c r="AH100" s="3" t="s">
        <v>2627</v>
      </c>
      <c r="AI100" s="3" t="s">
        <v>589</v>
      </c>
      <c r="AJ100" s="3" t="s">
        <v>2628</v>
      </c>
      <c r="AK100" s="3" t="s">
        <v>4379</v>
      </c>
      <c r="AL100" s="3" t="s">
        <v>2629</v>
      </c>
      <c r="AM100" s="3" t="s">
        <v>22</v>
      </c>
      <c r="AN100" s="3" t="s">
        <v>4380</v>
      </c>
      <c r="AO100" s="3" t="s">
        <v>2630</v>
      </c>
      <c r="AP100" s="3" t="s">
        <v>4381</v>
      </c>
      <c r="AQ100" s="3" t="s">
        <v>441</v>
      </c>
      <c r="AR100" s="3" t="s">
        <v>22</v>
      </c>
      <c r="AS100" s="3" t="s">
        <v>1325</v>
      </c>
      <c r="AT100" s="3" t="s">
        <v>2631</v>
      </c>
      <c r="AU100" s="3" t="s">
        <v>4382</v>
      </c>
      <c r="AV100" s="3" t="s">
        <v>219</v>
      </c>
      <c r="AW100" s="3" t="s">
        <v>4383</v>
      </c>
      <c r="AX100" s="3" t="s">
        <v>458</v>
      </c>
      <c r="AY100" s="3" t="s">
        <v>753</v>
      </c>
      <c r="AZ100" s="3" t="s">
        <v>269</v>
      </c>
      <c r="BA100" s="3" t="s">
        <v>1650</v>
      </c>
      <c r="BB100" s="3" t="s">
        <v>1651</v>
      </c>
      <c r="BC100" s="3" t="s">
        <v>2632</v>
      </c>
      <c r="BD100" s="3" t="s">
        <v>1652</v>
      </c>
      <c r="BE100" s="3" t="s">
        <v>1653</v>
      </c>
      <c r="BF100" s="3" t="s">
        <v>1654</v>
      </c>
      <c r="BG100" s="3" t="s">
        <v>1655</v>
      </c>
      <c r="BH100" s="3" t="s">
        <v>1303</v>
      </c>
      <c r="BI100" s="3" t="s">
        <v>113</v>
      </c>
      <c r="BJ100" s="3" t="s">
        <v>458</v>
      </c>
      <c r="BK100" s="3" t="s">
        <v>156</v>
      </c>
      <c r="BL100" s="3" t="s">
        <v>4384</v>
      </c>
      <c r="BM100" s="3" t="s">
        <v>2632</v>
      </c>
      <c r="BN100" s="3">
        <v>4.5</v>
      </c>
      <c r="BO100" s="3">
        <v>2.33</v>
      </c>
      <c r="BP100" s="3" t="s">
        <v>22</v>
      </c>
      <c r="BQ100" s="3">
        <v>5.79</v>
      </c>
      <c r="BR100" s="3">
        <v>2.1</v>
      </c>
      <c r="BS100" s="3" t="s">
        <v>22</v>
      </c>
      <c r="BT100" s="3" t="s">
        <v>2633</v>
      </c>
      <c r="BU100" s="3" t="s">
        <v>1212</v>
      </c>
      <c r="BV100" s="3">
        <v>52.62</v>
      </c>
      <c r="BW100" s="3">
        <v>48.67</v>
      </c>
      <c r="BX100" s="3">
        <v>48.96</v>
      </c>
      <c r="BY100" s="3">
        <v>15.75</v>
      </c>
      <c r="BZ100" s="3">
        <v>2.31</v>
      </c>
      <c r="CA100" s="3">
        <v>14.82</v>
      </c>
      <c r="CB100" s="3">
        <v>6.68</v>
      </c>
      <c r="CC100" s="10">
        <v>-0.96</v>
      </c>
      <c r="CD100" s="11" t="s">
        <v>4385</v>
      </c>
      <c r="CE100" s="10" t="s">
        <v>482</v>
      </c>
      <c r="CF100" s="10">
        <v>-0.35342465753424657</v>
      </c>
      <c r="CG100" s="10">
        <v>-0.25466258590176993</v>
      </c>
      <c r="CH100" s="10">
        <v>-0.53634577989578247</v>
      </c>
      <c r="CI100" s="10">
        <v>0.40997231006622314</v>
      </c>
      <c r="CJ100" s="11">
        <v>0.51680672168731689</v>
      </c>
      <c r="CK100" s="11">
        <v>3.2512373924255371</v>
      </c>
      <c r="CL100" s="11">
        <v>0.87545055150985718</v>
      </c>
      <c r="CM100" s="11">
        <v>1.8602778911590576</v>
      </c>
      <c r="CN100" s="11">
        <v>-0.77593451738357544</v>
      </c>
      <c r="CO100" s="3">
        <v>0.34964671730995178</v>
      </c>
      <c r="CP100" s="3">
        <v>1.4061310291290283</v>
      </c>
      <c r="CQ100" s="3">
        <v>-0.75123119354248047</v>
      </c>
      <c r="CR100" s="10">
        <v>-6967.9590912033254</v>
      </c>
      <c r="CS100" s="11">
        <v>-77.1283167882751</v>
      </c>
      <c r="CT100" s="3">
        <v>0.27744748315497419</v>
      </c>
      <c r="CU100" s="3">
        <v>0.90342423915863035</v>
      </c>
      <c r="CV100" s="3">
        <v>0.41777798533439636</v>
      </c>
      <c r="CW100" s="3">
        <v>0.06</v>
      </c>
      <c r="CX100" s="3">
        <v>239.38114802307675</v>
      </c>
      <c r="CY100" s="3">
        <v>61484373.859637186</v>
      </c>
      <c r="CZ100" s="3">
        <v>0.90342423915863035</v>
      </c>
      <c r="DA100" s="3">
        <v>42.084909734895533</v>
      </c>
      <c r="DB100" s="3">
        <v>349726305.5264703</v>
      </c>
      <c r="DC100" s="3">
        <v>0.85825302720069874</v>
      </c>
      <c r="DD100" s="3">
        <v>7.7946209401532514</v>
      </c>
      <c r="DE100" s="3">
        <v>1888250899.3068011</v>
      </c>
      <c r="DF100" s="3">
        <v>0.79501333045959466</v>
      </c>
      <c r="DG100" s="3">
        <v>1.2962739525464362</v>
      </c>
      <c r="DH100" s="3">
        <v>11354235708.49909</v>
      </c>
      <c r="DI100" s="3">
        <v>0.72273939132690435</v>
      </c>
      <c r="DJ100" s="3">
        <v>2.6783671258445756E-2</v>
      </c>
      <c r="DK100" s="3">
        <v>549521380320.81305</v>
      </c>
      <c r="DL100" s="3">
        <v>0.63239696741104123</v>
      </c>
      <c r="DM100" s="3">
        <v>34240100</v>
      </c>
      <c r="DN100" s="3">
        <v>0.90342423915863035</v>
      </c>
      <c r="DO100" s="3">
        <v>14718200000</v>
      </c>
      <c r="DP100" s="3">
        <v>1867222100</v>
      </c>
      <c r="DQ100" s="12">
        <v>4853</v>
      </c>
      <c r="DR100" s="3">
        <v>-1.256848896692877</v>
      </c>
      <c r="DS100" s="3">
        <v>-0.6724405712361663</v>
      </c>
      <c r="DT100" s="3">
        <v>0.33833333333333332</v>
      </c>
      <c r="DU100" s="3">
        <v>-0.47000000000000003</v>
      </c>
      <c r="DV100" s="3">
        <v>-0.13166666666666671</v>
      </c>
      <c r="DW100" s="3">
        <v>5.1437125748502996</v>
      </c>
      <c r="DX100" s="3">
        <v>0.34605061728394926</v>
      </c>
      <c r="DY100" s="3">
        <v>5.0195521845198492</v>
      </c>
      <c r="DZ100" s="3">
        <v>2680</v>
      </c>
      <c r="EA100" s="3">
        <v>5.0092978098597323</v>
      </c>
      <c r="EB100" s="13">
        <v>5</v>
      </c>
      <c r="EC100" s="13">
        <v>6.8875624999999996E-2</v>
      </c>
      <c r="ED100" s="3">
        <v>0.50624999999999998</v>
      </c>
      <c r="EE100" s="3">
        <v>3.15E-2</v>
      </c>
      <c r="EF100" s="3">
        <v>4.1999999999999989E-3</v>
      </c>
      <c r="EG100" s="3">
        <v>21.136050617283949</v>
      </c>
      <c r="EH100" s="14" t="s">
        <v>1071</v>
      </c>
      <c r="EI100" s="15">
        <v>1</v>
      </c>
      <c r="EJ100" s="15">
        <v>0</v>
      </c>
      <c r="EK100" s="15">
        <v>45470</v>
      </c>
      <c r="EL100" s="15">
        <v>-1.1000000000000001</v>
      </c>
      <c r="EM100" s="15">
        <v>-5.15</v>
      </c>
      <c r="EN100" s="15">
        <v>-4.0599999999999996</v>
      </c>
      <c r="EO100" s="15">
        <v>2.96</v>
      </c>
      <c r="EP100" s="15">
        <v>-2.73</v>
      </c>
    </row>
    <row r="101" spans="1:146" ht="96" x14ac:dyDescent="0.25">
      <c r="A101" s="3"/>
      <c r="B101" s="3"/>
      <c r="C101" s="7" t="str">
        <f>""&amp;CHAR(10)&amp;Basic_Fundamental_Information_Constructure(F101)&amp;CHAR(10)&amp;Basic_Fundamental_Information_Concatenate("")</f>
        <v xml:space="preserve">
市值76.536484亿, 利润-3545.04万; PE; 平均PE122.87; 平均PEG.58, PB3.2; ROIC10.89%; ROE12.6167%; 股利率0%; 毛利22.69%; 净利5.4433%; 上一年度营收增-66.61%, 利润增-125.69%; 当季营收增-26.04%, 利润增55.07%; 过往5年营收增213.6%, 利润增208.44%
Income profile:
</v>
      </c>
      <c r="D101" s="3" t="s">
        <v>1313</v>
      </c>
      <c r="E101" s="3" t="s">
        <v>1351</v>
      </c>
      <c r="F101" s="3">
        <v>18.739999999999998</v>
      </c>
      <c r="G101" s="3">
        <v>0.7</v>
      </c>
      <c r="H101" s="3" t="s">
        <v>4386</v>
      </c>
      <c r="I101" s="3">
        <v>7653648400</v>
      </c>
      <c r="K101" s="3">
        <v>3.2</v>
      </c>
      <c r="L101" s="3" t="s">
        <v>2983</v>
      </c>
      <c r="M101" s="3" t="s">
        <v>2634</v>
      </c>
      <c r="N101" s="3" t="s">
        <v>4387</v>
      </c>
      <c r="O101" s="3" t="s">
        <v>1293</v>
      </c>
      <c r="P101" s="3">
        <v>71.11</v>
      </c>
      <c r="Q101" s="3" t="s">
        <v>1293</v>
      </c>
      <c r="R101" s="3">
        <v>-35450368</v>
      </c>
      <c r="S101" s="3">
        <v>0.28910000000000002</v>
      </c>
      <c r="T101" s="3" t="s">
        <v>4388</v>
      </c>
      <c r="U101" s="3">
        <v>276177400</v>
      </c>
      <c r="V101" s="3">
        <v>408412400</v>
      </c>
      <c r="W101" s="3">
        <v>3.35</v>
      </c>
      <c r="X101" s="3">
        <v>0.06</v>
      </c>
      <c r="Y101" s="3">
        <v>-6.7</v>
      </c>
      <c r="Z101" s="3" t="s">
        <v>1572</v>
      </c>
      <c r="AA101" s="3" t="s">
        <v>2055</v>
      </c>
      <c r="AB101" s="3" t="s">
        <v>4389</v>
      </c>
      <c r="AC101" s="3" t="s">
        <v>4390</v>
      </c>
      <c r="AD101" s="3" t="s">
        <v>22</v>
      </c>
      <c r="AE101" s="3">
        <v>49199091</v>
      </c>
      <c r="AF101" s="3" t="s">
        <v>108</v>
      </c>
      <c r="AG101" s="3" t="s">
        <v>4391</v>
      </c>
      <c r="AH101" s="3" t="s">
        <v>2636</v>
      </c>
      <c r="AI101" s="3" t="s">
        <v>4392</v>
      </c>
      <c r="AJ101" s="3" t="s">
        <v>2637</v>
      </c>
      <c r="AK101" s="3" t="s">
        <v>4393</v>
      </c>
      <c r="AL101" s="3" t="s">
        <v>2638</v>
      </c>
      <c r="AM101" s="3" t="s">
        <v>22</v>
      </c>
      <c r="AN101" s="3" t="s">
        <v>3856</v>
      </c>
      <c r="AO101" s="3" t="s">
        <v>479</v>
      </c>
      <c r="AP101" s="3" t="s">
        <v>22</v>
      </c>
      <c r="AQ101" s="3" t="s">
        <v>4394</v>
      </c>
      <c r="AR101" s="3" t="s">
        <v>22</v>
      </c>
      <c r="AS101" s="3" t="s">
        <v>4395</v>
      </c>
      <c r="AT101" s="3" t="s">
        <v>2225</v>
      </c>
      <c r="AU101" s="3" t="s">
        <v>337</v>
      </c>
      <c r="AV101" s="3" t="s">
        <v>4396</v>
      </c>
      <c r="AW101" s="3" t="s">
        <v>192</v>
      </c>
      <c r="AX101" s="3" t="s">
        <v>1291</v>
      </c>
      <c r="AY101" s="3" t="s">
        <v>1314</v>
      </c>
      <c r="AZ101" s="3" t="s">
        <v>314</v>
      </c>
      <c r="BA101" s="3" t="s">
        <v>1240</v>
      </c>
      <c r="BB101" s="3" t="s">
        <v>1315</v>
      </c>
      <c r="BC101" s="3" t="s">
        <v>221</v>
      </c>
      <c r="BD101" s="3" t="s">
        <v>555</v>
      </c>
      <c r="BE101" s="3" t="s">
        <v>1316</v>
      </c>
      <c r="BF101" s="3" t="s">
        <v>1317</v>
      </c>
      <c r="BG101" s="3" t="s">
        <v>1318</v>
      </c>
      <c r="BH101" s="3" t="s">
        <v>1874</v>
      </c>
      <c r="BI101" s="3" t="s">
        <v>4397</v>
      </c>
      <c r="BJ101" s="3" t="s">
        <v>1291</v>
      </c>
      <c r="BK101" s="3" t="s">
        <v>2635</v>
      </c>
      <c r="BL101" s="3" t="s">
        <v>4398</v>
      </c>
      <c r="BM101" s="3" t="s">
        <v>221</v>
      </c>
      <c r="BN101" s="3" t="s">
        <v>22</v>
      </c>
      <c r="BO101" s="3">
        <v>5.43</v>
      </c>
      <c r="BP101" s="3">
        <v>16.350000000000001</v>
      </c>
      <c r="BQ101" s="3">
        <v>-4.79</v>
      </c>
      <c r="BR101" s="3">
        <v>9</v>
      </c>
      <c r="BS101" s="3">
        <v>33.64</v>
      </c>
      <c r="BT101" s="3" t="s">
        <v>1368</v>
      </c>
      <c r="BU101" s="3" t="s">
        <v>1209</v>
      </c>
      <c r="BV101" s="3">
        <v>13.9</v>
      </c>
      <c r="BW101" s="3">
        <v>21.91</v>
      </c>
      <c r="BX101" s="3">
        <v>32.26</v>
      </c>
      <c r="BY101" s="3">
        <v>-5.65</v>
      </c>
      <c r="BZ101" s="3">
        <v>6.3</v>
      </c>
      <c r="CA101" s="3">
        <v>15.68</v>
      </c>
      <c r="CB101" s="3">
        <v>-3.7</v>
      </c>
      <c r="CC101" s="10">
        <v>-7.87</v>
      </c>
      <c r="CD101" s="11" t="s">
        <v>4399</v>
      </c>
      <c r="CE101" s="10" t="s">
        <v>519</v>
      </c>
      <c r="CF101" s="10">
        <v>-0.26042726347914547</v>
      </c>
      <c r="CG101" s="10">
        <v>0.55068615658773445</v>
      </c>
      <c r="CH101" s="10">
        <v>-0.66605418920516968</v>
      </c>
      <c r="CI101" s="10">
        <v>5.9367332607507706E-2</v>
      </c>
      <c r="CJ101" s="11">
        <v>1.7473262548446655</v>
      </c>
      <c r="CK101" s="11">
        <v>1.0437158346176147</v>
      </c>
      <c r="CL101" s="11">
        <v>8.4955673217773437</v>
      </c>
      <c r="CM101" s="11">
        <v>-1.2568869590759277</v>
      </c>
      <c r="CN101" s="11">
        <v>-0.57142859697341919</v>
      </c>
      <c r="CO101" s="3">
        <v>10.561358451843262</v>
      </c>
      <c r="CP101" s="3">
        <v>1.7032488584518433</v>
      </c>
      <c r="CQ101" s="3">
        <v>-1.4254506677389145E-2</v>
      </c>
      <c r="CR101" s="10">
        <v>122.8679999293645</v>
      </c>
      <c r="CS101" s="11">
        <v>0.57522889000707533</v>
      </c>
      <c r="CT101" s="3">
        <v>0</v>
      </c>
      <c r="CU101" s="3">
        <v>2.1359845109283926</v>
      </c>
      <c r="CV101" s="3">
        <v>2.084407449513674</v>
      </c>
      <c r="CW101" s="3">
        <v>0.06</v>
      </c>
      <c r="CX101" s="3" t="e">
        <v>#VALUE!</v>
      </c>
      <c r="CY101" s="3" t="s">
        <v>1073</v>
      </c>
      <c r="CZ101" s="3">
        <v>2.1359845109283926</v>
      </c>
      <c r="DA101" s="3" t="e">
        <v>#VALUE!</v>
      </c>
      <c r="DB101" s="3" t="s">
        <v>1074</v>
      </c>
      <c r="DC101" s="3">
        <v>2.0291852853819727</v>
      </c>
      <c r="DD101" s="3" t="e">
        <v>#VALUE!</v>
      </c>
      <c r="DE101" s="3" t="s">
        <v>1074</v>
      </c>
      <c r="DF101" s="3">
        <v>1.8796663696169855</v>
      </c>
      <c r="DG101" s="3" t="e">
        <v>#VALUE!</v>
      </c>
      <c r="DH101" s="3" t="s">
        <v>1074</v>
      </c>
      <c r="DI101" s="3">
        <v>1.7087876087427141</v>
      </c>
      <c r="DJ101" s="3" t="e">
        <v>#VALUE!</v>
      </c>
      <c r="DK101" s="3" t="s">
        <v>1074</v>
      </c>
      <c r="DL101" s="3">
        <v>1.4951891576498748</v>
      </c>
      <c r="DM101" s="3">
        <v>-35450400</v>
      </c>
      <c r="DN101" s="3">
        <v>2.1359845109283926</v>
      </c>
      <c r="DO101" s="3">
        <v>12065648400</v>
      </c>
      <c r="DP101" s="3">
        <v>226944000</v>
      </c>
      <c r="DQ101" s="12">
        <v>4854</v>
      </c>
      <c r="DR101" s="3">
        <v>-2.3964117744075382</v>
      </c>
      <c r="DS101" s="3">
        <v>-1.5337212929259394</v>
      </c>
      <c r="DT101" s="3">
        <v>0.2433333333333334</v>
      </c>
      <c r="DU101" s="3">
        <v>-1.0116666666666667</v>
      </c>
      <c r="DV101" s="3">
        <v>-0.76833333333333331</v>
      </c>
      <c r="DW101" s="3">
        <v>-8.470139771283355</v>
      </c>
      <c r="DX101" s="3">
        <v>0.2867517948717942</v>
      </c>
      <c r="DY101" s="3">
        <v>-8.0501882644251133</v>
      </c>
      <c r="DZ101" s="3">
        <v>541</v>
      </c>
      <c r="EA101" s="3">
        <v>-8.0448747906376408</v>
      </c>
      <c r="EB101" s="13">
        <v>8</v>
      </c>
      <c r="EC101" s="3">
        <v>5.0969559200455226E-2</v>
      </c>
      <c r="ED101" s="3">
        <v>0.47745856883875221</v>
      </c>
      <c r="EE101" s="3">
        <v>-1.03321</v>
      </c>
      <c r="EF101" s="3">
        <v>-1.05481</v>
      </c>
      <c r="EG101" s="3">
        <v>18.106751794871794</v>
      </c>
      <c r="EH101" s="14" t="s">
        <v>1386</v>
      </c>
      <c r="EI101" s="15">
        <v>0</v>
      </c>
      <c r="EJ101" s="15">
        <v>1</v>
      </c>
      <c r="EK101" s="15">
        <v>45470</v>
      </c>
      <c r="EL101" s="15">
        <v>0.79</v>
      </c>
      <c r="EM101" s="15">
        <v>-1.59</v>
      </c>
      <c r="EN101" s="15">
        <v>-1.75</v>
      </c>
      <c r="EO101" s="15">
        <v>2.0699999999999998</v>
      </c>
      <c r="EP101" s="15">
        <v>-2.16</v>
      </c>
    </row>
    <row r="102" spans="1:146" ht="96" x14ac:dyDescent="0.25">
      <c r="C102" s="7" t="str">
        <f>""&amp;CHAR(10)&amp;Basic_Fundamental_Information_Constructure(F102)&amp;CHAR(10)&amp;Basic_Fundamental_Information_Concatenate("")</f>
        <v xml:space="preserve">
市值43.772713亿, 利润-2940.02万; PE; 平均PE38.39; 平均PEG7.59, PB3.29; ROIC41.84%; ROE8.9367%; 股利率0%; 毛利30.3933%; 净利1.9067%; 上一年度营收增-70.44%, 利润增85.73%; 当季营收增-48.13%, 利润增67.06%; 过往5年营收增5.06%, 利润增165.3%
Income profile:
</v>
      </c>
      <c r="D102" s="3" t="s">
        <v>65</v>
      </c>
      <c r="E102" s="3" t="s">
        <v>66</v>
      </c>
      <c r="F102" s="3">
        <v>49.84</v>
      </c>
      <c r="G102" s="3">
        <v>-0.5</v>
      </c>
      <c r="H102" s="3" t="s">
        <v>4400</v>
      </c>
      <c r="I102" s="3">
        <v>4377271300</v>
      </c>
      <c r="K102" s="3">
        <v>3.29</v>
      </c>
      <c r="L102" s="3" t="s">
        <v>2983</v>
      </c>
      <c r="M102" s="3" t="s">
        <v>1288</v>
      </c>
      <c r="N102" s="3" t="s">
        <v>4401</v>
      </c>
      <c r="O102" s="3" t="s">
        <v>320</v>
      </c>
      <c r="P102" s="3">
        <v>20.21</v>
      </c>
      <c r="Q102" s="3" t="s">
        <v>320</v>
      </c>
      <c r="R102" s="3">
        <v>-29400167</v>
      </c>
      <c r="S102" s="5">
        <v>0.5101</v>
      </c>
      <c r="T102" s="3" t="s">
        <v>4402</v>
      </c>
      <c r="U102" s="3">
        <v>87826470</v>
      </c>
      <c r="V102" s="3">
        <v>87826470</v>
      </c>
      <c r="W102" s="3">
        <v>1.54</v>
      </c>
      <c r="X102" s="3">
        <v>0.14000000000000001</v>
      </c>
      <c r="Y102" s="3">
        <v>-7.79</v>
      </c>
      <c r="Z102" s="3" t="s">
        <v>551</v>
      </c>
      <c r="AA102" s="3" t="s">
        <v>28</v>
      </c>
      <c r="AB102" s="3" t="s">
        <v>4403</v>
      </c>
      <c r="AC102" s="3" t="s">
        <v>4404</v>
      </c>
      <c r="AD102" s="3" t="s">
        <v>22</v>
      </c>
      <c r="AE102" s="3">
        <v>4123384</v>
      </c>
      <c r="AF102" s="3" t="s">
        <v>2641</v>
      </c>
      <c r="AG102" s="3" t="s">
        <v>2130</v>
      </c>
      <c r="AH102" s="3" t="s">
        <v>2642</v>
      </c>
      <c r="AI102" s="3" t="s">
        <v>1147</v>
      </c>
      <c r="AJ102" s="3" t="s">
        <v>2643</v>
      </c>
      <c r="AK102" s="3" t="s">
        <v>4405</v>
      </c>
      <c r="AL102" s="3" t="s">
        <v>2644</v>
      </c>
      <c r="AM102" s="3" t="s">
        <v>22</v>
      </c>
      <c r="AN102" s="3">
        <v>0</v>
      </c>
      <c r="AO102" s="3" t="s">
        <v>1200</v>
      </c>
      <c r="AP102" s="3" t="s">
        <v>4406</v>
      </c>
      <c r="AQ102" s="3" t="s">
        <v>205</v>
      </c>
      <c r="AR102" s="3" t="s">
        <v>22</v>
      </c>
      <c r="AS102" s="3" t="s">
        <v>203</v>
      </c>
      <c r="AT102" s="3" t="s">
        <v>118</v>
      </c>
      <c r="AU102" s="3" t="s">
        <v>4407</v>
      </c>
      <c r="AV102" s="3" t="s">
        <v>4408</v>
      </c>
      <c r="AW102" s="3" t="s">
        <v>4409</v>
      </c>
      <c r="AX102" s="3" t="s">
        <v>1220</v>
      </c>
      <c r="AY102" s="3" t="s">
        <v>1047</v>
      </c>
      <c r="AZ102" s="3" t="s">
        <v>564</v>
      </c>
      <c r="BA102" s="3" t="s">
        <v>297</v>
      </c>
      <c r="BB102" s="3" t="s">
        <v>670</v>
      </c>
      <c r="BC102" s="3" t="s">
        <v>1656</v>
      </c>
      <c r="BD102" s="3" t="s">
        <v>780</v>
      </c>
      <c r="BE102" s="3" t="s">
        <v>669</v>
      </c>
      <c r="BF102" s="3" t="s">
        <v>424</v>
      </c>
      <c r="BG102" s="3" t="s">
        <v>671</v>
      </c>
      <c r="BH102" s="3" t="s">
        <v>1941</v>
      </c>
      <c r="BI102" s="3" t="s">
        <v>4410</v>
      </c>
      <c r="BJ102" s="3" t="s">
        <v>1220</v>
      </c>
      <c r="BK102" s="3" t="s">
        <v>2640</v>
      </c>
      <c r="BL102" s="3" t="s">
        <v>4411</v>
      </c>
      <c r="BM102" s="3" t="s">
        <v>1656</v>
      </c>
      <c r="BN102" s="3" t="s">
        <v>22</v>
      </c>
      <c r="BO102" s="3" t="s">
        <v>22</v>
      </c>
      <c r="BP102" s="3">
        <v>41.84</v>
      </c>
      <c r="BQ102" s="3">
        <v>-2.37</v>
      </c>
      <c r="BR102" s="3">
        <v>-12.06</v>
      </c>
      <c r="BS102" s="3">
        <v>41.24</v>
      </c>
      <c r="BT102" s="3" t="s">
        <v>1383</v>
      </c>
      <c r="BU102" s="3" t="s">
        <v>3311</v>
      </c>
      <c r="BV102" s="3">
        <v>25.67</v>
      </c>
      <c r="BW102" s="3">
        <v>17.579999999999998</v>
      </c>
      <c r="BX102" s="3">
        <v>47.93</v>
      </c>
      <c r="BY102" s="3">
        <v>-6.08</v>
      </c>
      <c r="BZ102" s="3">
        <v>-19.07</v>
      </c>
      <c r="CA102" s="3">
        <v>30.87</v>
      </c>
      <c r="CB102" s="3">
        <v>-10.039999999999999</v>
      </c>
      <c r="CC102" s="3">
        <v>-2.63</v>
      </c>
      <c r="CD102" s="3" t="s">
        <v>4412</v>
      </c>
      <c r="CE102" s="3" t="s">
        <v>4413</v>
      </c>
      <c r="CF102" s="10">
        <v>-0.4813008130081301</v>
      </c>
      <c r="CG102" s="11">
        <v>0.67061884094341395</v>
      </c>
      <c r="CH102" s="10">
        <v>-0.70435589551925659</v>
      </c>
      <c r="CI102" s="10">
        <v>-0.5312771201133728</v>
      </c>
      <c r="CJ102" s="10">
        <v>1.0870352983474731</v>
      </c>
      <c r="CK102" s="10">
        <v>0.26201379299163818</v>
      </c>
      <c r="CL102" s="10">
        <v>0.1395045667886734</v>
      </c>
      <c r="CM102" s="11">
        <v>0.85728061199188232</v>
      </c>
      <c r="CN102" s="11">
        <v>-1.304283618927002</v>
      </c>
      <c r="CO102" s="11">
        <v>8.8310718536376953</v>
      </c>
      <c r="CP102" s="11">
        <v>-0.25427350401878357</v>
      </c>
      <c r="CQ102" s="11">
        <v>0.1354069858789444</v>
      </c>
      <c r="CR102" s="3">
        <v>38.389365831255411</v>
      </c>
      <c r="CS102" s="3">
        <v>7.5892116698206546</v>
      </c>
      <c r="CT102" s="3">
        <v>0</v>
      </c>
      <c r="CU102" s="10">
        <v>5.0584128499031066E-2</v>
      </c>
      <c r="CV102" s="11">
        <v>1.6530404657125473</v>
      </c>
      <c r="CW102" s="3">
        <v>0.06</v>
      </c>
      <c r="CX102" s="3" t="e">
        <v>#VALUE!</v>
      </c>
      <c r="CY102" s="3" t="s">
        <v>1073</v>
      </c>
      <c r="CZ102" s="3">
        <v>5.0584128499031066E-2</v>
      </c>
      <c r="DA102" s="3" t="e">
        <v>#VALUE!</v>
      </c>
      <c r="DB102" s="3" t="s">
        <v>1074</v>
      </c>
      <c r="DC102" s="3">
        <v>4.8054922074079513E-2</v>
      </c>
      <c r="DD102" s="3" t="e">
        <v>#VALUE!</v>
      </c>
      <c r="DE102" s="3" t="s">
        <v>1074</v>
      </c>
      <c r="DF102" s="3">
        <v>4.4514033079147336E-2</v>
      </c>
      <c r="DG102" s="3" t="e">
        <v>#VALUE!</v>
      </c>
      <c r="DH102" s="3" t="s">
        <v>1074</v>
      </c>
      <c r="DI102" s="3">
        <v>4.0467302799224857E-2</v>
      </c>
      <c r="DJ102" s="3" t="e">
        <v>#VALUE!</v>
      </c>
      <c r="DK102" s="3" t="s">
        <v>1074</v>
      </c>
      <c r="DL102" s="3">
        <v>3.5408889949321745E-2</v>
      </c>
      <c r="DM102" s="3">
        <v>-29400200</v>
      </c>
      <c r="DN102" s="3">
        <v>5.0584128499031066E-2</v>
      </c>
      <c r="DO102" s="3">
        <v>3854271300</v>
      </c>
      <c r="DP102" s="3">
        <v>462477500</v>
      </c>
      <c r="DQ102" s="3">
        <v>4859</v>
      </c>
      <c r="DR102" s="3">
        <v>-0.53188494150716115</v>
      </c>
      <c r="DS102" s="3">
        <v>-0.98242162476913331</v>
      </c>
      <c r="DT102" s="12">
        <v>-0.54</v>
      </c>
      <c r="DU102" s="3">
        <v>-0.61499999999999999</v>
      </c>
      <c r="DV102" s="3">
        <v>-1.155</v>
      </c>
      <c r="DW102" s="3">
        <v>-5.2619521912350598</v>
      </c>
      <c r="DX102" s="3">
        <v>0.31549291638061733</v>
      </c>
      <c r="DY102" s="3">
        <v>-5.0302536225180301</v>
      </c>
      <c r="DZ102" s="3">
        <v>4059</v>
      </c>
      <c r="EA102" s="3">
        <v>-5.0062224182517516</v>
      </c>
      <c r="EB102" s="3">
        <v>5</v>
      </c>
      <c r="EC102" s="3">
        <v>3.5819497242687764E-2</v>
      </c>
      <c r="ED102" s="3">
        <v>0.31014453842901801</v>
      </c>
      <c r="EE102" s="13">
        <v>-5.1027100000000001</v>
      </c>
      <c r="EF102" s="3">
        <v>-5.1245099999999999</v>
      </c>
      <c r="EG102" s="3">
        <v>20.115492916380617</v>
      </c>
      <c r="EH102" s="3" t="s">
        <v>1911</v>
      </c>
      <c r="EI102" s="3">
        <v>0</v>
      </c>
      <c r="EJ102" s="3">
        <v>0</v>
      </c>
      <c r="EK102" s="14">
        <v>45470</v>
      </c>
      <c r="EL102" s="15">
        <v>-1.88</v>
      </c>
      <c r="EM102" s="15">
        <v>-4.96</v>
      </c>
      <c r="EN102" s="15">
        <v>-0.82</v>
      </c>
      <c r="EO102" s="15">
        <v>4.5</v>
      </c>
      <c r="EP102" s="15">
        <v>-2.1800000000000002</v>
      </c>
    </row>
    <row r="103" spans="1:146" ht="96" x14ac:dyDescent="0.25">
      <c r="A103" s="3"/>
      <c r="B103" s="3"/>
      <c r="C103" s="7" t="str">
        <f>""&amp;CHAR(10)&amp;Basic_Fundamental_Information_Constructure(F103)&amp;CHAR(10)&amp;Basic_Fundamental_Information_Concatenate("")</f>
        <v xml:space="preserve">
市值40.089015亿, 利润-30.57万; PE44.36; 平均PE56.17; 平均PEG.77, PB1.62; ROIC10.0733%; ROE13.8733%; 股利率.905%; 毛利45.9967%; 净利25.34%; 上一年度营收增-74.9%, 利润增-100.13%; 当季营收增-41.03%, 利润增-100.43%; 过往5年营收增72.99%, 利润增109.68%
Income profile:
</v>
      </c>
      <c r="D103" s="3" t="s">
        <v>1319</v>
      </c>
      <c r="E103" s="3" t="s">
        <v>1328</v>
      </c>
      <c r="F103" s="3">
        <v>35.36</v>
      </c>
      <c r="G103" s="3">
        <v>-0.39</v>
      </c>
      <c r="H103" s="3" t="s">
        <v>4414</v>
      </c>
      <c r="I103" s="3">
        <v>4008901500</v>
      </c>
      <c r="J103" s="3">
        <v>44.36</v>
      </c>
      <c r="K103" s="3">
        <v>1.62</v>
      </c>
      <c r="L103" s="3" t="s">
        <v>2983</v>
      </c>
      <c r="M103" s="3" t="s">
        <v>2645</v>
      </c>
      <c r="N103" s="3" t="s">
        <v>4415</v>
      </c>
      <c r="O103" s="3" t="s">
        <v>352</v>
      </c>
      <c r="P103" s="5">
        <v>30.99</v>
      </c>
      <c r="Q103" s="3" t="s">
        <v>352</v>
      </c>
      <c r="R103" s="3">
        <v>-305728</v>
      </c>
      <c r="S103" s="3">
        <v>-1.0109999999999999</v>
      </c>
      <c r="T103" s="3" t="s">
        <v>4416</v>
      </c>
      <c r="U103" s="3">
        <v>77097481</v>
      </c>
      <c r="V103" s="3">
        <v>113373910</v>
      </c>
      <c r="W103" s="3">
        <v>1.52</v>
      </c>
      <c r="X103" s="3">
        <v>0.05</v>
      </c>
      <c r="Y103" s="3">
        <v>-0.17</v>
      </c>
      <c r="Z103" s="3" t="s">
        <v>1743</v>
      </c>
      <c r="AA103" s="3" t="s">
        <v>170</v>
      </c>
      <c r="AB103" s="3" t="s">
        <v>4417</v>
      </c>
      <c r="AC103" s="3" t="s">
        <v>4418</v>
      </c>
      <c r="AD103" s="3" t="s">
        <v>22</v>
      </c>
      <c r="AE103" s="3">
        <v>6272070</v>
      </c>
      <c r="AF103" s="3" t="s">
        <v>2646</v>
      </c>
      <c r="AG103" s="3" t="s">
        <v>4419</v>
      </c>
      <c r="AH103" s="3" t="s">
        <v>2647</v>
      </c>
      <c r="AI103" s="3" t="s">
        <v>205</v>
      </c>
      <c r="AJ103" s="3" t="s">
        <v>2648</v>
      </c>
      <c r="AK103" s="3" t="s">
        <v>4420</v>
      </c>
      <c r="AL103" s="3" t="s">
        <v>2649</v>
      </c>
      <c r="AM103" s="3" t="s">
        <v>22</v>
      </c>
      <c r="AN103" s="3" t="s">
        <v>1308</v>
      </c>
      <c r="AO103" s="3" t="s">
        <v>111</v>
      </c>
      <c r="AP103" s="3" t="s">
        <v>3329</v>
      </c>
      <c r="AQ103" s="3" t="s">
        <v>336</v>
      </c>
      <c r="AR103" s="3" t="s">
        <v>22</v>
      </c>
      <c r="AS103" s="3" t="s">
        <v>1747</v>
      </c>
      <c r="AT103" s="3" t="s">
        <v>752</v>
      </c>
      <c r="AU103" s="3" t="s">
        <v>4421</v>
      </c>
      <c r="AV103" s="3" t="s">
        <v>4422</v>
      </c>
      <c r="AW103" s="3" t="s">
        <v>4423</v>
      </c>
      <c r="AX103" s="3" t="s">
        <v>950</v>
      </c>
      <c r="AY103" s="3" t="s">
        <v>1148</v>
      </c>
      <c r="AZ103" s="3" t="s">
        <v>1085</v>
      </c>
      <c r="BA103" s="3" t="s">
        <v>1320</v>
      </c>
      <c r="BB103" s="3" t="s">
        <v>1321</v>
      </c>
      <c r="BC103" s="3" t="s">
        <v>144</v>
      </c>
      <c r="BD103" s="3" t="s">
        <v>117</v>
      </c>
      <c r="BE103" s="3" t="s">
        <v>1322</v>
      </c>
      <c r="BF103" s="3" t="s">
        <v>1323</v>
      </c>
      <c r="BG103" s="3" t="s">
        <v>1324</v>
      </c>
      <c r="BH103" s="3" t="s">
        <v>520</v>
      </c>
      <c r="BI103" s="3" t="s">
        <v>379</v>
      </c>
      <c r="BJ103" s="3" t="s">
        <v>950</v>
      </c>
      <c r="BK103" s="3" t="s">
        <v>140</v>
      </c>
      <c r="BL103" s="3" t="s">
        <v>4424</v>
      </c>
      <c r="BM103" s="3" t="s">
        <v>144</v>
      </c>
      <c r="BN103" s="3">
        <v>3.97</v>
      </c>
      <c r="BO103" s="3">
        <v>12.1</v>
      </c>
      <c r="BP103" s="3">
        <v>14.15</v>
      </c>
      <c r="BQ103" s="3">
        <v>3.75</v>
      </c>
      <c r="BR103" s="3">
        <v>19.829999999999998</v>
      </c>
      <c r="BS103" s="3">
        <v>18.04</v>
      </c>
      <c r="BT103" s="3" t="s">
        <v>1375</v>
      </c>
      <c r="BU103" s="3" t="s">
        <v>1209</v>
      </c>
      <c r="BV103" s="3">
        <v>38.96</v>
      </c>
      <c r="BW103" s="3">
        <v>48.57</v>
      </c>
      <c r="BX103" s="3">
        <v>50.46</v>
      </c>
      <c r="BY103" s="3">
        <v>16.02</v>
      </c>
      <c r="BZ103" s="3">
        <v>33.200000000000003</v>
      </c>
      <c r="CA103" s="3">
        <v>26.8</v>
      </c>
      <c r="CB103" s="3">
        <v>-10.09</v>
      </c>
      <c r="CC103" s="10">
        <v>-24.65</v>
      </c>
      <c r="CD103" s="11" t="s">
        <v>4425</v>
      </c>
      <c r="CE103" s="10" t="s">
        <v>4426</v>
      </c>
      <c r="CF103" s="10">
        <v>-0.41025641025641024</v>
      </c>
      <c r="CG103" s="10">
        <v>-1.0043204255307121</v>
      </c>
      <c r="CH103" s="10">
        <v>-0.74897682666778564</v>
      </c>
      <c r="CI103" s="10">
        <v>0.48681542277336121</v>
      </c>
      <c r="CJ103" s="11">
        <v>2.0621118545532227</v>
      </c>
      <c r="CK103" s="11">
        <v>1.0658718347549438</v>
      </c>
      <c r="CL103" s="11">
        <v>0.78379702568054199</v>
      </c>
      <c r="CM103" s="11">
        <v>-1.0012528896331787</v>
      </c>
      <c r="CN103" s="11">
        <v>0.84848487377166748</v>
      </c>
      <c r="CO103" s="3">
        <v>2.7880635261535645</v>
      </c>
      <c r="CP103" s="3">
        <v>2.0898137092590332</v>
      </c>
      <c r="CQ103" s="3">
        <v>0.75894069671630859</v>
      </c>
      <c r="CR103" s="10">
        <v>56.169356147547781</v>
      </c>
      <c r="CS103" s="11">
        <v>0.7695234949135864</v>
      </c>
      <c r="CT103" s="3">
        <v>0.90497737556561098</v>
      </c>
      <c r="CU103" s="3">
        <v>0.72992386221885686</v>
      </c>
      <c r="CV103" s="3">
        <v>1.096809983253479</v>
      </c>
      <c r="CW103" s="3">
        <v>0.06</v>
      </c>
      <c r="CX103" s="3" t="e">
        <v>#VALUE!</v>
      </c>
      <c r="CY103" s="3" t="s">
        <v>1073</v>
      </c>
      <c r="CZ103" s="3">
        <v>0.72992386221885686</v>
      </c>
      <c r="DA103" s="3" t="e">
        <v>#VALUE!</v>
      </c>
      <c r="DB103" s="3" t="s">
        <v>1074</v>
      </c>
      <c r="DC103" s="3">
        <v>0.69342766910791398</v>
      </c>
      <c r="DD103" s="3" t="e">
        <v>#VALUE!</v>
      </c>
      <c r="DE103" s="3" t="s">
        <v>1074</v>
      </c>
      <c r="DF103" s="3">
        <v>0.64233299875259409</v>
      </c>
      <c r="DG103" s="3" t="e">
        <v>#VALUE!</v>
      </c>
      <c r="DH103" s="3" t="s">
        <v>1074</v>
      </c>
      <c r="DI103" s="3">
        <v>0.58393908977508546</v>
      </c>
      <c r="DJ103" s="3" t="e">
        <v>#VALUE!</v>
      </c>
      <c r="DK103" s="3" t="s">
        <v>1074</v>
      </c>
      <c r="DL103" s="3">
        <v>0.51094670355319982</v>
      </c>
      <c r="DM103" s="3">
        <v>-305700</v>
      </c>
      <c r="DN103" s="3">
        <v>0.72992386221885686</v>
      </c>
      <c r="DO103" s="3">
        <v>2682901500</v>
      </c>
      <c r="DP103" s="3">
        <v>113913090</v>
      </c>
      <c r="DQ103" s="12">
        <v>4863</v>
      </c>
      <c r="DR103" s="3">
        <v>-1.1401802724752672</v>
      </c>
      <c r="DS103" s="3">
        <v>-2.1011304087841909</v>
      </c>
      <c r="DT103" s="3">
        <v>0.19166666666666665</v>
      </c>
      <c r="DU103" s="3">
        <v>-0.39283333333333353</v>
      </c>
      <c r="DV103" s="3">
        <v>-0.20116666666666688</v>
      </c>
      <c r="DW103" s="3">
        <v>-9.4093306288032448</v>
      </c>
      <c r="DX103" s="3">
        <v>0.35250622858260555</v>
      </c>
      <c r="DY103" s="3">
        <v>-9.0706120830181938</v>
      </c>
      <c r="DZ103" s="3">
        <v>4891</v>
      </c>
      <c r="EA103" s="3">
        <v>-9.0030262321293506</v>
      </c>
      <c r="EB103" s="13">
        <v>9</v>
      </c>
      <c r="EC103" s="3">
        <v>7.157643235555694E-2</v>
      </c>
      <c r="ED103" s="3">
        <v>0.41492085789402516</v>
      </c>
      <c r="EE103" s="3">
        <v>-3.0921099999999999</v>
      </c>
      <c r="EF103" s="3">
        <v>-3.1377100000000002</v>
      </c>
      <c r="EG103" s="3">
        <v>18.172506228582606</v>
      </c>
      <c r="EH103" s="14" t="s">
        <v>1838</v>
      </c>
      <c r="EI103" s="15">
        <v>0</v>
      </c>
      <c r="EJ103" s="15">
        <v>0</v>
      </c>
      <c r="EK103" s="15">
        <v>45470</v>
      </c>
      <c r="EL103" s="15">
        <v>3.9</v>
      </c>
      <c r="EM103" s="15">
        <v>-3.97</v>
      </c>
      <c r="EN103" s="15">
        <v>-1.1499999999999999</v>
      </c>
      <c r="EO103" s="15">
        <v>2.09</v>
      </c>
      <c r="EP103" s="15">
        <v>-4.5599999999999996</v>
      </c>
    </row>
    <row r="104" spans="1:146" ht="96" x14ac:dyDescent="0.25">
      <c r="C104" s="7" t="str">
        <f>""&amp;CHAR(10)&amp;Basic_Fundamental_Information_Constructure(F104)&amp;CHAR(10)&amp;Basic_Fundamental_Information_Concatenate("")</f>
        <v xml:space="preserve">
市值62.496977亿, 利润2882.73万; PE; 平均PE36.61; 平均PEG1.03, PB2.09; ROIC43.18%; ROE29.36%; 股利率1.6015%; 毛利42.4967%; 净利25.6667%; 上一年度营收增-67.82%, 利润增-51.42%; 当季营收增-28.82%, 利润增8.62%; 过往5年营收增35.46%, 利润增169.22%
Income profile:
</v>
      </c>
      <c r="D104" s="3" t="s">
        <v>1139</v>
      </c>
      <c r="E104" s="3" t="s">
        <v>1241</v>
      </c>
      <c r="F104" s="3">
        <v>15.61</v>
      </c>
      <c r="G104" s="3">
        <v>0.52</v>
      </c>
      <c r="H104" s="3" t="s">
        <v>4427</v>
      </c>
      <c r="I104" s="3">
        <v>6249697700</v>
      </c>
      <c r="K104" s="3">
        <v>2.09</v>
      </c>
      <c r="L104" s="3" t="s">
        <v>2983</v>
      </c>
      <c r="M104" s="3" t="s">
        <v>1174</v>
      </c>
      <c r="N104" s="3" t="s">
        <v>4428</v>
      </c>
      <c r="O104" s="3" t="s">
        <v>227</v>
      </c>
      <c r="P104" s="3">
        <v>56.12</v>
      </c>
      <c r="Q104" s="3" t="s">
        <v>227</v>
      </c>
      <c r="R104" s="3">
        <v>28827268</v>
      </c>
      <c r="S104" s="5">
        <v>-0.33279999999999998</v>
      </c>
      <c r="T104" s="3" t="s">
        <v>4429</v>
      </c>
      <c r="U104" s="3">
        <v>145835740</v>
      </c>
      <c r="V104" s="3">
        <v>400365000</v>
      </c>
      <c r="W104" s="3">
        <v>1.06</v>
      </c>
      <c r="X104" s="3">
        <v>0.06</v>
      </c>
      <c r="Y104" s="3">
        <v>14.03</v>
      </c>
      <c r="Z104" s="3" t="s">
        <v>446</v>
      </c>
      <c r="AA104" s="3" t="s">
        <v>850</v>
      </c>
      <c r="AB104" s="3" t="s">
        <v>4430</v>
      </c>
      <c r="AC104" s="3" t="s">
        <v>4431</v>
      </c>
      <c r="AD104" s="3" t="s">
        <v>22</v>
      </c>
      <c r="AE104" s="3">
        <v>737975</v>
      </c>
      <c r="AF104" s="3" t="s">
        <v>2651</v>
      </c>
      <c r="AG104" s="3" t="s">
        <v>4432</v>
      </c>
      <c r="AH104" s="3" t="s">
        <v>2652</v>
      </c>
      <c r="AI104" s="3" t="s">
        <v>4433</v>
      </c>
      <c r="AJ104" s="3" t="s">
        <v>2653</v>
      </c>
      <c r="AK104" s="3" t="s">
        <v>4434</v>
      </c>
      <c r="AL104" s="3" t="s">
        <v>2654</v>
      </c>
      <c r="AM104" s="3" t="s">
        <v>22</v>
      </c>
      <c r="AN104" s="3">
        <v>0</v>
      </c>
      <c r="AO104" s="3" t="s">
        <v>22</v>
      </c>
      <c r="AP104" s="3" t="s">
        <v>22</v>
      </c>
      <c r="AQ104" s="3" t="s">
        <v>170</v>
      </c>
      <c r="AR104" s="3" t="s">
        <v>22</v>
      </c>
      <c r="AS104" s="3" t="s">
        <v>482</v>
      </c>
      <c r="AT104" s="3" t="s">
        <v>22</v>
      </c>
      <c r="AU104" s="3" t="s">
        <v>4435</v>
      </c>
      <c r="AV104" s="3" t="s">
        <v>4436</v>
      </c>
      <c r="AW104" s="3" t="s">
        <v>4437</v>
      </c>
      <c r="AX104" s="3" t="s">
        <v>540</v>
      </c>
      <c r="AY104" s="3" t="s">
        <v>1140</v>
      </c>
      <c r="AZ104" s="3" t="s">
        <v>218</v>
      </c>
      <c r="BA104" s="3" t="s">
        <v>222</v>
      </c>
      <c r="BB104" s="3" t="s">
        <v>302</v>
      </c>
      <c r="BC104" s="3" t="s">
        <v>2655</v>
      </c>
      <c r="BD104" s="3" t="s">
        <v>862</v>
      </c>
      <c r="BE104" s="3" t="s">
        <v>1141</v>
      </c>
      <c r="BF104" s="3" t="s">
        <v>1142</v>
      </c>
      <c r="BG104" s="3" t="s">
        <v>1143</v>
      </c>
      <c r="BH104" s="3" t="s">
        <v>1083</v>
      </c>
      <c r="BI104" s="3" t="s">
        <v>229</v>
      </c>
      <c r="BJ104" s="3" t="s">
        <v>540</v>
      </c>
      <c r="BK104" s="3" t="s">
        <v>2650</v>
      </c>
      <c r="BL104" s="3" t="s">
        <v>4438</v>
      </c>
      <c r="BM104" s="3" t="s">
        <v>2655</v>
      </c>
      <c r="BN104" s="3" t="s">
        <v>22</v>
      </c>
      <c r="BO104" s="3">
        <v>2.09</v>
      </c>
      <c r="BP104" s="3">
        <v>84.27</v>
      </c>
      <c r="BQ104" s="3">
        <v>-0.19</v>
      </c>
      <c r="BR104" s="3">
        <v>3.04</v>
      </c>
      <c r="BS104" s="3">
        <v>85.23</v>
      </c>
      <c r="BT104" s="3" t="s">
        <v>1381</v>
      </c>
      <c r="BU104" s="3" t="s">
        <v>2998</v>
      </c>
      <c r="BV104" s="3">
        <v>17.45</v>
      </c>
      <c r="BW104" s="3">
        <v>41.1</v>
      </c>
      <c r="BX104" s="3">
        <v>68.94</v>
      </c>
      <c r="BY104" s="3">
        <v>-3.08</v>
      </c>
      <c r="BZ104" s="3">
        <v>9.2899999999999991</v>
      </c>
      <c r="CA104" s="3">
        <v>70.790000000000006</v>
      </c>
      <c r="CB104" s="3">
        <v>-6.64</v>
      </c>
      <c r="CC104" s="3">
        <v>-6.3</v>
      </c>
      <c r="CD104" s="3" t="s">
        <v>4439</v>
      </c>
      <c r="CE104" s="3" t="s">
        <v>24</v>
      </c>
      <c r="CF104" s="10">
        <v>-0.28819444444444453</v>
      </c>
      <c r="CG104" s="11">
        <v>8.6169636364321275E-2</v>
      </c>
      <c r="CH104" s="10">
        <v>-0.67817896604537964</v>
      </c>
      <c r="CI104" s="10">
        <v>-0.42560863494873047</v>
      </c>
      <c r="CJ104" s="10">
        <v>1.9338622093200684</v>
      </c>
      <c r="CK104" s="10">
        <v>0.54285717010498047</v>
      </c>
      <c r="CL104" s="10">
        <v>0.40000000596046448</v>
      </c>
      <c r="CM104" s="11">
        <v>-0.51423561573028564</v>
      </c>
      <c r="CN104" s="11">
        <v>-0.92440229654312134</v>
      </c>
      <c r="CO104" s="11">
        <v>7.3786959648132324</v>
      </c>
      <c r="CP104" s="11">
        <v>2.748889684677124</v>
      </c>
      <c r="CQ104" s="11">
        <v>-0.22782635688781738</v>
      </c>
      <c r="CR104" s="3">
        <v>36.611531784398608</v>
      </c>
      <c r="CS104" s="3">
        <v>1.032513831234807</v>
      </c>
      <c r="CT104" s="3">
        <v>1.6015374759769379</v>
      </c>
      <c r="CU104" s="10">
        <v>0.35458635687828066</v>
      </c>
      <c r="CV104" s="11">
        <v>1.6922242760658264</v>
      </c>
      <c r="CW104" s="3">
        <v>0.06</v>
      </c>
      <c r="CX104" s="3">
        <v>93.154582551014101</v>
      </c>
      <c r="CY104" s="3">
        <v>36838742.7222993</v>
      </c>
      <c r="CZ104" s="3">
        <v>0.35458635687828066</v>
      </c>
      <c r="DA104" s="3">
        <v>24.505578669147177</v>
      </c>
      <c r="DB104" s="3">
        <v>140037407.25047842</v>
      </c>
      <c r="DC104" s="3">
        <v>0.33685703903436659</v>
      </c>
      <c r="DD104" s="3">
        <v>8.8082575634075564</v>
      </c>
      <c r="DE104" s="3">
        <v>389600062.81564903</v>
      </c>
      <c r="DF104" s="3">
        <v>0.31203599405288701</v>
      </c>
      <c r="DG104" s="3">
        <v>3.5862923035967547</v>
      </c>
      <c r="DH104" s="3">
        <v>956892915.99524415</v>
      </c>
      <c r="DI104" s="3">
        <v>0.28366908550262454</v>
      </c>
      <c r="DJ104" s="3">
        <v>0.7100186400529912</v>
      </c>
      <c r="DK104" s="3">
        <v>4833250152.0578108</v>
      </c>
      <c r="DL104" s="3">
        <v>0.24821044981479645</v>
      </c>
      <c r="DM104" s="3">
        <v>28827300</v>
      </c>
      <c r="DN104" s="3">
        <v>0.35458635687828066</v>
      </c>
      <c r="DO104" s="3">
        <v>3431697700</v>
      </c>
      <c r="DP104" s="3">
        <v>2777356200</v>
      </c>
      <c r="DQ104" s="3">
        <v>4870</v>
      </c>
      <c r="DR104" s="3">
        <v>-0.64278080132272519</v>
      </c>
      <c r="DS104" s="3">
        <v>-1.6060546397015052</v>
      </c>
      <c r="DT104" s="12">
        <v>-0.35500000000000004</v>
      </c>
      <c r="DU104" s="3">
        <v>0.18533333333333324</v>
      </c>
      <c r="DV104" s="3">
        <v>-0.1696666666666668</v>
      </c>
      <c r="DW104" s="3">
        <v>-5.9487951807228914</v>
      </c>
      <c r="DX104" s="3">
        <v>0.2690196428571433</v>
      </c>
      <c r="DY104" s="3">
        <v>-5.1129252635542173</v>
      </c>
      <c r="DZ104" s="3">
        <v>170</v>
      </c>
      <c r="EA104" s="3">
        <v>-5.1091684543948794</v>
      </c>
      <c r="EB104" s="3">
        <v>5</v>
      </c>
      <c r="EC104" s="3">
        <v>3.329511820463827E-2</v>
      </c>
      <c r="ED104" s="3">
        <v>0.27974473293120034</v>
      </c>
      <c r="EE104" s="13">
        <v>-3.0643099999999999</v>
      </c>
      <c r="EF104" s="3">
        <v>-3.0622099999999999</v>
      </c>
      <c r="EG104" s="3">
        <v>15.119019642857143</v>
      </c>
      <c r="EH104" s="3" t="s">
        <v>1838</v>
      </c>
      <c r="EI104" s="3">
        <v>0</v>
      </c>
      <c r="EJ104" s="3">
        <v>1</v>
      </c>
      <c r="EK104" s="14">
        <v>45470</v>
      </c>
      <c r="EL104" s="15">
        <v>2.96</v>
      </c>
      <c r="EM104" s="15">
        <v>-4.9800000000000004</v>
      </c>
      <c r="EN104" s="15">
        <v>-4.47</v>
      </c>
      <c r="EO104" s="15">
        <v>3.39</v>
      </c>
      <c r="EP104" s="15">
        <v>0.21</v>
      </c>
    </row>
    <row r="105" spans="1:146" ht="96" x14ac:dyDescent="0.25">
      <c r="C105" s="7" t="str">
        <f>""&amp;CHAR(10)&amp;Basic_Fundamental_Information_Constructure(F105)&amp;CHAR(10)&amp;Basic_Fundamental_Information_Concatenate("")</f>
        <v xml:space="preserve">
市值48.11976亿, 利润1605.97万; PE224.1; 平均PE74.09; 平均PEG2.46, PB1.63; ROIC15.9333%; ROE17.0767%; 股利率.7862%; 毛利52.03%; 净利23.7233%; 上一年度营收增-74.5%, 利润增-90.77%; 当季营收增-29.28%, 利润增-44.56%; 过往5年营收增30.17%, 利润增367.79%
Income profile:
</v>
      </c>
      <c r="D105" s="3" t="s">
        <v>1160</v>
      </c>
      <c r="E105" s="3" t="s">
        <v>1161</v>
      </c>
      <c r="F105" s="3">
        <v>19.079999999999998</v>
      </c>
      <c r="G105" s="3">
        <v>5.3</v>
      </c>
      <c r="H105" s="3" t="s">
        <v>4440</v>
      </c>
      <c r="I105" s="3">
        <v>4811976000</v>
      </c>
      <c r="J105" s="3">
        <v>224.1</v>
      </c>
      <c r="K105" s="3">
        <v>1.63</v>
      </c>
      <c r="L105" s="3" t="s">
        <v>2983</v>
      </c>
      <c r="M105" s="3" t="s">
        <v>2656</v>
      </c>
      <c r="N105" s="3" t="s">
        <v>4441</v>
      </c>
      <c r="O105" s="3" t="s">
        <v>318</v>
      </c>
      <c r="P105" s="3">
        <v>69.81</v>
      </c>
      <c r="Q105" s="3" t="s">
        <v>318</v>
      </c>
      <c r="R105" s="3">
        <v>16059708</v>
      </c>
      <c r="S105" s="5">
        <v>0.60829999999999995</v>
      </c>
      <c r="T105" s="3" t="s">
        <v>4442</v>
      </c>
      <c r="U105" s="3">
        <v>186354900</v>
      </c>
      <c r="V105" s="3">
        <v>252200000</v>
      </c>
      <c r="W105" s="3">
        <v>1.03</v>
      </c>
      <c r="X105" s="3">
        <v>0.04</v>
      </c>
      <c r="Y105" s="3">
        <v>12.52</v>
      </c>
      <c r="Z105" s="3" t="s">
        <v>318</v>
      </c>
      <c r="AA105" s="3" t="s">
        <v>4443</v>
      </c>
      <c r="AB105" s="3" t="s">
        <v>4444</v>
      </c>
      <c r="AC105" s="3" t="s">
        <v>4445</v>
      </c>
      <c r="AD105" s="3" t="s">
        <v>22</v>
      </c>
      <c r="AE105" s="3">
        <v>-849273</v>
      </c>
      <c r="AF105" s="3" t="s">
        <v>2659</v>
      </c>
      <c r="AG105" s="3">
        <v>6486.89</v>
      </c>
      <c r="AH105" s="3" t="s">
        <v>2660</v>
      </c>
      <c r="AI105" s="3" t="s">
        <v>200</v>
      </c>
      <c r="AJ105" s="3" t="s">
        <v>2661</v>
      </c>
      <c r="AK105" s="3" t="s">
        <v>4446</v>
      </c>
      <c r="AL105" s="3" t="s">
        <v>2662</v>
      </c>
      <c r="AM105" s="3" t="s">
        <v>22</v>
      </c>
      <c r="AN105" s="3" t="s">
        <v>4447</v>
      </c>
      <c r="AO105" s="3" t="s">
        <v>22</v>
      </c>
      <c r="AP105" s="3" t="s">
        <v>22</v>
      </c>
      <c r="AQ105" s="3" t="s">
        <v>4448</v>
      </c>
      <c r="AR105" s="3" t="s">
        <v>22</v>
      </c>
      <c r="AS105" s="3" t="s">
        <v>4449</v>
      </c>
      <c r="AT105" s="3" t="s">
        <v>22</v>
      </c>
      <c r="AU105" s="3" t="s">
        <v>4450</v>
      </c>
      <c r="AV105" s="3" t="s">
        <v>120</v>
      </c>
      <c r="AW105" s="3" t="s">
        <v>1846</v>
      </c>
      <c r="AX105" s="3" t="s">
        <v>817</v>
      </c>
      <c r="AY105" s="3" t="s">
        <v>752</v>
      </c>
      <c r="AZ105" s="3" t="s">
        <v>581</v>
      </c>
      <c r="BA105" s="3" t="s">
        <v>305</v>
      </c>
      <c r="BB105" s="3" t="s">
        <v>1162</v>
      </c>
      <c r="BC105" s="3" t="s">
        <v>220</v>
      </c>
      <c r="BD105" s="3" t="s">
        <v>300</v>
      </c>
      <c r="BE105" s="3" t="s">
        <v>1163</v>
      </c>
      <c r="BF105" s="3" t="s">
        <v>1164</v>
      </c>
      <c r="BG105" s="3" t="s">
        <v>1165</v>
      </c>
      <c r="BH105" s="3" t="s">
        <v>409</v>
      </c>
      <c r="BI105" s="3" t="s">
        <v>216</v>
      </c>
      <c r="BJ105" s="3" t="s">
        <v>817</v>
      </c>
      <c r="BK105" s="3" t="s">
        <v>2657</v>
      </c>
      <c r="BL105" s="3" t="s">
        <v>4451</v>
      </c>
      <c r="BM105" s="3" t="s">
        <v>220</v>
      </c>
      <c r="BN105" s="3">
        <v>0.77</v>
      </c>
      <c r="BO105" s="3">
        <v>9.27</v>
      </c>
      <c r="BP105" s="3">
        <v>37.76</v>
      </c>
      <c r="BQ105" s="3">
        <v>1.06</v>
      </c>
      <c r="BR105" s="3">
        <v>12.29</v>
      </c>
      <c r="BS105" s="3">
        <v>37.880000000000003</v>
      </c>
      <c r="BT105" s="3" t="s">
        <v>1371</v>
      </c>
      <c r="BU105" s="3" t="s">
        <v>3311</v>
      </c>
      <c r="BV105" s="3">
        <v>47.43</v>
      </c>
      <c r="BW105" s="3">
        <v>55.02</v>
      </c>
      <c r="BX105" s="3">
        <v>53.64</v>
      </c>
      <c r="BY105" s="3">
        <v>4.04</v>
      </c>
      <c r="BZ105" s="3">
        <v>34.619999999999997</v>
      </c>
      <c r="CA105" s="3">
        <v>32.51</v>
      </c>
      <c r="CB105" s="3">
        <v>-2.0499999999999998</v>
      </c>
      <c r="CC105" s="3">
        <v>6.35</v>
      </c>
      <c r="CD105" s="3" t="s">
        <v>4452</v>
      </c>
      <c r="CE105" s="3" t="s">
        <v>450</v>
      </c>
      <c r="CF105" s="10">
        <v>-0.29281767955801102</v>
      </c>
      <c r="CG105" s="11">
        <v>-0.44564349326889885</v>
      </c>
      <c r="CH105" s="10">
        <v>-0.74501991271972656</v>
      </c>
      <c r="CI105" s="10">
        <v>-1.1811023578047752E-2</v>
      </c>
      <c r="CJ105" s="10">
        <v>1.0483870506286621</v>
      </c>
      <c r="CK105" s="10">
        <v>0.81021898984909058</v>
      </c>
      <c r="CL105" s="10">
        <v>0.40668639540672302</v>
      </c>
      <c r="CM105" s="11">
        <v>-0.90770292282104492</v>
      </c>
      <c r="CN105" s="11">
        <v>5.4545454680919647E-2</v>
      </c>
      <c r="CO105" s="11">
        <v>3.1068577766418457</v>
      </c>
      <c r="CP105" s="11">
        <v>14.822582244873047</v>
      </c>
      <c r="CQ105" s="11">
        <v>1.3133499622344971</v>
      </c>
      <c r="CR105" s="3">
        <v>74.092675843952946</v>
      </c>
      <c r="CS105" s="3">
        <v>2.4559021182924914</v>
      </c>
      <c r="CT105" s="3">
        <v>0.78616352201257866</v>
      </c>
      <c r="CU105" s="10">
        <v>0.30169229991734026</v>
      </c>
      <c r="CV105" s="11">
        <v>3.6779265031218529</v>
      </c>
      <c r="CW105" s="3">
        <v>0.06</v>
      </c>
      <c r="CX105" s="3">
        <v>99.403331571681491</v>
      </c>
      <c r="CY105" s="3">
        <v>19721497.951870292</v>
      </c>
      <c r="CZ105" s="3">
        <v>0.30169229991734026</v>
      </c>
      <c r="DA105" s="3">
        <v>27.276254020711725</v>
      </c>
      <c r="DB105" s="3">
        <v>71871401.348272353</v>
      </c>
      <c r="DC105" s="3">
        <v>0.2866076849214732</v>
      </c>
      <c r="DD105" s="3">
        <v>10.457371193106763</v>
      </c>
      <c r="DE105" s="3">
        <v>187464188.06403613</v>
      </c>
      <c r="DF105" s="3">
        <v>0.26548922392725943</v>
      </c>
      <c r="DG105" s="3">
        <v>4.629967348979406</v>
      </c>
      <c r="DH105" s="3">
        <v>423411754.82201433</v>
      </c>
      <c r="DI105" s="3">
        <v>0.24135383993387222</v>
      </c>
      <c r="DJ105" s="3">
        <v>1.1378608328769377</v>
      </c>
      <c r="DK105" s="3">
        <v>1722866754.3142509</v>
      </c>
      <c r="DL105" s="3">
        <v>0.21118460994213817</v>
      </c>
      <c r="DM105" s="3">
        <v>16059700</v>
      </c>
      <c r="DN105" s="3">
        <v>0.30169229991734026</v>
      </c>
      <c r="DO105" s="3">
        <v>1960382600</v>
      </c>
      <c r="DP105" s="3">
        <v>2406495100</v>
      </c>
      <c r="DQ105" s="3">
        <v>4871</v>
      </c>
      <c r="DR105" s="3">
        <v>-0.59450997947535122</v>
      </c>
      <c r="DS105" s="3">
        <v>-4.1235699963907519</v>
      </c>
      <c r="DT105" s="12">
        <v>-0.17333333333333334</v>
      </c>
      <c r="DU105" s="3">
        <v>0.42666666666666658</v>
      </c>
      <c r="DV105" s="3">
        <v>0.25333333333333324</v>
      </c>
      <c r="DW105" s="3">
        <v>2.0634999999999999</v>
      </c>
      <c r="DX105" s="3">
        <v>0.46642991452991356</v>
      </c>
      <c r="DY105" s="3">
        <v>2.0118382995726494</v>
      </c>
      <c r="DZ105" s="3" t="s">
        <v>1881</v>
      </c>
      <c r="EA105" s="3" t="e">
        <v>#VALUE!</v>
      </c>
      <c r="EB105" s="3" t="e">
        <v>#VALUE!</v>
      </c>
      <c r="EC105" s="3">
        <v>8.6488104678826325E-2</v>
      </c>
      <c r="ED105" s="3">
        <v>0.46391752577319589</v>
      </c>
      <c r="EE105" s="13">
        <v>-3.0571999999999999</v>
      </c>
      <c r="EF105" s="3">
        <v>-3.0200999999999998</v>
      </c>
      <c r="EG105" s="3">
        <v>28.186429914529914</v>
      </c>
      <c r="EH105" s="3" t="s">
        <v>1745</v>
      </c>
      <c r="EI105" s="3" t="e">
        <v>#VALUE!</v>
      </c>
      <c r="EJ105" s="3">
        <v>0</v>
      </c>
      <c r="EK105" s="14">
        <v>45470</v>
      </c>
      <c r="EL105" s="15">
        <v>2.02</v>
      </c>
      <c r="EM105" s="15">
        <v>-5.32</v>
      </c>
      <c r="EN105" s="15">
        <v>-3.79</v>
      </c>
      <c r="EO105" s="15">
        <v>2.31</v>
      </c>
      <c r="EP105" s="15">
        <v>-3.71</v>
      </c>
    </row>
    <row r="106" spans="1:146" ht="216" x14ac:dyDescent="0.25">
      <c r="A106" s="7" t="s">
        <v>1341</v>
      </c>
      <c r="B106" s="7" t="s">
        <v>1340</v>
      </c>
      <c r="C106" s="7" t="str">
        <f>"公司是一家从事超大规模集成电路的设计、开发、测试，并为客户提供系统解决方案的专业公司。公司主要产品包括安全与识别芯片、非挥发存储器、智能电表芯片、FPGA芯片和集成电路测试服务。"&amp;CHAR(10)&amp;Basic_Fundamental_Information_Constructure(F106)&amp;CHAR(10)&amp;Basic_Fundamental_Information_Concatenate("设计分部 15.88亿 93.27% 94.03% 65.53%
测试分部 1.24亿 7.30% 5.06% 45.09%")</f>
        <v>公司是一家从事超大规模集成电路的设计、开发、测试，并为客户提供系统解决方案的专业公司。公司主要产品包括安全与识别芯片、非挥发存储器、智能电表芯片、FPGA芯片和集成电路测试服务。
市值243.17903亿, 利润1.61亿; PE35.12; 平均PE79.86; 平均PEG12.03, PB4.44; ROIC18.79%; ROE20.86%; 股利率.3368%; 毛利61.5967%; 净利24.8167%; 上一年度营收增-74.77%, 利润增-85.05%; 当季营收增-50.28%, 利润增-64.09%; 过往5年营收增6.64%, 利润增47.46%
Income profile:
设计分部 15.88亿 93.27% 94.03% 65.53%
测试分部 1.24亿 7.30% 5.06% 45.09%</v>
      </c>
      <c r="D106" s="3" t="s">
        <v>812</v>
      </c>
      <c r="E106" s="3" t="s">
        <v>813</v>
      </c>
      <c r="F106" s="3">
        <v>29.69</v>
      </c>
      <c r="G106" s="3">
        <v>0.61</v>
      </c>
      <c r="H106" s="3" t="s">
        <v>4453</v>
      </c>
      <c r="I106" s="3">
        <v>24317903000</v>
      </c>
      <c r="J106" s="3">
        <v>35.119999999999997</v>
      </c>
      <c r="K106" s="3">
        <v>4.4400000000000004</v>
      </c>
      <c r="L106" s="3" t="s">
        <v>2983</v>
      </c>
      <c r="M106" s="3" t="s">
        <v>2663</v>
      </c>
      <c r="N106" s="3" t="s">
        <v>4454</v>
      </c>
      <c r="O106" s="3" t="s">
        <v>2022</v>
      </c>
      <c r="P106" s="3">
        <v>10.3</v>
      </c>
      <c r="Q106" s="3" t="s">
        <v>2022</v>
      </c>
      <c r="R106" s="3">
        <v>161246750</v>
      </c>
      <c r="S106" s="5">
        <v>-0.14349999999999999</v>
      </c>
      <c r="T106" s="3" t="s">
        <v>1085</v>
      </c>
      <c r="U106" s="3">
        <v>318380400</v>
      </c>
      <c r="V106" s="3">
        <v>819060400</v>
      </c>
      <c r="W106" s="3">
        <v>1.38</v>
      </c>
      <c r="X106" s="3">
        <v>0.11</v>
      </c>
      <c r="Y106" s="3">
        <v>17.739999999999998</v>
      </c>
      <c r="Z106" s="3" t="s">
        <v>4455</v>
      </c>
      <c r="AA106" s="3" t="s">
        <v>1225</v>
      </c>
      <c r="AB106" s="3" t="s">
        <v>4456</v>
      </c>
      <c r="AC106" s="3" t="s">
        <v>4457</v>
      </c>
      <c r="AD106" s="3" t="s">
        <v>22</v>
      </c>
      <c r="AE106" s="3">
        <v>9173132</v>
      </c>
      <c r="AF106" s="3" t="s">
        <v>2665</v>
      </c>
      <c r="AG106" s="3">
        <v>0.92</v>
      </c>
      <c r="AH106" s="3" t="s">
        <v>2666</v>
      </c>
      <c r="AI106" s="3" t="s">
        <v>1297</v>
      </c>
      <c r="AJ106" s="3" t="s">
        <v>2667</v>
      </c>
      <c r="AK106" s="3" t="s">
        <v>222</v>
      </c>
      <c r="AL106" s="3" t="s">
        <v>2668</v>
      </c>
      <c r="AM106" s="3" t="s">
        <v>22</v>
      </c>
      <c r="AN106" s="3" t="s">
        <v>1866</v>
      </c>
      <c r="AO106" s="3" t="s">
        <v>1286</v>
      </c>
      <c r="AP106" s="3" t="s">
        <v>22</v>
      </c>
      <c r="AQ106" s="3" t="s">
        <v>207</v>
      </c>
      <c r="AR106" s="3" t="s">
        <v>22</v>
      </c>
      <c r="AS106" s="3" t="s">
        <v>4458</v>
      </c>
      <c r="AT106" s="3" t="s">
        <v>475</v>
      </c>
      <c r="AU106" s="3" t="s">
        <v>4459</v>
      </c>
      <c r="AV106" s="3" t="s">
        <v>4460</v>
      </c>
      <c r="AW106" s="3" t="s">
        <v>4461</v>
      </c>
      <c r="AX106" s="3" t="s">
        <v>1657</v>
      </c>
      <c r="AY106" s="3" t="s">
        <v>1048</v>
      </c>
      <c r="AZ106" s="3" t="s">
        <v>814</v>
      </c>
      <c r="BA106" s="3" t="s">
        <v>815</v>
      </c>
      <c r="BB106" s="3" t="s">
        <v>816</v>
      </c>
      <c r="BC106" s="3" t="s">
        <v>499</v>
      </c>
      <c r="BD106" s="3" t="s">
        <v>895</v>
      </c>
      <c r="BE106" s="3" t="s">
        <v>370</v>
      </c>
      <c r="BF106" s="3" t="s">
        <v>483</v>
      </c>
      <c r="BG106" s="3" t="s">
        <v>112</v>
      </c>
      <c r="BH106" s="3" t="s">
        <v>2664</v>
      </c>
      <c r="BI106" s="3" t="s">
        <v>4462</v>
      </c>
      <c r="BJ106" s="3" t="s">
        <v>1657</v>
      </c>
      <c r="BK106" s="3" t="s">
        <v>2316</v>
      </c>
      <c r="BL106" s="3" t="s">
        <v>477</v>
      </c>
      <c r="BM106" s="3" t="s">
        <v>499</v>
      </c>
      <c r="BN106" s="3">
        <v>10.78</v>
      </c>
      <c r="BO106" s="3">
        <v>25.58</v>
      </c>
      <c r="BP106" s="3">
        <v>20.010000000000002</v>
      </c>
      <c r="BQ106" s="3">
        <v>13.33</v>
      </c>
      <c r="BR106" s="3">
        <v>28.48</v>
      </c>
      <c r="BS106" s="3">
        <v>20.77</v>
      </c>
      <c r="BT106" s="3" t="s">
        <v>1369</v>
      </c>
      <c r="BU106" s="3" t="s">
        <v>2998</v>
      </c>
      <c r="BV106" s="3">
        <v>61.21</v>
      </c>
      <c r="BW106" s="3">
        <v>64.67</v>
      </c>
      <c r="BX106" s="3">
        <v>58.91</v>
      </c>
      <c r="BY106" s="3">
        <v>21.18</v>
      </c>
      <c r="BZ106" s="3">
        <v>31.57</v>
      </c>
      <c r="CA106" s="3">
        <v>21.7</v>
      </c>
      <c r="CB106" s="3">
        <v>-5.39</v>
      </c>
      <c r="CC106" s="3">
        <v>1.23</v>
      </c>
      <c r="CD106" s="3" t="s">
        <v>4463</v>
      </c>
      <c r="CE106" s="3" t="s">
        <v>518</v>
      </c>
      <c r="CF106" s="10">
        <v>-0.50278396436525608</v>
      </c>
      <c r="CG106" s="11">
        <v>-0.64087583518930957</v>
      </c>
      <c r="CH106" s="10">
        <v>-0.74766886234283447</v>
      </c>
      <c r="CI106" s="10">
        <v>0.37330234050750732</v>
      </c>
      <c r="CJ106" s="10">
        <v>0.52395021915435791</v>
      </c>
      <c r="CK106" s="10">
        <v>0.14799737930297852</v>
      </c>
      <c r="CL106" s="10">
        <v>3.4410066902637482E-2</v>
      </c>
      <c r="CM106" s="11">
        <v>-0.85051065683364868</v>
      </c>
      <c r="CN106" s="11">
        <v>1.0953305959701538</v>
      </c>
      <c r="CO106" s="11">
        <v>2.864661693572998</v>
      </c>
      <c r="CP106" s="11">
        <v>1.815950870513916</v>
      </c>
      <c r="CQ106" s="11">
        <v>-2.5523810386657715</v>
      </c>
      <c r="CR106" s="3">
        <v>79.861750410509032</v>
      </c>
      <c r="CS106" s="3">
        <v>12.027692902081913</v>
      </c>
      <c r="CT106" s="3">
        <v>0.3368137420006736</v>
      </c>
      <c r="CU106" s="10">
        <v>6.6398228704929355E-2</v>
      </c>
      <c r="CV106" s="11">
        <v>0.47461029291152956</v>
      </c>
      <c r="CW106" s="3">
        <v>0.06</v>
      </c>
      <c r="CX106" s="3">
        <v>127.38576826475519</v>
      </c>
      <c r="CY106" s="3">
        <v>161971806.43537137</v>
      </c>
      <c r="CZ106" s="3">
        <v>6.6398228704929355E-2</v>
      </c>
      <c r="DA106" s="3">
        <v>42.471069581168457</v>
      </c>
      <c r="DB106" s="3">
        <v>485810769.62442607</v>
      </c>
      <c r="DC106" s="3">
        <v>6.3078317269682882E-2</v>
      </c>
      <c r="DD106" s="3">
        <v>21.470107592332436</v>
      </c>
      <c r="DE106" s="3">
        <v>961006036.47503734</v>
      </c>
      <c r="DF106" s="3">
        <v>5.8430441260337834E-2</v>
      </c>
      <c r="DG106" s="3">
        <v>13.280539220592313</v>
      </c>
      <c r="DH106" s="3">
        <v>1553619371.7200415</v>
      </c>
      <c r="DI106" s="3">
        <v>5.3118582963943485E-2</v>
      </c>
      <c r="DJ106" s="3">
        <v>7.3123562705335701</v>
      </c>
      <c r="DK106" s="3">
        <v>2821649033.0406799</v>
      </c>
      <c r="DL106" s="3">
        <v>4.6478760093450547E-2</v>
      </c>
      <c r="DM106" s="3">
        <v>161000000</v>
      </c>
      <c r="DN106" s="3">
        <v>6.6398228704929355E-2</v>
      </c>
      <c r="DO106" s="3">
        <v>20632903000</v>
      </c>
      <c r="DP106" s="3">
        <v>4040510600</v>
      </c>
      <c r="DQ106" s="3">
        <v>4874</v>
      </c>
      <c r="DR106" s="3">
        <v>-0.56918219307018547</v>
      </c>
      <c r="DS106" s="3">
        <v>-1.115486128100839</v>
      </c>
      <c r="DT106" s="12">
        <v>-0.49</v>
      </c>
      <c r="DU106" s="3">
        <v>-0.24699999999999997</v>
      </c>
      <c r="DV106" s="3">
        <v>-0.73699999999999999</v>
      </c>
      <c r="DW106" s="3">
        <v>-4.2282003710575138</v>
      </c>
      <c r="DX106" s="3">
        <v>0.3137262626262638</v>
      </c>
      <c r="DY106" s="3">
        <v>-4.0236703716197226</v>
      </c>
      <c r="DZ106" s="3">
        <v>852</v>
      </c>
      <c r="EA106" s="3">
        <v>-4.0197237656275497</v>
      </c>
      <c r="EB106" s="3">
        <v>4</v>
      </c>
      <c r="EC106" s="3">
        <v>3.7612244469394443E-2</v>
      </c>
      <c r="ED106" s="3">
        <v>0.36261062065752414</v>
      </c>
      <c r="EE106" s="13">
        <v>3.0198100000000001</v>
      </c>
      <c r="EF106" s="3">
        <v>3.02861</v>
      </c>
      <c r="EG106" s="3">
        <v>21.103726262626264</v>
      </c>
      <c r="EH106" s="3" t="s">
        <v>1418</v>
      </c>
      <c r="EI106" s="3">
        <v>0</v>
      </c>
      <c r="EJ106" s="3">
        <v>1</v>
      </c>
      <c r="EK106" s="14">
        <v>45470</v>
      </c>
      <c r="EL106" s="15">
        <v>-1.69</v>
      </c>
      <c r="EM106" s="15">
        <v>-3.75</v>
      </c>
      <c r="EN106" s="15">
        <v>0.96</v>
      </c>
      <c r="EO106" s="15">
        <v>0.74</v>
      </c>
      <c r="EP106" s="15">
        <v>-0.88</v>
      </c>
    </row>
    <row r="107" spans="1:146" ht="96" x14ac:dyDescent="0.25">
      <c r="C107" s="7" t="str">
        <f>""&amp;CHAR(10)&amp;Basic_Fundamental_Information_Constructure(F107)&amp;CHAR(10)&amp;Basic_Fundamental_Information_Concatenate("")</f>
        <v xml:space="preserve">
市值35.728775亿, 利润1919.97万; PE30.77; 平均PE50.07; 平均PEG2.68, PB1.74; ROIC19.5133%; ROE23.4067%; 股利率2.6972%; 毛利48.81%; 净利23.43%; 上一年度营收增-82.25%, 利润增-90.4%; 当季营收增-58.82%, 利润增-76.09%; 过往5年营收增18.69%, 利润增105.09%
Income profile:
</v>
      </c>
      <c r="D107" s="3" t="s">
        <v>1242</v>
      </c>
      <c r="E107" s="3" t="s">
        <v>1265</v>
      </c>
      <c r="F107" s="3">
        <v>29.66</v>
      </c>
      <c r="G107" s="3">
        <v>1.68</v>
      </c>
      <c r="H107" s="3" t="s">
        <v>4464</v>
      </c>
      <c r="I107" s="3">
        <v>3572877500</v>
      </c>
      <c r="J107" s="3">
        <v>30.77</v>
      </c>
      <c r="K107" s="3">
        <v>1.74</v>
      </c>
      <c r="L107" s="3" t="s">
        <v>2983</v>
      </c>
      <c r="M107" s="3" t="s">
        <v>317</v>
      </c>
      <c r="N107" s="3" t="s">
        <v>4465</v>
      </c>
      <c r="O107" s="3" t="s">
        <v>176</v>
      </c>
      <c r="P107" s="3">
        <v>-7.14</v>
      </c>
      <c r="Q107" s="3" t="s">
        <v>176</v>
      </c>
      <c r="R107" s="3">
        <v>19199667</v>
      </c>
      <c r="S107" s="3">
        <v>-0.44390000000000002</v>
      </c>
      <c r="T107" s="3" t="s">
        <v>4466</v>
      </c>
      <c r="U107" s="3">
        <v>61532189</v>
      </c>
      <c r="V107" s="3">
        <v>120461142</v>
      </c>
      <c r="W107" s="3">
        <v>1.05</v>
      </c>
      <c r="X107" s="3">
        <v>0.06</v>
      </c>
      <c r="Y107" s="3">
        <v>15.21</v>
      </c>
      <c r="Z107" s="3" t="s">
        <v>141</v>
      </c>
      <c r="AA107" s="3" t="s">
        <v>4467</v>
      </c>
      <c r="AB107" s="3" t="s">
        <v>4468</v>
      </c>
      <c r="AC107" s="3" t="s">
        <v>4469</v>
      </c>
      <c r="AD107" s="3" t="s">
        <v>22</v>
      </c>
      <c r="AE107" s="3">
        <v>-342400</v>
      </c>
      <c r="AF107" s="3" t="s">
        <v>2670</v>
      </c>
      <c r="AG107" s="3" t="s">
        <v>4470</v>
      </c>
      <c r="AH107" s="3" t="s">
        <v>2671</v>
      </c>
      <c r="AI107" s="3" t="s">
        <v>279</v>
      </c>
      <c r="AJ107" s="3" t="s">
        <v>2672</v>
      </c>
      <c r="AK107" s="3" t="s">
        <v>4471</v>
      </c>
      <c r="AL107" s="3" t="s">
        <v>2673</v>
      </c>
      <c r="AM107" s="3" t="s">
        <v>22</v>
      </c>
      <c r="AN107" s="3">
        <v>0</v>
      </c>
      <c r="AO107" s="3" t="s">
        <v>22</v>
      </c>
      <c r="AP107" s="3" t="s">
        <v>22</v>
      </c>
      <c r="AQ107" s="3" t="s">
        <v>4472</v>
      </c>
      <c r="AR107" s="3" t="s">
        <v>22</v>
      </c>
      <c r="AS107" s="3" t="s">
        <v>4473</v>
      </c>
      <c r="AT107" s="3" t="s">
        <v>22</v>
      </c>
      <c r="AU107" s="3" t="s">
        <v>4474</v>
      </c>
      <c r="AV107" s="3" t="s">
        <v>257</v>
      </c>
      <c r="AW107" s="3" t="s">
        <v>4475</v>
      </c>
      <c r="AX107" s="3" t="s">
        <v>796</v>
      </c>
      <c r="AY107" s="3" t="s">
        <v>1243</v>
      </c>
      <c r="AZ107" s="3" t="s">
        <v>204</v>
      </c>
      <c r="BA107" s="3" t="s">
        <v>646</v>
      </c>
      <c r="BB107" s="3" t="s">
        <v>135</v>
      </c>
      <c r="BC107" s="3" t="s">
        <v>1304</v>
      </c>
      <c r="BD107" s="3" t="s">
        <v>265</v>
      </c>
      <c r="BE107" s="3" t="s">
        <v>1244</v>
      </c>
      <c r="BF107" s="3" t="s">
        <v>1245</v>
      </c>
      <c r="BG107" s="3" t="s">
        <v>1246</v>
      </c>
      <c r="BH107" s="3" t="s">
        <v>1848</v>
      </c>
      <c r="BI107" s="3" t="s">
        <v>299</v>
      </c>
      <c r="BJ107" s="3" t="s">
        <v>796</v>
      </c>
      <c r="BK107" s="3" t="s">
        <v>194</v>
      </c>
      <c r="BL107" s="3" t="s">
        <v>4476</v>
      </c>
      <c r="BM107" s="3" t="s">
        <v>1304</v>
      </c>
      <c r="BN107" s="3">
        <v>5.71</v>
      </c>
      <c r="BO107" s="3">
        <v>16.59</v>
      </c>
      <c r="BP107" s="3">
        <v>36.24</v>
      </c>
      <c r="BQ107" s="3">
        <v>5.86</v>
      </c>
      <c r="BR107" s="3">
        <v>25.69</v>
      </c>
      <c r="BS107" s="3">
        <v>38.67</v>
      </c>
      <c r="BT107" s="3" t="s">
        <v>2674</v>
      </c>
      <c r="BU107" s="3" t="s">
        <v>3311</v>
      </c>
      <c r="BV107" s="3">
        <v>49.65</v>
      </c>
      <c r="BW107" s="3">
        <v>51.33</v>
      </c>
      <c r="BX107" s="3">
        <v>45.45</v>
      </c>
      <c r="BY107" s="3">
        <v>21.8</v>
      </c>
      <c r="BZ107" s="3">
        <v>28.18</v>
      </c>
      <c r="CA107" s="3">
        <v>20.309999999999999</v>
      </c>
      <c r="CB107" s="3">
        <v>1.68</v>
      </c>
      <c r="CC107" s="3">
        <v>4.18</v>
      </c>
      <c r="CD107" s="3" t="s">
        <v>4477</v>
      </c>
      <c r="CE107" s="3" t="s">
        <v>4478</v>
      </c>
      <c r="CF107" s="10">
        <v>-0.58823529411764708</v>
      </c>
      <c r="CG107" s="11">
        <v>-0.76092906816752692</v>
      </c>
      <c r="CH107" s="10">
        <v>-0.82253521680831909</v>
      </c>
      <c r="CI107" s="10">
        <v>0.42284569144248962</v>
      </c>
      <c r="CJ107" s="10">
        <v>0.31662270426750183</v>
      </c>
      <c r="CK107" s="10">
        <v>0.26333332061767578</v>
      </c>
      <c r="CL107" s="10">
        <v>0.75438594818115234</v>
      </c>
      <c r="CM107" s="11">
        <v>-0.90400153398513794</v>
      </c>
      <c r="CN107" s="11">
        <v>0.98019802570343018</v>
      </c>
      <c r="CO107" s="11">
        <v>0.62619954347610474</v>
      </c>
      <c r="CP107" s="11">
        <v>0.63034516572952271</v>
      </c>
      <c r="CQ107" s="11">
        <v>3.9217073917388916</v>
      </c>
      <c r="CR107" s="3">
        <v>50.070350343308277</v>
      </c>
      <c r="CS107" s="3">
        <v>2.678554497262323</v>
      </c>
      <c r="CT107" s="3">
        <v>2.6972353337828725</v>
      </c>
      <c r="CU107" s="10">
        <v>0.18693048954010011</v>
      </c>
      <c r="CV107" s="11">
        <v>1.0508897185325623</v>
      </c>
      <c r="CW107" s="3">
        <v>0.06</v>
      </c>
      <c r="CX107" s="3">
        <v>76.556777547164515</v>
      </c>
      <c r="CY107" s="3">
        <v>21498782.377380244</v>
      </c>
      <c r="CZ107" s="3">
        <v>0.18693048954010011</v>
      </c>
      <c r="DA107" s="3">
        <v>23.067963468456242</v>
      </c>
      <c r="DB107" s="3">
        <v>71349059.584328607</v>
      </c>
      <c r="DC107" s="3">
        <v>0.17758396506309509</v>
      </c>
      <c r="DD107" s="3">
        <v>10.149671229820072</v>
      </c>
      <c r="DE107" s="3">
        <v>162160671.28995836</v>
      </c>
      <c r="DF107" s="3">
        <v>0.1644988307952881</v>
      </c>
      <c r="DG107" s="3">
        <v>5.3416614366392388</v>
      </c>
      <c r="DH107" s="3">
        <v>308120894.50497276</v>
      </c>
      <c r="DI107" s="3">
        <v>0.14954439163208008</v>
      </c>
      <c r="DJ107" s="3">
        <v>2.0286763078409344</v>
      </c>
      <c r="DK107" s="3">
        <v>811306118.0034498</v>
      </c>
      <c r="DL107" s="3">
        <v>0.13085134267807008</v>
      </c>
      <c r="DM107" s="3">
        <v>19199700</v>
      </c>
      <c r="DN107" s="3">
        <v>0.18693048954010011</v>
      </c>
      <c r="DO107" s="3">
        <v>1645877500</v>
      </c>
      <c r="DP107" s="3">
        <v>1294736100</v>
      </c>
      <c r="DQ107" s="3">
        <v>4880</v>
      </c>
      <c r="DR107" s="3">
        <v>-0.77516578365774724</v>
      </c>
      <c r="DS107" s="3">
        <v>-1.8118187867000892</v>
      </c>
      <c r="DT107" s="12">
        <v>-0.17333333333333334</v>
      </c>
      <c r="DU107" s="3">
        <v>0.57333333333333347</v>
      </c>
      <c r="DV107" s="3">
        <v>0.40000000000000013</v>
      </c>
      <c r="DW107" s="3">
        <v>1.0418000000000001</v>
      </c>
      <c r="DX107" s="3">
        <v>0.31622747278596491</v>
      </c>
      <c r="DY107" s="3">
        <v>1.0056943083624532</v>
      </c>
      <c r="DZ107" s="3">
        <v>1512</v>
      </c>
      <c r="EA107" s="3">
        <v>1.0040094171209601</v>
      </c>
      <c r="EB107" s="3">
        <v>1</v>
      </c>
      <c r="EC107" s="3">
        <v>3.9903324177351727E-2</v>
      </c>
      <c r="ED107" s="3">
        <v>0.29291686442753467</v>
      </c>
      <c r="EE107" s="13">
        <v>-4.1010099999999996</v>
      </c>
      <c r="EF107" s="3">
        <v>-4.1207099999999999</v>
      </c>
      <c r="EG107" s="3">
        <v>18.136227472785965</v>
      </c>
      <c r="EH107" s="3" t="s">
        <v>1903</v>
      </c>
      <c r="EI107" s="3">
        <v>0</v>
      </c>
      <c r="EJ107" s="3">
        <v>0</v>
      </c>
      <c r="EK107" s="14">
        <v>45470</v>
      </c>
      <c r="EL107" s="15">
        <v>-0.05</v>
      </c>
      <c r="EM107" s="15">
        <v>-3.33</v>
      </c>
      <c r="EN107" s="15">
        <v>-2.95</v>
      </c>
      <c r="EO107" s="15">
        <v>4.66</v>
      </c>
      <c r="EP107" s="15">
        <v>-1.97</v>
      </c>
    </row>
    <row r="108" spans="1:146" ht="180" x14ac:dyDescent="0.25">
      <c r="A108" s="7" t="s">
        <v>1716</v>
      </c>
      <c r="B108" s="7" t="s">
        <v>1715</v>
      </c>
      <c r="C108" s="7" t="str">
        <f>"公司的主营业务是功率半导体、智能传感器及智能控制产品的设计、生产及销售，以及提供开放式晶圆制造、封装测试等制造服务。"&amp;CHAR(10)&amp;Basic_Fundamental_Information_Constructure(F108)&amp;CHAR(10)&amp;Basic_Fundamental_Information_Concatenate("（境内86%）
制造与服务 49.49亿 49.19% 50.40% 37.61%
产品与方案 49.47亿 49.18% 48.39% 36.13%
其他业务 1.64亿 1.63% 1.21% 27.24%")</f>
        <v>公司的主营业务是功率半导体、智能传感器及智能控制产品的设计、生产及销售，以及提供开放式晶圆制造、封装测试等制造服务。
市值486.78955亿, 利润3319.61万; PE43; 平均PE43.51; 平均PEG8.86, PB2.24; ROIC9.5733%; ROE11.56%; 股利率.304%; 毛利34.7533%; 净利21.5933%; 上一年度营收增-78.97%, 利润增-98.73%; 当季营收增-57.93%, 利润增-95.73%; 过往5年营收增-4.91%, 利润增37.16%
Income profile:
（境内86%）
制造与服务 49.49亿 49.19% 50.40% 37.61%
产品与方案 49.47亿 49.18% 48.39% 36.13%
其他业务 1.64亿 1.63% 1.21% 27.24%</v>
      </c>
      <c r="D108" s="3" t="s">
        <v>80</v>
      </c>
      <c r="E108" s="3" t="s">
        <v>81</v>
      </c>
      <c r="F108" s="3">
        <v>36.78</v>
      </c>
      <c r="G108" s="3">
        <v>-0.05</v>
      </c>
      <c r="H108" s="3" t="s">
        <v>4479</v>
      </c>
      <c r="I108" s="3">
        <v>48678955000</v>
      </c>
      <c r="J108" s="3">
        <v>43</v>
      </c>
      <c r="K108" s="3">
        <v>2.2400000000000002</v>
      </c>
      <c r="L108" s="3" t="s">
        <v>2983</v>
      </c>
      <c r="M108" s="3" t="s">
        <v>2675</v>
      </c>
      <c r="N108" s="3" t="s">
        <v>4480</v>
      </c>
      <c r="O108" s="3" t="s">
        <v>1872</v>
      </c>
      <c r="P108" s="3">
        <v>-9.82</v>
      </c>
      <c r="Q108" s="3" t="s">
        <v>1872</v>
      </c>
      <c r="R108" s="3">
        <v>33196087</v>
      </c>
      <c r="S108" s="5">
        <v>-0.91269999999999996</v>
      </c>
      <c r="T108" s="3" t="s">
        <v>4481</v>
      </c>
      <c r="U108" s="3">
        <v>1323517000</v>
      </c>
      <c r="V108" s="3">
        <v>1323517000</v>
      </c>
      <c r="W108" s="3">
        <v>1.23</v>
      </c>
      <c r="X108" s="3">
        <v>7.0000000000000007E-2</v>
      </c>
      <c r="Y108" s="3">
        <v>0.06</v>
      </c>
      <c r="Z108" s="3" t="s">
        <v>4482</v>
      </c>
      <c r="AA108" s="3" t="s">
        <v>1909</v>
      </c>
      <c r="AB108" s="3" t="s">
        <v>4483</v>
      </c>
      <c r="AC108" s="3" t="s">
        <v>170</v>
      </c>
      <c r="AD108" s="3" t="s">
        <v>22</v>
      </c>
      <c r="AE108" s="3">
        <v>-38419448</v>
      </c>
      <c r="AF108" s="3" t="s">
        <v>2677</v>
      </c>
      <c r="AG108" s="3" t="s">
        <v>4484</v>
      </c>
      <c r="AH108" s="3" t="s">
        <v>2678</v>
      </c>
      <c r="AI108" s="3" t="s">
        <v>4485</v>
      </c>
      <c r="AJ108" s="3" t="s">
        <v>2679</v>
      </c>
      <c r="AK108" s="3" t="s">
        <v>404</v>
      </c>
      <c r="AL108" s="3" t="s">
        <v>2680</v>
      </c>
      <c r="AM108" s="3" t="s">
        <v>22</v>
      </c>
      <c r="AN108" s="3" t="s">
        <v>679</v>
      </c>
      <c r="AO108" s="3" t="s">
        <v>4486</v>
      </c>
      <c r="AP108" s="3" t="s">
        <v>275</v>
      </c>
      <c r="AQ108" s="3" t="s">
        <v>242</v>
      </c>
      <c r="AR108" s="3" t="s">
        <v>22</v>
      </c>
      <c r="AS108" s="3" t="s">
        <v>4487</v>
      </c>
      <c r="AT108" s="3" t="s">
        <v>22</v>
      </c>
      <c r="AU108" s="3" t="s">
        <v>1870</v>
      </c>
      <c r="AV108" s="3" t="s">
        <v>4488</v>
      </c>
      <c r="AW108" s="3" t="s">
        <v>4489</v>
      </c>
      <c r="AX108" s="3" t="s">
        <v>1658</v>
      </c>
      <c r="AY108" s="3" t="s">
        <v>1050</v>
      </c>
      <c r="AZ108" s="3" t="s">
        <v>672</v>
      </c>
      <c r="BA108" s="3" t="s">
        <v>239</v>
      </c>
      <c r="BB108" s="3" t="s">
        <v>673</v>
      </c>
      <c r="BC108" s="3" t="s">
        <v>538</v>
      </c>
      <c r="BD108" s="3" t="s">
        <v>893</v>
      </c>
      <c r="BE108" s="3" t="s">
        <v>172</v>
      </c>
      <c r="BF108" s="3" t="s">
        <v>425</v>
      </c>
      <c r="BG108" s="3" t="s">
        <v>675</v>
      </c>
      <c r="BH108" s="3" t="s">
        <v>2676</v>
      </c>
      <c r="BI108" s="3" t="s">
        <v>4490</v>
      </c>
      <c r="BJ108" s="3" t="s">
        <v>1658</v>
      </c>
      <c r="BK108" s="3" t="s">
        <v>1765</v>
      </c>
      <c r="BL108" s="3" t="s">
        <v>1792</v>
      </c>
      <c r="BM108" s="3" t="s">
        <v>538</v>
      </c>
      <c r="BN108" s="3">
        <v>3.81</v>
      </c>
      <c r="BO108" s="3">
        <v>11.79</v>
      </c>
      <c r="BP108" s="3">
        <v>13.12</v>
      </c>
      <c r="BQ108" s="3">
        <v>5.16</v>
      </c>
      <c r="BR108" s="3">
        <v>14.04</v>
      </c>
      <c r="BS108" s="3">
        <v>15.48</v>
      </c>
      <c r="BT108" s="3" t="s">
        <v>2681</v>
      </c>
      <c r="BU108" s="3" t="s">
        <v>1221</v>
      </c>
      <c r="BV108" s="3">
        <v>32.22</v>
      </c>
      <c r="BW108" s="3">
        <v>36.71</v>
      </c>
      <c r="BX108" s="3">
        <v>35.33</v>
      </c>
      <c r="BY108" s="3">
        <v>14.53</v>
      </c>
      <c r="BZ108" s="3">
        <v>25.84</v>
      </c>
      <c r="CA108" s="3">
        <v>24.41</v>
      </c>
      <c r="CB108" s="3">
        <v>-1.76</v>
      </c>
      <c r="CC108" s="3">
        <v>-1.71</v>
      </c>
      <c r="CD108" s="3" t="s">
        <v>4491</v>
      </c>
      <c r="CE108" s="3" t="s">
        <v>169</v>
      </c>
      <c r="CF108" s="10">
        <v>-0.57932405566600398</v>
      </c>
      <c r="CG108" s="11">
        <v>-0.95733150771208231</v>
      </c>
      <c r="CH108" s="10">
        <v>-0.78966206312179565</v>
      </c>
      <c r="CI108" s="10">
        <v>8.7685130536556244E-2</v>
      </c>
      <c r="CJ108" s="10">
        <v>0.32564148306846619</v>
      </c>
      <c r="CK108" s="10">
        <v>0.21487025916576385</v>
      </c>
      <c r="CL108" s="10">
        <v>-8.4197096526622772E-2</v>
      </c>
      <c r="CM108" s="11">
        <v>-0.98731523752212524</v>
      </c>
      <c r="CN108" s="11">
        <v>0.1538800448179245</v>
      </c>
      <c r="CO108" s="11">
        <v>1.3526971340179443</v>
      </c>
      <c r="CP108" s="11">
        <v>1.4039900302886963</v>
      </c>
      <c r="CQ108" s="11">
        <v>-6.5268062055110931E-2</v>
      </c>
      <c r="CR108" s="3">
        <v>43.51388512025148</v>
      </c>
      <c r="CS108" s="3">
        <v>8.8564438753121202</v>
      </c>
      <c r="CT108" s="3">
        <v>0.30396954866775422</v>
      </c>
      <c r="CU108" s="10">
        <v>-4.9132457375526427E-2</v>
      </c>
      <c r="CV108" s="11">
        <v>0.37159678190946577</v>
      </c>
      <c r="CW108" s="3">
        <v>0.06</v>
      </c>
      <c r="CX108" s="3">
        <v>918.11854404583676</v>
      </c>
      <c r="CY108" s="3" t="s">
        <v>4492</v>
      </c>
      <c r="CZ108" s="3">
        <v>-4.9132457375526427E-2</v>
      </c>
      <c r="DA108" s="3">
        <v>306.03951468194555</v>
      </c>
      <c r="DB108" s="3" t="s">
        <v>4493</v>
      </c>
      <c r="DC108" s="3">
        <v>-4.6675834506750107E-2</v>
      </c>
      <c r="DD108" s="3">
        <v>153.01975734097277</v>
      </c>
      <c r="DE108" s="3" t="s">
        <v>4494</v>
      </c>
      <c r="DF108" s="3">
        <v>-4.3236562490463253E-2</v>
      </c>
      <c r="DG108" s="3">
        <v>91.81185440458367</v>
      </c>
      <c r="DH108" s="3" t="s">
        <v>4495</v>
      </c>
      <c r="DI108" s="3">
        <v>-3.9305965900421146E-2</v>
      </c>
      <c r="DJ108" s="3">
        <v>45.905927202291835</v>
      </c>
      <c r="DK108" s="3" t="s">
        <v>4496</v>
      </c>
      <c r="DL108" s="3">
        <v>-3.4392720162868498E-2</v>
      </c>
      <c r="DM108" s="3">
        <v>33196100</v>
      </c>
      <c r="DN108" s="3">
        <v>-4.9132457375526427E-2</v>
      </c>
      <c r="DO108" s="3">
        <v>30477955000</v>
      </c>
      <c r="DP108" s="3">
        <v>8206050900</v>
      </c>
      <c r="DQ108" s="3">
        <v>4884</v>
      </c>
      <c r="DR108" s="3">
        <v>-0.53019159829047757</v>
      </c>
      <c r="DS108" s="3">
        <v>-1.328928289621548</v>
      </c>
      <c r="DT108" s="12">
        <v>-0.52333333333333332</v>
      </c>
      <c r="DU108" s="3">
        <v>-0.12333333333333336</v>
      </c>
      <c r="DV108" s="3">
        <v>-0.64666666666666672</v>
      </c>
      <c r="DW108" s="3">
        <v>-1.7100000000000001E-2</v>
      </c>
      <c r="DX108" s="3">
        <v>0.30831589403973592</v>
      </c>
      <c r="DY108" s="3">
        <v>-1.6812017880794704E-3</v>
      </c>
      <c r="DZ108" s="3">
        <v>249</v>
      </c>
      <c r="EA108" s="3">
        <v>-1.5992802136701185E-3</v>
      </c>
      <c r="EB108" s="3">
        <v>0</v>
      </c>
      <c r="EC108" s="3">
        <v>1.1216856300296861E-2</v>
      </c>
      <c r="ED108" s="3">
        <v>0.11408995879916918</v>
      </c>
      <c r="EE108" s="13">
        <v>2.0064000000000002</v>
      </c>
      <c r="EF108" s="3">
        <v>2.0099100000000001</v>
      </c>
      <c r="EG108" s="3">
        <v>21.098315894039736</v>
      </c>
      <c r="EH108" s="3" t="s">
        <v>2952</v>
      </c>
      <c r="EI108" s="3">
        <v>0</v>
      </c>
      <c r="EJ108" s="3">
        <v>1</v>
      </c>
      <c r="EK108" s="14">
        <v>45470</v>
      </c>
      <c r="EL108" s="15">
        <v>-1.5</v>
      </c>
      <c r="EM108" s="15">
        <v>-5.98</v>
      </c>
      <c r="EN108" s="3">
        <v>1.91</v>
      </c>
      <c r="EO108" s="3">
        <v>0.96</v>
      </c>
      <c r="EP108" s="3">
        <v>-1.63</v>
      </c>
    </row>
    <row r="109" spans="1:146" ht="96" x14ac:dyDescent="0.25">
      <c r="C109" s="7" t="str">
        <f>""&amp;CHAR(10)&amp;Basic_Fundamental_Information_Constructure(F109)&amp;CHAR(10)&amp;Basic_Fundamental_Information_Concatenate("")</f>
        <v xml:space="preserve">
市值45.162757亿, 利润4107.46万; PE27.97; 平均PE110.76; 平均PEG4.82, PB3.11; ROIC6.4567%; ROE11.74%; 股利率1.006%; 毛利31.4133%; 净利14.9533%; 上一年度营收增-72.34%, 利润增-65.77%; 当季营收增-42.53%, 利润增-41.85%; 过往5年营收增22.97%, 利润增84.97%
Income profile:
</v>
      </c>
      <c r="D109" s="3" t="s">
        <v>1166</v>
      </c>
      <c r="E109" s="3" t="s">
        <v>1167</v>
      </c>
      <c r="F109" s="3">
        <v>23.36</v>
      </c>
      <c r="G109" s="3">
        <v>1.1299999999999999</v>
      </c>
      <c r="H109" s="3" t="s">
        <v>4497</v>
      </c>
      <c r="I109" s="3">
        <v>4516275700</v>
      </c>
      <c r="J109" s="3">
        <v>27.97</v>
      </c>
      <c r="K109" s="3">
        <v>3.11</v>
      </c>
      <c r="L109" s="3" t="s">
        <v>2983</v>
      </c>
      <c r="M109" s="3" t="s">
        <v>382</v>
      </c>
      <c r="N109" s="3" t="s">
        <v>1752</v>
      </c>
      <c r="O109" s="3" t="s">
        <v>132</v>
      </c>
      <c r="P109" s="3">
        <v>30.1</v>
      </c>
      <c r="Q109" s="3" t="s">
        <v>132</v>
      </c>
      <c r="R109" s="3">
        <v>41074574</v>
      </c>
      <c r="S109" s="5">
        <v>0.4456</v>
      </c>
      <c r="T109" s="3" t="s">
        <v>4498</v>
      </c>
      <c r="U109" s="3">
        <v>113399721</v>
      </c>
      <c r="V109" s="3">
        <v>193333720</v>
      </c>
      <c r="W109" s="3">
        <v>1.47</v>
      </c>
      <c r="X109" s="3">
        <v>0.08</v>
      </c>
      <c r="Y109" s="3">
        <v>21.85</v>
      </c>
      <c r="Z109" s="3" t="s">
        <v>146</v>
      </c>
      <c r="AA109" s="3" t="s">
        <v>349</v>
      </c>
      <c r="AB109" s="3" t="s">
        <v>4499</v>
      </c>
      <c r="AC109" s="3" t="s">
        <v>4500</v>
      </c>
      <c r="AD109" s="3" t="s">
        <v>22</v>
      </c>
      <c r="AE109" s="3">
        <v>-4022755</v>
      </c>
      <c r="AF109" s="3" t="s">
        <v>2682</v>
      </c>
      <c r="AG109" s="3">
        <v>400</v>
      </c>
      <c r="AH109" s="3" t="s">
        <v>2683</v>
      </c>
      <c r="AI109" s="3" t="s">
        <v>319</v>
      </c>
      <c r="AJ109" s="3" t="s">
        <v>2684</v>
      </c>
      <c r="AK109" s="3" t="s">
        <v>4501</v>
      </c>
      <c r="AL109" s="3" t="s">
        <v>2685</v>
      </c>
      <c r="AM109" s="3" t="s">
        <v>22</v>
      </c>
      <c r="AN109" s="3" t="s">
        <v>275</v>
      </c>
      <c r="AO109" s="3" t="s">
        <v>277</v>
      </c>
      <c r="AP109" s="3" t="s">
        <v>22</v>
      </c>
      <c r="AQ109" s="3" t="s">
        <v>107</v>
      </c>
      <c r="AR109" s="3" t="s">
        <v>22</v>
      </c>
      <c r="AS109" s="3" t="s">
        <v>187</v>
      </c>
      <c r="AT109" s="3" t="s">
        <v>1144</v>
      </c>
      <c r="AU109" s="3" t="s">
        <v>4502</v>
      </c>
      <c r="AV109" s="3" t="s">
        <v>4503</v>
      </c>
      <c r="AW109" s="3" t="s">
        <v>4504</v>
      </c>
      <c r="AX109" s="3" t="s">
        <v>1536</v>
      </c>
      <c r="AY109" s="3" t="s">
        <v>202</v>
      </c>
      <c r="AZ109" s="3" t="s">
        <v>109</v>
      </c>
      <c r="BA109" s="3" t="s">
        <v>378</v>
      </c>
      <c r="BB109" s="3" t="s">
        <v>153</v>
      </c>
      <c r="BC109" s="3" t="s">
        <v>155</v>
      </c>
      <c r="BD109" s="3" t="s">
        <v>1168</v>
      </c>
      <c r="BE109" s="3" t="s">
        <v>1169</v>
      </c>
      <c r="BF109" s="3" t="s">
        <v>1170</v>
      </c>
      <c r="BG109" s="3" t="s">
        <v>1171</v>
      </c>
      <c r="BH109" s="3" t="s">
        <v>1759</v>
      </c>
      <c r="BI109" s="3" t="s">
        <v>1081</v>
      </c>
      <c r="BJ109" s="3" t="s">
        <v>1536</v>
      </c>
      <c r="BK109" s="3" t="s">
        <v>188</v>
      </c>
      <c r="BL109" s="3" t="s">
        <v>4505</v>
      </c>
      <c r="BM109" s="3" t="s">
        <v>155</v>
      </c>
      <c r="BN109" s="3">
        <v>5.78</v>
      </c>
      <c r="BO109" s="3">
        <v>9.1300000000000008</v>
      </c>
      <c r="BP109" s="3">
        <v>4.46</v>
      </c>
      <c r="BQ109" s="3">
        <v>7.81</v>
      </c>
      <c r="BR109" s="3">
        <v>15.43</v>
      </c>
      <c r="BS109" s="3">
        <v>11.98</v>
      </c>
      <c r="BT109" s="3" t="s">
        <v>2686</v>
      </c>
      <c r="BU109" s="3" t="s">
        <v>1211</v>
      </c>
      <c r="BV109" s="3">
        <v>35.1</v>
      </c>
      <c r="BW109" s="3">
        <v>32.880000000000003</v>
      </c>
      <c r="BX109" s="3">
        <v>26.26</v>
      </c>
      <c r="BY109" s="3">
        <v>21.78</v>
      </c>
      <c r="BZ109" s="3">
        <v>17.309999999999999</v>
      </c>
      <c r="CA109" s="3">
        <v>5.77</v>
      </c>
      <c r="CB109" s="3">
        <v>-10.84</v>
      </c>
      <c r="CC109" s="3">
        <v>-11.77</v>
      </c>
      <c r="CD109" s="3" t="s">
        <v>4506</v>
      </c>
      <c r="CE109" s="3" t="s">
        <v>4507</v>
      </c>
      <c r="CF109" s="10">
        <v>-0.42532467532467533</v>
      </c>
      <c r="CG109" s="11">
        <v>-0.41846498648616126</v>
      </c>
      <c r="CH109" s="10">
        <v>-0.72343748807907104</v>
      </c>
      <c r="CI109" s="10">
        <v>0.29554656147956848</v>
      </c>
      <c r="CJ109" s="10">
        <v>0.22885571420192719</v>
      </c>
      <c r="CK109" s="10">
        <v>0.84403669834136963</v>
      </c>
      <c r="CL109" s="10">
        <v>0.5034482479095459</v>
      </c>
      <c r="CM109" s="11">
        <v>-0.6577116847038269</v>
      </c>
      <c r="CN109" s="11">
        <v>1.2941743135452271</v>
      </c>
      <c r="CO109" s="11">
        <v>0.61142086982727051</v>
      </c>
      <c r="CP109" s="11">
        <v>5.180485725402832</v>
      </c>
      <c r="CQ109" s="11">
        <v>-2.1801021099090576</v>
      </c>
      <c r="CR109" s="3">
        <v>110.75827427757692</v>
      </c>
      <c r="CS109" s="3">
        <v>4.8220775804420635</v>
      </c>
      <c r="CT109" s="3">
        <v>1.0059931506849316</v>
      </c>
      <c r="CU109" s="10">
        <v>0.22968994677066804</v>
      </c>
      <c r="CV109" s="11">
        <v>0.84965342283248901</v>
      </c>
      <c r="CW109" s="3">
        <v>0.06</v>
      </c>
      <c r="CX109" s="3">
        <v>80.341531593207947</v>
      </c>
      <c r="CY109" s="3">
        <v>47650021.403421208</v>
      </c>
      <c r="CZ109" s="3">
        <v>0.22968994677066804</v>
      </c>
      <c r="DA109" s="3">
        <v>23.371271583797114</v>
      </c>
      <c r="DB109" s="3">
        <v>163802627.78059861</v>
      </c>
      <c r="DC109" s="3">
        <v>0.21820544943213463</v>
      </c>
      <c r="DD109" s="3">
        <v>9.7733699609826061</v>
      </c>
      <c r="DE109" s="3">
        <v>391704776.88691819</v>
      </c>
      <c r="DF109" s="3">
        <v>0.20212715315818788</v>
      </c>
      <c r="DG109" s="3">
        <v>4.8312055107625627</v>
      </c>
      <c r="DH109" s="3">
        <v>792405889.47658753</v>
      </c>
      <c r="DI109" s="3">
        <v>0.18375195741653444</v>
      </c>
      <c r="DJ109" s="3">
        <v>1.5711773003451057</v>
      </c>
      <c r="DK109" s="3">
        <v>2436565051.671207</v>
      </c>
      <c r="DL109" s="3">
        <v>0.16078296273946763</v>
      </c>
      <c r="DM109" s="3">
        <v>41074600</v>
      </c>
      <c r="DN109" s="3">
        <v>0.22968994677066804</v>
      </c>
      <c r="DO109" s="3">
        <v>3828275700</v>
      </c>
      <c r="DP109" s="3">
        <v>470807170</v>
      </c>
      <c r="DQ109" s="3">
        <v>4888</v>
      </c>
      <c r="DR109" s="3">
        <v>-0.65501462209534334</v>
      </c>
      <c r="DS109" s="3">
        <v>-1.2681184093186504</v>
      </c>
      <c r="DT109" s="12">
        <v>-0.15666666666666673</v>
      </c>
      <c r="DU109" s="3">
        <v>-0.12999999999999992</v>
      </c>
      <c r="DV109" s="3">
        <v>-0.28666666666666663</v>
      </c>
      <c r="DW109" s="3">
        <v>-9.9209855564995753</v>
      </c>
      <c r="DX109" s="3">
        <v>0.3626785703248383</v>
      </c>
      <c r="DY109" s="3">
        <v>-9.1221950469261905</v>
      </c>
      <c r="DZ109" s="3">
        <v>1501</v>
      </c>
      <c r="EA109" s="3">
        <v>-9.0863017464494362</v>
      </c>
      <c r="EB109" s="3">
        <v>9</v>
      </c>
      <c r="EC109" s="3">
        <v>5.8624020682993119E-2</v>
      </c>
      <c r="ED109" s="3">
        <v>0.4418499783690088</v>
      </c>
      <c r="EE109" s="13">
        <v>1.0645100000000001</v>
      </c>
      <c r="EF109" s="3">
        <v>1.08541</v>
      </c>
      <c r="EG109" s="3">
        <v>23.132678570324838</v>
      </c>
      <c r="EH109" s="3" t="s">
        <v>2954</v>
      </c>
      <c r="EI109" s="3">
        <v>0</v>
      </c>
      <c r="EJ109" s="3">
        <v>0</v>
      </c>
      <c r="EK109" s="14">
        <v>45470</v>
      </c>
      <c r="EL109" s="15">
        <v>-0.78</v>
      </c>
      <c r="EM109" s="15">
        <v>-3.27</v>
      </c>
      <c r="EN109" s="3">
        <v>-2.21</v>
      </c>
      <c r="EO109" s="3">
        <v>2.5</v>
      </c>
      <c r="EP109" s="3">
        <v>-2.09</v>
      </c>
    </row>
    <row r="110" spans="1:146" ht="96" x14ac:dyDescent="0.25">
      <c r="C110" s="7" t="str">
        <f>""&amp;CHAR(10)&amp;Basic_Fundamental_Information_Constructure(F110)&amp;CHAR(10)&amp;Basic_Fundamental_Information_Concatenate("")</f>
        <v xml:space="preserve">
市值66.454321亿, 利润2632.76万; PE33.9; 平均PE583.59; 平均PEG38.87, PB2.16; ROIC6.115%; ROE8.22%; 股利率1.2563%; 毛利28.2633%; 净利17.44%; 上一年度营收增-66.49%, 利润增-85.13%; 当季营收增-43.45%, 利润增-67.91%; 过往5年营收增15.01%, 利润增716.24%
Income profile:
</v>
      </c>
      <c r="D110" s="3" t="s">
        <v>1172</v>
      </c>
      <c r="E110" s="3" t="s">
        <v>4508</v>
      </c>
      <c r="F110" s="3">
        <v>7.96</v>
      </c>
      <c r="G110" s="3">
        <v>0.25</v>
      </c>
      <c r="H110" s="3" t="s">
        <v>4509</v>
      </c>
      <c r="I110" s="3">
        <v>6645432100</v>
      </c>
      <c r="J110" s="3">
        <v>33.9</v>
      </c>
      <c r="K110" s="3">
        <v>2.16</v>
      </c>
      <c r="L110" s="3" t="s">
        <v>2983</v>
      </c>
      <c r="M110" s="3" t="s">
        <v>1076</v>
      </c>
      <c r="N110" s="3" t="s">
        <v>4510</v>
      </c>
      <c r="O110" s="3" t="s">
        <v>524</v>
      </c>
      <c r="P110" s="3">
        <v>30.63</v>
      </c>
      <c r="Q110" s="3" t="s">
        <v>524</v>
      </c>
      <c r="R110" s="3">
        <v>26327629</v>
      </c>
      <c r="S110" s="5">
        <v>9.8999999999999999E-4</v>
      </c>
      <c r="T110" s="3" t="s">
        <v>4511</v>
      </c>
      <c r="U110" s="3">
        <v>569163230</v>
      </c>
      <c r="V110" s="3">
        <v>834853280</v>
      </c>
      <c r="W110" s="3">
        <v>1.19</v>
      </c>
      <c r="X110" s="3">
        <v>0.09</v>
      </c>
      <c r="Y110" s="3">
        <v>8.35</v>
      </c>
      <c r="Z110" s="3" t="s">
        <v>119</v>
      </c>
      <c r="AA110" s="3" t="s">
        <v>134</v>
      </c>
      <c r="AB110" s="3" t="s">
        <v>4512</v>
      </c>
      <c r="AC110" s="3" t="s">
        <v>4513</v>
      </c>
      <c r="AD110" s="3" t="s">
        <v>22</v>
      </c>
      <c r="AE110" s="3">
        <v>-1152146</v>
      </c>
      <c r="AF110" s="3" t="s">
        <v>2687</v>
      </c>
      <c r="AG110" s="3" t="s">
        <v>4514</v>
      </c>
      <c r="AH110" s="3" t="s">
        <v>2688</v>
      </c>
      <c r="AI110" s="3" t="s">
        <v>4515</v>
      </c>
      <c r="AJ110" s="3" t="s">
        <v>2689</v>
      </c>
      <c r="AK110" s="3" t="s">
        <v>22</v>
      </c>
      <c r="AL110" s="3" t="s">
        <v>2690</v>
      </c>
      <c r="AM110" s="3" t="s">
        <v>22</v>
      </c>
      <c r="AN110" s="3" t="s">
        <v>1743</v>
      </c>
      <c r="AO110" s="3" t="s">
        <v>209</v>
      </c>
      <c r="AP110" s="3" t="s">
        <v>4516</v>
      </c>
      <c r="AQ110" s="3" t="s">
        <v>138</v>
      </c>
      <c r="AR110" s="3" t="s">
        <v>22</v>
      </c>
      <c r="AS110" s="3" t="s">
        <v>4517</v>
      </c>
      <c r="AT110" s="3" t="s">
        <v>4518</v>
      </c>
      <c r="AU110" s="3" t="s">
        <v>283</v>
      </c>
      <c r="AV110" s="3" t="s">
        <v>2311</v>
      </c>
      <c r="AW110" s="3" t="s">
        <v>4519</v>
      </c>
      <c r="AX110" s="3" t="s">
        <v>1282</v>
      </c>
      <c r="AY110" s="3" t="s">
        <v>1173</v>
      </c>
      <c r="AZ110" s="3" t="s">
        <v>1175</v>
      </c>
      <c r="BA110" s="3" t="s">
        <v>563</v>
      </c>
      <c r="BB110" s="3" t="s">
        <v>732</v>
      </c>
      <c r="BC110" s="3" t="s">
        <v>132</v>
      </c>
      <c r="BD110" s="3" t="s">
        <v>156</v>
      </c>
      <c r="BE110" s="3" t="s">
        <v>1176</v>
      </c>
      <c r="BF110" s="3" t="s">
        <v>1075</v>
      </c>
      <c r="BG110" s="3" t="s">
        <v>1087</v>
      </c>
      <c r="BH110" s="3" t="s">
        <v>1857</v>
      </c>
      <c r="BI110" s="3" t="s">
        <v>315</v>
      </c>
      <c r="BJ110" s="3" t="s">
        <v>1282</v>
      </c>
      <c r="BK110" s="3" t="s">
        <v>871</v>
      </c>
      <c r="BL110" s="3" t="s">
        <v>4520</v>
      </c>
      <c r="BM110" s="3" t="s">
        <v>132</v>
      </c>
      <c r="BN110" s="3">
        <v>4.4800000000000004</v>
      </c>
      <c r="BO110" s="3">
        <v>7.75</v>
      </c>
      <c r="BP110" s="3" t="s">
        <v>22</v>
      </c>
      <c r="BQ110" s="3">
        <v>4.76</v>
      </c>
      <c r="BR110" s="3">
        <v>9.19</v>
      </c>
      <c r="BS110" s="3">
        <v>10.71</v>
      </c>
      <c r="BT110" s="3" t="s">
        <v>1369</v>
      </c>
      <c r="BU110" s="3" t="s">
        <v>1209</v>
      </c>
      <c r="BV110" s="3">
        <v>26.45</v>
      </c>
      <c r="BW110" s="3">
        <v>28.72</v>
      </c>
      <c r="BX110" s="3">
        <v>29.62</v>
      </c>
      <c r="BY110" s="3">
        <v>15.83</v>
      </c>
      <c r="BZ110" s="3">
        <v>18.86</v>
      </c>
      <c r="CA110" s="3">
        <v>17.63</v>
      </c>
      <c r="CB110" s="3">
        <v>-6.13</v>
      </c>
      <c r="CC110" s="3">
        <v>-4.21</v>
      </c>
      <c r="CD110" s="3" t="s">
        <v>4521</v>
      </c>
      <c r="CE110" s="3" t="s">
        <v>4522</v>
      </c>
      <c r="CF110" s="10">
        <v>-0.43447037701974867</v>
      </c>
      <c r="CG110" s="11">
        <v>-0.67909845726676477</v>
      </c>
      <c r="CH110" s="10">
        <v>-0.66489362716674805</v>
      </c>
      <c r="CI110" s="10">
        <v>0.18090452253818512</v>
      </c>
      <c r="CJ110" s="10">
        <v>0.28594505786895752</v>
      </c>
      <c r="CK110" s="10">
        <v>0.57106596231460571</v>
      </c>
      <c r="CL110" s="10">
        <v>0.37762236595153809</v>
      </c>
      <c r="CM110" s="11">
        <v>-0.85125648975372314</v>
      </c>
      <c r="CN110" s="11">
        <v>0.26428571343421936</v>
      </c>
      <c r="CO110" s="11">
        <v>35.956302642822266</v>
      </c>
      <c r="CP110" s="11">
        <v>0.97557932138442993</v>
      </c>
      <c r="CQ110" s="11">
        <v>-0.53271025419235229</v>
      </c>
      <c r="CR110" s="3">
        <v>583.5930219283224</v>
      </c>
      <c r="CS110" s="3">
        <v>38.872808086744818</v>
      </c>
      <c r="CT110" s="3">
        <v>1.256281407035176</v>
      </c>
      <c r="CU110" s="10">
        <v>0.15012885630130768</v>
      </c>
      <c r="CV110" s="11">
        <v>7.1624401867389675</v>
      </c>
      <c r="CW110" s="3">
        <v>0.06</v>
      </c>
      <c r="CX110" s="3">
        <v>140.9861079445528</v>
      </c>
      <c r="CY110" s="3">
        <v>28566162.71430029</v>
      </c>
      <c r="CZ110" s="3">
        <v>0.15012885630130768</v>
      </c>
      <c r="DA110" s="3">
        <v>43.801279276501646</v>
      </c>
      <c r="DB110" s="3">
        <v>91947819.025473595</v>
      </c>
      <c r="DC110" s="3">
        <v>0.1426224134862423</v>
      </c>
      <c r="DD110" s="3">
        <v>20.122481779154349</v>
      </c>
      <c r="DE110" s="3">
        <v>200145893.74220091</v>
      </c>
      <c r="DF110" s="3">
        <v>0.13211339354515075</v>
      </c>
      <c r="DG110" s="3">
        <v>11.154368717354263</v>
      </c>
      <c r="DH110" s="3">
        <v>361063203.31100535</v>
      </c>
      <c r="DI110" s="3">
        <v>0.12010308504104615</v>
      </c>
      <c r="DJ110" s="3">
        <v>4.7991518026401723</v>
      </c>
      <c r="DK110" s="3">
        <v>839196646.7458638</v>
      </c>
      <c r="DL110" s="3">
        <v>0.10509019941091537</v>
      </c>
      <c r="DM110" s="3">
        <v>26327600.000000004</v>
      </c>
      <c r="DN110" s="3">
        <v>0.15012885630130768</v>
      </c>
      <c r="DO110" s="3">
        <v>4027432100</v>
      </c>
      <c r="DP110" s="3">
        <v>171261680</v>
      </c>
      <c r="DQ110" s="3">
        <v>4889</v>
      </c>
      <c r="DR110" s="3">
        <v>-0.58459923332105634</v>
      </c>
      <c r="DS110" s="3">
        <v>-7.8415386440057322</v>
      </c>
      <c r="DT110" s="12">
        <v>-0.27333333333333343</v>
      </c>
      <c r="DU110" s="3">
        <v>-0.94166666666666654</v>
      </c>
      <c r="DV110" s="3">
        <v>-1.2149999999999999</v>
      </c>
      <c r="DW110" s="3">
        <v>-5.6867862969004896</v>
      </c>
      <c r="DX110" s="3">
        <v>0.23916079734219331</v>
      </c>
      <c r="DY110" s="3">
        <v>-5.0749701397733489</v>
      </c>
      <c r="DZ110" s="3">
        <v>62</v>
      </c>
      <c r="EA110" s="3">
        <v>-5.0740605216391126</v>
      </c>
      <c r="EB110" s="3">
        <v>5</v>
      </c>
      <c r="EC110" s="3">
        <v>3.9357095177250778E-2</v>
      </c>
      <c r="ED110" s="3">
        <v>0.36054239374851593</v>
      </c>
      <c r="EE110" s="13">
        <v>5.11911</v>
      </c>
      <c r="EF110" s="3">
        <v>5.12181</v>
      </c>
      <c r="EG110" s="3">
        <v>13.109160797342193</v>
      </c>
      <c r="EH110" s="3" t="s">
        <v>2955</v>
      </c>
      <c r="EI110" s="3">
        <v>0</v>
      </c>
      <c r="EJ110" s="3">
        <v>1</v>
      </c>
      <c r="EK110" s="14">
        <v>45470</v>
      </c>
      <c r="EL110" s="15">
        <v>1.88</v>
      </c>
      <c r="EM110" s="15">
        <v>-3.68</v>
      </c>
      <c r="EN110" s="3">
        <v>-4.1500000000000004</v>
      </c>
      <c r="EO110" s="3">
        <v>-1.51</v>
      </c>
      <c r="EP110" s="3">
        <v>-0.27</v>
      </c>
    </row>
    <row r="111" spans="1:146" ht="96" x14ac:dyDescent="0.25">
      <c r="A111" s="3"/>
      <c r="B111" s="3"/>
      <c r="C111" s="7" t="str">
        <f>""&amp;CHAR(10)&amp;Basic_Fundamental_Information_Constructure(F111)&amp;CHAR(10)&amp;Basic_Fundamental_Information_Concatenate("")</f>
        <v xml:space="preserve">
市值110.304825亿, 利润6042.96万; PE58.14; 平均PE132.78; 平均PEG3.22, PB2.42; ROIC6.42%; ROE9.3033%; 股利率1.3963%; 毛利29.9733%; 净利12.5733%; 上一年度营收增-54.6%, 利润增-75.33%; 当季营收增-15.44%, 利润增-36.84%; 过往5年营收增41.28%, 利润增-30.32%
Income profile:
</v>
      </c>
      <c r="D111" s="3" t="s">
        <v>1266</v>
      </c>
      <c r="E111" s="3" t="s">
        <v>1267</v>
      </c>
      <c r="F111" s="3">
        <v>35.81</v>
      </c>
      <c r="G111" s="3">
        <v>0.08</v>
      </c>
      <c r="H111" s="3" t="s">
        <v>4523</v>
      </c>
      <c r="I111" s="3">
        <v>11030482500</v>
      </c>
      <c r="J111" s="3">
        <v>58.14</v>
      </c>
      <c r="K111" s="3">
        <v>2.42</v>
      </c>
      <c r="L111" s="3" t="s">
        <v>2983</v>
      </c>
      <c r="M111" s="3" t="s">
        <v>756</v>
      </c>
      <c r="N111" s="3" t="s">
        <v>4524</v>
      </c>
      <c r="O111" s="3" t="s">
        <v>1877</v>
      </c>
      <c r="P111" s="3">
        <v>105.47</v>
      </c>
      <c r="Q111" s="3" t="s">
        <v>1877</v>
      </c>
      <c r="R111" s="3">
        <v>60429614</v>
      </c>
      <c r="S111" s="3">
        <v>0.53420000000000001</v>
      </c>
      <c r="T111" s="3" t="s">
        <v>4525</v>
      </c>
      <c r="U111" s="3">
        <v>176916160</v>
      </c>
      <c r="V111" s="3">
        <v>308027990</v>
      </c>
      <c r="W111" s="3">
        <v>1.6</v>
      </c>
      <c r="X111" s="3">
        <v>0.09</v>
      </c>
      <c r="Y111" s="3">
        <v>7.25</v>
      </c>
      <c r="Z111" s="3" t="s">
        <v>1886</v>
      </c>
      <c r="AA111" s="3" t="s">
        <v>1253</v>
      </c>
      <c r="AB111" s="3" t="s">
        <v>4526</v>
      </c>
      <c r="AC111" s="3" t="s">
        <v>4527</v>
      </c>
      <c r="AD111" s="3" t="s">
        <v>22</v>
      </c>
      <c r="AE111" s="3">
        <v>5542558</v>
      </c>
      <c r="AF111" s="3" t="s">
        <v>2691</v>
      </c>
      <c r="AG111" s="3" t="s">
        <v>4528</v>
      </c>
      <c r="AH111" s="3" t="s">
        <v>2692</v>
      </c>
      <c r="AI111" s="3" t="s">
        <v>4529</v>
      </c>
      <c r="AJ111" s="3" t="s">
        <v>2694</v>
      </c>
      <c r="AK111" s="3" t="s">
        <v>4530</v>
      </c>
      <c r="AL111" s="3" t="s">
        <v>2695</v>
      </c>
      <c r="AM111" s="3" t="s">
        <v>22</v>
      </c>
      <c r="AN111" s="3" t="s">
        <v>1757</v>
      </c>
      <c r="AO111" s="3" t="s">
        <v>4531</v>
      </c>
      <c r="AP111" s="3" t="s">
        <v>326</v>
      </c>
      <c r="AQ111" s="3" t="s">
        <v>562</v>
      </c>
      <c r="AR111" s="3" t="s">
        <v>22</v>
      </c>
      <c r="AS111" s="3" t="s">
        <v>992</v>
      </c>
      <c r="AT111" s="3" t="s">
        <v>3164</v>
      </c>
      <c r="AU111" s="3" t="s">
        <v>4532</v>
      </c>
      <c r="AV111" s="3" t="s">
        <v>4533</v>
      </c>
      <c r="AW111" s="3" t="s">
        <v>4534</v>
      </c>
      <c r="AX111" s="3" t="s">
        <v>1602</v>
      </c>
      <c r="AY111" s="3" t="s">
        <v>1268</v>
      </c>
      <c r="AZ111" s="3" t="s">
        <v>587</v>
      </c>
      <c r="BA111" s="3" t="s">
        <v>399</v>
      </c>
      <c r="BB111" s="3" t="s">
        <v>345</v>
      </c>
      <c r="BC111" s="3" t="s">
        <v>222</v>
      </c>
      <c r="BD111" s="3" t="s">
        <v>176</v>
      </c>
      <c r="BE111" s="3" t="s">
        <v>1269</v>
      </c>
      <c r="BF111" s="3" t="s">
        <v>1270</v>
      </c>
      <c r="BG111" s="3" t="s">
        <v>1271</v>
      </c>
      <c r="BH111" s="3" t="s">
        <v>624</v>
      </c>
      <c r="BI111" s="3" t="s">
        <v>836</v>
      </c>
      <c r="BJ111" s="3" t="s">
        <v>1602</v>
      </c>
      <c r="BK111" s="3" t="s">
        <v>224</v>
      </c>
      <c r="BL111" s="3" t="s">
        <v>4535</v>
      </c>
      <c r="BM111" s="3" t="s">
        <v>222</v>
      </c>
      <c r="BN111" s="3">
        <v>2.5</v>
      </c>
      <c r="BO111" s="3">
        <v>7.36</v>
      </c>
      <c r="BP111" s="3">
        <v>9.4</v>
      </c>
      <c r="BQ111" s="3">
        <v>2.82</v>
      </c>
      <c r="BR111" s="3">
        <v>12.19</v>
      </c>
      <c r="BS111" s="3">
        <v>12.9</v>
      </c>
      <c r="BT111" s="3" t="s">
        <v>2696</v>
      </c>
      <c r="BU111" s="3" t="s">
        <v>1212</v>
      </c>
      <c r="BV111" s="3">
        <v>25.2</v>
      </c>
      <c r="BW111" s="3">
        <v>32.68</v>
      </c>
      <c r="BX111" s="3">
        <v>32.04</v>
      </c>
      <c r="BY111" s="3">
        <v>8.1300000000000008</v>
      </c>
      <c r="BZ111" s="3">
        <v>15.19</v>
      </c>
      <c r="CA111" s="3">
        <v>14.4</v>
      </c>
      <c r="CB111" s="3">
        <v>-3.06</v>
      </c>
      <c r="CC111" s="10">
        <v>-13.17</v>
      </c>
      <c r="CD111" s="11" t="s">
        <v>4536</v>
      </c>
      <c r="CE111" s="10" t="s">
        <v>4537</v>
      </c>
      <c r="CF111" s="10">
        <v>-0.15440289505428215</v>
      </c>
      <c r="CG111" s="10">
        <v>-0.36843344784447657</v>
      </c>
      <c r="CH111" s="10">
        <v>-0.54598444700241089</v>
      </c>
      <c r="CI111" s="10">
        <v>0.83155399560928345</v>
      </c>
      <c r="CJ111" s="11">
        <v>0.75259876251220703</v>
      </c>
      <c r="CK111" s="11">
        <v>0.90118575096130371</v>
      </c>
      <c r="CL111" s="11">
        <v>0.12444444745779037</v>
      </c>
      <c r="CM111" s="11">
        <v>-0.75334858894348145</v>
      </c>
      <c r="CN111" s="11">
        <v>0.94444441795349121</v>
      </c>
      <c r="CO111" s="3">
        <v>0.34752151370048523</v>
      </c>
      <c r="CP111" s="3">
        <v>3.8042526245117187</v>
      </c>
      <c r="CQ111" s="3">
        <v>-5.8590121269226074</v>
      </c>
      <c r="CR111" s="10">
        <v>132.77662744062678</v>
      </c>
      <c r="CS111" s="11">
        <v>3.2168020964008464</v>
      </c>
      <c r="CT111" s="3">
        <v>1.3962580284836636</v>
      </c>
      <c r="CU111" s="3">
        <v>0.41275970190763472</v>
      </c>
      <c r="CV111" s="3">
        <v>-0.30322843194007876</v>
      </c>
      <c r="CW111" s="3">
        <v>0.06</v>
      </c>
      <c r="CX111" s="3">
        <v>113.12976700238622</v>
      </c>
      <c r="CY111" s="3">
        <v>80540097.813582644</v>
      </c>
      <c r="CZ111" s="3">
        <v>0.41275970190763472</v>
      </c>
      <c r="DA111" s="3">
        <v>28.430652202816439</v>
      </c>
      <c r="DB111" s="3">
        <v>320480952.56490052</v>
      </c>
      <c r="DC111" s="3">
        <v>0.392121716812253</v>
      </c>
      <c r="DD111" s="3">
        <v>9.5155789324456368</v>
      </c>
      <c r="DE111" s="3">
        <v>957533174.24883389</v>
      </c>
      <c r="DF111" s="3">
        <v>0.36322853767871854</v>
      </c>
      <c r="DG111" s="3">
        <v>3.5262016582760798</v>
      </c>
      <c r="DH111" s="3">
        <v>2583936876.8417234</v>
      </c>
      <c r="DI111" s="3">
        <v>0.33020776152610781</v>
      </c>
      <c r="DJ111" s="3">
        <v>0.54716459830827646</v>
      </c>
      <c r="DK111" s="3">
        <v>16652178390.507868</v>
      </c>
      <c r="DL111" s="3">
        <v>0.2889317913353443</v>
      </c>
      <c r="DM111" s="3">
        <v>60429600</v>
      </c>
      <c r="DN111" s="3">
        <v>0.41275970190763472</v>
      </c>
      <c r="DO111" s="3">
        <v>9111482500</v>
      </c>
      <c r="DP111" s="3">
        <v>2827238500</v>
      </c>
      <c r="DQ111" s="12">
        <v>4891</v>
      </c>
      <c r="DR111" s="3">
        <v>-0.56716259696191684</v>
      </c>
      <c r="DS111" s="3">
        <v>-6.5205015904397812E-2</v>
      </c>
      <c r="DT111" s="3">
        <v>0.19333333333333327</v>
      </c>
      <c r="DU111" s="3">
        <v>-5.6666666666666643E-2</v>
      </c>
      <c r="DV111" s="3">
        <v>0.13666666666666663</v>
      </c>
      <c r="DW111" s="3">
        <v>-8.2323462414578596</v>
      </c>
      <c r="DX111" s="3">
        <v>0.33989274968713118</v>
      </c>
      <c r="DY111" s="3">
        <v>-8.0371504794261668</v>
      </c>
      <c r="DZ111" s="3">
        <v>685</v>
      </c>
      <c r="EA111" s="3">
        <v>-8.0321704249434021</v>
      </c>
      <c r="EB111" s="13">
        <v>8</v>
      </c>
      <c r="EC111" s="3">
        <v>3.916170085712016E-2</v>
      </c>
      <c r="ED111" s="3">
        <v>0.24492481998145688</v>
      </c>
      <c r="EE111" s="3">
        <v>-2.0381999999999998</v>
      </c>
      <c r="EF111" s="3">
        <v>-2.0196999999999998</v>
      </c>
      <c r="EG111" s="3">
        <v>18.159892749687131</v>
      </c>
      <c r="EH111" s="14" t="s">
        <v>1923</v>
      </c>
      <c r="EI111" s="15">
        <v>0</v>
      </c>
      <c r="EJ111" s="15">
        <v>1</v>
      </c>
      <c r="EK111" s="15">
        <v>45470</v>
      </c>
      <c r="EL111" s="15">
        <v>-0.33</v>
      </c>
      <c r="EM111" s="15">
        <v>-3.27</v>
      </c>
      <c r="EN111" s="3">
        <v>0.88</v>
      </c>
      <c r="EO111" s="3">
        <v>5</v>
      </c>
      <c r="EP111" s="3">
        <v>-1.85</v>
      </c>
    </row>
    <row r="112" spans="1:146" ht="96" x14ac:dyDescent="0.25">
      <c r="C112" s="7" t="str">
        <f>""&amp;CHAR(10)&amp;Basic_Fundamental_Information_Constructure(F112)&amp;CHAR(10)&amp;Basic_Fundamental_Information_Concatenate("")</f>
        <v xml:space="preserve">
市值24.741601亿, 利润-3305.33万; PE; 平均PE102.1; 平均PEG3.57, PB1.65; ROIC23.16%; ROE13.6167%; 股利率0%; 毛利27.4667%; 净利-8.6467%; 上一年度营收增-81.41%, 利润增-255.87%; 当季营收增-47.03%, 利润增31.57%; 过往5年营收增28.61%, 利润增160.58%
Income profile:
</v>
      </c>
      <c r="D112" s="3" t="s">
        <v>1247</v>
      </c>
      <c r="E112" s="3" t="s">
        <v>1264</v>
      </c>
      <c r="F112" s="3">
        <v>29.94</v>
      </c>
      <c r="G112" s="3">
        <v>-1.02</v>
      </c>
      <c r="H112" s="3" t="s">
        <v>4538</v>
      </c>
      <c r="I112" s="3">
        <v>2474160100</v>
      </c>
      <c r="K112" s="3">
        <v>1.65</v>
      </c>
      <c r="L112" s="3" t="s">
        <v>2983</v>
      </c>
      <c r="M112" s="3" t="s">
        <v>318</v>
      </c>
      <c r="N112" s="3" t="s">
        <v>1787</v>
      </c>
      <c r="O112" s="3" t="s">
        <v>2697</v>
      </c>
      <c r="P112" s="3">
        <v>12.23</v>
      </c>
      <c r="Q112" s="3" t="s">
        <v>2697</v>
      </c>
      <c r="R112" s="3">
        <v>-33053294</v>
      </c>
      <c r="S112" s="5">
        <v>-0.77</v>
      </c>
      <c r="T112" s="3" t="s">
        <v>4539</v>
      </c>
      <c r="U112" s="3">
        <v>46975277</v>
      </c>
      <c r="V112" s="3">
        <v>82637279</v>
      </c>
      <c r="W112" s="3">
        <v>1.07</v>
      </c>
      <c r="X112" s="3">
        <v>0.05</v>
      </c>
      <c r="Y112" s="3">
        <v>-41.05</v>
      </c>
      <c r="Z112" s="3" t="s">
        <v>4540</v>
      </c>
      <c r="AA112" s="3" t="s">
        <v>4541</v>
      </c>
      <c r="AB112" s="3" t="s">
        <v>4542</v>
      </c>
      <c r="AC112" s="3" t="s">
        <v>4543</v>
      </c>
      <c r="AD112" s="3" t="s">
        <v>22</v>
      </c>
      <c r="AE112" s="3">
        <v>-994221</v>
      </c>
      <c r="AF112" s="3" t="s">
        <v>2698</v>
      </c>
      <c r="AG112" s="3" t="s">
        <v>4544</v>
      </c>
      <c r="AH112" s="3" t="s">
        <v>2699</v>
      </c>
      <c r="AI112" s="3" t="s">
        <v>533</v>
      </c>
      <c r="AJ112" s="3" t="s">
        <v>2700</v>
      </c>
      <c r="AK112" s="3" t="s">
        <v>4545</v>
      </c>
      <c r="AL112" s="3" t="s">
        <v>2701</v>
      </c>
      <c r="AM112" s="3" t="s">
        <v>22</v>
      </c>
      <c r="AN112" s="3">
        <v>0</v>
      </c>
      <c r="AO112" s="3" t="s">
        <v>22</v>
      </c>
      <c r="AP112" s="3" t="s">
        <v>22</v>
      </c>
      <c r="AQ112" s="3" t="s">
        <v>4546</v>
      </c>
      <c r="AR112" s="3" t="s">
        <v>22</v>
      </c>
      <c r="AS112" s="3" t="s">
        <v>4547</v>
      </c>
      <c r="AT112" s="3" t="s">
        <v>22</v>
      </c>
      <c r="AU112" s="3" t="s">
        <v>4548</v>
      </c>
      <c r="AV112" s="3" t="s">
        <v>4549</v>
      </c>
      <c r="AW112" s="3" t="s">
        <v>4550</v>
      </c>
      <c r="AX112" s="3" t="s">
        <v>1239</v>
      </c>
      <c r="AY112" s="3" t="s">
        <v>583</v>
      </c>
      <c r="AZ112" s="3" t="s">
        <v>340</v>
      </c>
      <c r="BA112" s="3" t="s">
        <v>146</v>
      </c>
      <c r="BB112" s="3" t="s">
        <v>265</v>
      </c>
      <c r="BC112" s="3" t="s">
        <v>1659</v>
      </c>
      <c r="BD112" s="3" t="s">
        <v>177</v>
      </c>
      <c r="BE112" s="3" t="s">
        <v>1248</v>
      </c>
      <c r="BF112" s="3" t="s">
        <v>1249</v>
      </c>
      <c r="BG112" s="3" t="s">
        <v>1250</v>
      </c>
      <c r="BH112" s="3" t="s">
        <v>299</v>
      </c>
      <c r="BI112" s="3" t="s">
        <v>579</v>
      </c>
      <c r="BJ112" s="3" t="s">
        <v>1239</v>
      </c>
      <c r="BK112" s="3" t="s">
        <v>1553</v>
      </c>
      <c r="BL112" s="3" t="s">
        <v>4551</v>
      </c>
      <c r="BM112" s="3" t="s">
        <v>1659</v>
      </c>
      <c r="BN112" s="3" t="s">
        <v>22</v>
      </c>
      <c r="BO112" s="3">
        <v>1.79</v>
      </c>
      <c r="BP112" s="3">
        <v>44.53</v>
      </c>
      <c r="BQ112" s="3">
        <v>-5.84</v>
      </c>
      <c r="BR112" s="3">
        <v>2.42</v>
      </c>
      <c r="BS112" s="3">
        <v>44.27</v>
      </c>
      <c r="BT112" s="3" t="s">
        <v>1368</v>
      </c>
      <c r="BU112" s="3" t="s">
        <v>2998</v>
      </c>
      <c r="BV112" s="3">
        <v>14.58</v>
      </c>
      <c r="BW112" s="3">
        <v>26.99</v>
      </c>
      <c r="BX112" s="3">
        <v>40.83</v>
      </c>
      <c r="BY112" s="3">
        <v>-56.45</v>
      </c>
      <c r="BZ112" s="3">
        <v>4.8899999999999997</v>
      </c>
      <c r="CA112" s="3">
        <v>25.62</v>
      </c>
      <c r="CB112" s="3">
        <v>-21.15</v>
      </c>
      <c r="CC112" s="3">
        <v>-27.35</v>
      </c>
      <c r="CD112" s="3" t="s">
        <v>4552</v>
      </c>
      <c r="CE112" s="3" t="s">
        <v>4553</v>
      </c>
      <c r="CF112" s="10">
        <v>-0.47031447368421053</v>
      </c>
      <c r="CG112" s="11">
        <v>0.3156809589863564</v>
      </c>
      <c r="CH112" s="10">
        <v>-0.81405961513519287</v>
      </c>
      <c r="CI112" s="10">
        <v>-0.2482638955116272</v>
      </c>
      <c r="CJ112" s="10">
        <v>1.2857142686843872</v>
      </c>
      <c r="CK112" s="10">
        <v>0.88059699535369873</v>
      </c>
      <c r="CL112" s="10">
        <v>0.32673266530036926</v>
      </c>
      <c r="CM112" s="11">
        <v>-2.5587062835693359</v>
      </c>
      <c r="CN112" s="11">
        <v>-0.85671889781951904</v>
      </c>
      <c r="CO112" s="11">
        <v>6.1854772567749023</v>
      </c>
      <c r="CP112" s="11">
        <v>5.0657520294189453</v>
      </c>
      <c r="CQ112" s="11">
        <v>0.19331210851669312</v>
      </c>
      <c r="CR112" s="3">
        <v>102.09500328052852</v>
      </c>
      <c r="CS112" s="3">
        <v>3.5679578604844524</v>
      </c>
      <c r="CT112" s="3">
        <v>0</v>
      </c>
      <c r="CU112" s="10">
        <v>0.286144083738327</v>
      </c>
      <c r="CV112" s="11">
        <v>1.6058232426643371</v>
      </c>
      <c r="CW112" s="3">
        <v>0.06</v>
      </c>
      <c r="CX112" s="3" t="e">
        <v>#VALUE!</v>
      </c>
      <c r="CY112" s="3" t="s">
        <v>1073</v>
      </c>
      <c r="CZ112" s="3">
        <v>0.286144083738327</v>
      </c>
      <c r="DA112" s="3" t="e">
        <v>#VALUE!</v>
      </c>
      <c r="DB112" s="3" t="s">
        <v>1074</v>
      </c>
      <c r="DC112" s="3">
        <v>0.27183687955141062</v>
      </c>
      <c r="DD112" s="3" t="e">
        <v>#VALUE!</v>
      </c>
      <c r="DE112" s="3" t="s">
        <v>1074</v>
      </c>
      <c r="DF112" s="3">
        <v>0.25180679368972775</v>
      </c>
      <c r="DG112" s="3" t="e">
        <v>#VALUE!</v>
      </c>
      <c r="DH112" s="3" t="s">
        <v>1074</v>
      </c>
      <c r="DI112" s="3">
        <v>0.22891526699066161</v>
      </c>
      <c r="DJ112" s="3" t="e">
        <v>#VALUE!</v>
      </c>
      <c r="DK112" s="3" t="s">
        <v>1074</v>
      </c>
      <c r="DL112" s="3">
        <v>0.20030085861682889</v>
      </c>
      <c r="DM112" s="3">
        <v>-33053300</v>
      </c>
      <c r="DN112" s="3">
        <v>0.286144083738327</v>
      </c>
      <c r="DO112" s="3">
        <v>1105160100</v>
      </c>
      <c r="DP112" s="3">
        <v>1223046750</v>
      </c>
      <c r="DQ112" s="3">
        <v>4893</v>
      </c>
      <c r="DR112" s="3">
        <v>-0.75645855742253754</v>
      </c>
      <c r="DS112" s="3">
        <v>-1.2901422836779806</v>
      </c>
      <c r="DT112" s="12">
        <v>-0.32333333333333331</v>
      </c>
      <c r="DU112" s="3">
        <v>-0.97550000000000014</v>
      </c>
      <c r="DV112" s="3">
        <v>-1.2988333333333335</v>
      </c>
      <c r="DW112" s="3">
        <v>-9.7733089579524677</v>
      </c>
      <c r="DX112" s="3">
        <v>0.52076461516704531</v>
      </c>
      <c r="DY112" s="3">
        <v>-9.1707192545076044</v>
      </c>
      <c r="DZ112" s="3">
        <v>3869</v>
      </c>
      <c r="EA112" s="3">
        <v>-9.0414603903804185</v>
      </c>
      <c r="EB112" s="3">
        <v>9</v>
      </c>
      <c r="EC112" s="3">
        <v>0.11900924278980676</v>
      </c>
      <c r="ED112" s="3">
        <v>0.53907752698391731</v>
      </c>
      <c r="EE112" s="13">
        <v>1.06101</v>
      </c>
      <c r="EF112" s="3">
        <v>1.0984099999999999</v>
      </c>
      <c r="EG112" s="3">
        <v>30.220764615167045</v>
      </c>
      <c r="EH112" s="3" t="s">
        <v>2954</v>
      </c>
      <c r="EI112" s="3">
        <v>0</v>
      </c>
      <c r="EJ112" s="3">
        <v>0</v>
      </c>
      <c r="EK112" s="14">
        <v>45470</v>
      </c>
      <c r="EL112" s="15">
        <v>-1.89</v>
      </c>
      <c r="EM112" s="15">
        <v>-6.9</v>
      </c>
      <c r="EN112" s="3">
        <v>-2.73</v>
      </c>
      <c r="EO112" s="3">
        <v>5.25</v>
      </c>
      <c r="EP112" s="3">
        <v>-3.74</v>
      </c>
    </row>
    <row r="113" spans="1:146" ht="96" x14ac:dyDescent="0.25">
      <c r="A113" s="3"/>
      <c r="B113" s="3"/>
      <c r="C113" s="7" t="str">
        <f>""&amp;CHAR(10)&amp;Basic_Fundamental_Information_Constructure(F113)&amp;CHAR(10)&amp;Basic_Fundamental_Information_Concatenate("")</f>
        <v xml:space="preserve">
市值22.9764亿, 利润1860.92万; PE39.81; 平均PE71.6; 平均PEG3.28, PB2.32; ROIC15.6667%; ROE19.37%; 股利率1.0707%; 毛利37.7967%; 净利23.04%; 上一年度营收增-79.71%, 利润增-67.47%; 当季营收增-39.29%, 利润增-19.2%; 过往5年营收增21.8%, 利润增44.88%
Income profile:
</v>
      </c>
      <c r="D113" s="3" t="s">
        <v>1330</v>
      </c>
      <c r="E113" s="3" t="s">
        <v>1338</v>
      </c>
      <c r="F113" s="3">
        <v>28.02</v>
      </c>
      <c r="G113" s="3">
        <v>1.23</v>
      </c>
      <c r="H113" s="3" t="s">
        <v>4554</v>
      </c>
      <c r="I113" s="3">
        <v>2297640000</v>
      </c>
      <c r="J113" s="3">
        <v>39.81</v>
      </c>
      <c r="K113" s="3">
        <v>2.3199999999999998</v>
      </c>
      <c r="L113" s="3" t="s">
        <v>2983</v>
      </c>
      <c r="M113" s="3" t="s">
        <v>220</v>
      </c>
      <c r="N113" s="3" t="s">
        <v>2211</v>
      </c>
      <c r="O113" s="3" t="s">
        <v>2702</v>
      </c>
      <c r="P113" s="5">
        <v>29.49</v>
      </c>
      <c r="Q113" s="3" t="s">
        <v>2702</v>
      </c>
      <c r="R113" s="3">
        <v>18609242</v>
      </c>
      <c r="S113" s="3">
        <v>0.39750000000000002</v>
      </c>
      <c r="T113" s="3" t="s">
        <v>4555</v>
      </c>
      <c r="U113" s="3">
        <v>21133093</v>
      </c>
      <c r="V113" s="3">
        <v>82000000</v>
      </c>
      <c r="W113" s="3">
        <v>1.17</v>
      </c>
      <c r="X113" s="3">
        <v>0.05</v>
      </c>
      <c r="Y113" s="3">
        <v>34.090000000000003</v>
      </c>
      <c r="Z113" s="3" t="s">
        <v>4556</v>
      </c>
      <c r="AA113" s="3" t="s">
        <v>4557</v>
      </c>
      <c r="AB113" s="3" t="s">
        <v>4558</v>
      </c>
      <c r="AC113" s="3" t="s">
        <v>4559</v>
      </c>
      <c r="AD113" s="3" t="s">
        <v>22</v>
      </c>
      <c r="AE113" s="3">
        <v>-2130407</v>
      </c>
      <c r="AF113" s="3" t="s">
        <v>2704</v>
      </c>
      <c r="AG113" s="3" t="s">
        <v>4560</v>
      </c>
      <c r="AH113" s="3" t="s">
        <v>2705</v>
      </c>
      <c r="AI113" s="3" t="s">
        <v>217</v>
      </c>
      <c r="AJ113" s="3" t="s">
        <v>2706</v>
      </c>
      <c r="AK113" s="3" t="s">
        <v>4561</v>
      </c>
      <c r="AL113" s="3" t="s">
        <v>2707</v>
      </c>
      <c r="AM113" s="3" t="s">
        <v>22</v>
      </c>
      <c r="AN113" s="3" t="s">
        <v>4562</v>
      </c>
      <c r="AO113" s="3" t="s">
        <v>22</v>
      </c>
      <c r="AP113" s="3" t="s">
        <v>4563</v>
      </c>
      <c r="AQ113" s="3" t="s">
        <v>4564</v>
      </c>
      <c r="AR113" s="3" t="s">
        <v>4565</v>
      </c>
      <c r="AS113" s="3" t="s">
        <v>1072</v>
      </c>
      <c r="AT113" s="3" t="s">
        <v>22</v>
      </c>
      <c r="AU113" s="3" t="s">
        <v>4566</v>
      </c>
      <c r="AV113" s="3" t="s">
        <v>4567</v>
      </c>
      <c r="AW113" s="3" t="s">
        <v>22</v>
      </c>
      <c r="AX113" s="3" t="s">
        <v>533</v>
      </c>
      <c r="AY113" s="3" t="s">
        <v>767</v>
      </c>
      <c r="AZ113" s="3" t="s">
        <v>224</v>
      </c>
      <c r="BA113" s="3" t="s">
        <v>1332</v>
      </c>
      <c r="BB113" s="3" t="s">
        <v>1333</v>
      </c>
      <c r="BC113" s="3" t="s">
        <v>1660</v>
      </c>
      <c r="BD113" s="3" t="s">
        <v>1331</v>
      </c>
      <c r="BE113" s="3" t="s">
        <v>1334</v>
      </c>
      <c r="BF113" s="3" t="s">
        <v>1335</v>
      </c>
      <c r="BG113" s="3" t="s">
        <v>1336</v>
      </c>
      <c r="BH113" s="3" t="s">
        <v>697</v>
      </c>
      <c r="BI113" s="3" t="s">
        <v>4568</v>
      </c>
      <c r="BJ113" s="3" t="s">
        <v>533</v>
      </c>
      <c r="BK113" s="3" t="s">
        <v>2703</v>
      </c>
      <c r="BL113" s="3" t="s">
        <v>4569</v>
      </c>
      <c r="BM113" s="3" t="s">
        <v>1660</v>
      </c>
      <c r="BN113" s="3">
        <v>3.22</v>
      </c>
      <c r="BO113" s="3">
        <v>9.81</v>
      </c>
      <c r="BP113" s="3">
        <v>33.97</v>
      </c>
      <c r="BQ113" s="3">
        <v>3.38</v>
      </c>
      <c r="BR113" s="3">
        <v>21.07</v>
      </c>
      <c r="BS113" s="3">
        <v>33.659999999999997</v>
      </c>
      <c r="BT113" s="3" t="s">
        <v>1370</v>
      </c>
      <c r="BU113" s="3" t="s">
        <v>1212</v>
      </c>
      <c r="BV113" s="3">
        <v>41</v>
      </c>
      <c r="BW113" s="3">
        <v>36.229999999999997</v>
      </c>
      <c r="BX113" s="3">
        <v>36.159999999999997</v>
      </c>
      <c r="BY113" s="3">
        <v>26.48</v>
      </c>
      <c r="BZ113" s="3">
        <v>21.27</v>
      </c>
      <c r="CA113" s="3">
        <v>21.37</v>
      </c>
      <c r="CB113" s="3">
        <v>-6.35</v>
      </c>
      <c r="CC113" s="10">
        <v>-8.07</v>
      </c>
      <c r="CD113" s="11" t="s">
        <v>4570</v>
      </c>
      <c r="CE113" s="10" t="s">
        <v>4571</v>
      </c>
      <c r="CF113" s="10">
        <v>-0.39288403467893074</v>
      </c>
      <c r="CG113" s="10">
        <v>-0.19199508490693021</v>
      </c>
      <c r="CH113" s="10">
        <v>-0.7970777153968811</v>
      </c>
      <c r="CI113" s="10">
        <v>8.0321282148361206E-2</v>
      </c>
      <c r="CJ113" s="11">
        <v>0.47337278723716736</v>
      </c>
      <c r="CK113" s="11">
        <v>0.95314538478851318</v>
      </c>
      <c r="CL113" s="11">
        <v>0.38037854433059692</v>
      </c>
      <c r="CM113" s="11">
        <v>-0.67471891641616821</v>
      </c>
      <c r="CN113" s="11">
        <v>7.6815642416477203E-2</v>
      </c>
      <c r="CO113" s="3">
        <v>0.29103708267211914</v>
      </c>
      <c r="CP113" s="3">
        <v>2.0808932781219482</v>
      </c>
      <c r="CQ113" s="3">
        <v>0.46996158361434937</v>
      </c>
      <c r="CR113" s="10">
        <v>71.598796943434422</v>
      </c>
      <c r="CS113" s="11">
        <v>3.2839258420632578</v>
      </c>
      <c r="CT113" s="3">
        <v>1.0706638115631693</v>
      </c>
      <c r="CU113" s="3">
        <v>0.2180280566215515</v>
      </c>
      <c r="CV113" s="3">
        <v>0.44879773408174517</v>
      </c>
      <c r="CW113" s="3">
        <v>0.06</v>
      </c>
      <c r="CX113" s="3">
        <v>69.335648583605987</v>
      </c>
      <c r="CY113" s="3">
        <v>21383516.708756391</v>
      </c>
      <c r="CZ113" s="3">
        <v>0.2180280566215515</v>
      </c>
      <c r="DA113" s="3">
        <v>20.363418888718577</v>
      </c>
      <c r="DB113" s="3">
        <v>72808991.854574531</v>
      </c>
      <c r="DC113" s="3">
        <v>0.20712665379047393</v>
      </c>
      <c r="DD113" s="3">
        <v>8.6350048124652865</v>
      </c>
      <c r="DE113" s="3">
        <v>171701120.28886148</v>
      </c>
      <c r="DF113" s="3">
        <v>0.19186468982696533</v>
      </c>
      <c r="DG113" s="3">
        <v>4.3430595286188174</v>
      </c>
      <c r="DH113" s="3">
        <v>341381459.36754179</v>
      </c>
      <c r="DI113" s="3">
        <v>0.17442244529724121</v>
      </c>
      <c r="DJ113" s="3">
        <v>1.4748891545602811</v>
      </c>
      <c r="DK113" s="3">
        <v>1005255205.3934045</v>
      </c>
      <c r="DL113" s="3">
        <v>0.15261963963508604</v>
      </c>
      <c r="DM113" s="3">
        <v>18609200</v>
      </c>
      <c r="DN113" s="3">
        <v>0.2180280566215515</v>
      </c>
      <c r="DO113" s="3">
        <v>1482640000</v>
      </c>
      <c r="DP113" s="3">
        <v>898854490</v>
      </c>
      <c r="DQ113" s="12">
        <v>4895</v>
      </c>
      <c r="DR113" s="3">
        <v>-0.61091209130048219</v>
      </c>
      <c r="DS113" s="3">
        <v>-0.64079281898867535</v>
      </c>
      <c r="DT113" s="3">
        <v>-0.3066666666666667</v>
      </c>
      <c r="DU113" s="3">
        <v>0.10999999999999992</v>
      </c>
      <c r="DV113" s="3">
        <v>-0.19666666666666677</v>
      </c>
      <c r="DW113" s="3">
        <v>-9.7868649318463437</v>
      </c>
      <c r="DX113" s="3">
        <v>0.2859867186372172</v>
      </c>
      <c r="DY113" s="3">
        <v>-9.0755285828186274</v>
      </c>
      <c r="DZ113" s="3">
        <v>141</v>
      </c>
      <c r="EA113" s="3">
        <v>-9.0734445260324375</v>
      </c>
      <c r="EB113" s="13">
        <v>9</v>
      </c>
      <c r="EC113" s="3">
        <v>7.2976829268292687E-2</v>
      </c>
      <c r="ED113" s="3">
        <v>0.760280487804878</v>
      </c>
      <c r="EE113" s="3">
        <v>-2.0746099999999998</v>
      </c>
      <c r="EF113" s="3">
        <v>-2.08541</v>
      </c>
      <c r="EG113" s="3">
        <v>19.095986718637217</v>
      </c>
      <c r="EH113" s="14" t="s">
        <v>1401</v>
      </c>
      <c r="EI113" s="15">
        <v>0</v>
      </c>
      <c r="EJ113" s="15">
        <v>1</v>
      </c>
      <c r="EK113" s="15">
        <v>45470</v>
      </c>
      <c r="EL113" s="15">
        <v>-1.67</v>
      </c>
      <c r="EM113" s="15">
        <v>-4.59</v>
      </c>
      <c r="EN113" s="3">
        <v>-0.28999999999999998</v>
      </c>
      <c r="EO113" s="3">
        <v>2.27</v>
      </c>
      <c r="EP113" s="3">
        <v>-1.08</v>
      </c>
    </row>
    <row r="114" spans="1:146" ht="96" x14ac:dyDescent="0.25">
      <c r="A114" s="3"/>
      <c r="B114" s="3"/>
      <c r="C114" s="7" t="str">
        <f>""&amp;CHAR(10)&amp;Basic_Fundamental_Information_Constructure(F114)&amp;CHAR(10)&amp;Basic_Fundamental_Information_Concatenate("")</f>
        <v xml:space="preserve">
市值116.028758亿, 利润5638.48万; PE49.73; 平均PE73.87; 平均PEG37.48, PB2.78; ROIC5.11%; ROE9.7867%; 股利率.1075%; 毛利33.48%; 净利29.3367%; 上一年度营收增-80%, 利润增-83.94%; 当季营收增-55.74%, 利润增-64.98%; 过往5年营收增-1.97%, 利润增11.74%
Income profile:
</v>
      </c>
      <c r="D114" s="3" t="s">
        <v>1326</v>
      </c>
      <c r="E114" s="3" t="s">
        <v>1339</v>
      </c>
      <c r="F114" s="3">
        <v>9.3000000000000007</v>
      </c>
      <c r="G114" s="3">
        <v>0.54</v>
      </c>
      <c r="H114" s="3" t="s">
        <v>4572</v>
      </c>
      <c r="I114" s="3">
        <v>11602875800</v>
      </c>
      <c r="J114" s="3">
        <v>49.73</v>
      </c>
      <c r="K114" s="3">
        <v>2.78</v>
      </c>
      <c r="L114" s="3" t="s">
        <v>2983</v>
      </c>
      <c r="M114" s="3" t="s">
        <v>475</v>
      </c>
      <c r="N114" s="3" t="s">
        <v>4573</v>
      </c>
      <c r="O114" s="3" t="s">
        <v>206</v>
      </c>
      <c r="P114" s="3">
        <v>-9.07</v>
      </c>
      <c r="Q114" s="3" t="s">
        <v>206</v>
      </c>
      <c r="R114" s="3">
        <v>56384833</v>
      </c>
      <c r="S114" s="3">
        <v>-0.26989999999999997</v>
      </c>
      <c r="T114" s="3" t="s">
        <v>4574</v>
      </c>
      <c r="U114" s="3">
        <v>501511170</v>
      </c>
      <c r="V114" s="3">
        <v>1247621060</v>
      </c>
      <c r="W114" s="3">
        <v>1.0900000000000001</v>
      </c>
      <c r="X114" s="3">
        <v>0.05</v>
      </c>
      <c r="Y114" s="3">
        <v>27.15</v>
      </c>
      <c r="Z114" s="3" t="s">
        <v>352</v>
      </c>
      <c r="AA114" s="3" t="s">
        <v>197</v>
      </c>
      <c r="AB114" s="3" t="s">
        <v>4575</v>
      </c>
      <c r="AC114" s="3" t="s">
        <v>4576</v>
      </c>
      <c r="AD114" s="3" t="s">
        <v>22</v>
      </c>
      <c r="AE114" s="3">
        <v>-8008705</v>
      </c>
      <c r="AF114" s="3" t="s">
        <v>2708</v>
      </c>
      <c r="AG114" s="3">
        <v>1.0900000000000001</v>
      </c>
      <c r="AH114" s="3" t="s">
        <v>2709</v>
      </c>
      <c r="AI114" s="3" t="s">
        <v>4577</v>
      </c>
      <c r="AJ114" s="3" t="s">
        <v>2710</v>
      </c>
      <c r="AK114" s="3" t="s">
        <v>4578</v>
      </c>
      <c r="AL114" s="3" t="s">
        <v>2711</v>
      </c>
      <c r="AM114" s="3" t="s">
        <v>22</v>
      </c>
      <c r="AN114" s="3" t="s">
        <v>169</v>
      </c>
      <c r="AO114" s="3" t="s">
        <v>22</v>
      </c>
      <c r="AP114" s="3" t="s">
        <v>4579</v>
      </c>
      <c r="AQ114" s="3" t="s">
        <v>4580</v>
      </c>
      <c r="AR114" s="3" t="s">
        <v>22</v>
      </c>
      <c r="AS114" s="3" t="s">
        <v>227</v>
      </c>
      <c r="AT114" s="3" t="s">
        <v>22</v>
      </c>
      <c r="AU114" s="3" t="s">
        <v>4581</v>
      </c>
      <c r="AV114" s="3" t="s">
        <v>896</v>
      </c>
      <c r="AW114" s="3" t="s">
        <v>4582</v>
      </c>
      <c r="AX114" s="3" t="s">
        <v>290</v>
      </c>
      <c r="AY114" s="3" t="s">
        <v>1086</v>
      </c>
      <c r="AZ114" s="3" t="s">
        <v>315</v>
      </c>
      <c r="BA114" s="3" t="s">
        <v>903</v>
      </c>
      <c r="BB114" s="3" t="s">
        <v>875</v>
      </c>
      <c r="BC114" s="3" t="s">
        <v>551</v>
      </c>
      <c r="BD114" s="3" t="s">
        <v>177</v>
      </c>
      <c r="BE114" s="3" t="s">
        <v>349</v>
      </c>
      <c r="BF114" s="3" t="s">
        <v>162</v>
      </c>
      <c r="BG114" s="3" t="s">
        <v>177</v>
      </c>
      <c r="BH114" s="3" t="s">
        <v>1860</v>
      </c>
      <c r="BI114" s="3" t="s">
        <v>1208</v>
      </c>
      <c r="BJ114" s="3" t="s">
        <v>290</v>
      </c>
      <c r="BK114" s="3" t="s">
        <v>196</v>
      </c>
      <c r="BL114" s="3" t="s">
        <v>1085</v>
      </c>
      <c r="BM114" s="3" t="s">
        <v>551</v>
      </c>
      <c r="BN114" s="3">
        <v>5.1100000000000003</v>
      </c>
      <c r="BO114" s="3" t="s">
        <v>22</v>
      </c>
      <c r="BP114" s="3" t="s">
        <v>22</v>
      </c>
      <c r="BQ114" s="3">
        <v>5.44</v>
      </c>
      <c r="BR114" s="3">
        <v>14.71</v>
      </c>
      <c r="BS114" s="3">
        <v>9.2100000000000009</v>
      </c>
      <c r="BT114" s="3" t="s">
        <v>1376</v>
      </c>
      <c r="BU114" s="3" t="s">
        <v>1211</v>
      </c>
      <c r="BV114" s="3">
        <v>34.36</v>
      </c>
      <c r="BW114" s="3">
        <v>38.15</v>
      </c>
      <c r="BX114" s="3">
        <v>27.93</v>
      </c>
      <c r="BY114" s="3">
        <v>30.01</v>
      </c>
      <c r="BZ114" s="3">
        <v>36.520000000000003</v>
      </c>
      <c r="CA114" s="3">
        <v>21.48</v>
      </c>
      <c r="CB114" s="3">
        <v>-4.0199999999999996</v>
      </c>
      <c r="CC114" s="10">
        <v>-3.73</v>
      </c>
      <c r="CD114" s="11" t="s">
        <v>4583</v>
      </c>
      <c r="CE114" s="10" t="s">
        <v>170</v>
      </c>
      <c r="CF114" s="10">
        <v>-0.55743879472693025</v>
      </c>
      <c r="CG114" s="10">
        <v>-0.64978364596273297</v>
      </c>
      <c r="CH114" s="10">
        <v>-0.80000001192092896</v>
      </c>
      <c r="CI114" s="10">
        <v>0.35212895274162292</v>
      </c>
      <c r="CJ114" s="11">
        <v>0.56014364957809448</v>
      </c>
      <c r="CK114" s="11">
        <v>-0.1088000014424324</v>
      </c>
      <c r="CL114" s="11">
        <v>-0.10201149433851242</v>
      </c>
      <c r="CM114" s="11">
        <v>-0.83935952186584473</v>
      </c>
      <c r="CN114" s="11">
        <v>1.3716216087341309</v>
      </c>
      <c r="CO114" s="3">
        <v>0.29824560880661011</v>
      </c>
      <c r="CP114" s="3">
        <v>-8.7999999523162842E-2</v>
      </c>
      <c r="CQ114" s="3">
        <v>-0.15540540218353271</v>
      </c>
      <c r="CR114" s="10">
        <v>73.873490743908434</v>
      </c>
      <c r="CS114" s="11">
        <v>37.484428336914327</v>
      </c>
      <c r="CT114" s="3">
        <v>0.10752688172043011</v>
      </c>
      <c r="CU114" s="3">
        <v>-1.9707781076431275E-2</v>
      </c>
      <c r="CV114" s="3">
        <v>0.11742045879364013</v>
      </c>
      <c r="CW114" s="3">
        <v>0.06</v>
      </c>
      <c r="CX114" s="3">
        <v>132.16107532526496</v>
      </c>
      <c r="CY114" s="3" t="s">
        <v>4584</v>
      </c>
      <c r="CZ114" s="3">
        <v>-1.9707781076431275E-2</v>
      </c>
      <c r="DA114" s="3">
        <v>44.053691775088325</v>
      </c>
      <c r="DB114" s="3" t="s">
        <v>4585</v>
      </c>
      <c r="DC114" s="3">
        <v>-1.872239202260971E-2</v>
      </c>
      <c r="DD114" s="3">
        <v>22.026845887544162</v>
      </c>
      <c r="DE114" s="3" t="s">
        <v>4586</v>
      </c>
      <c r="DF114" s="3">
        <v>-1.7342847347259521E-2</v>
      </c>
      <c r="DG114" s="3">
        <v>13.216107532526497</v>
      </c>
      <c r="DH114" s="3" t="s">
        <v>4587</v>
      </c>
      <c r="DI114" s="3">
        <v>-1.5766224861145022E-2</v>
      </c>
      <c r="DJ114" s="3">
        <v>6.6080537662632484</v>
      </c>
      <c r="DK114" s="3" t="s">
        <v>4588</v>
      </c>
      <c r="DL114" s="3">
        <v>-1.3795446753501892E-2</v>
      </c>
      <c r="DM114" s="3">
        <v>56384799.999999993</v>
      </c>
      <c r="DN114" s="3">
        <v>-1.9707781076431275E-2</v>
      </c>
      <c r="DO114" s="3">
        <v>7451875800</v>
      </c>
      <c r="DP114" s="3">
        <v>3164445300</v>
      </c>
      <c r="DQ114" s="12">
        <v>4901</v>
      </c>
      <c r="DR114" s="3">
        <v>-0.53773101365049902</v>
      </c>
      <c r="DS114" s="3">
        <v>-0.76720410475637313</v>
      </c>
      <c r="DT114" s="3">
        <v>-0.49</v>
      </c>
      <c r="DU114" s="3">
        <v>-0.44</v>
      </c>
      <c r="DV114" s="3">
        <v>-0.92999999999999994</v>
      </c>
      <c r="DW114" s="3">
        <v>-4.9278606965174134</v>
      </c>
      <c r="DX114" s="3">
        <v>0.28903481481481474</v>
      </c>
      <c r="DY114" s="3">
        <v>-4.0733332983231989</v>
      </c>
      <c r="DZ114" s="3">
        <v>125</v>
      </c>
      <c r="EA114" s="3">
        <v>-4.0715394309473867</v>
      </c>
      <c r="EB114" s="13">
        <v>4</v>
      </c>
      <c r="EC114" s="3">
        <v>8.5520358240826749E-3</v>
      </c>
      <c r="ED114" s="3">
        <v>0.10820593233653815</v>
      </c>
      <c r="EE114" s="3">
        <v>2.0296099999999999</v>
      </c>
      <c r="EF114" s="3">
        <v>2.0527099999999998</v>
      </c>
      <c r="EG114" s="3">
        <v>21.079034814814815</v>
      </c>
      <c r="EH114" s="14" t="s">
        <v>2952</v>
      </c>
      <c r="EI114" s="15">
        <v>0</v>
      </c>
      <c r="EJ114" s="15">
        <v>1</v>
      </c>
      <c r="EK114" s="15">
        <v>45470</v>
      </c>
      <c r="EL114" s="15">
        <v>-2.75</v>
      </c>
      <c r="EM114" s="15">
        <v>-3.98</v>
      </c>
      <c r="EN114" s="3">
        <v>-0.92</v>
      </c>
      <c r="EO114" s="3">
        <v>3.31</v>
      </c>
      <c r="EP114" s="3">
        <v>-2.31</v>
      </c>
    </row>
    <row r="115" spans="1:146" ht="96" x14ac:dyDescent="0.25">
      <c r="A115" s="3"/>
      <c r="B115" s="3"/>
      <c r="C115" s="7" t="str">
        <f>""&amp;CHAR(10)&amp;Basic_Fundamental_Information_Constructure(F115)&amp;CHAR(10)&amp;Basic_Fundamental_Information_Concatenate("")</f>
        <v xml:space="preserve">
市值27.538394亿, 利润-1326.39万; PE128.7; 平均PE331.07; 平均PEG14.88, PB1.35; ROIC7.965%; ROE4.285%; 股利率.405%; 毛利34.1733%; 净利9.0233%; 上一年度营收增-78.53%, 利润增-125.22%; 当季营收增-52.9%, 利润增-220.55%; 过往5年营收增22.25%, 利润增92.44%
Income profile:
</v>
      </c>
      <c r="D115" s="3" t="s">
        <v>1661</v>
      </c>
      <c r="E115" s="3" t="s">
        <v>1662</v>
      </c>
      <c r="F115" s="3">
        <v>24.69</v>
      </c>
      <c r="G115" s="3">
        <v>0.49</v>
      </c>
      <c r="H115" s="3" t="s">
        <v>4589</v>
      </c>
      <c r="I115" s="3">
        <v>2753839400</v>
      </c>
      <c r="J115" s="3">
        <v>128.69999999999999</v>
      </c>
      <c r="K115" s="3">
        <v>1.35</v>
      </c>
      <c r="L115" s="3" t="s">
        <v>2983</v>
      </c>
      <c r="M115" s="3" t="s">
        <v>2712</v>
      </c>
      <c r="N115" s="3" t="s">
        <v>4590</v>
      </c>
      <c r="O115" s="3" t="s">
        <v>2713</v>
      </c>
      <c r="P115" s="3">
        <v>18.260000000000002</v>
      </c>
      <c r="Q115" s="3" t="s">
        <v>2713</v>
      </c>
      <c r="R115" s="3">
        <v>-13263857</v>
      </c>
      <c r="S115" s="3">
        <v>-1.9390000000000001</v>
      </c>
      <c r="T115" s="3" t="s">
        <v>4591</v>
      </c>
      <c r="U115" s="3">
        <v>68034399</v>
      </c>
      <c r="V115" s="3">
        <v>111536629</v>
      </c>
      <c r="W115" s="3">
        <v>1.04</v>
      </c>
      <c r="X115" s="3">
        <v>0.04</v>
      </c>
      <c r="Y115" s="3">
        <v>-14.01</v>
      </c>
      <c r="Z115" s="3" t="s">
        <v>140</v>
      </c>
      <c r="AA115" s="3" t="s">
        <v>4592</v>
      </c>
      <c r="AB115" s="3" t="s">
        <v>4593</v>
      </c>
      <c r="AC115" s="3" t="s">
        <v>4594</v>
      </c>
      <c r="AD115" s="3" t="s">
        <v>22</v>
      </c>
      <c r="AE115" s="3">
        <v>-2120450</v>
      </c>
      <c r="AF115" s="3" t="s">
        <v>2715</v>
      </c>
      <c r="AG115" s="3" t="s">
        <v>22</v>
      </c>
      <c r="AH115" s="3" t="s">
        <v>2716</v>
      </c>
      <c r="AI115" s="3" t="s">
        <v>474</v>
      </c>
      <c r="AJ115" s="3" t="s">
        <v>2717</v>
      </c>
      <c r="AK115" s="3" t="s">
        <v>22</v>
      </c>
      <c r="AL115" s="3" t="s">
        <v>2718</v>
      </c>
      <c r="AM115" s="3" t="s">
        <v>22</v>
      </c>
      <c r="AN115" s="3">
        <v>0</v>
      </c>
      <c r="AO115" s="3" t="s">
        <v>22</v>
      </c>
      <c r="AP115" s="3" t="s">
        <v>22</v>
      </c>
      <c r="AQ115" s="3" t="s">
        <v>4595</v>
      </c>
      <c r="AR115" s="3" t="s">
        <v>22</v>
      </c>
      <c r="AS115" s="3" t="s">
        <v>4596</v>
      </c>
      <c r="AT115" s="3" t="s">
        <v>22</v>
      </c>
      <c r="AU115" s="3" t="s">
        <v>4597</v>
      </c>
      <c r="AV115" s="3" t="s">
        <v>2514</v>
      </c>
      <c r="AW115" s="3" t="s">
        <v>4598</v>
      </c>
      <c r="AX115" s="3" t="s">
        <v>175</v>
      </c>
      <c r="AY115" s="3" t="s">
        <v>491</v>
      </c>
      <c r="AZ115" s="3" t="s">
        <v>188</v>
      </c>
      <c r="BA115" s="3" t="s">
        <v>850</v>
      </c>
      <c r="BB115" s="3" t="s">
        <v>22</v>
      </c>
      <c r="BC115" s="3" t="s">
        <v>2720</v>
      </c>
      <c r="BD115" s="3" t="s">
        <v>1663</v>
      </c>
      <c r="BE115" s="3" t="s">
        <v>1664</v>
      </c>
      <c r="BF115" s="3" t="s">
        <v>1665</v>
      </c>
      <c r="BG115" s="3" t="s">
        <v>22</v>
      </c>
      <c r="BH115" s="3" t="s">
        <v>1749</v>
      </c>
      <c r="BI115" s="3" t="s">
        <v>337</v>
      </c>
      <c r="BJ115" s="3" t="s">
        <v>175</v>
      </c>
      <c r="BK115" s="3" t="s">
        <v>2714</v>
      </c>
      <c r="BL115" s="3" t="s">
        <v>4599</v>
      </c>
      <c r="BM115" s="3" t="s">
        <v>2720</v>
      </c>
      <c r="BN115" s="3" t="s">
        <v>22</v>
      </c>
      <c r="BO115" s="3">
        <v>7.47</v>
      </c>
      <c r="BP115" s="3">
        <v>8.4600000000000009</v>
      </c>
      <c r="BQ115" s="3">
        <v>0.47</v>
      </c>
      <c r="BR115" s="3">
        <v>8.1</v>
      </c>
      <c r="BS115" s="3" t="s">
        <v>22</v>
      </c>
      <c r="BT115" s="3" t="s">
        <v>2721</v>
      </c>
      <c r="BU115" s="3" t="s">
        <v>3311</v>
      </c>
      <c r="BV115" s="3">
        <v>28.79</v>
      </c>
      <c r="BW115" s="3">
        <v>32.75</v>
      </c>
      <c r="BX115" s="3">
        <v>40.98</v>
      </c>
      <c r="BY115" s="3">
        <v>6.38</v>
      </c>
      <c r="BZ115" s="3">
        <v>11.92</v>
      </c>
      <c r="CA115" s="3">
        <v>8.77</v>
      </c>
      <c r="CB115" s="3">
        <v>-7.87</v>
      </c>
      <c r="CC115" s="10">
        <v>-7.85</v>
      </c>
      <c r="CD115" s="11" t="s">
        <v>4600</v>
      </c>
      <c r="CE115" s="10" t="s">
        <v>4601</v>
      </c>
      <c r="CF115" s="10">
        <v>-0.52898059701492528</v>
      </c>
      <c r="CG115" s="10">
        <v>-2.205465459734075</v>
      </c>
      <c r="CH115" s="10">
        <v>-0.78531771898269653</v>
      </c>
      <c r="CI115" s="10">
        <v>0.18548387289047241</v>
      </c>
      <c r="CJ115" s="11">
        <v>1.4966442584991455</v>
      </c>
      <c r="CK115" s="11">
        <v>-6.6666668280959129E-3</v>
      </c>
      <c r="CL115" s="11" t="s">
        <v>22</v>
      </c>
      <c r="CM115" s="11">
        <v>-1.2521951198577881</v>
      </c>
      <c r="CN115" s="11">
        <v>0.61273783445358276</v>
      </c>
      <c r="CO115" s="3">
        <v>3.9195351600646973</v>
      </c>
      <c r="CP115" s="3">
        <v>0.41765373945236206</v>
      </c>
      <c r="CQ115" s="3" t="s">
        <v>22</v>
      </c>
      <c r="CR115" s="10">
        <v>331.06910057922437</v>
      </c>
      <c r="CS115" s="11">
        <v>14.877107308727677</v>
      </c>
      <c r="CT115" s="3">
        <v>0.40502227622519238</v>
      </c>
      <c r="CU115" s="3">
        <v>0.22253593639470637</v>
      </c>
      <c r="CV115" s="3">
        <v>0.9244329035282135</v>
      </c>
      <c r="CW115" s="3">
        <v>0.06</v>
      </c>
      <c r="CX115" s="3" t="e">
        <v>#VALUE!</v>
      </c>
      <c r="CY115" s="3" t="s">
        <v>1073</v>
      </c>
      <c r="CZ115" s="3">
        <v>0.22253593639470637</v>
      </c>
      <c r="DA115" s="3" t="e">
        <v>#VALUE!</v>
      </c>
      <c r="DB115" s="3" t="s">
        <v>1074</v>
      </c>
      <c r="DC115" s="3">
        <v>0.21140913957497104</v>
      </c>
      <c r="DD115" s="3" t="e">
        <v>#VALUE!</v>
      </c>
      <c r="DE115" s="3" t="s">
        <v>1074</v>
      </c>
      <c r="DF115" s="3">
        <v>0.19583162402734161</v>
      </c>
      <c r="DG115" s="3" t="e">
        <v>#VALUE!</v>
      </c>
      <c r="DH115" s="3" t="s">
        <v>1074</v>
      </c>
      <c r="DI115" s="3">
        <v>0.17802874911576511</v>
      </c>
      <c r="DJ115" s="3" t="e">
        <v>#VALUE!</v>
      </c>
      <c r="DK115" s="3" t="s">
        <v>1074</v>
      </c>
      <c r="DL115" s="3">
        <v>0.15577515547629445</v>
      </c>
      <c r="DM115" s="3">
        <v>-13263900.000000002</v>
      </c>
      <c r="DN115" s="3">
        <v>0.22253593639470637</v>
      </c>
      <c r="DO115" s="3">
        <v>788488400</v>
      </c>
      <c r="DP115" s="3">
        <v>1988188700</v>
      </c>
      <c r="DQ115" s="12">
        <v>4910</v>
      </c>
      <c r="DR115" s="3">
        <v>-0.75151653340963165</v>
      </c>
      <c r="DS115" s="3">
        <v>-3.1298983632622885</v>
      </c>
      <c r="DT115" s="3">
        <v>-0.42800000000000005</v>
      </c>
      <c r="DU115" s="3">
        <v>-1.552</v>
      </c>
      <c r="DV115" s="3">
        <v>-1.98</v>
      </c>
      <c r="DW115" s="3">
        <v>-5.9974587039390093</v>
      </c>
      <c r="DX115" s="3">
        <v>0.39414586885014469</v>
      </c>
      <c r="DY115" s="3">
        <v>-5.1836778996789867</v>
      </c>
      <c r="DZ115" s="3">
        <v>1888</v>
      </c>
      <c r="EA115" s="3">
        <v>-5.1158141277427971</v>
      </c>
      <c r="EB115" s="13">
        <v>5</v>
      </c>
      <c r="EC115" s="13">
        <v>8.6481007060021514E-2</v>
      </c>
      <c r="ED115" s="3">
        <v>0.46963316418680717</v>
      </c>
      <c r="EE115" s="3">
        <v>4.0410000000000001E-2</v>
      </c>
      <c r="EF115" s="3">
        <v>5.2510000000000001E-2</v>
      </c>
      <c r="EG115" s="3">
        <v>21.184145868850145</v>
      </c>
      <c r="EH115" s="14">
        <v>-1</v>
      </c>
      <c r="EI115" s="15">
        <v>0</v>
      </c>
      <c r="EJ115" s="15">
        <v>0</v>
      </c>
      <c r="EK115" s="15">
        <v>45470</v>
      </c>
      <c r="EL115" s="15">
        <v>-1.25</v>
      </c>
      <c r="EM115" s="15">
        <v>-4.5999999999999996</v>
      </c>
      <c r="EN115" s="3">
        <v>-0.72</v>
      </c>
      <c r="EO115" s="3">
        <v>1.46</v>
      </c>
      <c r="EP115" s="3">
        <v>-1.21</v>
      </c>
    </row>
    <row r="116" spans="1:146" ht="144" x14ac:dyDescent="0.25">
      <c r="A116" s="3"/>
      <c r="B116" s="3"/>
      <c r="C116" s="7" t="str">
        <f>"公司主营业务是功率半导体和MEMS传感器等模拟类芯片领域的一站式晶圆代工及封装测试业务。主要产品是晶圆代工，封装测试，研发服务。"&amp;CHAR(10)&amp;Basic_Fundamental_Information_Constructure(F116)&amp;CHAR(10)&amp;Basic_Fundamental_Information_Concatenate("晶圆代工 35.57亿 77.22% 29.02% -0.09%
其他业务 6.48亿 14.07% -228.16% 3.79%
封装测试 2.93亿 6.36% 299.14% -10.98%")</f>
        <v>公司主营业务是功率半导体和MEMS传感器等模拟类芯片领域的一站式晶圆代工及封装测试业务。主要产品是晶圆代工，封装测试，研发服务。
市值272.27116亿, 利润-2.42亿; PE; 平均PE-28.94; 平均PEG-.29, PB2.22; ROIC0%; ROE-23.01%; 股利率0%; 毛利-7.8133%; 净利-53.1267%; 上一年度营收增-70.63%, 利润增77.76%; 当季营收增-46.31%, 利润增78.17%; 过往5年营收增101.13%, 利润增5.58%
Income profile:
晶圆代工 35.57亿 77.22% 29.02% -0.09%
其他业务 6.48亿 14.07% -228.16% 3.79%
封装测试 2.93亿 6.36% 299.14% -10.98%</v>
      </c>
      <c r="D116" s="3" t="s">
        <v>1424</v>
      </c>
      <c r="E116" s="3" t="s">
        <v>1904</v>
      </c>
      <c r="F116" s="3">
        <v>3.86</v>
      </c>
      <c r="G116" s="3">
        <v>0.52</v>
      </c>
      <c r="H116" s="3" t="s">
        <v>4602</v>
      </c>
      <c r="I116" s="3">
        <v>27227116000</v>
      </c>
      <c r="K116" s="3">
        <v>2.2200000000000002</v>
      </c>
      <c r="L116" s="3" t="s">
        <v>2983</v>
      </c>
      <c r="M116" s="3" t="s">
        <v>2722</v>
      </c>
      <c r="N116" s="3" t="s">
        <v>4603</v>
      </c>
      <c r="O116" s="3" t="s">
        <v>1789</v>
      </c>
      <c r="P116" s="5">
        <v>17.190000000000001</v>
      </c>
      <c r="Q116" s="3" t="s">
        <v>1789</v>
      </c>
      <c r="R116" s="3">
        <v>-242117690</v>
      </c>
      <c r="S116" s="3">
        <v>0.51539999999999997</v>
      </c>
      <c r="T116" s="3" t="s">
        <v>1121</v>
      </c>
      <c r="U116" s="3">
        <v>4395960000</v>
      </c>
      <c r="V116" s="3">
        <v>7053657100</v>
      </c>
      <c r="W116" s="3">
        <v>2.16</v>
      </c>
      <c r="X116" s="3">
        <v>0.04</v>
      </c>
      <c r="Y116" s="3">
        <v>-48.04</v>
      </c>
      <c r="Z116" s="3" t="s">
        <v>2669</v>
      </c>
      <c r="AA116" s="3" t="s">
        <v>4604</v>
      </c>
      <c r="AB116" s="3" t="s">
        <v>4605</v>
      </c>
      <c r="AC116" s="3" t="s">
        <v>4606</v>
      </c>
      <c r="AD116" s="3" t="s">
        <v>22</v>
      </c>
      <c r="AE116" s="3">
        <v>75962152</v>
      </c>
      <c r="AF116" s="3" t="s">
        <v>2725</v>
      </c>
      <c r="AG116" s="3" t="s">
        <v>4607</v>
      </c>
      <c r="AH116" s="3" t="s">
        <v>2726</v>
      </c>
      <c r="AI116" s="3" t="s">
        <v>4608</v>
      </c>
      <c r="AJ116" s="3" t="s">
        <v>2727</v>
      </c>
      <c r="AK116" s="3" t="s">
        <v>22</v>
      </c>
      <c r="AL116" s="3" t="s">
        <v>2728</v>
      </c>
      <c r="AM116" s="3" t="s">
        <v>22</v>
      </c>
      <c r="AN116" s="3" t="s">
        <v>4609</v>
      </c>
      <c r="AO116" s="3" t="s">
        <v>2204</v>
      </c>
      <c r="AP116" s="3" t="s">
        <v>209</v>
      </c>
      <c r="AQ116" s="3" t="s">
        <v>1591</v>
      </c>
      <c r="AR116" s="3" t="s">
        <v>22</v>
      </c>
      <c r="AS116" s="3" t="s">
        <v>4610</v>
      </c>
      <c r="AT116" s="3" t="s">
        <v>4611</v>
      </c>
      <c r="AU116" s="3" t="s">
        <v>299</v>
      </c>
      <c r="AV116" s="3" t="s">
        <v>4612</v>
      </c>
      <c r="AW116" s="3" t="s">
        <v>4613</v>
      </c>
      <c r="AX116" s="3" t="s">
        <v>1425</v>
      </c>
      <c r="AY116" s="3" t="s">
        <v>866</v>
      </c>
      <c r="AZ116" s="3" t="s">
        <v>212</v>
      </c>
      <c r="BA116" s="3" t="s">
        <v>366</v>
      </c>
      <c r="BB116" s="3" t="s">
        <v>22</v>
      </c>
      <c r="BC116" s="3" t="s">
        <v>1426</v>
      </c>
      <c r="BD116" s="3" t="s">
        <v>1666</v>
      </c>
      <c r="BE116" s="3" t="s">
        <v>1667</v>
      </c>
      <c r="BF116" s="3" t="s">
        <v>1668</v>
      </c>
      <c r="BG116" s="3" t="s">
        <v>22</v>
      </c>
      <c r="BH116" s="3" t="s">
        <v>2723</v>
      </c>
      <c r="BI116" s="3" t="s">
        <v>4614</v>
      </c>
      <c r="BJ116" s="3" t="s">
        <v>1425</v>
      </c>
      <c r="BK116" s="3" t="s">
        <v>2724</v>
      </c>
      <c r="BL116" s="3" t="s">
        <v>4615</v>
      </c>
      <c r="BM116" s="3" t="s">
        <v>1426</v>
      </c>
      <c r="BN116" s="3" t="s">
        <v>22</v>
      </c>
      <c r="BO116" s="3" t="s">
        <v>22</v>
      </c>
      <c r="BP116" s="3" t="s">
        <v>22</v>
      </c>
      <c r="BQ116" s="3">
        <v>-18.54</v>
      </c>
      <c r="BR116" s="3">
        <v>-27.48</v>
      </c>
      <c r="BS116" s="3" t="s">
        <v>22</v>
      </c>
      <c r="BT116" s="3" t="s">
        <v>1368</v>
      </c>
      <c r="BU116" s="3" t="s">
        <v>1221</v>
      </c>
      <c r="BV116" s="3">
        <v>-6.81</v>
      </c>
      <c r="BW116" s="3">
        <v>-0.23</v>
      </c>
      <c r="BX116" s="3">
        <v>-16.399999999999999</v>
      </c>
      <c r="BY116" s="3">
        <v>-55.24</v>
      </c>
      <c r="BZ116" s="3">
        <v>-34.630000000000003</v>
      </c>
      <c r="CA116" s="3">
        <v>-69.510000000000005</v>
      </c>
      <c r="CB116" s="3">
        <v>-2.5299999999999998</v>
      </c>
      <c r="CC116" s="1">
        <v>0.52</v>
      </c>
      <c r="CD116" s="1" t="s">
        <v>23</v>
      </c>
      <c r="CE116" s="1" t="s">
        <v>4616</v>
      </c>
      <c r="CF116" s="10">
        <v>-0.46309523809523812</v>
      </c>
      <c r="CG116" s="11">
        <v>0.78167926961226331</v>
      </c>
      <c r="CH116" s="10">
        <v>-0.70625275373458862</v>
      </c>
      <c r="CI116" s="10">
        <v>1.2756917476654053</v>
      </c>
      <c r="CJ116" s="10">
        <v>1.7388361692428589</v>
      </c>
      <c r="CK116" s="10">
        <v>1.7370370626449585</v>
      </c>
      <c r="CL116" s="10" t="s">
        <v>22</v>
      </c>
      <c r="CM116" s="11">
        <v>0.77757352590560913</v>
      </c>
      <c r="CN116" s="11">
        <v>0.11974109709262848</v>
      </c>
      <c r="CO116" s="11">
        <v>9.5168374478816986E-2</v>
      </c>
      <c r="CP116" s="11">
        <v>-0.76943004131317139</v>
      </c>
      <c r="CQ116" s="11" t="s">
        <v>22</v>
      </c>
      <c r="CR116" s="1">
        <v>-28.940386904761905</v>
      </c>
      <c r="CS116" s="1">
        <v>-0.28616220740692372</v>
      </c>
      <c r="CT116" s="3">
        <v>0</v>
      </c>
      <c r="CU116" s="10">
        <v>1.0113280564546585</v>
      </c>
      <c r="CV116" s="11">
        <v>5.5763239040970802E-2</v>
      </c>
      <c r="CW116" s="3">
        <v>0.06</v>
      </c>
      <c r="CX116" s="3" t="e">
        <v>#VALUE!</v>
      </c>
      <c r="CY116" s="3" t="s">
        <v>1073</v>
      </c>
      <c r="CZ116" s="3">
        <v>1.0113280564546585</v>
      </c>
      <c r="DA116" s="3" t="e">
        <v>#VALUE!</v>
      </c>
      <c r="DB116" s="3" t="s">
        <v>1074</v>
      </c>
      <c r="DC116" s="3">
        <v>0.96076165363192556</v>
      </c>
      <c r="DD116" s="3" t="e">
        <v>#VALUE!</v>
      </c>
      <c r="DE116" s="3" t="s">
        <v>1074</v>
      </c>
      <c r="DF116" s="3">
        <v>0.88996868968009946</v>
      </c>
      <c r="DG116" s="3" t="e">
        <v>#VALUE!</v>
      </c>
      <c r="DH116" s="3" t="s">
        <v>1074</v>
      </c>
      <c r="DI116" s="3">
        <v>0.80906244516372683</v>
      </c>
      <c r="DJ116" s="3" t="e">
        <v>#VALUE!</v>
      </c>
      <c r="DK116" s="3" t="s">
        <v>1074</v>
      </c>
      <c r="DL116" s="3">
        <v>0.70792963951826093</v>
      </c>
      <c r="DM116" s="3">
        <v>-242000000</v>
      </c>
      <c r="DN116" s="3">
        <v>1.0113280564546585</v>
      </c>
      <c r="DO116" s="3">
        <v>26778116000</v>
      </c>
      <c r="DP116" s="3">
        <v>3692907000</v>
      </c>
      <c r="DQ116" s="12">
        <v>4914</v>
      </c>
      <c r="DR116" s="3">
        <v>-1.4744232945498967</v>
      </c>
      <c r="DS116" s="3">
        <v>0.7259160305712925</v>
      </c>
      <c r="DT116" s="3">
        <v>3.1999999999999938E-2</v>
      </c>
      <c r="DU116" s="3">
        <v>-2.4300000000000002</v>
      </c>
      <c r="DV116" s="3">
        <v>-2.3980000000000001</v>
      </c>
      <c r="DW116" s="3">
        <v>-4.2055335968379444</v>
      </c>
      <c r="DX116" s="3">
        <v>0.31832188420019802</v>
      </c>
      <c r="DY116" s="3">
        <v>-4.0181531145391709</v>
      </c>
      <c r="DZ116" s="3">
        <v>1620</v>
      </c>
      <c r="EA116" s="3">
        <v>-4.0123981154093356</v>
      </c>
      <c r="EB116" s="13">
        <v>4</v>
      </c>
      <c r="EC116" s="13">
        <v>2.5518677396438792E-2</v>
      </c>
      <c r="ED116" s="3">
        <v>0.28892813629967923</v>
      </c>
      <c r="EE116" s="3">
        <v>3.0097100000000001</v>
      </c>
      <c r="EF116" s="3">
        <v>3.02921</v>
      </c>
      <c r="EG116" s="3">
        <v>23.088321884200198</v>
      </c>
      <c r="EH116" s="14" t="s">
        <v>1418</v>
      </c>
      <c r="EI116" s="15">
        <v>0</v>
      </c>
      <c r="EJ116" s="15">
        <v>0</v>
      </c>
      <c r="EK116" s="15">
        <v>45470</v>
      </c>
      <c r="EL116" s="15">
        <v>-1.1399999999999999</v>
      </c>
      <c r="EM116" s="15">
        <v>-4.59</v>
      </c>
      <c r="EN116" s="3">
        <v>-0.5</v>
      </c>
      <c r="EO116" s="3">
        <v>3.53</v>
      </c>
      <c r="EP116" s="3">
        <v>-1.95</v>
      </c>
    </row>
    <row r="117" spans="1:146" ht="96" x14ac:dyDescent="0.25">
      <c r="A117" s="3"/>
      <c r="B117" s="3"/>
      <c r="C117" s="7" t="str">
        <f>""&amp;CHAR(10)&amp;Basic_Fundamental_Information_Constructure(F117)&amp;CHAR(10)&amp;Basic_Fundamental_Information_Concatenate("")</f>
        <v xml:space="preserve">
市值38.119859亿, 利润1481.77万; PE45.71; 平均PE165.74; 平均PEG1.5, PB2.39; ROIC8.04%; ROE5.415%; 股利率.726%; 毛利36.4267%; 净利19.0567%; 上一年度营收增-63.46%, 利润增-57.09%; 当季营收增-28.85%, 利润增-1.79%; 过往5年营收增110.45%, 利润增85.44%
Income profile:
</v>
      </c>
      <c r="D117" s="3" t="s">
        <v>1415</v>
      </c>
      <c r="E117" s="3" t="s">
        <v>1416</v>
      </c>
      <c r="F117" s="3">
        <v>27.55</v>
      </c>
      <c r="G117" s="3">
        <v>2</v>
      </c>
      <c r="H117" s="3" t="s">
        <v>4617</v>
      </c>
      <c r="I117" s="3">
        <v>3811985900</v>
      </c>
      <c r="J117" s="3">
        <v>45.71</v>
      </c>
      <c r="K117" s="3">
        <v>2.39</v>
      </c>
      <c r="L117" s="3" t="s">
        <v>2983</v>
      </c>
      <c r="M117" s="3" t="s">
        <v>1950</v>
      </c>
      <c r="N117" s="3" t="s">
        <v>1287</v>
      </c>
      <c r="O117" s="3" t="s">
        <v>2730</v>
      </c>
      <c r="P117" s="5">
        <v>111.29</v>
      </c>
      <c r="Q117" s="3" t="s">
        <v>2730</v>
      </c>
      <c r="R117" s="3">
        <v>14817697</v>
      </c>
      <c r="S117" s="3">
        <v>5.0739999999999998</v>
      </c>
      <c r="T117" s="3" t="s">
        <v>4618</v>
      </c>
      <c r="U117" s="3">
        <v>97809234</v>
      </c>
      <c r="V117" s="3">
        <v>138366100</v>
      </c>
      <c r="W117" s="3">
        <v>1.32</v>
      </c>
      <c r="X117" s="3">
        <v>0.04</v>
      </c>
      <c r="Y117" s="3">
        <v>18.27</v>
      </c>
      <c r="Z117" s="3" t="s">
        <v>4619</v>
      </c>
      <c r="AA117" s="3" t="s">
        <v>4620</v>
      </c>
      <c r="AB117" s="3" t="s">
        <v>4621</v>
      </c>
      <c r="AC117" s="3" t="s">
        <v>4622</v>
      </c>
      <c r="AD117" s="3" t="s">
        <v>22</v>
      </c>
      <c r="AE117" s="3">
        <v>-324797</v>
      </c>
      <c r="AF117" s="3" t="s">
        <v>2732</v>
      </c>
      <c r="AG117" s="3" t="s">
        <v>4623</v>
      </c>
      <c r="AH117" s="3" t="s">
        <v>2733</v>
      </c>
      <c r="AI117" s="3" t="s">
        <v>412</v>
      </c>
      <c r="AJ117" s="3" t="s">
        <v>2734</v>
      </c>
      <c r="AK117" s="3" t="s">
        <v>4624</v>
      </c>
      <c r="AL117" s="3" t="s">
        <v>2735</v>
      </c>
      <c r="AM117" s="3" t="s">
        <v>22</v>
      </c>
      <c r="AN117" s="3">
        <v>0</v>
      </c>
      <c r="AO117" s="3" t="s">
        <v>4625</v>
      </c>
      <c r="AP117" s="3" t="s">
        <v>305</v>
      </c>
      <c r="AQ117" s="3" t="s">
        <v>275</v>
      </c>
      <c r="AR117" s="3" t="s">
        <v>22</v>
      </c>
      <c r="AS117" s="3" t="s">
        <v>1775</v>
      </c>
      <c r="AT117" s="3" t="s">
        <v>22</v>
      </c>
      <c r="AU117" s="3" t="s">
        <v>4626</v>
      </c>
      <c r="AV117" s="3" t="s">
        <v>4627</v>
      </c>
      <c r="AW117" s="3" t="s">
        <v>4628</v>
      </c>
      <c r="AX117" s="3" t="s">
        <v>266</v>
      </c>
      <c r="AY117" s="3" t="s">
        <v>519</v>
      </c>
      <c r="AZ117" s="3" t="s">
        <v>141</v>
      </c>
      <c r="BA117" s="3" t="s">
        <v>1670</v>
      </c>
      <c r="BB117" s="3" t="s">
        <v>22</v>
      </c>
      <c r="BC117" s="3" t="s">
        <v>1669</v>
      </c>
      <c r="BD117" s="3" t="s">
        <v>1671</v>
      </c>
      <c r="BE117" s="3" t="s">
        <v>1672</v>
      </c>
      <c r="BF117" s="3" t="s">
        <v>1673</v>
      </c>
      <c r="BG117" s="3" t="s">
        <v>22</v>
      </c>
      <c r="BH117" s="3" t="s">
        <v>128</v>
      </c>
      <c r="BI117" s="3" t="s">
        <v>349</v>
      </c>
      <c r="BJ117" s="3" t="s">
        <v>266</v>
      </c>
      <c r="BK117" s="3" t="s">
        <v>2731</v>
      </c>
      <c r="BL117" s="3" t="s">
        <v>4629</v>
      </c>
      <c r="BM117" s="3" t="s">
        <v>1669</v>
      </c>
      <c r="BN117" s="3">
        <v>3.93</v>
      </c>
      <c r="BO117" s="3">
        <v>6.83</v>
      </c>
      <c r="BP117" s="3">
        <v>13.36</v>
      </c>
      <c r="BQ117" s="3">
        <v>3.92</v>
      </c>
      <c r="BR117" s="3">
        <v>6.91</v>
      </c>
      <c r="BS117" s="3" t="s">
        <v>22</v>
      </c>
      <c r="BT117" s="3" t="s">
        <v>1379</v>
      </c>
      <c r="BU117" s="3" t="s">
        <v>1212</v>
      </c>
      <c r="BV117" s="3">
        <v>33.46</v>
      </c>
      <c r="BW117" s="3">
        <v>35.22</v>
      </c>
      <c r="BX117" s="3">
        <v>40.6</v>
      </c>
      <c r="BY117" s="3">
        <v>17.510000000000002</v>
      </c>
      <c r="BZ117" s="3">
        <v>15.56</v>
      </c>
      <c r="CA117" s="3">
        <v>24.1</v>
      </c>
      <c r="CB117" s="3">
        <v>-5.39</v>
      </c>
      <c r="CC117" s="10">
        <v>-5.65</v>
      </c>
      <c r="CD117" s="11" t="s">
        <v>4630</v>
      </c>
      <c r="CE117" s="10" t="s">
        <v>4631</v>
      </c>
      <c r="CF117" s="10">
        <v>-0.28852807017543852</v>
      </c>
      <c r="CG117" s="10">
        <v>-1.7895570564101883E-2</v>
      </c>
      <c r="CH117" s="10">
        <v>-0.63464951515197754</v>
      </c>
      <c r="CI117" s="10">
        <v>0.13846154510974884</v>
      </c>
      <c r="CJ117" s="11">
        <v>0.59836065769195557</v>
      </c>
      <c r="CK117" s="11">
        <v>4.3158345222473145</v>
      </c>
      <c r="CL117" s="11" t="s">
        <v>22</v>
      </c>
      <c r="CM117" s="11">
        <v>-0.57094913721084595</v>
      </c>
      <c r="CN117" s="11">
        <v>-0.26487240195274353</v>
      </c>
      <c r="CO117" s="3">
        <v>0.57651251554489136</v>
      </c>
      <c r="CP117" s="3">
        <v>3.6769883632659912</v>
      </c>
      <c r="CQ117" s="3" t="s">
        <v>22</v>
      </c>
      <c r="CR117" s="10">
        <v>165.73678796395168</v>
      </c>
      <c r="CS117" s="11">
        <v>1.5005569714116793</v>
      </c>
      <c r="CT117" s="3">
        <v>0.72595281306715065</v>
      </c>
      <c r="CU117" s="3">
        <v>1.1045018024742603</v>
      </c>
      <c r="CV117" s="3">
        <v>0.85441983491182327</v>
      </c>
      <c r="CW117" s="3">
        <v>0.06</v>
      </c>
      <c r="CX117" s="3">
        <v>93.375339887921797</v>
      </c>
      <c r="CY117" s="3">
        <v>29418751.281625327</v>
      </c>
      <c r="CZ117" s="3">
        <v>1.1045018024742603</v>
      </c>
      <c r="DA117" s="3">
        <v>14.374728221314008</v>
      </c>
      <c r="DB117" s="3">
        <v>191098284.27412838</v>
      </c>
      <c r="DC117" s="3">
        <v>1.0492767123505473</v>
      </c>
      <c r="DD117" s="3">
        <v>2.119353776535116</v>
      </c>
      <c r="DE117" s="3">
        <v>1296143159.492223</v>
      </c>
      <c r="DF117" s="3">
        <v>0.97196158617734907</v>
      </c>
      <c r="DG117" s="3">
        <v>0.25903464353864264</v>
      </c>
      <c r="DH117" s="3">
        <v>10604704693.062441</v>
      </c>
      <c r="DI117" s="3">
        <v>0.88360144197940826</v>
      </c>
      <c r="DJ117" s="3">
        <v>2.5335405263429557E-3</v>
      </c>
      <c r="DK117" s="3">
        <v>1084247862403.5048</v>
      </c>
      <c r="DL117" s="3">
        <v>0.77315126173198223</v>
      </c>
      <c r="DM117" s="3">
        <v>14817700</v>
      </c>
      <c r="DN117" s="3">
        <v>1.1045018024742603</v>
      </c>
      <c r="DO117" s="3">
        <v>2746985900</v>
      </c>
      <c r="DP117" s="3">
        <v>1316728700</v>
      </c>
      <c r="DQ117" s="12">
        <v>4917</v>
      </c>
      <c r="DR117" s="3">
        <v>-1.3930298726496988</v>
      </c>
      <c r="DS117" s="3">
        <v>-0.87231540547592512</v>
      </c>
      <c r="DT117" s="3">
        <v>-0.25199999999999995</v>
      </c>
      <c r="DU117" s="3">
        <v>0.29800000000000004</v>
      </c>
      <c r="DV117" s="3">
        <v>4.6000000000000096E-2</v>
      </c>
      <c r="DW117" s="3">
        <v>-8.9539823008849559</v>
      </c>
      <c r="DX117" s="3">
        <v>0.29806016991785583</v>
      </c>
      <c r="DY117" s="3">
        <v>-8.1030874895322551</v>
      </c>
      <c r="DZ117" s="3">
        <v>2139</v>
      </c>
      <c r="EA117" s="3">
        <v>-8.0599359944031956</v>
      </c>
      <c r="EB117" s="13">
        <v>8</v>
      </c>
      <c r="EC117" s="13">
        <v>6.7461610900357821E-2</v>
      </c>
      <c r="ED117" s="3">
        <v>0.62429670273282256</v>
      </c>
      <c r="EE117" s="3">
        <v>-3.1288</v>
      </c>
      <c r="EF117" s="3">
        <v>-3.1139999999999999</v>
      </c>
      <c r="EG117" s="3">
        <v>19.108060169917856</v>
      </c>
      <c r="EH117" s="14" t="s">
        <v>1745</v>
      </c>
      <c r="EI117" s="15">
        <v>0</v>
      </c>
      <c r="EJ117" s="15">
        <v>0</v>
      </c>
      <c r="EK117" s="15">
        <v>45470</v>
      </c>
      <c r="EL117" s="15">
        <v>1.6</v>
      </c>
      <c r="EM117" s="15">
        <v>-6.59</v>
      </c>
      <c r="EN117" s="3">
        <v>1.36</v>
      </c>
      <c r="EO117" s="3">
        <v>3.38</v>
      </c>
      <c r="EP117" s="3">
        <v>-1.48</v>
      </c>
    </row>
    <row r="118" spans="1:146" ht="96" x14ac:dyDescent="0.25">
      <c r="A118" s="3"/>
      <c r="B118" s="3"/>
      <c r="C118" s="7" t="str">
        <f>""&amp;CHAR(10)&amp;Basic_Fundamental_Information_Constructure(F118)&amp;CHAR(10)&amp;Basic_Fundamental_Information_Concatenate("")</f>
        <v xml:space="preserve">
市值148.65903亿, 利润1.01亿; PE44.92; 平均PE129.68; 平均PEG1.04, PB3.88; ROIC13.32%; ROE16.115%; 股利率.7977%; 毛利42.8033%; 净利19.47%; 上一年度营收增-53.73%, 利润增-58.94%; 当季营收增-8.79%, 利润增109.46%; 过往5年营收增124.41%, 利润增780.13%
Income profile:
</v>
      </c>
      <c r="D118" s="3" t="s">
        <v>1404</v>
      </c>
      <c r="E118" s="3" t="s">
        <v>1405</v>
      </c>
      <c r="F118" s="3">
        <v>35.1</v>
      </c>
      <c r="G118" s="3">
        <v>0.72</v>
      </c>
      <c r="H118" s="3" t="s">
        <v>4632</v>
      </c>
      <c r="I118" s="3">
        <v>14865903000</v>
      </c>
      <c r="J118" s="3">
        <v>44.92</v>
      </c>
      <c r="K118" s="3">
        <v>3.88</v>
      </c>
      <c r="L118" s="3" t="s">
        <v>2983</v>
      </c>
      <c r="M118" s="3" t="s">
        <v>1295</v>
      </c>
      <c r="N118" s="3" t="s">
        <v>4633</v>
      </c>
      <c r="O118" s="3" t="s">
        <v>525</v>
      </c>
      <c r="P118" s="3">
        <v>110.68</v>
      </c>
      <c r="Q118" s="3" t="s">
        <v>525</v>
      </c>
      <c r="R118" s="3">
        <v>211550700</v>
      </c>
      <c r="S118" s="3">
        <v>2.2480000000000002</v>
      </c>
      <c r="T118" s="3" t="s">
        <v>265</v>
      </c>
      <c r="U118" s="3">
        <v>253955530</v>
      </c>
      <c r="V118" s="3">
        <v>423530000</v>
      </c>
      <c r="W118" s="3">
        <v>1.1499999999999999</v>
      </c>
      <c r="X118" s="3">
        <v>0.14000000000000001</v>
      </c>
      <c r="Y118" s="3">
        <v>16.71</v>
      </c>
      <c r="Z118" s="3" t="s">
        <v>202</v>
      </c>
      <c r="AA118" s="3" t="s">
        <v>210</v>
      </c>
      <c r="AB118" s="3" t="s">
        <v>4634</v>
      </c>
      <c r="AC118" s="3" t="s">
        <v>4635</v>
      </c>
      <c r="AD118" s="3" t="s">
        <v>22</v>
      </c>
      <c r="AE118" s="3">
        <v>-14309596</v>
      </c>
      <c r="AF118" s="3" t="s">
        <v>108</v>
      </c>
      <c r="AG118" s="3" t="s">
        <v>4636</v>
      </c>
      <c r="AH118" s="3" t="s">
        <v>2736</v>
      </c>
      <c r="AI118" s="3" t="s">
        <v>4637</v>
      </c>
      <c r="AJ118" s="3" t="s">
        <v>2737</v>
      </c>
      <c r="AK118" s="3" t="s">
        <v>22</v>
      </c>
      <c r="AL118" s="3" t="s">
        <v>2738</v>
      </c>
      <c r="AM118" s="3" t="s">
        <v>22</v>
      </c>
      <c r="AN118" s="3" t="s">
        <v>4638</v>
      </c>
      <c r="AO118" s="3" t="s">
        <v>22</v>
      </c>
      <c r="AP118" s="3" t="s">
        <v>145</v>
      </c>
      <c r="AQ118" s="3" t="s">
        <v>146</v>
      </c>
      <c r="AR118" s="3" t="s">
        <v>22</v>
      </c>
      <c r="AS118" s="3" t="s">
        <v>777</v>
      </c>
      <c r="AT118" s="3" t="s">
        <v>22</v>
      </c>
      <c r="AU118" s="3" t="s">
        <v>4639</v>
      </c>
      <c r="AV118" s="3" t="s">
        <v>4640</v>
      </c>
      <c r="AW118" s="3" t="s">
        <v>4641</v>
      </c>
      <c r="AX118" s="3" t="s">
        <v>1626</v>
      </c>
      <c r="AY118" s="3" t="s">
        <v>679</v>
      </c>
      <c r="AZ118" s="3" t="s">
        <v>797</v>
      </c>
      <c r="BA118" s="3" t="s">
        <v>327</v>
      </c>
      <c r="BB118" s="3" t="s">
        <v>22</v>
      </c>
      <c r="BC118" s="3" t="s">
        <v>199</v>
      </c>
      <c r="BD118" s="3" t="s">
        <v>144</v>
      </c>
      <c r="BE118" s="3" t="s">
        <v>1406</v>
      </c>
      <c r="BF118" s="3" t="s">
        <v>1674</v>
      </c>
      <c r="BG118" s="3" t="s">
        <v>22</v>
      </c>
      <c r="BH118" s="3" t="s">
        <v>1791</v>
      </c>
      <c r="BI118" s="3" t="s">
        <v>620</v>
      </c>
      <c r="BJ118" s="3" t="s">
        <v>1626</v>
      </c>
      <c r="BK118" s="3" t="s">
        <v>769</v>
      </c>
      <c r="BL118" s="3" t="s">
        <v>265</v>
      </c>
      <c r="BM118" s="3" t="s">
        <v>199</v>
      </c>
      <c r="BN118" s="3">
        <v>5.74</v>
      </c>
      <c r="BO118" s="3">
        <v>20.9</v>
      </c>
      <c r="BP118" s="3" t="s">
        <v>22</v>
      </c>
      <c r="BQ118" s="3">
        <v>6.6</v>
      </c>
      <c r="BR118" s="3">
        <v>25.63</v>
      </c>
      <c r="BS118" s="3" t="s">
        <v>22</v>
      </c>
      <c r="BT118" s="3" t="s">
        <v>2076</v>
      </c>
      <c r="BU118" s="3" t="s">
        <v>3311</v>
      </c>
      <c r="BV118" s="3">
        <v>42.3</v>
      </c>
      <c r="BW118" s="3">
        <v>43.04</v>
      </c>
      <c r="BX118" s="3">
        <v>43.07</v>
      </c>
      <c r="BY118" s="3">
        <v>14.68</v>
      </c>
      <c r="BZ118" s="3">
        <v>18.93</v>
      </c>
      <c r="CA118" s="3">
        <v>24.8</v>
      </c>
      <c r="CB118" s="3">
        <v>-5.39</v>
      </c>
      <c r="CC118" s="10">
        <v>7.01</v>
      </c>
      <c r="CD118" s="11" t="s">
        <v>4642</v>
      </c>
      <c r="CE118" s="10" t="s">
        <v>132</v>
      </c>
      <c r="CF118" s="10">
        <v>-8.7878787878787876E-2</v>
      </c>
      <c r="CG118" s="10">
        <v>1.0945613861386139</v>
      </c>
      <c r="CH118" s="10">
        <v>-0.53727900981903076</v>
      </c>
      <c r="CI118" s="10">
        <v>0.32215440273284912</v>
      </c>
      <c r="CJ118" s="11">
        <v>4.5280900001525879</v>
      </c>
      <c r="CK118" s="11">
        <v>0.66355139017105103</v>
      </c>
      <c r="CL118" s="11" t="s">
        <v>22</v>
      </c>
      <c r="CM118" s="11">
        <v>-0.58943086862564087</v>
      </c>
      <c r="CN118" s="11">
        <v>8.1967208534479141E-3</v>
      </c>
      <c r="CO118" s="3">
        <v>31.595611572265625</v>
      </c>
      <c r="CP118" s="3">
        <v>0.19063469767570496</v>
      </c>
      <c r="CQ118" s="3" t="s">
        <v>22</v>
      </c>
      <c r="CR118" s="10">
        <v>129.68108503631373</v>
      </c>
      <c r="CS118" s="11">
        <v>1.0423441992449194</v>
      </c>
      <c r="CT118" s="3">
        <v>0.79772079772079763</v>
      </c>
      <c r="CU118" s="3">
        <v>1.2441291958093643</v>
      </c>
      <c r="CV118" s="3">
        <v>7.8012530305422843</v>
      </c>
      <c r="CW118" s="3">
        <v>0.06</v>
      </c>
      <c r="CX118" s="3">
        <v>55.193594231972028</v>
      </c>
      <c r="CY118" s="3">
        <v>213827404.50636396</v>
      </c>
      <c r="CZ118" s="3">
        <v>1.2441291958093643</v>
      </c>
      <c r="DA118" s="3">
        <v>7.7811187475753973</v>
      </c>
      <c r="DB118" s="3">
        <v>1516736009.6743777</v>
      </c>
      <c r="DC118" s="3">
        <v>1.181922736018896</v>
      </c>
      <c r="DD118" s="3">
        <v>0.98546533891910204</v>
      </c>
      <c r="DE118" s="3">
        <v>11975969660.125034</v>
      </c>
      <c r="DF118" s="3">
        <v>1.0948336923122406</v>
      </c>
      <c r="DG118" s="3">
        <v>9.8247575120375227E-2</v>
      </c>
      <c r="DH118" s="3">
        <v>120124114875.50743</v>
      </c>
      <c r="DI118" s="3">
        <v>0.99530335664749148</v>
      </c>
      <c r="DJ118" s="3">
        <v>5.8843668385070611E-4</v>
      </c>
      <c r="DK118" s="3">
        <v>20056368550595.484</v>
      </c>
      <c r="DL118" s="3">
        <v>0.870890437066555</v>
      </c>
      <c r="DM118" s="3">
        <v>101000000</v>
      </c>
      <c r="DN118" s="3">
        <v>1.2441291958093643</v>
      </c>
      <c r="DO118" s="3">
        <v>11801903000</v>
      </c>
      <c r="DP118" s="3">
        <v>3469648400</v>
      </c>
      <c r="DQ118" s="12">
        <v>4920</v>
      </c>
      <c r="DR118" s="3">
        <v>-1.3320079836881522</v>
      </c>
      <c r="DS118" s="3">
        <v>-6.7066916444036702</v>
      </c>
      <c r="DT118" s="3">
        <v>0.20999999999999996</v>
      </c>
      <c r="DU118" s="3">
        <v>0.42800000000000005</v>
      </c>
      <c r="DV118" s="3">
        <v>0.63800000000000001</v>
      </c>
      <c r="DW118" s="3">
        <v>-6.4346774193548386</v>
      </c>
      <c r="DX118" s="3">
        <v>0.36256045197740222</v>
      </c>
      <c r="DY118" s="3">
        <v>-6.0706613577546928</v>
      </c>
      <c r="DZ118" s="3">
        <v>3710</v>
      </c>
      <c r="EA118" s="3">
        <v>-6.0193592760971759</v>
      </c>
      <c r="EB118" s="13">
        <v>6</v>
      </c>
      <c r="EC118" s="13">
        <v>6.793662786579463E-2</v>
      </c>
      <c r="ED118" s="3">
        <v>0.41791608622765802</v>
      </c>
      <c r="EE118" s="3">
        <v>-3.0306000000000002</v>
      </c>
      <c r="EF118" s="3">
        <v>-3.0116999999999998</v>
      </c>
      <c r="EG118" s="3">
        <v>20.162560451977402</v>
      </c>
      <c r="EH118" s="14" t="s">
        <v>1745</v>
      </c>
      <c r="EI118" s="15">
        <v>0</v>
      </c>
      <c r="EJ118" s="15">
        <v>0</v>
      </c>
      <c r="EK118" s="15">
        <v>45470</v>
      </c>
      <c r="EL118" s="15">
        <v>-4.7</v>
      </c>
      <c r="EM118" s="15">
        <v>-3.8</v>
      </c>
      <c r="EN118" s="3">
        <v>0.66</v>
      </c>
      <c r="EO118" s="3">
        <v>3.66</v>
      </c>
      <c r="EP118" s="3">
        <v>-1.89</v>
      </c>
    </row>
    <row r="119" spans="1:146" ht="96" x14ac:dyDescent="0.25">
      <c r="A119" s="3"/>
      <c r="B119" s="3"/>
      <c r="C119" s="7" t="str">
        <f>""&amp;CHAR(10)&amp;Basic_Fundamental_Information_Constructure(F119)&amp;CHAR(10)&amp;Basic_Fundamental_Information_Concatenate("")</f>
        <v xml:space="preserve">
市值53.533661亿, 利润3101.00万; PE42.35; 平均PE115.53; 平均PEG7.39, PB3.74; ROIC21.7733%; ROE15.185%; 股利率2.6797%; 毛利60.41%; 净利32.1%; 上一年度营收增-56.85%, 利润增-55.19%; 当季营收增-22.39%, 利润增-26.08%; 过往5年营收增15.63%, 利润增20.62%
Income profile:
</v>
      </c>
      <c r="D119" s="3" t="s">
        <v>1393</v>
      </c>
      <c r="E119" s="3" t="s">
        <v>1394</v>
      </c>
      <c r="F119" s="3">
        <v>52.34</v>
      </c>
      <c r="G119" s="3">
        <v>2.19</v>
      </c>
      <c r="H119" s="3" t="s">
        <v>4643</v>
      </c>
      <c r="I119" s="3">
        <v>5353366100</v>
      </c>
      <c r="J119" s="3">
        <v>42.35</v>
      </c>
      <c r="K119" s="3">
        <v>3.74</v>
      </c>
      <c r="L119" s="3" t="s">
        <v>2983</v>
      </c>
      <c r="M119" s="3" t="s">
        <v>2739</v>
      </c>
      <c r="N119" s="3" t="s">
        <v>2353</v>
      </c>
      <c r="O119" s="3" t="s">
        <v>257</v>
      </c>
      <c r="P119" s="3">
        <v>101.95</v>
      </c>
      <c r="Q119" s="3" t="s">
        <v>257</v>
      </c>
      <c r="R119" s="3">
        <v>31009985</v>
      </c>
      <c r="S119" s="3">
        <v>3.2480000000000002</v>
      </c>
      <c r="T119" s="3" t="s">
        <v>4644</v>
      </c>
      <c r="U119" s="3">
        <v>55912551</v>
      </c>
      <c r="V119" s="3">
        <v>102280590</v>
      </c>
      <c r="W119" s="3">
        <v>1.04</v>
      </c>
      <c r="X119" s="3">
        <v>7.0000000000000007E-2</v>
      </c>
      <c r="Y119" s="3">
        <v>29.73</v>
      </c>
      <c r="Z119" s="3" t="s">
        <v>4645</v>
      </c>
      <c r="AA119" s="3" t="s">
        <v>4646</v>
      </c>
      <c r="AB119" s="3" t="s">
        <v>4647</v>
      </c>
      <c r="AC119" s="3" t="s">
        <v>4648</v>
      </c>
      <c r="AD119" s="3" t="s">
        <v>22</v>
      </c>
      <c r="AE119" s="3">
        <v>570503</v>
      </c>
      <c r="AF119" s="3" t="s">
        <v>2740</v>
      </c>
      <c r="AG119" s="3" t="s">
        <v>4649</v>
      </c>
      <c r="AH119" s="3" t="s">
        <v>2741</v>
      </c>
      <c r="AI119" s="3" t="s">
        <v>24</v>
      </c>
      <c r="AJ119" s="3" t="s">
        <v>2742</v>
      </c>
      <c r="AK119" s="3" t="s">
        <v>22</v>
      </c>
      <c r="AL119" s="3" t="s">
        <v>2743</v>
      </c>
      <c r="AM119" s="3" t="s">
        <v>22</v>
      </c>
      <c r="AN119" s="3" t="s">
        <v>4650</v>
      </c>
      <c r="AO119" s="3" t="s">
        <v>22</v>
      </c>
      <c r="AP119" s="3" t="s">
        <v>22</v>
      </c>
      <c r="AQ119" s="3" t="s">
        <v>4651</v>
      </c>
      <c r="AR119" s="3" t="s">
        <v>22</v>
      </c>
      <c r="AS119" s="3" t="s">
        <v>4652</v>
      </c>
      <c r="AT119" s="3" t="s">
        <v>22</v>
      </c>
      <c r="AU119" s="3" t="s">
        <v>4653</v>
      </c>
      <c r="AV119" s="3" t="s">
        <v>4654</v>
      </c>
      <c r="AW119" s="3" t="s">
        <v>4655</v>
      </c>
      <c r="AX119" s="3" t="s">
        <v>328</v>
      </c>
      <c r="AY119" s="3" t="s">
        <v>206</v>
      </c>
      <c r="AZ119" s="3" t="s">
        <v>179</v>
      </c>
      <c r="BA119" s="3" t="s">
        <v>112</v>
      </c>
      <c r="BB119" s="3" t="s">
        <v>1676</v>
      </c>
      <c r="BC119" s="3" t="s">
        <v>1675</v>
      </c>
      <c r="BD119" s="3" t="s">
        <v>1395</v>
      </c>
      <c r="BE119" s="3" t="s">
        <v>1396</v>
      </c>
      <c r="BF119" s="3" t="s">
        <v>1677</v>
      </c>
      <c r="BG119" s="3" t="s">
        <v>1678</v>
      </c>
      <c r="BH119" s="3" t="s">
        <v>764</v>
      </c>
      <c r="BI119" s="3" t="s">
        <v>146</v>
      </c>
      <c r="BJ119" s="3" t="s">
        <v>328</v>
      </c>
      <c r="BK119" s="3" t="s">
        <v>309</v>
      </c>
      <c r="BL119" s="3" t="s">
        <v>4656</v>
      </c>
      <c r="BM119" s="3" t="s">
        <v>1675</v>
      </c>
      <c r="BN119" s="3">
        <v>7.74</v>
      </c>
      <c r="BO119" s="3">
        <v>22.89</v>
      </c>
      <c r="BP119" s="3">
        <v>34.69</v>
      </c>
      <c r="BQ119" s="3">
        <v>6.16</v>
      </c>
      <c r="BR119" s="3">
        <v>24.21</v>
      </c>
      <c r="BS119" s="3" t="s">
        <v>22</v>
      </c>
      <c r="BT119" s="3" t="s">
        <v>4657</v>
      </c>
      <c r="BU119" s="3" t="s">
        <v>2998</v>
      </c>
      <c r="BV119" s="3">
        <v>54</v>
      </c>
      <c r="BW119" s="3">
        <v>62.64</v>
      </c>
      <c r="BX119" s="3">
        <v>64.59</v>
      </c>
      <c r="BY119" s="3">
        <v>31.78</v>
      </c>
      <c r="BZ119" s="3">
        <v>28.72</v>
      </c>
      <c r="CA119" s="3">
        <v>35.799999999999997</v>
      </c>
      <c r="CB119" s="3">
        <v>-8.66</v>
      </c>
      <c r="CC119" s="10">
        <v>-4.83</v>
      </c>
      <c r="CD119" s="11" t="s">
        <v>4658</v>
      </c>
      <c r="CE119" s="10" t="s">
        <v>4659</v>
      </c>
      <c r="CF119" s="10">
        <v>-0.22388059701492546</v>
      </c>
      <c r="CG119" s="10">
        <v>-0.26078348406905383</v>
      </c>
      <c r="CH119" s="10">
        <v>-0.56846475601196289</v>
      </c>
      <c r="CI119" s="10">
        <v>2.5531914085149765E-2</v>
      </c>
      <c r="CJ119" s="11">
        <v>0.72794115543365479</v>
      </c>
      <c r="CK119" s="11">
        <v>0.29523810744285583</v>
      </c>
      <c r="CL119" s="11">
        <v>0.30100715160369873</v>
      </c>
      <c r="CM119" s="11">
        <v>-0.5519142746925354</v>
      </c>
      <c r="CN119" s="11">
        <v>-0.17678548395633698</v>
      </c>
      <c r="CO119" s="3">
        <v>1.379227876663208</v>
      </c>
      <c r="CP119" s="3">
        <v>6.4739115536212921E-2</v>
      </c>
      <c r="CQ119" s="3">
        <v>0.3158927857875824</v>
      </c>
      <c r="CR119" s="10">
        <v>115.53142367149567</v>
      </c>
      <c r="CS119" s="11">
        <v>7.3939773032909537</v>
      </c>
      <c r="CT119" s="3">
        <v>2.6796904852884977</v>
      </c>
      <c r="CU119" s="3">
        <v>0.15625071451067923</v>
      </c>
      <c r="CV119" s="3">
        <v>0.20623200386762619</v>
      </c>
      <c r="CW119" s="3">
        <v>0.06</v>
      </c>
      <c r="CX119" s="3">
        <v>117.58592790542259</v>
      </c>
      <c r="CY119" s="3">
        <v>33825787.412241668</v>
      </c>
      <c r="CZ119" s="3">
        <v>0.15625071451067923</v>
      </c>
      <c r="DA119" s="3">
        <v>36.345247226798762</v>
      </c>
      <c r="DB119" s="3">
        <v>109434847.84077302</v>
      </c>
      <c r="DC119" s="3">
        <v>0.14843817878514526</v>
      </c>
      <c r="DD119" s="3">
        <v>16.578345799543065</v>
      </c>
      <c r="DE119" s="3">
        <v>239917579.72074795</v>
      </c>
      <c r="DF119" s="3">
        <v>0.13750062876939773</v>
      </c>
      <c r="DG119" s="3">
        <v>9.1120717084826648</v>
      </c>
      <c r="DH119" s="3">
        <v>436501898.49771494</v>
      </c>
      <c r="DI119" s="3">
        <v>0.12500057160854339</v>
      </c>
      <c r="DJ119" s="3">
        <v>3.8423267159996217</v>
      </c>
      <c r="DK119" s="3">
        <v>1035163559.4749855</v>
      </c>
      <c r="DL119" s="3">
        <v>0.10937550015747546</v>
      </c>
      <c r="DM119" s="3">
        <v>31010000</v>
      </c>
      <c r="DN119" s="3">
        <v>0.15625071451067923</v>
      </c>
      <c r="DO119" s="3">
        <v>3977436600</v>
      </c>
      <c r="DP119" s="3">
        <v>1318173100</v>
      </c>
      <c r="DQ119" s="12">
        <v>4922</v>
      </c>
      <c r="DR119" s="3">
        <v>-0.3801313115256047</v>
      </c>
      <c r="DS119" s="3">
        <v>-0.46701548793668002</v>
      </c>
      <c r="DT119" s="3">
        <v>-0.12333333333333336</v>
      </c>
      <c r="DU119" s="3">
        <v>-0.16999999999999996</v>
      </c>
      <c r="DV119" s="3">
        <v>-0.29333333333333333</v>
      </c>
      <c r="DW119" s="3">
        <v>-5.5577367205542725</v>
      </c>
      <c r="DX119" s="3">
        <v>0.37578735971648031</v>
      </c>
      <c r="DY119" s="3">
        <v>-5.0980430655231634</v>
      </c>
      <c r="DZ119" s="3">
        <v>4536</v>
      </c>
      <c r="EA119" s="3">
        <v>-5.0110130566752042</v>
      </c>
      <c r="EB119" s="13">
        <v>5</v>
      </c>
      <c r="EC119" s="13">
        <v>3.637151486904798E-2</v>
      </c>
      <c r="ED119" s="3">
        <v>0.20690631526470468</v>
      </c>
      <c r="EE119" s="3">
        <v>0.10630999999999999</v>
      </c>
      <c r="EF119" s="3">
        <v>-1.01051</v>
      </c>
      <c r="EG119" s="3">
        <v>20.17578735971648</v>
      </c>
      <c r="EH119" s="14" t="s">
        <v>1386</v>
      </c>
      <c r="EI119" s="15">
        <v>0</v>
      </c>
      <c r="EJ119" s="15">
        <v>0</v>
      </c>
      <c r="EK119" s="15">
        <v>45470</v>
      </c>
      <c r="EL119" s="15">
        <v>2.54</v>
      </c>
      <c r="EM119" s="15">
        <v>-14.19</v>
      </c>
      <c r="EN119" s="3">
        <v>-2.98</v>
      </c>
      <c r="EO119" s="3">
        <v>-0.37</v>
      </c>
      <c r="EP119" s="3">
        <v>-5.42</v>
      </c>
    </row>
    <row r="120" spans="1:146" ht="96" x14ac:dyDescent="0.25">
      <c r="A120" s="3"/>
      <c r="B120" s="3"/>
      <c r="C120" s="7" t="str">
        <f>""&amp;CHAR(10)&amp;Basic_Fundamental_Information_Constructure(F120)&amp;CHAR(10)&amp;Basic_Fundamental_Information_Concatenate("")</f>
        <v xml:space="preserve">
市值105.160585亿, 利润1053.50万; PE578.8; 平均PE201.32; 平均PEG6.95, PB4.98; ROIC8.1533%; ROE10.9567%; 股利率.0813%; 毛利56.3133%; 净利30%; 上一年度营收增-78.78%, 利润增-89.46%; 当季营收增-2.05%, 利润增-45.67%; 过往5年营收增28.96%, 利润增83.67%
Income profile:
</v>
      </c>
      <c r="D120" s="3" t="s">
        <v>1352</v>
      </c>
      <c r="E120" s="3" t="s">
        <v>1353</v>
      </c>
      <c r="F120" s="3">
        <v>123.05</v>
      </c>
      <c r="G120" s="3">
        <v>-2.8</v>
      </c>
      <c r="H120" s="3" t="s">
        <v>4660</v>
      </c>
      <c r="I120" s="3">
        <v>10516058500</v>
      </c>
      <c r="J120" s="3">
        <v>578.79999999999995</v>
      </c>
      <c r="K120" s="3">
        <v>4.9800000000000004</v>
      </c>
      <c r="L120" s="3" t="s">
        <v>2983</v>
      </c>
      <c r="M120" s="3" t="s">
        <v>155</v>
      </c>
      <c r="N120" s="3" t="s">
        <v>4661</v>
      </c>
      <c r="O120" s="3" t="s">
        <v>2744</v>
      </c>
      <c r="P120" s="3">
        <v>72.33</v>
      </c>
      <c r="Q120" s="3" t="s">
        <v>2744</v>
      </c>
      <c r="R120" s="3">
        <v>10534967</v>
      </c>
      <c r="S120" s="3">
        <v>-0.1106</v>
      </c>
      <c r="T120" s="3" t="s">
        <v>4662</v>
      </c>
      <c r="U120" s="3">
        <v>59314780</v>
      </c>
      <c r="V120" s="3">
        <v>85461670</v>
      </c>
      <c r="W120" s="3">
        <v>1.06</v>
      </c>
      <c r="X120" s="3">
        <v>0.03</v>
      </c>
      <c r="Y120" s="3">
        <v>17.54</v>
      </c>
      <c r="Z120" s="3" t="s">
        <v>4663</v>
      </c>
      <c r="AA120" s="3" t="s">
        <v>4664</v>
      </c>
      <c r="AB120" s="3" t="s">
        <v>4665</v>
      </c>
      <c r="AC120" s="3" t="s">
        <v>4666</v>
      </c>
      <c r="AD120" s="3" t="s">
        <v>22</v>
      </c>
      <c r="AE120" s="3">
        <v>-5484601</v>
      </c>
      <c r="AF120" s="3" t="s">
        <v>2746</v>
      </c>
      <c r="AG120" s="3" t="s">
        <v>22</v>
      </c>
      <c r="AH120" s="3" t="s">
        <v>2747</v>
      </c>
      <c r="AI120" s="3" t="s">
        <v>2121</v>
      </c>
      <c r="AJ120" s="3" t="s">
        <v>2748</v>
      </c>
      <c r="AK120" s="3" t="s">
        <v>4667</v>
      </c>
      <c r="AL120" s="3" t="s">
        <v>2749</v>
      </c>
      <c r="AM120" s="3" t="s">
        <v>22</v>
      </c>
      <c r="AN120" s="3" t="s">
        <v>118</v>
      </c>
      <c r="AO120" s="3" t="s">
        <v>22</v>
      </c>
      <c r="AP120" s="3" t="s">
        <v>22</v>
      </c>
      <c r="AQ120" s="3" t="s">
        <v>4668</v>
      </c>
      <c r="AR120" s="3" t="s">
        <v>22</v>
      </c>
      <c r="AS120" s="3" t="s">
        <v>4669</v>
      </c>
      <c r="AT120" s="3" t="s">
        <v>22</v>
      </c>
      <c r="AU120" s="3" t="s">
        <v>4670</v>
      </c>
      <c r="AV120" s="3" t="s">
        <v>2569</v>
      </c>
      <c r="AW120" s="3" t="s">
        <v>4671</v>
      </c>
      <c r="AX120" s="3" t="s">
        <v>397</v>
      </c>
      <c r="AY120" s="3" t="s">
        <v>285</v>
      </c>
      <c r="AZ120" s="3" t="s">
        <v>200</v>
      </c>
      <c r="BA120" s="3" t="s">
        <v>1355</v>
      </c>
      <c r="BB120" s="3" t="s">
        <v>1356</v>
      </c>
      <c r="BC120" s="3" t="s">
        <v>277</v>
      </c>
      <c r="BD120" s="3" t="s">
        <v>1354</v>
      </c>
      <c r="BE120" s="3" t="s">
        <v>1357</v>
      </c>
      <c r="BF120" s="3" t="s">
        <v>1358</v>
      </c>
      <c r="BG120" s="3" t="s">
        <v>1359</v>
      </c>
      <c r="BH120" s="3" t="s">
        <v>346</v>
      </c>
      <c r="BI120" s="3" t="s">
        <v>4672</v>
      </c>
      <c r="BJ120" s="3" t="s">
        <v>397</v>
      </c>
      <c r="BK120" s="3" t="s">
        <v>2745</v>
      </c>
      <c r="BL120" s="3" t="s">
        <v>4673</v>
      </c>
      <c r="BM120" s="3" t="s">
        <v>277</v>
      </c>
      <c r="BN120" s="3">
        <v>0.3</v>
      </c>
      <c r="BO120" s="3">
        <v>7.35</v>
      </c>
      <c r="BP120" s="3">
        <v>16.809999999999999</v>
      </c>
      <c r="BQ120" s="3">
        <v>1.01</v>
      </c>
      <c r="BR120" s="3">
        <v>14.99</v>
      </c>
      <c r="BS120" s="3">
        <v>16.87</v>
      </c>
      <c r="BT120" s="3" t="s">
        <v>1369</v>
      </c>
      <c r="BU120" s="3" t="s">
        <v>1210</v>
      </c>
      <c r="BV120" s="3">
        <v>41.88</v>
      </c>
      <c r="BW120" s="3">
        <v>61.9</v>
      </c>
      <c r="BX120" s="3">
        <v>65.16</v>
      </c>
      <c r="BY120" s="3">
        <v>13.49</v>
      </c>
      <c r="BZ120" s="3">
        <v>35.46</v>
      </c>
      <c r="CA120" s="3">
        <v>41.05</v>
      </c>
      <c r="CB120" s="3">
        <v>-6.06</v>
      </c>
      <c r="CC120" s="10">
        <v>-14.28</v>
      </c>
      <c r="CD120" s="11" t="s">
        <v>4674</v>
      </c>
      <c r="CE120" s="10" t="s">
        <v>4675</v>
      </c>
      <c r="CF120" s="10">
        <v>-2.0481383451485754E-2</v>
      </c>
      <c r="CG120" s="10">
        <v>-0.45671122319002017</v>
      </c>
      <c r="CH120" s="10">
        <v>-0.78776252269744873</v>
      </c>
      <c r="CI120" s="10">
        <v>0.21982759237289429</v>
      </c>
      <c r="CJ120" s="11">
        <v>-4.2918454855680466E-3</v>
      </c>
      <c r="CK120" s="11">
        <v>1.865494966506958</v>
      </c>
      <c r="CL120" s="11">
        <v>0.15482217073440552</v>
      </c>
      <c r="CM120" s="11">
        <v>-0.89464998245239258</v>
      </c>
      <c r="CN120" s="11">
        <v>4.9452289938926697E-2</v>
      </c>
      <c r="CO120" s="3">
        <v>0.20854747295379639</v>
      </c>
      <c r="CP120" s="3">
        <v>4.9699320793151855</v>
      </c>
      <c r="CQ120" s="3">
        <v>-0.14968001842498779</v>
      </c>
      <c r="CR120" s="10">
        <v>201.32432160787988</v>
      </c>
      <c r="CS120" s="11">
        <v>6.9513728897725029</v>
      </c>
      <c r="CT120" s="3">
        <v>8.1267777326290133E-2</v>
      </c>
      <c r="CU120" s="3">
        <v>0.2896180722862482</v>
      </c>
      <c r="CV120" s="3">
        <v>0.83672036826610563</v>
      </c>
      <c r="CW120" s="3">
        <v>0.06</v>
      </c>
      <c r="CX120" s="3">
        <v>664.97556033547585</v>
      </c>
      <c r="CY120" s="3">
        <v>12817100.369373232</v>
      </c>
      <c r="CZ120" s="3">
        <v>0.2896180722862482</v>
      </c>
      <c r="DA120" s="3">
        <v>184.25043954657687</v>
      </c>
      <c r="DB120" s="3">
        <v>46258009.049934708</v>
      </c>
      <c r="DC120" s="3">
        <v>0.27513716867193577</v>
      </c>
      <c r="DD120" s="3">
        <v>71.682079126404886</v>
      </c>
      <c r="DE120" s="3">
        <v>118900827.15054001</v>
      </c>
      <c r="DF120" s="3">
        <v>0.25486390361189842</v>
      </c>
      <c r="DG120" s="3">
        <v>32.340205575343262</v>
      </c>
      <c r="DH120" s="3">
        <v>263543732.89754623</v>
      </c>
      <c r="DI120" s="3">
        <v>0.23169445782899856</v>
      </c>
      <c r="DJ120" s="3">
        <v>8.3412625042922084</v>
      </c>
      <c r="DK120" s="3">
        <v>1021794781.7388847</v>
      </c>
      <c r="DL120" s="3">
        <v>0.20273265060037374</v>
      </c>
      <c r="DM120" s="3">
        <v>10535000</v>
      </c>
      <c r="DN120" s="3">
        <v>0.2896180722862482</v>
      </c>
      <c r="DO120" s="3">
        <v>8523058500</v>
      </c>
      <c r="DP120" s="3">
        <v>1534123600</v>
      </c>
      <c r="DQ120" s="12">
        <v>4926</v>
      </c>
      <c r="DR120" s="3">
        <v>-0.31009945573773395</v>
      </c>
      <c r="DS120" s="3">
        <v>-1.2934315914561259</v>
      </c>
      <c r="DT120" s="3">
        <v>-9.1666666666666716E-2</v>
      </c>
      <c r="DU120" s="3">
        <v>1.0000000000000047E-2</v>
      </c>
      <c r="DV120" s="3">
        <v>-8.1666666666666665E-2</v>
      </c>
      <c r="DW120" s="3">
        <v>-9.4243697478991599</v>
      </c>
      <c r="DX120" s="3">
        <v>0.36061632193073079</v>
      </c>
      <c r="DY120" s="3">
        <v>-9.0554296156092597</v>
      </c>
      <c r="DZ120" s="3">
        <v>3231</v>
      </c>
      <c r="EA120" s="3">
        <v>-9.020382044565519</v>
      </c>
      <c r="EB120" s="13">
        <v>9</v>
      </c>
      <c r="EC120" s="3">
        <v>0.11893051001694678</v>
      </c>
      <c r="ED120" s="3">
        <v>0.91053334202338898</v>
      </c>
      <c r="EE120" s="3">
        <v>-3.0196999999999998</v>
      </c>
      <c r="EF120" s="3">
        <v>-3.0039099999999999</v>
      </c>
      <c r="EG120" s="3">
        <v>23.130616321930731</v>
      </c>
      <c r="EH120" s="14" t="s">
        <v>1838</v>
      </c>
      <c r="EI120" s="15">
        <v>0</v>
      </c>
      <c r="EJ120" s="15">
        <v>0</v>
      </c>
      <c r="EK120" s="15">
        <v>45470</v>
      </c>
      <c r="EL120" s="15">
        <v>-2.87</v>
      </c>
      <c r="EM120" s="15">
        <v>-6.35</v>
      </c>
      <c r="EN120" s="3">
        <v>-0.89</v>
      </c>
      <c r="EO120" s="3">
        <v>5.68</v>
      </c>
      <c r="EP120" s="3">
        <v>-2.36</v>
      </c>
    </row>
    <row r="121" spans="1:146" ht="96" x14ac:dyDescent="0.25">
      <c r="C121" s="7" t="str">
        <f>""&amp;CHAR(10)&amp;Basic_Fundamental_Information_Constructure(F121)&amp;CHAR(10)&amp;Basic_Fundamental_Information_Concatenate("")</f>
        <v xml:space="preserve">
市值46.089931亿, 利润2380.46万; PE73.39; 平均PE51.78; 平均PEG7.45, PB1.89; ROIC7.3533%; ROE8.0967%; 股利率.4274%; 毛利40.6967%; 净利15.4233%; 上一年度营收增-71.81%, 利润增-73.5%; 当季营收增-47.14%, 利润增-50.49%; 过往5年营收增6.95%, 利润增9.42%
Income profile:
</v>
      </c>
      <c r="D121" s="3" t="s">
        <v>92</v>
      </c>
      <c r="E121" s="3" t="s">
        <v>1088</v>
      </c>
      <c r="F121" s="3">
        <v>35.1</v>
      </c>
      <c r="G121" s="3">
        <v>0.98</v>
      </c>
      <c r="H121" s="3" t="s">
        <v>4676</v>
      </c>
      <c r="I121" s="3">
        <v>4608993100</v>
      </c>
      <c r="J121" s="3">
        <v>73.39</v>
      </c>
      <c r="K121" s="3">
        <v>1.89</v>
      </c>
      <c r="L121" s="3" t="s">
        <v>2983</v>
      </c>
      <c r="M121" s="3" t="s">
        <v>119</v>
      </c>
      <c r="N121" s="3" t="s">
        <v>251</v>
      </c>
      <c r="O121" s="3" t="s">
        <v>568</v>
      </c>
      <c r="P121" s="3">
        <v>8.69</v>
      </c>
      <c r="Q121" s="3" t="s">
        <v>568</v>
      </c>
      <c r="R121" s="3">
        <v>23804601</v>
      </c>
      <c r="S121" s="5">
        <v>0.16239999999999999</v>
      </c>
      <c r="T121" s="3" t="s">
        <v>4677</v>
      </c>
      <c r="U121" s="3">
        <v>131310346</v>
      </c>
      <c r="V121" s="3">
        <v>131310346</v>
      </c>
      <c r="W121" s="3">
        <v>1.17</v>
      </c>
      <c r="X121" s="3">
        <v>7.0000000000000007E-2</v>
      </c>
      <c r="Y121" s="3">
        <v>11.38</v>
      </c>
      <c r="Z121" s="3" t="s">
        <v>1743</v>
      </c>
      <c r="AA121" s="3" t="s">
        <v>130</v>
      </c>
      <c r="AB121" s="3" t="s">
        <v>4678</v>
      </c>
      <c r="AC121" s="3" t="s">
        <v>4679</v>
      </c>
      <c r="AD121" s="3" t="s">
        <v>22</v>
      </c>
      <c r="AE121" s="3">
        <v>-3849100</v>
      </c>
      <c r="AF121" s="3" t="s">
        <v>2751</v>
      </c>
      <c r="AG121" s="3" t="s">
        <v>4680</v>
      </c>
      <c r="AH121" s="3" t="s">
        <v>2752</v>
      </c>
      <c r="AI121" s="3" t="s">
        <v>647</v>
      </c>
      <c r="AJ121" s="3" t="s">
        <v>2753</v>
      </c>
      <c r="AK121" s="3" t="s">
        <v>4681</v>
      </c>
      <c r="AL121" s="3" t="s">
        <v>2754</v>
      </c>
      <c r="AM121" s="3" t="s">
        <v>22</v>
      </c>
      <c r="AN121" s="3">
        <v>0</v>
      </c>
      <c r="AO121" s="3" t="s">
        <v>196</v>
      </c>
      <c r="AP121" s="3" t="s">
        <v>4682</v>
      </c>
      <c r="AQ121" s="3" t="s">
        <v>4683</v>
      </c>
      <c r="AR121" s="3" t="s">
        <v>4684</v>
      </c>
      <c r="AS121" s="3" t="s">
        <v>341</v>
      </c>
      <c r="AT121" s="3" t="s">
        <v>22</v>
      </c>
      <c r="AU121" s="3" t="s">
        <v>4685</v>
      </c>
      <c r="AV121" s="3" t="s">
        <v>4686</v>
      </c>
      <c r="AW121" s="3" t="s">
        <v>4687</v>
      </c>
      <c r="AX121" s="3" t="s">
        <v>1635</v>
      </c>
      <c r="AY121" s="3" t="s">
        <v>606</v>
      </c>
      <c r="AZ121" s="3" t="s">
        <v>675</v>
      </c>
      <c r="BA121" s="3" t="s">
        <v>259</v>
      </c>
      <c r="BB121" s="3" t="s">
        <v>379</v>
      </c>
      <c r="BC121" s="3" t="s">
        <v>1679</v>
      </c>
      <c r="BD121" s="3" t="s">
        <v>337</v>
      </c>
      <c r="BE121" s="3" t="s">
        <v>676</v>
      </c>
      <c r="BF121" s="3" t="s">
        <v>426</v>
      </c>
      <c r="BG121" s="3" t="s">
        <v>677</v>
      </c>
      <c r="BH121" s="3" t="s">
        <v>2136</v>
      </c>
      <c r="BI121" s="3" t="s">
        <v>1802</v>
      </c>
      <c r="BJ121" s="3" t="s">
        <v>1635</v>
      </c>
      <c r="BK121" s="3" t="s">
        <v>2750</v>
      </c>
      <c r="BL121" s="3" t="s">
        <v>4688</v>
      </c>
      <c r="BM121" s="3" t="s">
        <v>1679</v>
      </c>
      <c r="BN121" s="3">
        <v>2.64</v>
      </c>
      <c r="BO121" s="3">
        <v>5.6</v>
      </c>
      <c r="BP121" s="3">
        <v>13.82</v>
      </c>
      <c r="BQ121" s="3">
        <v>3.75</v>
      </c>
      <c r="BR121" s="3">
        <v>6.09</v>
      </c>
      <c r="BS121" s="3">
        <v>14.45</v>
      </c>
      <c r="BT121" s="3" t="s">
        <v>1371</v>
      </c>
      <c r="BU121" s="3" t="s">
        <v>3311</v>
      </c>
      <c r="BV121" s="3">
        <v>37.94</v>
      </c>
      <c r="BW121" s="3">
        <v>41.15</v>
      </c>
      <c r="BX121" s="3">
        <v>43</v>
      </c>
      <c r="BY121" s="3">
        <v>7.21</v>
      </c>
      <c r="BZ121" s="3">
        <v>12.35</v>
      </c>
      <c r="CA121" s="3">
        <v>26.71</v>
      </c>
      <c r="CB121" s="3">
        <v>-3.49</v>
      </c>
      <c r="CC121" s="3">
        <v>6.75</v>
      </c>
      <c r="CD121" s="3" t="s">
        <v>4689</v>
      </c>
      <c r="CE121" s="3" t="s">
        <v>741</v>
      </c>
      <c r="CF121" s="10">
        <v>-0.47135416666666674</v>
      </c>
      <c r="CG121" s="11">
        <v>-0.50486303164936097</v>
      </c>
      <c r="CH121" s="10">
        <v>-0.71805554628372192</v>
      </c>
      <c r="CI121" s="10">
        <v>-4.3824702501296997E-2</v>
      </c>
      <c r="CJ121" s="10">
        <v>0.75524473190307617</v>
      </c>
      <c r="CK121" s="10">
        <v>0.28059700131416321</v>
      </c>
      <c r="CL121" s="10">
        <v>7.3717951774597168E-2</v>
      </c>
      <c r="CM121" s="11">
        <v>-0.73504638671875</v>
      </c>
      <c r="CN121" s="11">
        <v>-0.5530129075050354</v>
      </c>
      <c r="CO121" s="11">
        <v>1.015316367149353</v>
      </c>
      <c r="CP121" s="11">
        <v>0.50725394487380981</v>
      </c>
      <c r="CQ121" s="11">
        <v>0.2365068793296814</v>
      </c>
      <c r="CR121" s="3">
        <v>51.779622645183601</v>
      </c>
      <c r="CS121" s="3">
        <v>7.44646033859512</v>
      </c>
      <c r="CT121" s="3">
        <v>0.42735042735042733</v>
      </c>
      <c r="CU121" s="10">
        <v>6.9535887241363531E-2</v>
      </c>
      <c r="CV121" s="11">
        <v>9.420357942581177E-2</v>
      </c>
      <c r="CW121" s="3">
        <v>0.06</v>
      </c>
      <c r="CX121" s="3">
        <v>102.54460363412197</v>
      </c>
      <c r="CY121" s="3">
        <v>24018749.03908091</v>
      </c>
      <c r="CZ121" s="3">
        <v>6.9535887241363531E-2</v>
      </c>
      <c r="DA121" s="3">
        <v>34.097734279458102</v>
      </c>
      <c r="DB121" s="3">
        <v>72233336.086609423</v>
      </c>
      <c r="DC121" s="3">
        <v>6.6059092879295345E-2</v>
      </c>
      <c r="DD121" s="3">
        <v>17.176809553316069</v>
      </c>
      <c r="DE121" s="3">
        <v>143390604.19544017</v>
      </c>
      <c r="DF121" s="3">
        <v>6.119158077239991E-2</v>
      </c>
      <c r="DG121" s="3">
        <v>10.58381918834357</v>
      </c>
      <c r="DH121" s="3">
        <v>232713074.19089356</v>
      </c>
      <c r="DI121" s="3">
        <v>5.5628709793090828E-2</v>
      </c>
      <c r="DJ121" s="3">
        <v>5.7799097036864957</v>
      </c>
      <c r="DK121" s="3">
        <v>426130030.79080516</v>
      </c>
      <c r="DL121" s="3">
        <v>4.8675121068954469E-2</v>
      </c>
      <c r="DM121" s="3">
        <v>23804600</v>
      </c>
      <c r="DN121" s="3">
        <v>6.9535887241363531E-2</v>
      </c>
      <c r="DO121" s="3">
        <v>2462993100</v>
      </c>
      <c r="DP121" s="3">
        <v>1969992400</v>
      </c>
      <c r="DQ121" s="3">
        <v>4935</v>
      </c>
      <c r="DR121" s="3">
        <v>-0.54089005390803024</v>
      </c>
      <c r="DS121" s="3">
        <v>-0.59906661107517278</v>
      </c>
      <c r="DT121" s="12">
        <v>-0.39000000000000007</v>
      </c>
      <c r="DU121" s="3">
        <v>-0.22</v>
      </c>
      <c r="DV121" s="3">
        <v>-0.6100000000000001</v>
      </c>
      <c r="DW121" s="3">
        <v>-6.3408203125</v>
      </c>
      <c r="DX121" s="3">
        <v>0.33289020979020889</v>
      </c>
      <c r="DY121" s="3">
        <v>-6.03165887032889</v>
      </c>
      <c r="DZ121" s="3">
        <v>4797</v>
      </c>
      <c r="EA121" s="3">
        <v>-6.0019391832510651</v>
      </c>
      <c r="EB121" s="3">
        <v>6</v>
      </c>
      <c r="EC121" s="3">
        <v>0.10115958418082303</v>
      </c>
      <c r="ED121" s="3">
        <v>1.089023099520277</v>
      </c>
      <c r="EE121" s="13">
        <v>-3.0581100000000001</v>
      </c>
      <c r="EF121" s="3">
        <v>-3.08161</v>
      </c>
      <c r="EG121" s="3">
        <v>24.092890209790209</v>
      </c>
      <c r="EH121" s="3" t="s">
        <v>1838</v>
      </c>
      <c r="EI121" s="3">
        <v>0</v>
      </c>
      <c r="EJ121" s="3">
        <v>0</v>
      </c>
      <c r="EK121" s="14">
        <v>45470</v>
      </c>
      <c r="EL121" s="15">
        <v>-0.65</v>
      </c>
      <c r="EM121" s="15">
        <v>-6.54</v>
      </c>
      <c r="EN121" s="3">
        <v>-0.35</v>
      </c>
      <c r="EO121" s="3">
        <v>4.5599999999999996</v>
      </c>
      <c r="EP121" s="3">
        <v>-2.35</v>
      </c>
    </row>
    <row r="122" spans="1:146" ht="96" x14ac:dyDescent="0.25">
      <c r="A122" s="3"/>
      <c r="B122" s="3"/>
      <c r="C122" s="7" t="str">
        <f>""&amp;CHAR(10)&amp;Basic_Fundamental_Information_Constructure(F122)&amp;CHAR(10)&amp;Basic_Fundamental_Information_Concatenate("")</f>
        <v xml:space="preserve">
市值34.89728亿, 利润-8113.65万; PE; 平均PE-19.85; 平均PEG-.27, PB1.64; ROIC0%; ROE-18.92%; 股利率0%; 毛利15.3767%; 净利-73.7967%; 上一年度营收增-70.59%, 利润增73.4%; 当季营收增-57.66%, 利润增53.64%; 过往5年营收增72.43%, 利润增-43.76%
Income profile:
</v>
      </c>
      <c r="D122" s="3" t="s">
        <v>1427</v>
      </c>
      <c r="E122" s="3" t="s">
        <v>1729</v>
      </c>
      <c r="F122" s="3">
        <v>7.62</v>
      </c>
      <c r="G122" s="3">
        <v>0.66</v>
      </c>
      <c r="H122" s="3" t="s">
        <v>4690</v>
      </c>
      <c r="I122" s="3">
        <v>3489728000</v>
      </c>
      <c r="K122" s="3">
        <v>1.64</v>
      </c>
      <c r="L122" s="3" t="s">
        <v>2983</v>
      </c>
      <c r="M122" s="3" t="s">
        <v>208</v>
      </c>
      <c r="N122" s="3" t="s">
        <v>1550</v>
      </c>
      <c r="O122" s="3" t="s">
        <v>112</v>
      </c>
      <c r="P122" s="5">
        <v>-12.77</v>
      </c>
      <c r="Q122" s="3" t="s">
        <v>112</v>
      </c>
      <c r="R122" s="3">
        <v>-81136546</v>
      </c>
      <c r="S122" s="3">
        <v>-0.2369</v>
      </c>
      <c r="T122" s="3" t="s">
        <v>4691</v>
      </c>
      <c r="U122" s="3">
        <v>202030590</v>
      </c>
      <c r="V122" s="3">
        <v>457969550</v>
      </c>
      <c r="W122" s="3">
        <v>1.1100000000000001</v>
      </c>
      <c r="X122" s="3">
        <v>0.04</v>
      </c>
      <c r="Y122" s="3">
        <v>-77.44</v>
      </c>
      <c r="Z122" s="3" t="s">
        <v>385</v>
      </c>
      <c r="AA122" s="3" t="s">
        <v>4692</v>
      </c>
      <c r="AB122" s="3" t="s">
        <v>4693</v>
      </c>
      <c r="AC122" s="3" t="s">
        <v>4694</v>
      </c>
      <c r="AD122" s="3" t="s">
        <v>22</v>
      </c>
      <c r="AE122" s="3">
        <v>-4956553</v>
      </c>
      <c r="AF122" s="3" t="s">
        <v>2757</v>
      </c>
      <c r="AG122" s="3" t="s">
        <v>4695</v>
      </c>
      <c r="AH122" s="3" t="s">
        <v>2758</v>
      </c>
      <c r="AI122" s="3" t="s">
        <v>1604</v>
      </c>
      <c r="AJ122" s="3" t="s">
        <v>2759</v>
      </c>
      <c r="AK122" s="3" t="s">
        <v>22</v>
      </c>
      <c r="AL122" s="3" t="s">
        <v>2760</v>
      </c>
      <c r="AM122" s="3" t="s">
        <v>22</v>
      </c>
      <c r="AN122" s="3" t="s">
        <v>4696</v>
      </c>
      <c r="AO122" s="3" t="s">
        <v>22</v>
      </c>
      <c r="AP122" s="3" t="s">
        <v>22</v>
      </c>
      <c r="AQ122" s="3" t="s">
        <v>4697</v>
      </c>
      <c r="AR122" s="3" t="s">
        <v>22</v>
      </c>
      <c r="AS122" s="3" t="s">
        <v>27</v>
      </c>
      <c r="AT122" s="3" t="s">
        <v>22</v>
      </c>
      <c r="AU122" s="3" t="s">
        <v>4698</v>
      </c>
      <c r="AV122" s="3" t="s">
        <v>4699</v>
      </c>
      <c r="AW122" s="3" t="s">
        <v>4700</v>
      </c>
      <c r="AX122" s="3" t="s">
        <v>496</v>
      </c>
      <c r="AY122" s="3" t="s">
        <v>895</v>
      </c>
      <c r="AZ122" s="3" t="s">
        <v>123</v>
      </c>
      <c r="BA122" s="3" t="s">
        <v>1429</v>
      </c>
      <c r="BB122" s="3" t="s">
        <v>22</v>
      </c>
      <c r="BC122" s="3" t="s">
        <v>1428</v>
      </c>
      <c r="BD122" s="3" t="s">
        <v>1430</v>
      </c>
      <c r="BE122" s="3" t="s">
        <v>1431</v>
      </c>
      <c r="BF122" s="3" t="s">
        <v>1432</v>
      </c>
      <c r="BG122" s="3" t="s">
        <v>22</v>
      </c>
      <c r="BH122" s="3" t="s">
        <v>2755</v>
      </c>
      <c r="BI122" s="3" t="s">
        <v>581</v>
      </c>
      <c r="BJ122" s="3" t="s">
        <v>496</v>
      </c>
      <c r="BK122" s="3" t="s">
        <v>2756</v>
      </c>
      <c r="BL122" s="3" t="s">
        <v>4701</v>
      </c>
      <c r="BM122" s="3" t="s">
        <v>1428</v>
      </c>
      <c r="BN122" s="3" t="s">
        <v>22</v>
      </c>
      <c r="BO122" s="3" t="s">
        <v>22</v>
      </c>
      <c r="BP122" s="3" t="s">
        <v>22</v>
      </c>
      <c r="BQ122" s="3">
        <v>-17.420000000000002</v>
      </c>
      <c r="BR122" s="3">
        <v>-20.420000000000002</v>
      </c>
      <c r="BS122" s="3" t="s">
        <v>22</v>
      </c>
      <c r="BT122" s="3" t="s">
        <v>1368</v>
      </c>
      <c r="BU122" s="3" t="s">
        <v>3311</v>
      </c>
      <c r="BV122" s="3">
        <v>11.97</v>
      </c>
      <c r="BW122" s="3">
        <v>17.97</v>
      </c>
      <c r="BX122" s="3">
        <v>16.190000000000001</v>
      </c>
      <c r="BY122" s="3">
        <v>-74</v>
      </c>
      <c r="BZ122" s="3">
        <v>-85.49</v>
      </c>
      <c r="CA122" s="3">
        <v>-61.9</v>
      </c>
      <c r="CB122" s="3">
        <v>-10.25</v>
      </c>
      <c r="CC122" s="10">
        <v>-20.46</v>
      </c>
      <c r="CD122" s="11" t="s">
        <v>4702</v>
      </c>
      <c r="CE122" s="10" t="s">
        <v>136</v>
      </c>
      <c r="CF122" s="10">
        <v>-0.57661290322580649</v>
      </c>
      <c r="CG122" s="10">
        <v>0.53636259428571431</v>
      </c>
      <c r="CH122" s="10">
        <v>-0.70588237047195435</v>
      </c>
      <c r="CI122" s="10">
        <v>-0.30544745922088623</v>
      </c>
      <c r="CJ122" s="11">
        <v>1.4830918312072754</v>
      </c>
      <c r="CK122" s="11">
        <v>2.4255983829498291</v>
      </c>
      <c r="CL122" s="11" t="s">
        <v>22</v>
      </c>
      <c r="CM122" s="11">
        <v>0.73397868871688843</v>
      </c>
      <c r="CN122" s="11">
        <v>4.0880504995584488E-2</v>
      </c>
      <c r="CO122" s="3">
        <v>-2.3059053421020508</v>
      </c>
      <c r="CP122" s="3">
        <v>-0.21954053640365601</v>
      </c>
      <c r="CQ122" s="3" t="s">
        <v>22</v>
      </c>
      <c r="CR122" s="10">
        <v>-19.845969623404464</v>
      </c>
      <c r="CS122" s="11">
        <v>-0.27398689827912559</v>
      </c>
      <c r="CT122" s="3">
        <v>0</v>
      </c>
      <c r="CU122" s="3">
        <v>0.72434009611606598</v>
      </c>
      <c r="CV122" s="3">
        <v>-0.43764667119830847</v>
      </c>
      <c r="CW122" s="3">
        <v>0.06</v>
      </c>
      <c r="CX122" s="3" t="e">
        <v>#VALUE!</v>
      </c>
      <c r="CY122" s="3" t="s">
        <v>1073</v>
      </c>
      <c r="CZ122" s="3">
        <v>0.72434009611606598</v>
      </c>
      <c r="DA122" s="3" t="e">
        <v>#VALUE!</v>
      </c>
      <c r="DB122" s="3" t="s">
        <v>1074</v>
      </c>
      <c r="DC122" s="3">
        <v>0.68812309131026261</v>
      </c>
      <c r="DD122" s="3" t="e">
        <v>#VALUE!</v>
      </c>
      <c r="DE122" s="3" t="s">
        <v>1074</v>
      </c>
      <c r="DF122" s="3">
        <v>0.63741928458213803</v>
      </c>
      <c r="DG122" s="3" t="e">
        <v>#VALUE!</v>
      </c>
      <c r="DH122" s="3" t="s">
        <v>1074</v>
      </c>
      <c r="DI122" s="3">
        <v>0.57947207689285285</v>
      </c>
      <c r="DJ122" s="3" t="e">
        <v>#VALUE!</v>
      </c>
      <c r="DK122" s="3" t="s">
        <v>1074</v>
      </c>
      <c r="DL122" s="3">
        <v>0.50703806728124612</v>
      </c>
      <c r="DM122" s="3">
        <v>-81136500</v>
      </c>
      <c r="DN122" s="3">
        <v>0.72434009611606598</v>
      </c>
      <c r="DO122" s="3">
        <v>1599728000</v>
      </c>
      <c r="DP122" s="3">
        <v>1350535600</v>
      </c>
      <c r="DQ122" s="12">
        <v>4939</v>
      </c>
      <c r="DR122" s="3">
        <v>-1.3009529993418725</v>
      </c>
      <c r="DS122" s="3">
        <v>0.97400926548402278</v>
      </c>
      <c r="DT122" s="3">
        <v>-0.27399999999999991</v>
      </c>
      <c r="DU122" s="3">
        <v>-2.8740000000000001</v>
      </c>
      <c r="DV122" s="3">
        <v>-3.1480000000000001</v>
      </c>
      <c r="DW122" s="3">
        <v>-9.5009775171065485</v>
      </c>
      <c r="DX122" s="3">
        <v>0.24951893939393976</v>
      </c>
      <c r="DY122" s="3">
        <v>-9.0598763015047847</v>
      </c>
      <c r="DZ122" s="3">
        <v>1370</v>
      </c>
      <c r="EA122" s="3">
        <v>-9.0438233596140698</v>
      </c>
      <c r="EB122" s="13">
        <v>9</v>
      </c>
      <c r="EC122" s="13">
        <v>6.8897593737400231E-2</v>
      </c>
      <c r="ED122" s="3">
        <v>0.57645753958969548</v>
      </c>
      <c r="EE122" s="3">
        <v>-3.0089000000000001</v>
      </c>
      <c r="EF122" s="3">
        <v>-3.02311</v>
      </c>
      <c r="EG122" s="3">
        <v>13.11951893939394</v>
      </c>
      <c r="EH122" s="14" t="s">
        <v>1838</v>
      </c>
      <c r="EI122" s="15">
        <v>0</v>
      </c>
      <c r="EJ122" s="15">
        <v>1</v>
      </c>
      <c r="EK122" s="15">
        <v>45470</v>
      </c>
      <c r="EL122" s="15">
        <v>-0.26</v>
      </c>
      <c r="EM122" s="15">
        <v>-5.21</v>
      </c>
      <c r="EN122" s="3">
        <v>0.16</v>
      </c>
      <c r="EO122" s="3">
        <v>1.36</v>
      </c>
      <c r="EP122" s="3">
        <v>-3.2</v>
      </c>
    </row>
    <row r="123" spans="1:146" ht="96" x14ac:dyDescent="0.25">
      <c r="A123" s="3"/>
      <c r="B123" s="3"/>
      <c r="C123" s="7" t="str">
        <f>""&amp;CHAR(10)&amp;Basic_Fundamental_Information_Constructure(F123)&amp;CHAR(10)&amp;Basic_Fundamental_Information_Concatenate("")</f>
        <v xml:space="preserve">
市值42.4亿, 利润-5414.67万; PE; 平均PE-172.52; 平均PEG-.25, PB2.39; ROIC0%; ROE-4.65%; 股利率0%; 毛利44.4967%; 净利-18.3867%; 上一年度营收增-82%, 利润增-13155.01%; 当季营收增-32.84%, 利润增34.57%; 过往5年营收增678.62%, 利润增-3272.84%
Income profile:
</v>
      </c>
      <c r="D123" s="3" t="s">
        <v>1391</v>
      </c>
      <c r="E123" s="3" t="s">
        <v>1680</v>
      </c>
      <c r="F123" s="3">
        <v>53</v>
      </c>
      <c r="G123" s="3">
        <v>0.7</v>
      </c>
      <c r="H123" s="3" t="s">
        <v>4703</v>
      </c>
      <c r="I123" s="3">
        <v>4240000000</v>
      </c>
      <c r="K123" s="3">
        <v>2.39</v>
      </c>
      <c r="L123" s="3" t="s">
        <v>2983</v>
      </c>
      <c r="M123" s="3" t="s">
        <v>140</v>
      </c>
      <c r="N123" s="3" t="s">
        <v>887</v>
      </c>
      <c r="O123" s="3" t="s">
        <v>2761</v>
      </c>
      <c r="P123" s="5">
        <v>35.81</v>
      </c>
      <c r="Q123" s="3" t="s">
        <v>2761</v>
      </c>
      <c r="R123" s="3">
        <v>-54146685</v>
      </c>
      <c r="S123" s="3">
        <v>-1.0109999999999999</v>
      </c>
      <c r="T123" s="3" t="s">
        <v>4704</v>
      </c>
      <c r="U123" s="3">
        <v>45772427</v>
      </c>
      <c r="V123" s="3">
        <v>80000000</v>
      </c>
      <c r="W123" s="3">
        <v>1.05</v>
      </c>
      <c r="X123" s="3">
        <v>0.04</v>
      </c>
      <c r="Y123" s="3">
        <v>-74.650000000000006</v>
      </c>
      <c r="Z123" s="3" t="s">
        <v>146</v>
      </c>
      <c r="AA123" s="3" t="s">
        <v>4705</v>
      </c>
      <c r="AB123" s="3" t="s">
        <v>4706</v>
      </c>
      <c r="AC123" s="3" t="s">
        <v>4707</v>
      </c>
      <c r="AD123" s="3" t="s">
        <v>22</v>
      </c>
      <c r="AE123" s="3">
        <v>-1570131</v>
      </c>
      <c r="AF123" s="3" t="s">
        <v>2762</v>
      </c>
      <c r="AG123" s="3">
        <v>2789.83</v>
      </c>
      <c r="AH123" s="3" t="s">
        <v>2763</v>
      </c>
      <c r="AI123" s="3" t="s">
        <v>273</v>
      </c>
      <c r="AJ123" s="3" t="s">
        <v>2764</v>
      </c>
      <c r="AK123" s="3" t="s">
        <v>22</v>
      </c>
      <c r="AL123" s="3" t="s">
        <v>2765</v>
      </c>
      <c r="AM123" s="3" t="s">
        <v>22</v>
      </c>
      <c r="AN123" s="3" t="s">
        <v>4708</v>
      </c>
      <c r="AO123" s="3" t="s">
        <v>22</v>
      </c>
      <c r="AP123" s="3" t="s">
        <v>22</v>
      </c>
      <c r="AQ123" s="3" t="s">
        <v>4709</v>
      </c>
      <c r="AR123" s="3" t="s">
        <v>2766</v>
      </c>
      <c r="AS123" s="3" t="s">
        <v>4710</v>
      </c>
      <c r="AT123" s="3" t="s">
        <v>22</v>
      </c>
      <c r="AU123" s="3" t="s">
        <v>4711</v>
      </c>
      <c r="AV123" s="3" t="s">
        <v>4712</v>
      </c>
      <c r="AW123" s="3" t="s">
        <v>4713</v>
      </c>
      <c r="AX123" s="3" t="s">
        <v>1079</v>
      </c>
      <c r="AY123" s="3" t="s">
        <v>196</v>
      </c>
      <c r="AZ123" s="3" t="s">
        <v>1682</v>
      </c>
      <c r="BA123" s="3" t="s">
        <v>1683</v>
      </c>
      <c r="BB123" s="3" t="s">
        <v>22</v>
      </c>
      <c r="BC123" s="3" t="s">
        <v>1681</v>
      </c>
      <c r="BD123" s="3" t="s">
        <v>1684</v>
      </c>
      <c r="BE123" s="3" t="s">
        <v>1392</v>
      </c>
      <c r="BF123" s="3" t="s">
        <v>1685</v>
      </c>
      <c r="BG123" s="3" t="s">
        <v>22</v>
      </c>
      <c r="BH123" s="3" t="s">
        <v>377</v>
      </c>
      <c r="BI123" s="3" t="s">
        <v>396</v>
      </c>
      <c r="BJ123" s="3" t="s">
        <v>1079</v>
      </c>
      <c r="BK123" s="3" t="s">
        <v>1799</v>
      </c>
      <c r="BL123" s="3" t="s">
        <v>4714</v>
      </c>
      <c r="BM123" s="3" t="s">
        <v>1681</v>
      </c>
      <c r="BN123" s="3" t="s">
        <v>22</v>
      </c>
      <c r="BO123" s="3" t="s">
        <v>22</v>
      </c>
      <c r="BP123" s="3" t="s">
        <v>22</v>
      </c>
      <c r="BQ123" s="3">
        <v>-9.16</v>
      </c>
      <c r="BR123" s="3">
        <v>-0.14000000000000001</v>
      </c>
      <c r="BS123" s="3" t="s">
        <v>22</v>
      </c>
      <c r="BT123" s="3" t="s">
        <v>1368</v>
      </c>
      <c r="BU123" s="3" t="s">
        <v>3311</v>
      </c>
      <c r="BV123" s="3">
        <v>52.38</v>
      </c>
      <c r="BW123" s="3">
        <v>47.01</v>
      </c>
      <c r="BX123" s="3">
        <v>34.1</v>
      </c>
      <c r="BY123" s="3">
        <v>-54.88</v>
      </c>
      <c r="BZ123" s="3">
        <v>-0.1</v>
      </c>
      <c r="CA123" s="3">
        <v>-0.18</v>
      </c>
      <c r="CB123" s="3">
        <v>-8.6199999999999992</v>
      </c>
      <c r="CC123" s="10">
        <v>-18.75</v>
      </c>
      <c r="CD123" s="11" t="s">
        <v>4715</v>
      </c>
      <c r="CE123" s="10" t="s">
        <v>4716</v>
      </c>
      <c r="CF123" s="10">
        <v>-0.32841203703703703</v>
      </c>
      <c r="CG123" s="10">
        <v>0.34574557550727458</v>
      </c>
      <c r="CH123" s="10">
        <v>-0.82002103328704834</v>
      </c>
      <c r="CI123" s="10">
        <v>0.58661419153213501</v>
      </c>
      <c r="CJ123" s="11">
        <v>18.612688064575195</v>
      </c>
      <c r="CK123" s="11">
        <v>8.7653446197509766</v>
      </c>
      <c r="CL123" s="11" t="s">
        <v>22</v>
      </c>
      <c r="CM123" s="11">
        <v>-131.55006408691406</v>
      </c>
      <c r="CN123" s="11">
        <v>0.11675675958395004</v>
      </c>
      <c r="CO123" s="3">
        <v>0.98854547739028931</v>
      </c>
      <c r="CP123" s="3">
        <v>-0.46879762411117554</v>
      </c>
      <c r="CQ123" s="3" t="s">
        <v>22</v>
      </c>
      <c r="CR123" s="10">
        <v>-172.51944302260574</v>
      </c>
      <c r="CS123" s="11">
        <v>-0.25422261337939139</v>
      </c>
      <c r="CT123" s="3">
        <v>0</v>
      </c>
      <c r="CU123" s="3">
        <v>6.7861564606428146</v>
      </c>
      <c r="CV123" s="3">
        <v>-32.72838986851275</v>
      </c>
      <c r="CW123" s="3">
        <v>0.06</v>
      </c>
      <c r="CX123" s="3" t="e">
        <v>#VALUE!</v>
      </c>
      <c r="CY123" s="3" t="s">
        <v>1073</v>
      </c>
      <c r="CZ123" s="3">
        <v>6.7861564606428146</v>
      </c>
      <c r="DA123" s="3" t="e">
        <v>#VALUE!</v>
      </c>
      <c r="DB123" s="3" t="s">
        <v>1074</v>
      </c>
      <c r="DC123" s="3">
        <v>6.4468486376106737</v>
      </c>
      <c r="DD123" s="3" t="e">
        <v>#VALUE!</v>
      </c>
      <c r="DE123" s="3" t="s">
        <v>1074</v>
      </c>
      <c r="DF123" s="3">
        <v>5.9718176853656768</v>
      </c>
      <c r="DG123" s="3" t="e">
        <v>#VALUE!</v>
      </c>
      <c r="DH123" s="3" t="s">
        <v>1074</v>
      </c>
      <c r="DI123" s="3">
        <v>5.4289251685142519</v>
      </c>
      <c r="DJ123" s="3" t="e">
        <v>#VALUE!</v>
      </c>
      <c r="DK123" s="3" t="s">
        <v>1074</v>
      </c>
      <c r="DL123" s="3">
        <v>4.7503095224499701</v>
      </c>
      <c r="DM123" s="3">
        <v>-54146700</v>
      </c>
      <c r="DN123" s="3">
        <v>6.7861564606428146</v>
      </c>
      <c r="DO123" s="3">
        <v>2585000000</v>
      </c>
      <c r="DP123" s="3">
        <v>1698799900</v>
      </c>
      <c r="DQ123" s="12">
        <v>4941</v>
      </c>
      <c r="DR123" s="3">
        <v>-7.1145684976798513</v>
      </c>
      <c r="DS123" s="3">
        <v>33.074135444020023</v>
      </c>
      <c r="DT123" s="3">
        <v>0.22580000000000008</v>
      </c>
      <c r="DU123" s="3">
        <v>-3.2979999999999996</v>
      </c>
      <c r="DV123" s="3">
        <v>-3.0721999999999996</v>
      </c>
      <c r="DW123" s="3">
        <v>-9.4597333333333324</v>
      </c>
      <c r="DX123" s="3">
        <v>0.28803204156743717</v>
      </c>
      <c r="DY123" s="3">
        <v>-9.0496659305766034</v>
      </c>
      <c r="DZ123" s="3">
        <v>6</v>
      </c>
      <c r="EA123" s="3">
        <v>-9.0496076144154571</v>
      </c>
      <c r="EB123" s="13">
        <v>9</v>
      </c>
      <c r="EC123" s="13">
        <v>6.1127500000000001E-2</v>
      </c>
      <c r="ED123" s="3">
        <v>0.56582750000000004</v>
      </c>
      <c r="EE123" s="3">
        <v>-1.0484</v>
      </c>
      <c r="EF123" s="3">
        <v>-1.0079</v>
      </c>
      <c r="EG123" s="3">
        <v>18.108032041567437</v>
      </c>
      <c r="EH123" s="14" t="s">
        <v>1929</v>
      </c>
      <c r="EI123" s="15">
        <v>0</v>
      </c>
      <c r="EJ123" s="15">
        <v>1</v>
      </c>
      <c r="EK123" s="15">
        <v>45470</v>
      </c>
      <c r="EL123" s="15">
        <v>1.95</v>
      </c>
      <c r="EM123" s="15">
        <v>-3.22</v>
      </c>
      <c r="EN123" s="3">
        <v>-3.67</v>
      </c>
      <c r="EO123" s="3">
        <v>1.6</v>
      </c>
      <c r="EP123" s="3">
        <v>-4.05</v>
      </c>
    </row>
    <row r="124" spans="1:146" ht="96" x14ac:dyDescent="0.25">
      <c r="C124" s="7" t="str">
        <f>""&amp;CHAR(10)&amp;Basic_Fundamental_Information_Constructure(F124)&amp;CHAR(10)&amp;Basic_Fundamental_Information_Concatenate("")</f>
        <v xml:space="preserve">
市值148.92356亿, 利润-2.07亿; PE; 平均PE-351.19; 平均PEG-95.91, PB5.97; ROIC1.325%; ROE-.5033%; 股利率0%; 毛利42.1333%; 净利-3.1%; 上一年度营收增-88.13%, 利润增-380.43%; 当季营收增-73.14%, 利润增-1031.62%; 过往5年营收增3.66%, 利润增60.81%
Income profile:
</v>
      </c>
      <c r="D124" s="3" t="s">
        <v>124</v>
      </c>
      <c r="E124" s="3" t="s">
        <v>1686</v>
      </c>
      <c r="F124" s="3">
        <v>29.79</v>
      </c>
      <c r="G124" s="3">
        <v>-1.59</v>
      </c>
      <c r="H124" s="3" t="s">
        <v>4717</v>
      </c>
      <c r="I124" s="3">
        <v>14892356000</v>
      </c>
      <c r="K124" s="3">
        <v>5.97</v>
      </c>
      <c r="L124" s="3" t="s">
        <v>2983</v>
      </c>
      <c r="M124" s="3" t="s">
        <v>1617</v>
      </c>
      <c r="N124" s="3" t="s">
        <v>4718</v>
      </c>
      <c r="O124" s="3" t="s">
        <v>1084</v>
      </c>
      <c r="P124" s="3">
        <v>-41.02</v>
      </c>
      <c r="Q124" s="3" t="s">
        <v>1084</v>
      </c>
      <c r="R124" s="3">
        <v>-206983900</v>
      </c>
      <c r="S124" s="5">
        <v>-1.891</v>
      </c>
      <c r="T124" s="3" t="s">
        <v>4719</v>
      </c>
      <c r="U124" s="3">
        <v>492357000</v>
      </c>
      <c r="V124" s="3">
        <v>499911230</v>
      </c>
      <c r="W124" s="3">
        <v>1.74</v>
      </c>
      <c r="X124" s="3">
        <v>7.0000000000000007E-2</v>
      </c>
      <c r="Y124" s="3">
        <v>-65.06</v>
      </c>
      <c r="Z124" s="3" t="s">
        <v>106</v>
      </c>
      <c r="AA124" s="3" t="s">
        <v>356</v>
      </c>
      <c r="AB124" s="3" t="s">
        <v>4720</v>
      </c>
      <c r="AC124" s="3" t="s">
        <v>4721</v>
      </c>
      <c r="AD124" s="3" t="s">
        <v>22</v>
      </c>
      <c r="AE124" s="3">
        <v>60237</v>
      </c>
      <c r="AF124" s="3" t="s">
        <v>2768</v>
      </c>
      <c r="AG124" s="3" t="s">
        <v>4722</v>
      </c>
      <c r="AH124" s="3" t="s">
        <v>2769</v>
      </c>
      <c r="AI124" s="3" t="s">
        <v>1542</v>
      </c>
      <c r="AJ124" s="3" t="s">
        <v>2770</v>
      </c>
      <c r="AK124" s="3" t="s">
        <v>4723</v>
      </c>
      <c r="AL124" s="3" t="s">
        <v>2771</v>
      </c>
      <c r="AM124" s="3" t="s">
        <v>22</v>
      </c>
      <c r="AN124" s="3" t="s">
        <v>4724</v>
      </c>
      <c r="AO124" s="3" t="s">
        <v>22</v>
      </c>
      <c r="AP124" s="3" t="s">
        <v>22</v>
      </c>
      <c r="AQ124" s="3" t="s">
        <v>265</v>
      </c>
      <c r="AR124" s="3" t="s">
        <v>22</v>
      </c>
      <c r="AS124" s="3" t="s">
        <v>4725</v>
      </c>
      <c r="AT124" s="3" t="s">
        <v>637</v>
      </c>
      <c r="AU124" s="3" t="s">
        <v>4726</v>
      </c>
      <c r="AV124" s="3" t="s">
        <v>366</v>
      </c>
      <c r="AW124" s="3" t="s">
        <v>4727</v>
      </c>
      <c r="AX124" s="3" t="s">
        <v>1278</v>
      </c>
      <c r="AY124" s="3" t="s">
        <v>745</v>
      </c>
      <c r="AZ124" s="3" t="s">
        <v>680</v>
      </c>
      <c r="BA124" s="3" t="s">
        <v>301</v>
      </c>
      <c r="BB124" s="3" t="s">
        <v>403</v>
      </c>
      <c r="BC124" s="3" t="s">
        <v>1687</v>
      </c>
      <c r="BD124" s="3" t="s">
        <v>1051</v>
      </c>
      <c r="BE124" s="3" t="s">
        <v>681</v>
      </c>
      <c r="BF124" s="3" t="s">
        <v>427</v>
      </c>
      <c r="BG124" s="3" t="s">
        <v>682</v>
      </c>
      <c r="BH124" s="3" t="s">
        <v>2767</v>
      </c>
      <c r="BI124" s="3" t="s">
        <v>4728</v>
      </c>
      <c r="BJ124" s="3" t="s">
        <v>1278</v>
      </c>
      <c r="BK124" s="3" t="s">
        <v>1883</v>
      </c>
      <c r="BL124" s="3" t="s">
        <v>4729</v>
      </c>
      <c r="BM124" s="3" t="s">
        <v>1687</v>
      </c>
      <c r="BN124" s="3" t="s">
        <v>22</v>
      </c>
      <c r="BO124" s="3">
        <v>2.35</v>
      </c>
      <c r="BP124" s="3">
        <v>0.3</v>
      </c>
      <c r="BQ124" s="3">
        <v>-4.63</v>
      </c>
      <c r="BR124" s="3">
        <v>2.62</v>
      </c>
      <c r="BS124" s="3">
        <v>0.5</v>
      </c>
      <c r="BT124" s="3" t="s">
        <v>1368</v>
      </c>
      <c r="BU124" s="3" t="s">
        <v>2998</v>
      </c>
      <c r="BV124" s="3">
        <v>44.75</v>
      </c>
      <c r="BW124" s="3">
        <v>41.59</v>
      </c>
      <c r="BX124" s="3">
        <v>40.06</v>
      </c>
      <c r="BY124" s="3">
        <v>-12.68</v>
      </c>
      <c r="BZ124" s="3">
        <v>2.76</v>
      </c>
      <c r="CA124" s="3">
        <v>0.62</v>
      </c>
      <c r="CB124" s="3">
        <v>11.36</v>
      </c>
      <c r="CC124" s="3">
        <v>5.53</v>
      </c>
      <c r="CD124" s="3" t="s">
        <v>4730</v>
      </c>
      <c r="CE124" s="3" t="s">
        <v>646</v>
      </c>
      <c r="CF124" s="10">
        <v>-0.73141891891891897</v>
      </c>
      <c r="CG124" s="11">
        <v>-10.316213272360649</v>
      </c>
      <c r="CH124" s="10">
        <v>-0.88129895925521851</v>
      </c>
      <c r="CI124" s="10">
        <v>0.25245440006256104</v>
      </c>
      <c r="CJ124" s="10">
        <v>0.42031878232955933</v>
      </c>
      <c r="CK124" s="10">
        <v>0.12388059496879578</v>
      </c>
      <c r="CL124" s="10">
        <v>0.26773887872695923</v>
      </c>
      <c r="CM124" s="11">
        <v>-3.8043344020843506</v>
      </c>
      <c r="CN124" s="11">
        <v>4.5531210899353027</v>
      </c>
      <c r="CO124" s="11">
        <v>1.5199167728424072</v>
      </c>
      <c r="CP124" s="11">
        <v>0.37901017069816589</v>
      </c>
      <c r="CQ124" s="11">
        <v>0.39275979995727539</v>
      </c>
      <c r="CR124" s="3">
        <v>-351.19436322782013</v>
      </c>
      <c r="CS124" s="3">
        <v>-95.905639927299944</v>
      </c>
      <c r="CT124" s="3">
        <v>0</v>
      </c>
      <c r="CU124" s="10">
        <v>3.6618739366531372E-2</v>
      </c>
      <c r="CV124" s="11">
        <v>0.60809468626976015</v>
      </c>
      <c r="CW124" s="3">
        <v>0.06</v>
      </c>
      <c r="CX124" s="3" t="e">
        <v>#VALUE!</v>
      </c>
      <c r="CY124" s="3" t="s">
        <v>1073</v>
      </c>
      <c r="CZ124" s="3">
        <v>3.6618739366531372E-2</v>
      </c>
      <c r="DA124" s="3" t="e">
        <v>#VALUE!</v>
      </c>
      <c r="DB124" s="3" t="s">
        <v>1074</v>
      </c>
      <c r="DC124" s="3">
        <v>3.4787802398204802E-2</v>
      </c>
      <c r="DD124" s="3" t="e">
        <v>#VALUE!</v>
      </c>
      <c r="DE124" s="3" t="s">
        <v>1074</v>
      </c>
      <c r="DF124" s="3">
        <v>3.2224490642547607E-2</v>
      </c>
      <c r="DG124" s="3" t="e">
        <v>#VALUE!</v>
      </c>
      <c r="DH124" s="3" t="s">
        <v>1074</v>
      </c>
      <c r="DI124" s="3">
        <v>2.9294991493225099E-2</v>
      </c>
      <c r="DJ124" s="3" t="e">
        <v>#VALUE!</v>
      </c>
      <c r="DK124" s="3" t="s">
        <v>1074</v>
      </c>
      <c r="DL124" s="3">
        <v>2.5633117556571959E-2</v>
      </c>
      <c r="DM124" s="3">
        <v>-206999999.99999997</v>
      </c>
      <c r="DN124" s="3">
        <v>3.6618739366531372E-2</v>
      </c>
      <c r="DO124" s="3">
        <v>14104356000</v>
      </c>
      <c r="DP124" s="3">
        <v>1463660400</v>
      </c>
      <c r="DQ124" s="3">
        <v>4947</v>
      </c>
      <c r="DR124" s="3">
        <v>-0.76803765828545034</v>
      </c>
      <c r="DS124" s="3">
        <v>-10.924307958630409</v>
      </c>
      <c r="DT124" s="12">
        <v>-0.39000000000000007</v>
      </c>
      <c r="DU124" s="3">
        <v>-1.7233333333333336</v>
      </c>
      <c r="DV124" s="3">
        <v>-2.1133333333333337</v>
      </c>
      <c r="DW124" s="3">
        <v>5.486795774647887</v>
      </c>
      <c r="DX124" s="3">
        <v>0.36110833333333237</v>
      </c>
      <c r="DY124" s="3">
        <v>5.0930307291666663</v>
      </c>
      <c r="DZ124" s="3">
        <v>611</v>
      </c>
      <c r="EA124" s="3">
        <v>5.0819070940353877</v>
      </c>
      <c r="EB124" s="3">
        <v>5</v>
      </c>
      <c r="EC124" s="3">
        <v>0.11468536123903438</v>
      </c>
      <c r="ED124" s="3">
        <v>0.60010654291562926</v>
      </c>
      <c r="EE124" s="13">
        <v>-1.0098</v>
      </c>
      <c r="EF124" s="3">
        <v>-1.01681</v>
      </c>
      <c r="EG124" s="3">
        <v>17.191108333333332</v>
      </c>
      <c r="EH124" s="3" t="s">
        <v>1386</v>
      </c>
      <c r="EI124" s="3">
        <v>1</v>
      </c>
      <c r="EJ124" s="3">
        <v>1</v>
      </c>
      <c r="EK124" s="14">
        <v>45470</v>
      </c>
      <c r="EL124" s="15">
        <v>0.94</v>
      </c>
      <c r="EM124" s="15">
        <v>-5.08</v>
      </c>
      <c r="EN124" s="3">
        <v>-1.44</v>
      </c>
      <c r="EO124" s="3">
        <v>4.0999999999999996</v>
      </c>
      <c r="EP124" s="3">
        <v>-2.66</v>
      </c>
    </row>
    <row r="125" spans="1:146" ht="144" x14ac:dyDescent="0.25">
      <c r="A125" s="7" t="s">
        <v>1902</v>
      </c>
      <c r="B125" s="7" t="s">
        <v>1901</v>
      </c>
      <c r="C125" s="7" t="str">
        <f>"公司主要从事半导体存储器的存储介质应用研发、封装测试、生产和销售。主要产品及服务包括嵌入式存储、消费级存储、工业级存储及先进封测服务。"&amp;CHAR(10)&amp;Basic_Fundamental_Information_Constructure(F125)&amp;CHAR(10)&amp;Basic_Fundamental_Information_Concatenate("存储产品 28.92亿 96.85% 96.80% 13.73%
其他业务 7062.92万 2.37% 1.65% 9.58%
先进封测服务 2338.03万 0.78% 1.55% 27.23%")</f>
        <v>公司主要从事半导体存储器的存储介质应用研发、封装测试、生产和销售。主要产品及服务包括嵌入式存储、消费级存储、工业级存储及先进封测服务。
市值271.4375亿, 利润1.68亿; PE; 平均PE611.66; 平均PEG48.45, PB12.58; ROIC5.145%; ROE-3.1833%; 股利率0%; 毛利11.0133%; 净利-3.57%; 上一年度营收增-42.16%, 利润增135.89%; 当季营收增50.44%, 利润增203.04%; 过往5年营收增12.62%, 利润增116.9%
Income profile:
存储产品 28.92亿 96.85% 96.80% 13.73%
其他业务 7062.92万 2.37% 1.65% 9.58%
先进封测服务 2338.03万 0.78% 1.55% 27.23%</v>
      </c>
      <c r="D125" s="5" t="s">
        <v>1387</v>
      </c>
      <c r="E125" s="3" t="s">
        <v>1388</v>
      </c>
      <c r="F125" s="3">
        <v>63.18</v>
      </c>
      <c r="G125" s="3">
        <v>1.0900000000000001</v>
      </c>
      <c r="H125" s="3" t="s">
        <v>4731</v>
      </c>
      <c r="I125" s="3">
        <v>27143750000</v>
      </c>
      <c r="K125" s="3">
        <v>12.58</v>
      </c>
      <c r="L125" s="3" t="s">
        <v>2983</v>
      </c>
      <c r="M125" s="3" t="s">
        <v>2772</v>
      </c>
      <c r="N125" s="3" t="s">
        <v>2623</v>
      </c>
      <c r="O125" s="3" t="s">
        <v>1279</v>
      </c>
      <c r="P125" s="5">
        <v>305.8</v>
      </c>
      <c r="Q125" s="3" t="s">
        <v>1279</v>
      </c>
      <c r="R125" s="3">
        <v>305000000</v>
      </c>
      <c r="S125" s="3">
        <v>2.33</v>
      </c>
      <c r="T125" s="3" t="s">
        <v>355</v>
      </c>
      <c r="U125" s="3">
        <v>248039260</v>
      </c>
      <c r="V125" s="3">
        <v>429625670</v>
      </c>
      <c r="W125" s="3">
        <v>3.02</v>
      </c>
      <c r="X125" s="3">
        <v>0.27</v>
      </c>
      <c r="Y125" s="3">
        <v>9.1</v>
      </c>
      <c r="Z125" s="3" t="s">
        <v>1967</v>
      </c>
      <c r="AA125" s="3" t="s">
        <v>250</v>
      </c>
      <c r="AB125" s="3" t="s">
        <v>4732</v>
      </c>
      <c r="AC125" s="3" t="s">
        <v>4733</v>
      </c>
      <c r="AD125" s="3" t="s">
        <v>22</v>
      </c>
      <c r="AE125" s="3">
        <v>25171771</v>
      </c>
      <c r="AF125" s="3" t="s">
        <v>2774</v>
      </c>
      <c r="AG125" s="3" t="s">
        <v>4734</v>
      </c>
      <c r="AH125" s="3" t="s">
        <v>2775</v>
      </c>
      <c r="AI125" s="3" t="s">
        <v>252</v>
      </c>
      <c r="AJ125" s="3" t="s">
        <v>2776</v>
      </c>
      <c r="AK125" s="3" t="s">
        <v>22</v>
      </c>
      <c r="AL125" s="3" t="s">
        <v>2777</v>
      </c>
      <c r="AM125" s="3" t="s">
        <v>22</v>
      </c>
      <c r="AN125" s="3" t="s">
        <v>533</v>
      </c>
      <c r="AO125" s="3" t="s">
        <v>4735</v>
      </c>
      <c r="AP125" s="3" t="s">
        <v>4736</v>
      </c>
      <c r="AQ125" s="3" t="s">
        <v>1977</v>
      </c>
      <c r="AR125" s="3" t="s">
        <v>22</v>
      </c>
      <c r="AS125" s="3" t="s">
        <v>4737</v>
      </c>
      <c r="AT125" s="3" t="s">
        <v>2380</v>
      </c>
      <c r="AU125" s="3" t="s">
        <v>1770</v>
      </c>
      <c r="AV125" s="3" t="s">
        <v>4738</v>
      </c>
      <c r="AW125" s="3" t="s">
        <v>4739</v>
      </c>
      <c r="AX125" s="3" t="s">
        <v>1688</v>
      </c>
      <c r="AY125" s="3" t="s">
        <v>1305</v>
      </c>
      <c r="AZ125" s="3" t="s">
        <v>1389</v>
      </c>
      <c r="BA125" s="3" t="s">
        <v>182</v>
      </c>
      <c r="BB125" s="3" t="s">
        <v>1690</v>
      </c>
      <c r="BC125" s="3" t="s">
        <v>1689</v>
      </c>
      <c r="BD125" s="3" t="s">
        <v>450</v>
      </c>
      <c r="BE125" s="3" t="s">
        <v>1390</v>
      </c>
      <c r="BF125" s="3" t="s">
        <v>1691</v>
      </c>
      <c r="BG125" s="3" t="s">
        <v>1633</v>
      </c>
      <c r="BH125" s="3" t="s">
        <v>2773</v>
      </c>
      <c r="BI125" s="3" t="s">
        <v>3309</v>
      </c>
      <c r="BJ125" s="3" t="s">
        <v>1688</v>
      </c>
      <c r="BK125" s="3" t="s">
        <v>2227</v>
      </c>
      <c r="BL125" s="3" t="s">
        <v>1883</v>
      </c>
      <c r="BM125" s="3" t="s">
        <v>1689</v>
      </c>
      <c r="BN125" s="3" t="s">
        <v>22</v>
      </c>
      <c r="BO125" s="3">
        <v>3.22</v>
      </c>
      <c r="BP125" s="3">
        <v>7.07</v>
      </c>
      <c r="BQ125" s="3">
        <v>-21.96</v>
      </c>
      <c r="BR125" s="3">
        <v>3.83</v>
      </c>
      <c r="BS125" s="3">
        <v>8.58</v>
      </c>
      <c r="BT125" s="3" t="s">
        <v>1368</v>
      </c>
      <c r="BU125" s="3" t="s">
        <v>2998</v>
      </c>
      <c r="BV125" s="3">
        <v>1.76</v>
      </c>
      <c r="BW125" s="3">
        <v>13.73</v>
      </c>
      <c r="BX125" s="3">
        <v>17.55</v>
      </c>
      <c r="BY125" s="3">
        <v>-17.57</v>
      </c>
      <c r="BZ125" s="3">
        <v>2.39</v>
      </c>
      <c r="CA125" s="3">
        <v>4.47</v>
      </c>
      <c r="CB125" s="3">
        <v>-1.51</v>
      </c>
      <c r="CC125" s="10">
        <v>35.29</v>
      </c>
      <c r="CD125" s="11" t="s">
        <v>349</v>
      </c>
      <c r="CE125" s="10" t="s">
        <v>592</v>
      </c>
      <c r="CF125" s="10">
        <v>0.50435540069686413</v>
      </c>
      <c r="CG125" s="10">
        <v>2.0304054054054053</v>
      </c>
      <c r="CH125" s="10">
        <v>-0.4216342568397522</v>
      </c>
      <c r="CI125" s="10">
        <v>0.14449979364871979</v>
      </c>
      <c r="CJ125" s="11">
        <v>0.58891594409942627</v>
      </c>
      <c r="CK125" s="11">
        <v>0.39863714575767517</v>
      </c>
      <c r="CL125" s="11">
        <v>-7.9215735197067261E-2</v>
      </c>
      <c r="CM125" s="11">
        <v>1.3589308261871338</v>
      </c>
      <c r="CN125" s="11">
        <v>-0.39129313826560974</v>
      </c>
      <c r="CO125" s="3">
        <v>3.272552490234375</v>
      </c>
      <c r="CP125" s="3">
        <v>0.46742725372314453</v>
      </c>
      <c r="CQ125" s="3">
        <v>1.1372153759002686</v>
      </c>
      <c r="CR125" s="10">
        <v>611.65774882907613</v>
      </c>
      <c r="CS125" s="11">
        <v>48.45175434839674</v>
      </c>
      <c r="CT125" s="3">
        <v>0</v>
      </c>
      <c r="CU125" s="3">
        <v>0.12624057829380037</v>
      </c>
      <c r="CV125" s="3">
        <v>1.1689665615558624</v>
      </c>
      <c r="CW125" s="3">
        <v>0.06</v>
      </c>
      <c r="CX125" s="3">
        <v>164.77308710177866</v>
      </c>
      <c r="CY125" s="3">
        <v>178498506.74845135</v>
      </c>
      <c r="CZ125" s="3">
        <v>0.12624057829380037</v>
      </c>
      <c r="DA125" s="3">
        <v>52.225630150350185</v>
      </c>
      <c r="DB125" s="3">
        <v>563166972.14237034</v>
      </c>
      <c r="DC125" s="3">
        <v>0.11992854937911034</v>
      </c>
      <c r="DD125" s="3">
        <v>24.666280540507216</v>
      </c>
      <c r="DE125" s="3">
        <v>1192386908.585578</v>
      </c>
      <c r="DF125" s="3">
        <v>0.11109170889854432</v>
      </c>
      <c r="DG125" s="3">
        <v>14.125503100046942</v>
      </c>
      <c r="DH125" s="3">
        <v>2082173625.3700061</v>
      </c>
      <c r="DI125" s="3">
        <v>0.1009924626350403</v>
      </c>
      <c r="DJ125" s="3">
        <v>6.5572444355594399</v>
      </c>
      <c r="DK125" s="3">
        <v>4485382585.4809237</v>
      </c>
      <c r="DL125" s="3">
        <v>8.8368404805660244E-2</v>
      </c>
      <c r="DM125" s="3">
        <v>168000000</v>
      </c>
      <c r="DN125" s="3">
        <v>0.12624057829380037</v>
      </c>
      <c r="DO125" s="3">
        <v>29411750000</v>
      </c>
      <c r="DP125" s="3">
        <v>1284907300</v>
      </c>
      <c r="DQ125" s="12">
        <v>4950</v>
      </c>
      <c r="DR125" s="3">
        <v>0.37811482240306377</v>
      </c>
      <c r="DS125" s="3">
        <v>0.86143884384954283</v>
      </c>
      <c r="DT125" s="3">
        <v>-0.35666666666666669</v>
      </c>
      <c r="DU125" s="3">
        <v>1.5183333333333333</v>
      </c>
      <c r="DV125" s="3">
        <v>1.1616666666666666</v>
      </c>
      <c r="DW125" s="3">
        <v>3.2181607142857143</v>
      </c>
      <c r="DX125" s="3">
        <v>0.33022140221402069</v>
      </c>
      <c r="DY125" s="3">
        <v>3.0305908012651557</v>
      </c>
      <c r="DZ125" s="3">
        <v>2377</v>
      </c>
      <c r="EA125" s="3">
        <v>3.0163609901874109</v>
      </c>
      <c r="EB125" s="13">
        <v>3</v>
      </c>
      <c r="EC125" s="13">
        <v>0.26534727312732498</v>
      </c>
      <c r="ED125" s="3">
        <v>1.8923450267764497</v>
      </c>
      <c r="EE125" s="3">
        <v>9.0999999999999998E-2</v>
      </c>
      <c r="EF125" s="3">
        <v>5.9499999999999997E-2</v>
      </c>
      <c r="EG125" s="3">
        <v>19.140221402214021</v>
      </c>
      <c r="EH125" s="14" t="s">
        <v>1071</v>
      </c>
      <c r="EI125" s="15">
        <v>0</v>
      </c>
      <c r="EJ125" s="15">
        <v>0</v>
      </c>
      <c r="EK125" s="15">
        <v>45470</v>
      </c>
      <c r="EL125" s="15">
        <v>1.77</v>
      </c>
      <c r="EM125" s="15">
        <v>-3.81</v>
      </c>
      <c r="EN125" s="3">
        <v>-0.67</v>
      </c>
      <c r="EO125" s="3">
        <v>2.97</v>
      </c>
      <c r="EP125" s="3">
        <v>-3.15</v>
      </c>
    </row>
    <row r="126" spans="1:146" x14ac:dyDescent="0.25">
      <c r="A126" s="3"/>
      <c r="B126" s="3"/>
      <c r="C126" s="3"/>
      <c r="D126" s="3" t="s">
        <v>2960</v>
      </c>
      <c r="E126" s="3" t="s">
        <v>2961</v>
      </c>
      <c r="F126" s="3">
        <v>18.95</v>
      </c>
      <c r="G126" s="3">
        <v>0.16</v>
      </c>
      <c r="H126" s="3" t="s">
        <v>4740</v>
      </c>
      <c r="I126" s="3">
        <v>3032849400</v>
      </c>
      <c r="J126" s="3">
        <v>61.16</v>
      </c>
      <c r="K126" s="3">
        <v>3.59</v>
      </c>
      <c r="L126" s="3" t="s">
        <v>2983</v>
      </c>
      <c r="M126" s="3" t="s">
        <v>229</v>
      </c>
      <c r="N126" s="3" t="s">
        <v>2962</v>
      </c>
      <c r="O126" s="3" t="s">
        <v>181</v>
      </c>
      <c r="P126" s="5">
        <v>5.38</v>
      </c>
      <c r="Q126" s="3" t="s">
        <v>181</v>
      </c>
      <c r="R126" s="3">
        <v>10601286</v>
      </c>
      <c r="S126" s="3">
        <v>2.4E-2</v>
      </c>
      <c r="T126" s="3" t="s">
        <v>2963</v>
      </c>
      <c r="U126" s="3">
        <v>30085953</v>
      </c>
      <c r="V126" s="3">
        <v>160044820</v>
      </c>
      <c r="W126" s="3">
        <v>1.68</v>
      </c>
      <c r="X126" s="3">
        <v>0.13</v>
      </c>
      <c r="Y126" s="3">
        <v>9.52</v>
      </c>
      <c r="Z126" s="3" t="s">
        <v>2964</v>
      </c>
      <c r="AA126" s="3" t="s">
        <v>2965</v>
      </c>
      <c r="AB126" s="3" t="s">
        <v>2966</v>
      </c>
      <c r="AC126" s="3" t="s">
        <v>2967</v>
      </c>
      <c r="AD126" s="3" t="s">
        <v>22</v>
      </c>
      <c r="AE126" s="3">
        <v>-1004878</v>
      </c>
      <c r="AF126" s="3" t="s">
        <v>108</v>
      </c>
      <c r="AG126" s="3">
        <v>4540.79</v>
      </c>
      <c r="AH126" s="3" t="s">
        <v>2968</v>
      </c>
      <c r="AI126" s="3" t="s">
        <v>4741</v>
      </c>
      <c r="AJ126" s="3" t="s">
        <v>2969</v>
      </c>
      <c r="AK126" s="3" t="s">
        <v>4742</v>
      </c>
      <c r="AL126" s="3" t="s">
        <v>2970</v>
      </c>
      <c r="AM126" s="3" t="s">
        <v>22</v>
      </c>
      <c r="AN126" s="3" t="s">
        <v>107</v>
      </c>
      <c r="AO126" s="3" t="s">
        <v>153</v>
      </c>
      <c r="AP126" s="3" t="s">
        <v>22</v>
      </c>
      <c r="AQ126" s="3" t="s">
        <v>4743</v>
      </c>
      <c r="AR126" s="3" t="s">
        <v>22</v>
      </c>
      <c r="AS126" s="3" t="s">
        <v>399</v>
      </c>
      <c r="AT126" s="3" t="s">
        <v>4744</v>
      </c>
      <c r="AU126" s="3" t="s">
        <v>4745</v>
      </c>
      <c r="AV126" s="3" t="s">
        <v>4746</v>
      </c>
      <c r="AW126" s="3" t="s">
        <v>4747</v>
      </c>
      <c r="AX126" s="3" t="s">
        <v>367</v>
      </c>
      <c r="AY126" s="3" t="s">
        <v>401</v>
      </c>
      <c r="AZ126" s="3" t="s">
        <v>199</v>
      </c>
      <c r="BA126" s="3" t="s">
        <v>1085</v>
      </c>
      <c r="BB126" s="3" t="s">
        <v>22</v>
      </c>
      <c r="BC126" s="3" t="s">
        <v>2972</v>
      </c>
      <c r="BD126" s="3" t="s">
        <v>4748</v>
      </c>
      <c r="BE126" s="3" t="s">
        <v>4749</v>
      </c>
      <c r="BF126" s="3" t="s">
        <v>4750</v>
      </c>
      <c r="BG126" s="3" t="s">
        <v>22</v>
      </c>
      <c r="BH126" s="3" t="s">
        <v>794</v>
      </c>
      <c r="BI126" s="3" t="s">
        <v>206</v>
      </c>
      <c r="BJ126" s="3" t="s">
        <v>367</v>
      </c>
      <c r="BK126" s="3" t="s">
        <v>4751</v>
      </c>
      <c r="BL126" s="3" t="s">
        <v>2971</v>
      </c>
      <c r="BM126" s="3" t="s">
        <v>2972</v>
      </c>
      <c r="BN126" s="3" t="s">
        <v>22</v>
      </c>
      <c r="BO126" s="3">
        <v>6.85</v>
      </c>
      <c r="BP126" s="3">
        <v>12.08</v>
      </c>
      <c r="BQ126" s="3" t="s">
        <v>22</v>
      </c>
      <c r="BR126" s="3" t="s">
        <v>22</v>
      </c>
      <c r="BS126" s="3" t="s">
        <v>22</v>
      </c>
      <c r="BT126" s="3" t="s">
        <v>22</v>
      </c>
      <c r="BU126" s="3" t="s">
        <v>1211</v>
      </c>
      <c r="BV126" s="3">
        <v>21.99</v>
      </c>
      <c r="BW126" s="3">
        <v>21.33</v>
      </c>
      <c r="BX126" s="3">
        <v>27.66</v>
      </c>
      <c r="BY126" s="3">
        <v>10.36</v>
      </c>
      <c r="BZ126" s="3">
        <v>9.01</v>
      </c>
      <c r="CA126" s="3">
        <v>13.2</v>
      </c>
      <c r="CB126" s="3">
        <v>-7.79</v>
      </c>
      <c r="CC126" s="10">
        <v>-13.43</v>
      </c>
      <c r="CD126" s="11" t="s">
        <v>4752</v>
      </c>
      <c r="CE126" s="10" t="s">
        <v>183</v>
      </c>
      <c r="CF126" s="10">
        <v>-0.52765957446808509</v>
      </c>
      <c r="CG126" s="10">
        <v>-0.65207120516447481</v>
      </c>
      <c r="CH126" s="10">
        <v>-0.71683675050735474</v>
      </c>
      <c r="CI126" s="10">
        <v>2.6178009808063507E-2</v>
      </c>
      <c r="CJ126" s="11">
        <v>0.5528455376625061</v>
      </c>
      <c r="CK126" s="11">
        <v>0.52795028686523438</v>
      </c>
      <c r="CL126" s="11" t="s">
        <v>22</v>
      </c>
      <c r="CM126" s="11">
        <v>-0.69987630844116211</v>
      </c>
      <c r="CN126" s="11">
        <v>-0.30027911067008972</v>
      </c>
      <c r="CO126" s="3">
        <v>1.2907493114471436</v>
      </c>
      <c r="CP126" s="3">
        <v>3.7068405151367187</v>
      </c>
      <c r="CQ126" s="3" t="s">
        <v>22</v>
      </c>
      <c r="CR126" s="10">
        <v>137.47934760929087</v>
      </c>
      <c r="CS126" s="11">
        <v>14.095491385765643</v>
      </c>
      <c r="CT126" s="3">
        <v>0</v>
      </c>
      <c r="CU126" s="3">
        <v>9.7534270957112312E-2</v>
      </c>
      <c r="CV126" s="3">
        <v>0.99935860186815262</v>
      </c>
      <c r="CW126" s="3">
        <v>0.06</v>
      </c>
      <c r="CX126" s="3">
        <v>255.07231422571158</v>
      </c>
      <c r="CY126" s="3">
        <v>10976688.742167581</v>
      </c>
      <c r="CZ126" s="3">
        <v>9.7534270957112312E-2</v>
      </c>
      <c r="DA126" s="3">
        <v>82.825600373410055</v>
      </c>
      <c r="DB126" s="3">
        <v>33804154.601683401</v>
      </c>
      <c r="DC126" s="3">
        <v>9.2657557409256686E-2</v>
      </c>
      <c r="DD126" s="3">
        <v>40.426032695370303</v>
      </c>
      <c r="DE126" s="3">
        <v>69258574.569961354</v>
      </c>
      <c r="DF126" s="3">
        <v>8.583015844225883E-2</v>
      </c>
      <c r="DG126" s="3">
        <v>24.042770561826632</v>
      </c>
      <c r="DH126" s="3">
        <v>116452860.23921876</v>
      </c>
      <c r="DI126" s="3">
        <v>7.8027416765689861E-2</v>
      </c>
      <c r="DJ126" s="3">
        <v>12.157740062711179</v>
      </c>
      <c r="DK126" s="3">
        <v>230293573.111287</v>
      </c>
      <c r="DL126" s="3">
        <v>6.8273989669978608E-2</v>
      </c>
      <c r="DM126" s="3">
        <v>10601300.000000002</v>
      </c>
      <c r="DN126" s="3">
        <v>9.7534270957112312E-2</v>
      </c>
      <c r="DO126" s="3">
        <v>2799849400</v>
      </c>
      <c r="DP126" s="3">
        <v>243956440.00000003</v>
      </c>
      <c r="DQ126" s="12">
        <v>4954</v>
      </c>
      <c r="DR126" s="3">
        <v>-0.6251938454251974</v>
      </c>
      <c r="DS126" s="3">
        <v>-1.6514298070326274</v>
      </c>
      <c r="DT126" s="3">
        <v>-0.628</v>
      </c>
      <c r="DU126" s="3">
        <v>-0.27399999999999991</v>
      </c>
      <c r="DV126" s="3">
        <v>-0.90199999999999991</v>
      </c>
      <c r="DW126" s="3">
        <v>-9.5800446760982876</v>
      </c>
      <c r="DX126" s="3">
        <v>0.24907055837563349</v>
      </c>
      <c r="DY126" s="3">
        <v>-9.0458644564219064</v>
      </c>
      <c r="DZ126" s="3">
        <v>23</v>
      </c>
      <c r="EA126" s="3">
        <v>-9.0456580214908495</v>
      </c>
      <c r="EB126" s="13">
        <v>9</v>
      </c>
      <c r="EC126" s="13">
        <v>9.7328360892904878E-2</v>
      </c>
      <c r="ED126" s="3">
        <v>1.2309051926828998</v>
      </c>
      <c r="EE126" s="3">
        <v>-3.0420099999999999</v>
      </c>
      <c r="EF126" s="3">
        <v>-3.0797099999999999</v>
      </c>
      <c r="EG126" s="3">
        <v>17.079070558375633</v>
      </c>
      <c r="EH126" s="14" t="s">
        <v>1838</v>
      </c>
      <c r="EI126" s="3">
        <v>0</v>
      </c>
      <c r="EJ126" s="3">
        <v>1</v>
      </c>
      <c r="EK126" s="3">
        <v>45470</v>
      </c>
      <c r="EL126" s="3">
        <v>0.53</v>
      </c>
      <c r="EM126" s="3">
        <v>-4.32</v>
      </c>
      <c r="EN126" s="3">
        <v>-3.1</v>
      </c>
      <c r="EO126" s="3">
        <v>4.75</v>
      </c>
      <c r="EP126" s="3">
        <v>-3.77</v>
      </c>
    </row>
    <row r="127" spans="1:146" ht="192" x14ac:dyDescent="0.25">
      <c r="A127" s="7" t="s">
        <v>1896</v>
      </c>
      <c r="B127" s="7" t="s">
        <v>1895</v>
      </c>
      <c r="C127" s="7" t="str">
        <f>"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amp;CHAR(10)&amp;Basic_Fundamental_Information_Constructure(F127)&amp;CHAR(10)&amp;Basic_Fundamental_Information_Concatenate("环氧塑封材料 2.87亿 94.76% 92.01% 26.22%
胶黏剂 1473.98万 4.86% 7.27% 40.41%
其他业务 115.89万 0.38% 0.72% 50.68%")</f>
        <v>公司致力于半导体封装材料环氧塑封料的研发、生产与销售，产品规格齐全、技术先进，是国内半导体封装领域知名度较高、技术水平领先的专业封装材料供应商。公司的主要产品包括半导体器件封装材料、大规模/超大规模/极大规模集成电路封装材料、特种电机封装材料、LED支架封装材料、光耦封装用白色塑封料、中大功率器件专用环氧塑封料等，同时包括产品测试、应用、考核和技术服务等配套服务。
市值54.123111亿, 利润1277.17万; PE134.5; 平均PE240.32; 平均PEG50.74, PB5.2; ROIC10.8567%; ROE7.18%; 股利率.4473%; 毛利27.6767%; 净利12.8433%; 上一年度营收增-76.1%, 利润增-69.02%; 当季营收增-42.54%, 利润增5.62%; 过往5年营收增4.74%, 利润增126.23%
Income profile:
环氧塑封材料 2.87亿 94.76% 92.01% 26.22%
胶黏剂 1473.98万 4.86% 7.27% 40.41%
其他业务 115.89万 0.38% 0.72% 50.68%</v>
      </c>
      <c r="D127" s="3" t="s">
        <v>1408</v>
      </c>
      <c r="E127" s="3" t="s">
        <v>2981</v>
      </c>
      <c r="F127" s="3">
        <v>67.069999999999993</v>
      </c>
      <c r="G127" s="3">
        <v>0.56999999999999995</v>
      </c>
      <c r="H127" s="3" t="s">
        <v>4753</v>
      </c>
      <c r="I127" s="3">
        <v>5412311100</v>
      </c>
      <c r="J127" s="3">
        <v>134.5</v>
      </c>
      <c r="K127" s="3">
        <v>5.2</v>
      </c>
      <c r="L127" s="3" t="s">
        <v>2983</v>
      </c>
      <c r="M127" s="3" t="s">
        <v>568</v>
      </c>
      <c r="N127" s="3" t="s">
        <v>1573</v>
      </c>
      <c r="O127" s="3" t="s">
        <v>2779</v>
      </c>
      <c r="P127" s="3">
        <v>33.19</v>
      </c>
      <c r="Q127" s="3" t="s">
        <v>2779</v>
      </c>
      <c r="R127" s="3">
        <v>12771703</v>
      </c>
      <c r="S127" s="3">
        <v>2.073</v>
      </c>
      <c r="T127" s="3" t="s">
        <v>4754</v>
      </c>
      <c r="U127" s="3">
        <v>42764747</v>
      </c>
      <c r="V127" s="3">
        <v>80696453</v>
      </c>
      <c r="W127" s="3">
        <v>1.1599999999999999</v>
      </c>
      <c r="X127" s="3">
        <v>0.06</v>
      </c>
      <c r="Y127" s="3">
        <v>17.64</v>
      </c>
      <c r="Z127" s="3" t="s">
        <v>4755</v>
      </c>
      <c r="AA127" s="3" t="s">
        <v>4756</v>
      </c>
      <c r="AB127" s="3" t="s">
        <v>4757</v>
      </c>
      <c r="AC127" s="3" t="s">
        <v>4758</v>
      </c>
      <c r="AD127" s="3" t="s">
        <v>22</v>
      </c>
      <c r="AE127" s="3">
        <v>-83892</v>
      </c>
      <c r="AF127" s="3" t="s">
        <v>2781</v>
      </c>
      <c r="AG127" s="3" t="s">
        <v>22</v>
      </c>
      <c r="AH127" s="3" t="s">
        <v>2782</v>
      </c>
      <c r="AI127" s="3" t="s">
        <v>4759</v>
      </c>
      <c r="AJ127" s="3" t="s">
        <v>2783</v>
      </c>
      <c r="AK127" s="3" t="s">
        <v>4760</v>
      </c>
      <c r="AL127" s="3" t="s">
        <v>2784</v>
      </c>
      <c r="AM127" s="3" t="s">
        <v>22</v>
      </c>
      <c r="AN127" s="3" t="s">
        <v>4761</v>
      </c>
      <c r="AO127" s="3" t="s">
        <v>4762</v>
      </c>
      <c r="AP127" s="3" t="s">
        <v>22</v>
      </c>
      <c r="AQ127" s="3" t="s">
        <v>4763</v>
      </c>
      <c r="AR127" s="3" t="s">
        <v>22</v>
      </c>
      <c r="AS127" s="3" t="s">
        <v>156</v>
      </c>
      <c r="AT127" s="3" t="s">
        <v>22</v>
      </c>
      <c r="AU127" s="3" t="s">
        <v>4764</v>
      </c>
      <c r="AV127" s="3" t="s">
        <v>4765</v>
      </c>
      <c r="AW127" s="3" t="s">
        <v>4766</v>
      </c>
      <c r="AX127" s="3" t="s">
        <v>187</v>
      </c>
      <c r="AY127" s="3" t="s">
        <v>226</v>
      </c>
      <c r="AZ127" s="3" t="s">
        <v>581</v>
      </c>
      <c r="BA127" s="3" t="s">
        <v>818</v>
      </c>
      <c r="BB127" s="3" t="s">
        <v>146</v>
      </c>
      <c r="BC127" s="3" t="s">
        <v>1692</v>
      </c>
      <c r="BD127" s="3" t="s">
        <v>1409</v>
      </c>
      <c r="BE127" s="3" t="s">
        <v>1410</v>
      </c>
      <c r="BF127" s="3" t="s">
        <v>1693</v>
      </c>
      <c r="BG127" s="3" t="s">
        <v>1694</v>
      </c>
      <c r="BH127" s="3" t="s">
        <v>397</v>
      </c>
      <c r="BI127" s="3" t="s">
        <v>176</v>
      </c>
      <c r="BJ127" s="3" t="s">
        <v>187</v>
      </c>
      <c r="BK127" s="3" t="s">
        <v>2780</v>
      </c>
      <c r="BL127" s="3" t="s">
        <v>4767</v>
      </c>
      <c r="BM127" s="3" t="s">
        <v>1692</v>
      </c>
      <c r="BN127" s="3">
        <v>2.11</v>
      </c>
      <c r="BO127" s="3">
        <v>11.33</v>
      </c>
      <c r="BP127" s="3">
        <v>19.13</v>
      </c>
      <c r="BQ127" s="3">
        <v>2.93</v>
      </c>
      <c r="BR127" s="3">
        <v>11.43</v>
      </c>
      <c r="BS127" s="3" t="s">
        <v>22</v>
      </c>
      <c r="BT127" s="3" t="s">
        <v>1370</v>
      </c>
      <c r="BU127" s="3" t="s">
        <v>1211</v>
      </c>
      <c r="BV127" s="3">
        <v>26.88</v>
      </c>
      <c r="BW127" s="3">
        <v>27.01</v>
      </c>
      <c r="BX127" s="3">
        <v>29.14</v>
      </c>
      <c r="BY127" s="3">
        <v>11.18</v>
      </c>
      <c r="BZ127" s="3">
        <v>13.6</v>
      </c>
      <c r="CA127" s="3">
        <v>13.75</v>
      </c>
      <c r="CB127" s="3">
        <v>-2.12</v>
      </c>
      <c r="CC127" s="10">
        <v>-3.65</v>
      </c>
      <c r="CD127" s="11" t="s">
        <v>4768</v>
      </c>
      <c r="CE127" s="10" t="s">
        <v>4769</v>
      </c>
      <c r="CF127" s="10">
        <v>-0.42537619047619046</v>
      </c>
      <c r="CG127" s="10">
        <v>5.6176027918361945E-2</v>
      </c>
      <c r="CH127" s="10">
        <v>-0.76104754209518433</v>
      </c>
      <c r="CI127" s="10">
        <v>-0.12680114805698395</v>
      </c>
      <c r="CJ127" s="11">
        <v>0.39919355511665344</v>
      </c>
      <c r="CK127" s="11">
        <v>0.44186046719551086</v>
      </c>
      <c r="CL127" s="11">
        <v>0.28358209133148193</v>
      </c>
      <c r="CM127" s="11">
        <v>-0.6902087926864624</v>
      </c>
      <c r="CN127" s="11">
        <v>-0.13390530645847321</v>
      </c>
      <c r="CO127" s="3">
        <v>0.75616306066513062</v>
      </c>
      <c r="CP127" s="3">
        <v>5.6321663856506348</v>
      </c>
      <c r="CQ127" s="3">
        <v>0.74721044301986694</v>
      </c>
      <c r="CR127" s="10">
        <v>240.31521131826096</v>
      </c>
      <c r="CS127" s="11">
        <v>50.744927195618132</v>
      </c>
      <c r="CT127" s="3">
        <v>0.44729387207395266</v>
      </c>
      <c r="CU127" s="3">
        <v>4.7357484698295593E-2</v>
      </c>
      <c r="CV127" s="3">
        <v>1.2622851580381393</v>
      </c>
      <c r="CW127" s="3">
        <v>0.06</v>
      </c>
      <c r="CX127" s="3">
        <v>362.56246876036045</v>
      </c>
      <c r="CY127" s="3">
        <v>12619373.195586057</v>
      </c>
      <c r="CZ127" s="3">
        <v>4.7357484698295593E-2</v>
      </c>
      <c r="DA127" s="3">
        <v>122.85957429426959</v>
      </c>
      <c r="DB127" s="3">
        <v>37240167.290840119</v>
      </c>
      <c r="DC127" s="3">
        <v>4.4989610463380812E-2</v>
      </c>
      <c r="DD127" s="3">
        <v>63.436082664498905</v>
      </c>
      <c r="DE127" s="3">
        <v>72124742.068294629</v>
      </c>
      <c r="DF127" s="3">
        <v>4.1674586534500124E-2</v>
      </c>
      <c r="DG127" s="3">
        <v>40.154582865752495</v>
      </c>
      <c r="DH127" s="3">
        <v>113942438.78205605</v>
      </c>
      <c r="DI127" s="3">
        <v>3.7885987758636476E-2</v>
      </c>
      <c r="DJ127" s="3">
        <v>23.195019848621534</v>
      </c>
      <c r="DK127" s="3">
        <v>197254028.22933596</v>
      </c>
      <c r="DL127" s="3">
        <v>3.3150239288806914E-2</v>
      </c>
      <c r="DM127" s="3">
        <v>12771700</v>
      </c>
      <c r="DN127" s="3">
        <v>4.7357484698295593E-2</v>
      </c>
      <c r="DO127" s="3">
        <v>4575311100</v>
      </c>
      <c r="DP127" s="3">
        <v>155216540</v>
      </c>
      <c r="DQ127" s="12">
        <v>4957</v>
      </c>
      <c r="DR127" s="3">
        <v>-0.47273367517448606</v>
      </c>
      <c r="DS127" s="3">
        <v>-1.2061091301197775</v>
      </c>
      <c r="DT127" s="3">
        <v>-0.42333333333333339</v>
      </c>
      <c r="DU127" s="3">
        <v>0.57666666666666666</v>
      </c>
      <c r="DV127" s="3">
        <v>0.15333333333333327</v>
      </c>
      <c r="DW127" s="3">
        <v>-1.0365</v>
      </c>
      <c r="DX127" s="3">
        <v>0.24409340085381345</v>
      </c>
      <c r="DY127" s="3">
        <v>-1.003069409131164</v>
      </c>
      <c r="DZ127" s="3">
        <v>3036</v>
      </c>
      <c r="EA127" s="3">
        <v>-1.0012457836669344</v>
      </c>
      <c r="EB127" s="13">
        <v>1</v>
      </c>
      <c r="EC127" s="13">
        <v>0.10402935554057129</v>
      </c>
      <c r="ED127" s="3">
        <v>1.2370692426840617</v>
      </c>
      <c r="EE127" s="3">
        <v>-5.0414099999999999</v>
      </c>
      <c r="EF127" s="3">
        <v>-5.10961</v>
      </c>
      <c r="EG127" s="3">
        <v>16.084093400853813</v>
      </c>
      <c r="EH127" s="14" t="s">
        <v>1911</v>
      </c>
      <c r="EI127" s="15">
        <v>0</v>
      </c>
      <c r="EJ127" s="15">
        <v>0</v>
      </c>
      <c r="EK127" s="15">
        <v>45470</v>
      </c>
      <c r="EL127" s="15">
        <v>4.7699999999999996</v>
      </c>
      <c r="EM127" s="15">
        <v>-4.2699999999999996</v>
      </c>
      <c r="EN127" s="3">
        <v>-2.71</v>
      </c>
      <c r="EO127" s="3">
        <v>0.48</v>
      </c>
      <c r="EP127" s="3">
        <v>-6.82</v>
      </c>
    </row>
    <row r="128" spans="1:146" ht="96" x14ac:dyDescent="0.25">
      <c r="C128" s="7" t="str">
        <f>""&amp;CHAR(10)&amp;Basic_Fundamental_Information_Constructure(F128)&amp;CHAR(10)&amp;Basic_Fundamental_Information_Concatenate("")</f>
        <v xml:space="preserve">
市值114.302445亿, 利润-4916.76万; PE; 平均PE75.53; 平均PEG1.13, PB2.08; ROIC11.27%; ROE7.93%; 股利率0%; 毛利56.9767%; 净利15.08%; 上一年度营收增-88.78%, 利润增-118.41%; 当季营收增-67.32%, 利润增-449.01%; 过往5年营收增66.56%, 利润增209.41%
Income profile:
</v>
      </c>
      <c r="D128" s="3" t="s">
        <v>683</v>
      </c>
      <c r="E128" s="3" t="s">
        <v>1277</v>
      </c>
      <c r="F128" s="3">
        <v>86.2</v>
      </c>
      <c r="G128" s="3">
        <v>-1.1399999999999999</v>
      </c>
      <c r="H128" s="3" t="s">
        <v>4770</v>
      </c>
      <c r="I128" s="3">
        <v>11430244500</v>
      </c>
      <c r="K128" s="3">
        <v>2.08</v>
      </c>
      <c r="L128" s="3" t="s">
        <v>2983</v>
      </c>
      <c r="M128" s="3" t="s">
        <v>157</v>
      </c>
      <c r="N128" s="3" t="s">
        <v>4771</v>
      </c>
      <c r="O128" s="3" t="s">
        <v>1304</v>
      </c>
      <c r="P128" s="3">
        <v>-34.9</v>
      </c>
      <c r="Q128" s="3" t="s">
        <v>1304</v>
      </c>
      <c r="R128" s="3">
        <v>-49167639</v>
      </c>
      <c r="S128" s="5">
        <v>-30.98</v>
      </c>
      <c r="T128" s="3" t="s">
        <v>4772</v>
      </c>
      <c r="U128" s="3">
        <v>132601444</v>
      </c>
      <c r="V128" s="3">
        <v>132601444</v>
      </c>
      <c r="W128" s="3">
        <v>1.05</v>
      </c>
      <c r="X128" s="3">
        <v>0.03</v>
      </c>
      <c r="Y128" s="3">
        <v>-24.58</v>
      </c>
      <c r="Z128" s="3" t="s">
        <v>207</v>
      </c>
      <c r="AA128" s="3" t="s">
        <v>112</v>
      </c>
      <c r="AB128" s="3" t="s">
        <v>4773</v>
      </c>
      <c r="AC128" s="3" t="s">
        <v>4774</v>
      </c>
      <c r="AD128" s="3" t="s">
        <v>22</v>
      </c>
      <c r="AE128" s="3">
        <v>-7014700</v>
      </c>
      <c r="AF128" s="3" t="s">
        <v>2786</v>
      </c>
      <c r="AG128" s="3" t="s">
        <v>22</v>
      </c>
      <c r="AH128" s="3" t="s">
        <v>2787</v>
      </c>
      <c r="AI128" s="3" t="s">
        <v>1845</v>
      </c>
      <c r="AJ128" s="3" t="s">
        <v>2788</v>
      </c>
      <c r="AK128" s="3" t="s">
        <v>4775</v>
      </c>
      <c r="AL128" s="3" t="s">
        <v>2789</v>
      </c>
      <c r="AM128" s="3" t="s">
        <v>22</v>
      </c>
      <c r="AN128" s="3" t="s">
        <v>444</v>
      </c>
      <c r="AO128" s="3" t="s">
        <v>22</v>
      </c>
      <c r="AP128" s="3" t="s">
        <v>22</v>
      </c>
      <c r="AQ128" s="3" t="s">
        <v>4776</v>
      </c>
      <c r="AR128" s="3" t="s">
        <v>22</v>
      </c>
      <c r="AS128" s="3" t="s">
        <v>501</v>
      </c>
      <c r="AT128" s="3" t="s">
        <v>22</v>
      </c>
      <c r="AU128" s="3" t="s">
        <v>4777</v>
      </c>
      <c r="AV128" s="3" t="s">
        <v>4778</v>
      </c>
      <c r="AW128" s="3" t="s">
        <v>4779</v>
      </c>
      <c r="AX128" s="3" t="s">
        <v>1695</v>
      </c>
      <c r="AY128" s="3" t="s">
        <v>1052</v>
      </c>
      <c r="AZ128" s="3" t="s">
        <v>609</v>
      </c>
      <c r="BA128" s="3" t="s">
        <v>150</v>
      </c>
      <c r="BB128" s="3" t="s">
        <v>349</v>
      </c>
      <c r="BC128" s="3" t="s">
        <v>171</v>
      </c>
      <c r="BD128" s="3" t="s">
        <v>296</v>
      </c>
      <c r="BE128" s="3" t="s">
        <v>352</v>
      </c>
      <c r="BF128" s="3" t="s">
        <v>684</v>
      </c>
      <c r="BG128" s="3" t="s">
        <v>685</v>
      </c>
      <c r="BH128" s="3" t="s">
        <v>1845</v>
      </c>
      <c r="BI128" s="3" t="s">
        <v>415</v>
      </c>
      <c r="BJ128" s="3" t="s">
        <v>1695</v>
      </c>
      <c r="BK128" s="3" t="s">
        <v>2785</v>
      </c>
      <c r="BL128" s="3" t="s">
        <v>4780</v>
      </c>
      <c r="BM128" s="3" t="s">
        <v>171</v>
      </c>
      <c r="BN128" s="3" t="s">
        <v>22</v>
      </c>
      <c r="BO128" s="3">
        <v>7.29</v>
      </c>
      <c r="BP128" s="3">
        <v>15.25</v>
      </c>
      <c r="BQ128" s="3">
        <v>0.43</v>
      </c>
      <c r="BR128" s="3">
        <v>7.79</v>
      </c>
      <c r="BS128" s="3">
        <v>15.57</v>
      </c>
      <c r="BT128" s="3" t="s">
        <v>1368</v>
      </c>
      <c r="BU128" s="3" t="s">
        <v>3311</v>
      </c>
      <c r="BV128" s="3">
        <v>51.79</v>
      </c>
      <c r="BW128" s="3">
        <v>58.61</v>
      </c>
      <c r="BX128" s="3">
        <v>60.53</v>
      </c>
      <c r="BY128" s="3">
        <v>-3.17</v>
      </c>
      <c r="BZ128" s="3">
        <v>14.96</v>
      </c>
      <c r="CA128" s="3">
        <v>33.450000000000003</v>
      </c>
      <c r="CB128" s="3">
        <v>-11.87</v>
      </c>
      <c r="CC128" s="3">
        <v>-1.72</v>
      </c>
      <c r="CD128" s="3" t="s">
        <v>4781</v>
      </c>
      <c r="CE128" s="3" t="s">
        <v>4782</v>
      </c>
      <c r="CF128" s="10">
        <v>-0.67320261437908502</v>
      </c>
      <c r="CG128" s="11">
        <v>-4.490111160799847</v>
      </c>
      <c r="CH128" s="10">
        <v>-0.8878294825553894</v>
      </c>
      <c r="CI128" s="10">
        <v>0.34464550018310547</v>
      </c>
      <c r="CJ128" s="10">
        <v>1.3427561521530151</v>
      </c>
      <c r="CK128" s="10">
        <v>0.86184209585189819</v>
      </c>
      <c r="CL128" s="10">
        <v>1.6666666269302368</v>
      </c>
      <c r="CM128" s="11">
        <v>-1.1841484308242798</v>
      </c>
      <c r="CN128" s="11">
        <v>-0.39864864945411682</v>
      </c>
      <c r="CO128" s="11">
        <v>1.4130434989929199</v>
      </c>
      <c r="CP128" s="11">
        <v>1.592272162437439</v>
      </c>
      <c r="CQ128" s="11">
        <v>9.0481891632080078</v>
      </c>
      <c r="CR128" s="3">
        <v>75.5308156492802</v>
      </c>
      <c r="CS128" s="3">
        <v>1.1347502973570442</v>
      </c>
      <c r="CT128" s="3">
        <v>0</v>
      </c>
      <c r="CU128" s="10">
        <v>0.66561617851257326</v>
      </c>
      <c r="CV128" s="11">
        <v>2.0941415488719941</v>
      </c>
      <c r="CW128" s="3">
        <v>0.06</v>
      </c>
      <c r="CX128" s="3" t="e">
        <v>#VALUE!</v>
      </c>
      <c r="CY128" s="3" t="s">
        <v>1073</v>
      </c>
      <c r="CZ128" s="3">
        <v>0.66561617851257326</v>
      </c>
      <c r="DA128" s="3" t="e">
        <v>#VALUE!</v>
      </c>
      <c r="DB128" s="3" t="s">
        <v>1074</v>
      </c>
      <c r="DC128" s="3">
        <v>0.63233536958694458</v>
      </c>
      <c r="DD128" s="3" t="e">
        <v>#VALUE!</v>
      </c>
      <c r="DE128" s="3" t="s">
        <v>1074</v>
      </c>
      <c r="DF128" s="3">
        <v>0.58574223709106443</v>
      </c>
      <c r="DG128" s="3" t="e">
        <v>#VALUE!</v>
      </c>
      <c r="DH128" s="3" t="s">
        <v>1074</v>
      </c>
      <c r="DI128" s="3">
        <v>0.53249294281005866</v>
      </c>
      <c r="DJ128" s="3" t="e">
        <v>#VALUE!</v>
      </c>
      <c r="DK128" s="3" t="s">
        <v>1074</v>
      </c>
      <c r="DL128" s="3">
        <v>0.46593132495880124</v>
      </c>
      <c r="DM128" s="3">
        <v>-49167600</v>
      </c>
      <c r="DN128" s="3">
        <v>0.66561617851257326</v>
      </c>
      <c r="DO128" s="3">
        <v>6251244500</v>
      </c>
      <c r="DP128" s="3">
        <v>4686052700</v>
      </c>
      <c r="DQ128" s="3">
        <v>4958</v>
      </c>
      <c r="DR128" s="3">
        <v>-1.3388187928916584</v>
      </c>
      <c r="DS128" s="3">
        <v>-6.5842527096718406</v>
      </c>
      <c r="DT128" s="12">
        <v>7.6666666666666591E-2</v>
      </c>
      <c r="DU128" s="3">
        <v>-0.83833333333333326</v>
      </c>
      <c r="DV128" s="3">
        <v>-0.76166666666666671</v>
      </c>
      <c r="DW128" s="3">
        <v>-5.1449031171019373</v>
      </c>
      <c r="DX128" s="3">
        <v>0.33067682314188129</v>
      </c>
      <c r="DY128" s="3">
        <v>-5.0174864478352177</v>
      </c>
      <c r="DZ128" s="3">
        <v>5007</v>
      </c>
      <c r="EA128" s="3">
        <v>-5.0003524665610621</v>
      </c>
      <c r="EB128" s="3">
        <v>5</v>
      </c>
      <c r="EC128" s="3">
        <v>6.6607871932375037E-2</v>
      </c>
      <c r="ED128" s="3">
        <v>0.55195251116571553</v>
      </c>
      <c r="EE128" s="13">
        <v>-1.0078100000000001</v>
      </c>
      <c r="EF128" s="3">
        <v>-1.0275099999999999</v>
      </c>
      <c r="EG128" s="3">
        <v>21.120676823141881</v>
      </c>
      <c r="EH128" s="3" t="s">
        <v>1386</v>
      </c>
      <c r="EI128" s="3">
        <v>0</v>
      </c>
      <c r="EJ128" s="3">
        <v>0</v>
      </c>
      <c r="EK128" s="14">
        <v>45470</v>
      </c>
      <c r="EL128" s="15">
        <v>0.98</v>
      </c>
      <c r="EM128" s="15">
        <v>-2.42</v>
      </c>
      <c r="EN128" s="3">
        <v>-0.99</v>
      </c>
      <c r="EO128" s="3">
        <v>1.5</v>
      </c>
      <c r="EP128" s="3">
        <v>-1.97</v>
      </c>
    </row>
    <row r="129" spans="1:146" ht="96" x14ac:dyDescent="0.25">
      <c r="A129" s="3"/>
      <c r="B129" s="3"/>
      <c r="C129" s="7" t="str">
        <f>""&amp;CHAR(10)&amp;Basic_Fundamental_Information_Constructure(F129)&amp;CHAR(10)&amp;Basic_Fundamental_Information_Concatenate("")</f>
        <v xml:space="preserve">
市值103.20258亿, 利润-160.22万; PE60.84; 平均PE179.28; 平均PEG20.28, PB5; ROIC17.44%; ROE14.75%; 股利率.4961%; 毛利84.7733%; 净利51.0967%; 上一年度营收增-90.12%, 利润增-101.37%; 当季营收增-76.79%, 利润增-103.92%; 过往5年营收增8.84%, 利润增9.07%
Income profile:
</v>
      </c>
      <c r="D129" s="5" t="s">
        <v>1717</v>
      </c>
      <c r="E129" s="3" t="s">
        <v>1718</v>
      </c>
      <c r="F129" s="3">
        <v>25.8</v>
      </c>
      <c r="G129" s="3">
        <v>3.45</v>
      </c>
      <c r="H129" s="3" t="s">
        <v>4783</v>
      </c>
      <c r="I129" s="3">
        <v>10320258000</v>
      </c>
      <c r="J129" s="3">
        <v>60.84</v>
      </c>
      <c r="K129" s="3">
        <v>5</v>
      </c>
      <c r="L129" s="3" t="s">
        <v>2983</v>
      </c>
      <c r="M129" s="3" t="s">
        <v>2790</v>
      </c>
      <c r="N129" s="3" t="s">
        <v>883</v>
      </c>
      <c r="O129" s="3" t="s">
        <v>2791</v>
      </c>
      <c r="P129" s="3">
        <v>100.21</v>
      </c>
      <c r="Q129" s="3" t="s">
        <v>2791</v>
      </c>
      <c r="R129" s="3">
        <v>-1602204</v>
      </c>
      <c r="S129" s="3">
        <v>0.72470000000000001</v>
      </c>
      <c r="T129" s="3" t="s">
        <v>4784</v>
      </c>
      <c r="U129" s="3">
        <v>243081600</v>
      </c>
      <c r="V129" s="3">
        <v>400010000</v>
      </c>
      <c r="W129" s="3">
        <v>1.05</v>
      </c>
      <c r="X129" s="3">
        <v>0.01</v>
      </c>
      <c r="Y129" s="3">
        <v>-7.14</v>
      </c>
      <c r="Z129" s="3" t="s">
        <v>4785</v>
      </c>
      <c r="AA129" s="3" t="s">
        <v>4786</v>
      </c>
      <c r="AB129" s="3" t="s">
        <v>4787</v>
      </c>
      <c r="AC129" s="3" t="s">
        <v>4788</v>
      </c>
      <c r="AD129" s="3" t="s">
        <v>22</v>
      </c>
      <c r="AE129" s="3">
        <v>-5531856</v>
      </c>
      <c r="AF129" s="3" t="s">
        <v>2792</v>
      </c>
      <c r="AG129" s="3" t="s">
        <v>22</v>
      </c>
      <c r="AH129" s="3" t="s">
        <v>2793</v>
      </c>
      <c r="AI129" s="3" t="s">
        <v>307</v>
      </c>
      <c r="AJ129" s="3" t="s">
        <v>2794</v>
      </c>
      <c r="AK129" s="3" t="s">
        <v>4789</v>
      </c>
      <c r="AL129" s="3" t="s">
        <v>2795</v>
      </c>
      <c r="AM129" s="3" t="s">
        <v>22</v>
      </c>
      <c r="AN129" s="3" t="s">
        <v>4790</v>
      </c>
      <c r="AO129" s="3" t="s">
        <v>22</v>
      </c>
      <c r="AP129" s="3" t="s">
        <v>22</v>
      </c>
      <c r="AQ129" s="3" t="s">
        <v>4791</v>
      </c>
      <c r="AR129" s="3" t="s">
        <v>22</v>
      </c>
      <c r="AS129" s="3" t="s">
        <v>4792</v>
      </c>
      <c r="AT129" s="3" t="s">
        <v>22</v>
      </c>
      <c r="AU129" s="3" t="s">
        <v>4793</v>
      </c>
      <c r="AV129" s="3" t="s">
        <v>4794</v>
      </c>
      <c r="AW129" s="3" t="s">
        <v>4795</v>
      </c>
      <c r="AX129" s="3" t="s">
        <v>1147</v>
      </c>
      <c r="AY129" s="3" t="s">
        <v>131</v>
      </c>
      <c r="AZ129" s="3" t="s">
        <v>205</v>
      </c>
      <c r="BA129" s="3" t="s">
        <v>1804</v>
      </c>
      <c r="BB129" s="3" t="s">
        <v>22</v>
      </c>
      <c r="BC129" s="3" t="s">
        <v>450</v>
      </c>
      <c r="BD129" s="3" t="s">
        <v>1805</v>
      </c>
      <c r="BE129" s="3" t="s">
        <v>1806</v>
      </c>
      <c r="BF129" s="3" t="s">
        <v>1807</v>
      </c>
      <c r="BG129" s="3" t="s">
        <v>22</v>
      </c>
      <c r="BH129" s="3" t="s">
        <v>287</v>
      </c>
      <c r="BI129" s="3" t="s">
        <v>4796</v>
      </c>
      <c r="BJ129" s="3" t="s">
        <v>1147</v>
      </c>
      <c r="BK129" s="3" t="s">
        <v>300</v>
      </c>
      <c r="BL129" s="3" t="s">
        <v>4797</v>
      </c>
      <c r="BM129" s="3" t="s">
        <v>450</v>
      </c>
      <c r="BN129" s="3" t="s">
        <v>22</v>
      </c>
      <c r="BO129" s="3" t="s">
        <v>22</v>
      </c>
      <c r="BP129" s="3">
        <v>17.440000000000001</v>
      </c>
      <c r="BQ129" s="3">
        <v>8.6999999999999993</v>
      </c>
      <c r="BR129" s="3">
        <v>20.8</v>
      </c>
      <c r="BS129" s="3" t="s">
        <v>22</v>
      </c>
      <c r="BT129" s="3" t="s">
        <v>2796</v>
      </c>
      <c r="BU129" s="3" t="s">
        <v>3311</v>
      </c>
      <c r="BV129" s="3">
        <v>83.01</v>
      </c>
      <c r="BW129" s="3">
        <v>85.92</v>
      </c>
      <c r="BX129" s="3">
        <v>85.39</v>
      </c>
      <c r="BY129" s="3">
        <v>52.16</v>
      </c>
      <c r="BZ129" s="3">
        <v>51.4</v>
      </c>
      <c r="CA129" s="3">
        <v>49.73</v>
      </c>
      <c r="CB129" s="3">
        <v>-8.3800000000000008</v>
      </c>
      <c r="CC129" s="10">
        <v>-12.33</v>
      </c>
      <c r="CD129" s="11" t="s">
        <v>4798</v>
      </c>
      <c r="CE129" s="10" t="s">
        <v>4799</v>
      </c>
      <c r="CF129" s="10">
        <v>-0.76794585755024658</v>
      </c>
      <c r="CG129" s="10">
        <v>-1.0391866263925746</v>
      </c>
      <c r="CH129" s="10">
        <v>-0.90116918087005615</v>
      </c>
      <c r="CI129" s="10">
        <v>0.36746987700462341</v>
      </c>
      <c r="CJ129" s="11">
        <v>0.52293580770492554</v>
      </c>
      <c r="CK129" s="11">
        <v>0.36435893177986145</v>
      </c>
      <c r="CL129" s="11" t="s">
        <v>22</v>
      </c>
      <c r="CM129" s="11">
        <v>-1.0136940479278564</v>
      </c>
      <c r="CN129" s="11">
        <v>0.41637736558914185</v>
      </c>
      <c r="CO129" s="3">
        <v>0.59164810180664063</v>
      </c>
      <c r="CP129" s="3">
        <v>0.36843785643577576</v>
      </c>
      <c r="CQ129" s="3" t="s">
        <v>22</v>
      </c>
      <c r="CR129" s="10">
        <v>179.27833934039728</v>
      </c>
      <c r="CS129" s="11">
        <v>20.280616917622268</v>
      </c>
      <c r="CT129" s="3">
        <v>0.49612403100775193</v>
      </c>
      <c r="CU129" s="3">
        <v>8.8398858904838562E-2</v>
      </c>
      <c r="CV129" s="3">
        <v>9.0692318975925446E-2</v>
      </c>
      <c r="CW129" s="3">
        <v>0.06</v>
      </c>
      <c r="CX129" s="3" t="e">
        <v>#VALUE!</v>
      </c>
      <c r="CY129" s="3" t="s">
        <v>1073</v>
      </c>
      <c r="CZ129" s="3">
        <v>8.8398858904838562E-2</v>
      </c>
      <c r="DA129" s="3" t="e">
        <v>#VALUE!</v>
      </c>
      <c r="DB129" s="3" t="s">
        <v>1074</v>
      </c>
      <c r="DC129" s="3">
        <v>8.3978915959596626E-2</v>
      </c>
      <c r="DD129" s="3" t="e">
        <v>#VALUE!</v>
      </c>
      <c r="DE129" s="3" t="s">
        <v>1074</v>
      </c>
      <c r="DF129" s="3">
        <v>7.779099583625794E-2</v>
      </c>
      <c r="DG129" s="3" t="e">
        <v>#VALUE!</v>
      </c>
      <c r="DH129" s="3" t="s">
        <v>1074</v>
      </c>
      <c r="DI129" s="3">
        <v>7.0719087123870858E-2</v>
      </c>
      <c r="DJ129" s="3" t="e">
        <v>#VALUE!</v>
      </c>
      <c r="DK129" s="3" t="s">
        <v>1074</v>
      </c>
      <c r="DL129" s="3">
        <v>6.1879201233386992E-2</v>
      </c>
      <c r="DM129" s="3">
        <v>-1602200</v>
      </c>
      <c r="DN129" s="3">
        <v>8.8398858904838562E-2</v>
      </c>
      <c r="DO129" s="3">
        <v>8316353300</v>
      </c>
      <c r="DP129" s="3">
        <v>1942782400</v>
      </c>
      <c r="DQ129" s="12">
        <v>4991</v>
      </c>
      <c r="DR129" s="3">
        <v>-0.85634471645508514</v>
      </c>
      <c r="DS129" s="3">
        <v>-1.1298789453685001</v>
      </c>
      <c r="DT129" s="3">
        <v>-0.44800000000000006</v>
      </c>
      <c r="DU129" s="3">
        <v>-1.498</v>
      </c>
      <c r="DV129" s="3">
        <v>-1.9460000000000002</v>
      </c>
      <c r="DW129" s="3">
        <v>-9.6796431467964315</v>
      </c>
      <c r="DX129" s="3">
        <v>0.508733568148939</v>
      </c>
      <c r="DY129" s="3">
        <v>-9.2302179481823288</v>
      </c>
      <c r="DZ129" s="3">
        <v>2641</v>
      </c>
      <c r="EA129" s="3">
        <v>-9.1112344645914227</v>
      </c>
      <c r="EB129" s="13">
        <v>9</v>
      </c>
      <c r="EC129" s="13">
        <v>5.3853903652408691E-2</v>
      </c>
      <c r="ED129" s="3">
        <v>0.15898602534936626</v>
      </c>
      <c r="EE129" s="3">
        <v>7.07911</v>
      </c>
      <c r="EF129" s="3">
        <v>7.1283099999999999</v>
      </c>
      <c r="EG129" s="3">
        <v>17.338733568148939</v>
      </c>
      <c r="EH129" s="14" t="s">
        <v>3577</v>
      </c>
      <c r="EI129" s="15">
        <v>0</v>
      </c>
      <c r="EJ129" s="15">
        <v>0</v>
      </c>
      <c r="EK129" s="15">
        <v>45470</v>
      </c>
      <c r="EL129" s="15">
        <v>0.49</v>
      </c>
      <c r="EM129" s="15">
        <v>-5.23</v>
      </c>
      <c r="EN129" s="3">
        <v>-3.47</v>
      </c>
      <c r="EO129" s="3">
        <v>1.89</v>
      </c>
      <c r="EP129" s="3">
        <v>-4.92</v>
      </c>
    </row>
    <row r="130" spans="1:146" ht="96" x14ac:dyDescent="0.25">
      <c r="A130" s="3"/>
      <c r="B130" s="3"/>
      <c r="C130" s="7" t="str">
        <f>""&amp;CHAR(10)&amp;Basic_Fundamental_Information_Constructure(F130)&amp;CHAR(10)&amp;Basic_Fundamental_Information_Concatenate("")</f>
        <v xml:space="preserve">
市值104.011141亿, 利润1826.68万; PE50.54; 平均PE64.14; 平均PEG6.24, PB2.46; ROIC8.9367%; ROE7.92%; 股利率1.9096%; 毛利38.6967%; 净利19.2333%; 上一年度营收增-84%, 利润增-95%; 当季营收增-64.63%, 利润增-86.06%; 过往5年营收增-10.28%, 利润增33.05%
Income profile:
</v>
      </c>
      <c r="D130" s="3" t="s">
        <v>1908</v>
      </c>
      <c r="E130" s="3" t="s">
        <v>1936</v>
      </c>
      <c r="F130" s="3">
        <v>15.63</v>
      </c>
      <c r="G130" s="3">
        <v>0.64</v>
      </c>
      <c r="H130" s="3" t="s">
        <v>4800</v>
      </c>
      <c r="I130" s="3">
        <v>10401114100</v>
      </c>
      <c r="J130" s="3">
        <v>50.54</v>
      </c>
      <c r="K130" s="3">
        <v>2.46</v>
      </c>
      <c r="L130" s="3" t="s">
        <v>2983</v>
      </c>
      <c r="M130" s="3" t="s">
        <v>591</v>
      </c>
      <c r="N130" s="3" t="s">
        <v>4801</v>
      </c>
      <c r="O130" s="3" t="s">
        <v>767</v>
      </c>
      <c r="P130" s="5">
        <v>-28</v>
      </c>
      <c r="Q130" s="3" t="s">
        <v>767</v>
      </c>
      <c r="R130" s="3">
        <v>18266763</v>
      </c>
      <c r="S130" s="3">
        <v>-0.69220000000000004</v>
      </c>
      <c r="T130" s="3" t="s">
        <v>4802</v>
      </c>
      <c r="U130" s="3">
        <v>52276414</v>
      </c>
      <c r="V130" s="3">
        <v>665458350</v>
      </c>
      <c r="W130" s="3">
        <v>1.18</v>
      </c>
      <c r="X130" s="3">
        <v>0.06</v>
      </c>
      <c r="Y130" s="3">
        <v>7.33</v>
      </c>
      <c r="Z130" s="3" t="s">
        <v>143</v>
      </c>
      <c r="AA130" s="3" t="s">
        <v>302</v>
      </c>
      <c r="AB130" s="3" t="s">
        <v>4803</v>
      </c>
      <c r="AC130" s="3" t="s">
        <v>4804</v>
      </c>
      <c r="AD130" s="3" t="s">
        <v>22</v>
      </c>
      <c r="AE130" s="3">
        <v>2178843</v>
      </c>
      <c r="AF130" s="3" t="s">
        <v>108</v>
      </c>
      <c r="AG130" s="3" t="s">
        <v>4805</v>
      </c>
      <c r="AH130" s="3" t="s">
        <v>2797</v>
      </c>
      <c r="AI130" s="3" t="s">
        <v>2134</v>
      </c>
      <c r="AJ130" s="3" t="s">
        <v>2798</v>
      </c>
      <c r="AK130" s="3" t="s">
        <v>2958</v>
      </c>
      <c r="AL130" s="3" t="s">
        <v>2799</v>
      </c>
      <c r="AM130" s="3" t="s">
        <v>22</v>
      </c>
      <c r="AN130" s="3" t="s">
        <v>622</v>
      </c>
      <c r="AO130" s="3" t="s">
        <v>4806</v>
      </c>
      <c r="AP130" s="3" t="s">
        <v>22</v>
      </c>
      <c r="AQ130" s="3" t="s">
        <v>4807</v>
      </c>
      <c r="AR130" s="3" t="s">
        <v>22</v>
      </c>
      <c r="AS130" s="3" t="s">
        <v>281</v>
      </c>
      <c r="AT130" s="3" t="s">
        <v>153</v>
      </c>
      <c r="AU130" s="3" t="s">
        <v>4808</v>
      </c>
      <c r="AV130" s="3" t="s">
        <v>4809</v>
      </c>
      <c r="AW130" s="3" t="s">
        <v>4810</v>
      </c>
      <c r="AX130" s="3" t="s">
        <v>1909</v>
      </c>
      <c r="AY130" s="3" t="s">
        <v>2800</v>
      </c>
      <c r="AZ130" s="3" t="s">
        <v>1801</v>
      </c>
      <c r="BA130" s="3" t="s">
        <v>2801</v>
      </c>
      <c r="BB130" s="3" t="s">
        <v>2163</v>
      </c>
      <c r="BC130" s="3" t="s">
        <v>113</v>
      </c>
      <c r="BD130" s="3" t="s">
        <v>324</v>
      </c>
      <c r="BE130" s="3" t="s">
        <v>2802</v>
      </c>
      <c r="BF130" s="3" t="s">
        <v>170</v>
      </c>
      <c r="BG130" s="3" t="s">
        <v>622</v>
      </c>
      <c r="BH130" s="3" t="s">
        <v>2272</v>
      </c>
      <c r="BI130" s="3" t="s">
        <v>1786</v>
      </c>
      <c r="BJ130" s="3" t="s">
        <v>1909</v>
      </c>
      <c r="BK130" s="3" t="s">
        <v>439</v>
      </c>
      <c r="BL130" s="3" t="s">
        <v>194</v>
      </c>
      <c r="BM130" s="3" t="s">
        <v>113</v>
      </c>
      <c r="BN130" s="3">
        <v>7.02</v>
      </c>
      <c r="BO130" s="3">
        <v>12.07</v>
      </c>
      <c r="BP130" s="3">
        <v>7.72</v>
      </c>
      <c r="BQ130" s="3">
        <v>7.92</v>
      </c>
      <c r="BR130" s="3" t="s">
        <v>22</v>
      </c>
      <c r="BS130" s="3" t="s">
        <v>22</v>
      </c>
      <c r="BT130" s="3" t="s">
        <v>4811</v>
      </c>
      <c r="BU130" s="3" t="s">
        <v>1211</v>
      </c>
      <c r="BV130" s="3">
        <v>37.630000000000003</v>
      </c>
      <c r="BW130" s="3">
        <v>42.81</v>
      </c>
      <c r="BX130" s="3">
        <v>35.65</v>
      </c>
      <c r="BY130" s="3">
        <v>18.309999999999999</v>
      </c>
      <c r="BZ130" s="3">
        <v>23.44</v>
      </c>
      <c r="CA130" s="3">
        <v>15.95</v>
      </c>
      <c r="CB130" s="3">
        <v>-4.9800000000000004</v>
      </c>
      <c r="CC130" s="10">
        <v>-6.29</v>
      </c>
      <c r="CD130" s="11" t="s">
        <v>4812</v>
      </c>
      <c r="CE130" s="10" t="s">
        <v>170</v>
      </c>
      <c r="CF130" s="10">
        <v>-0.64630681818181823</v>
      </c>
      <c r="CG130" s="10">
        <v>-0.86055906106870228</v>
      </c>
      <c r="CH130" s="10">
        <v>-0.83997434377670288</v>
      </c>
      <c r="CI130" s="10">
        <v>0.17080517113208771</v>
      </c>
      <c r="CJ130" s="11">
        <v>0.41232722997665405</v>
      </c>
      <c r="CK130" s="11">
        <v>-0.15529623627662659</v>
      </c>
      <c r="CL130" s="11">
        <v>-0.10161290317773819</v>
      </c>
      <c r="CM130" s="11">
        <v>-0.94995391368865967</v>
      </c>
      <c r="CN130" s="11">
        <v>0.7216981053352356</v>
      </c>
      <c r="CO130" s="3">
        <v>2.7343666553497314</v>
      </c>
      <c r="CP130" s="3">
        <v>-0.57948148250579834</v>
      </c>
      <c r="CQ130" s="3">
        <v>-0.27419355511665344</v>
      </c>
      <c r="CR130" s="10">
        <v>64.135996295309695</v>
      </c>
      <c r="CS130" s="11">
        <v>6.2419329639522489</v>
      </c>
      <c r="CT130" s="3">
        <v>1.9095969289827255</v>
      </c>
      <c r="CU130" s="3">
        <v>-0.10275021642446518</v>
      </c>
      <c r="CV130" s="3">
        <v>0.33048716187477112</v>
      </c>
      <c r="CW130" s="3">
        <v>0.06</v>
      </c>
      <c r="CX130" s="3">
        <v>387.70414632009988</v>
      </c>
      <c r="CY130" s="3" t="s">
        <v>4813</v>
      </c>
      <c r="CZ130" s="3">
        <v>-0.10275021642446518</v>
      </c>
      <c r="DA130" s="3">
        <v>129.23471544003328</v>
      </c>
      <c r="DB130" s="3" t="s">
        <v>4814</v>
      </c>
      <c r="DC130" s="3">
        <v>-9.7612705603241909E-2</v>
      </c>
      <c r="DD130" s="3">
        <v>64.617357720016642</v>
      </c>
      <c r="DE130" s="3" t="s">
        <v>4815</v>
      </c>
      <c r="DF130" s="3">
        <v>-9.042019045352935E-2</v>
      </c>
      <c r="DG130" s="3">
        <v>38.770414632009988</v>
      </c>
      <c r="DH130" s="3" t="s">
        <v>4816</v>
      </c>
      <c r="DI130" s="3">
        <v>-8.2200173139572147E-2</v>
      </c>
      <c r="DJ130" s="3">
        <v>19.385207316004994</v>
      </c>
      <c r="DK130" s="3" t="s">
        <v>4817</v>
      </c>
      <c r="DL130" s="3">
        <v>-7.1925151497125625E-2</v>
      </c>
      <c r="DM130" s="3">
        <v>18266800</v>
      </c>
      <c r="DN130" s="3">
        <v>-0.10275021642446518</v>
      </c>
      <c r="DO130" s="3">
        <v>7082114100</v>
      </c>
      <c r="DP130" s="3">
        <v>1784451100</v>
      </c>
      <c r="DQ130" s="12">
        <v>4992</v>
      </c>
      <c r="DR130" s="3">
        <v>-0.5435566017573531</v>
      </c>
      <c r="DS130" s="3">
        <v>-1.1910462229434735</v>
      </c>
      <c r="DT130" s="3">
        <v>-0.60666666666666669</v>
      </c>
      <c r="DU130" s="3">
        <v>-0.29333333333333328</v>
      </c>
      <c r="DV130" s="3">
        <v>-0.89999999999999991</v>
      </c>
      <c r="DW130" s="3">
        <v>-8.7917329093799683</v>
      </c>
      <c r="DX130" s="3">
        <v>0.22243481481481417</v>
      </c>
      <c r="DY130" s="3">
        <v>-8.057349026673732</v>
      </c>
      <c r="DZ130" s="3">
        <v>1733</v>
      </c>
      <c r="EA130" s="3">
        <v>-8.0378997383712711</v>
      </c>
      <c r="EB130" s="13">
        <v>8</v>
      </c>
      <c r="EC130" s="13">
        <v>1.4694683746924207E-2</v>
      </c>
      <c r="ED130" s="3">
        <v>0.20286769262118359</v>
      </c>
      <c r="EE130" s="3">
        <v>-1.0297099999999999</v>
      </c>
      <c r="EF130" s="3">
        <v>-1.0599099999999999</v>
      </c>
      <c r="EG130" s="3">
        <v>15.072434814814814</v>
      </c>
      <c r="EH130" s="14" t="s">
        <v>1386</v>
      </c>
      <c r="EI130" s="3">
        <v>0</v>
      </c>
      <c r="EJ130" s="3">
        <v>0</v>
      </c>
      <c r="EK130" s="3">
        <v>45470</v>
      </c>
      <c r="EL130" s="3">
        <v>-6.75</v>
      </c>
      <c r="EM130" s="3">
        <v>-4.82</v>
      </c>
      <c r="EN130" s="3">
        <v>0.57999999999999996</v>
      </c>
      <c r="EO130" s="3">
        <v>2.71</v>
      </c>
      <c r="EP130" s="3">
        <v>-3.02</v>
      </c>
    </row>
    <row r="131" spans="1:146" ht="96" x14ac:dyDescent="0.25">
      <c r="C131" s="7" t="str">
        <f>""&amp;CHAR(10)&amp;Basic_Fundamental_Information_Constructure(F131)&amp;CHAR(10)&amp;Basic_Fundamental_Information_Concatenate("")</f>
        <v xml:space="preserve">
市值28.933654亿, 利润2335.65万; PE26.57; 平均PE73.94; 平均PEG6.4, PB3.08; ROIC7.5367%; ROE8.2367%; 股利率1.4595%; 毛利41.5933%; 净利15.0067%; 上一年度营收增-74.21%, 利润增-68.91%; 当季营收增-48.62%, 利润增-53.84%; 过往5年营收增11.56%, 利润增22.81%
Income profile:
</v>
      </c>
      <c r="D131" s="3" t="s">
        <v>93</v>
      </c>
      <c r="E131" s="3" t="s">
        <v>94</v>
      </c>
      <c r="F131" s="3">
        <v>23.98</v>
      </c>
      <c r="G131" s="3">
        <v>1.44</v>
      </c>
      <c r="H131" s="3" t="s">
        <v>4818</v>
      </c>
      <c r="I131" s="3">
        <v>2893365400</v>
      </c>
      <c r="J131" s="3">
        <v>26.57</v>
      </c>
      <c r="K131" s="3">
        <v>3.08</v>
      </c>
      <c r="L131" s="3" t="s">
        <v>2983</v>
      </c>
      <c r="M131" s="3" t="s">
        <v>201</v>
      </c>
      <c r="N131" s="3" t="s">
        <v>2021</v>
      </c>
      <c r="O131" s="3" t="s">
        <v>198</v>
      </c>
      <c r="P131" s="3">
        <v>17.09</v>
      </c>
      <c r="Q131" s="3" t="s">
        <v>198</v>
      </c>
      <c r="R131" s="3">
        <v>23356520</v>
      </c>
      <c r="S131" s="5">
        <v>9.5000000000000001E-2</v>
      </c>
      <c r="T131" s="3" t="s">
        <v>4819</v>
      </c>
      <c r="U131" s="3">
        <v>120657438</v>
      </c>
      <c r="V131" s="3">
        <v>120657438</v>
      </c>
      <c r="W131" s="3">
        <v>1.41</v>
      </c>
      <c r="X131" s="3">
        <v>0.09</v>
      </c>
      <c r="Y131" s="3">
        <v>17.989999999999998</v>
      </c>
      <c r="Z131" s="3" t="s">
        <v>309</v>
      </c>
      <c r="AA131" s="3" t="s">
        <v>4820</v>
      </c>
      <c r="AB131" s="3" t="s">
        <v>4821</v>
      </c>
      <c r="AC131" s="3" t="s">
        <v>4822</v>
      </c>
      <c r="AD131" s="3" t="s">
        <v>22</v>
      </c>
      <c r="AE131" s="3">
        <v>2017479</v>
      </c>
      <c r="AF131" s="3" t="s">
        <v>2803</v>
      </c>
      <c r="AG131" s="3">
        <v>1592.92</v>
      </c>
      <c r="AH131" s="3" t="s">
        <v>2804</v>
      </c>
      <c r="AI131" s="3" t="s">
        <v>4823</v>
      </c>
      <c r="AJ131" s="3" t="s">
        <v>2805</v>
      </c>
      <c r="AK131" s="3" t="s">
        <v>4824</v>
      </c>
      <c r="AL131" s="3" t="s">
        <v>2806</v>
      </c>
      <c r="AM131" s="3" t="s">
        <v>22</v>
      </c>
      <c r="AN131" s="3" t="s">
        <v>4825</v>
      </c>
      <c r="AO131" s="3" t="s">
        <v>22</v>
      </c>
      <c r="AP131" s="3" t="s">
        <v>4826</v>
      </c>
      <c r="AQ131" s="3" t="s">
        <v>4827</v>
      </c>
      <c r="AR131" s="3" t="s">
        <v>4828</v>
      </c>
      <c r="AS131" s="3" t="s">
        <v>198</v>
      </c>
      <c r="AT131" s="3" t="s">
        <v>22</v>
      </c>
      <c r="AU131" s="3" t="s">
        <v>4829</v>
      </c>
      <c r="AV131" s="3" t="s">
        <v>4830</v>
      </c>
      <c r="AW131" s="3" t="s">
        <v>4831</v>
      </c>
      <c r="AX131" s="3" t="s">
        <v>180</v>
      </c>
      <c r="AY131" s="3" t="s">
        <v>528</v>
      </c>
      <c r="AZ131" s="3" t="s">
        <v>476</v>
      </c>
      <c r="BA131" s="3" t="s">
        <v>303</v>
      </c>
      <c r="BB131" s="3" t="s">
        <v>173</v>
      </c>
      <c r="BC131" s="3" t="s">
        <v>2807</v>
      </c>
      <c r="BD131" s="3" t="s">
        <v>1053</v>
      </c>
      <c r="BE131" s="3" t="s">
        <v>687</v>
      </c>
      <c r="BF131" s="3" t="s">
        <v>428</v>
      </c>
      <c r="BG131" s="3" t="s">
        <v>688</v>
      </c>
      <c r="BH131" s="3" t="s">
        <v>360</v>
      </c>
      <c r="BI131" s="3" t="s">
        <v>399</v>
      </c>
      <c r="BJ131" s="3" t="s">
        <v>180</v>
      </c>
      <c r="BK131" s="3" t="s">
        <v>327</v>
      </c>
      <c r="BL131" s="3" t="s">
        <v>4832</v>
      </c>
      <c r="BM131" s="3" t="s">
        <v>2807</v>
      </c>
      <c r="BN131" s="3">
        <v>7.7</v>
      </c>
      <c r="BO131" s="3">
        <v>9.25</v>
      </c>
      <c r="BP131" s="3">
        <v>5.66</v>
      </c>
      <c r="BQ131" s="3">
        <v>9.33</v>
      </c>
      <c r="BR131" s="3">
        <v>9.64</v>
      </c>
      <c r="BS131" s="3">
        <v>5.74</v>
      </c>
      <c r="BT131" s="3" t="s">
        <v>2808</v>
      </c>
      <c r="BU131" s="3" t="s">
        <v>2998</v>
      </c>
      <c r="BV131" s="3">
        <v>41.92</v>
      </c>
      <c r="BW131" s="3">
        <v>41.3</v>
      </c>
      <c r="BX131" s="3">
        <v>41.56</v>
      </c>
      <c r="BY131" s="3">
        <v>18.45</v>
      </c>
      <c r="BZ131" s="3">
        <v>14.9</v>
      </c>
      <c r="CA131" s="3">
        <v>11.67</v>
      </c>
      <c r="CB131" s="3">
        <v>-4.88</v>
      </c>
      <c r="CC131" s="3">
        <v>2</v>
      </c>
      <c r="CD131" s="3" t="s">
        <v>4833</v>
      </c>
      <c r="CE131" s="3" t="s">
        <v>4834</v>
      </c>
      <c r="CF131" s="10">
        <v>-0.48616600790513825</v>
      </c>
      <c r="CG131" s="11">
        <v>-0.53843970958473142</v>
      </c>
      <c r="CH131" s="10">
        <v>-0.74206346273422241</v>
      </c>
      <c r="CI131" s="10">
        <v>0.40000000596046448</v>
      </c>
      <c r="CJ131" s="10">
        <v>0.66666668653488159</v>
      </c>
      <c r="CK131" s="10">
        <v>-0.22021660208702087</v>
      </c>
      <c r="CL131" s="10">
        <v>0.47340425848960876</v>
      </c>
      <c r="CM131" s="11">
        <v>-0.68914204835891724</v>
      </c>
      <c r="CN131" s="11">
        <v>0.78735554218292236</v>
      </c>
      <c r="CO131" s="11">
        <v>0.51101887226104736</v>
      </c>
      <c r="CP131" s="11">
        <v>-0.35980218648910522</v>
      </c>
      <c r="CQ131" s="11">
        <v>0.890949547290802</v>
      </c>
      <c r="CR131" s="3">
        <v>73.940145774618784</v>
      </c>
      <c r="CS131" s="3">
        <v>6.3985212942307079</v>
      </c>
      <c r="CT131" s="3">
        <v>1.4595496246872393</v>
      </c>
      <c r="CU131" s="10">
        <v>0.11555817723274231</v>
      </c>
      <c r="CV131" s="11">
        <v>0.22807594537734985</v>
      </c>
      <c r="CW131" s="3">
        <v>0.06</v>
      </c>
      <c r="CX131" s="3">
        <v>93.380825397642965</v>
      </c>
      <c r="CY131" s="3">
        <v>24580692.987298626</v>
      </c>
      <c r="CZ131" s="3">
        <v>0.11555817723274231</v>
      </c>
      <c r="DA131" s="3">
        <v>29.864530934391787</v>
      </c>
      <c r="DB131" s="3">
        <v>76859248.351919472</v>
      </c>
      <c r="DC131" s="3">
        <v>0.10978026837110519</v>
      </c>
      <c r="DD131" s="3">
        <v>14.279455216665427</v>
      </c>
      <c r="DE131" s="3">
        <v>160746006.42474785</v>
      </c>
      <c r="DF131" s="3">
        <v>0.10169119596481323</v>
      </c>
      <c r="DG131" s="3">
        <v>8.2946474770811793</v>
      </c>
      <c r="DH131" s="3">
        <v>276728505.50216764</v>
      </c>
      <c r="DI131" s="3">
        <v>9.2446541786193853E-2</v>
      </c>
      <c r="DJ131" s="3">
        <v>3.9780499877415378</v>
      </c>
      <c r="DK131" s="3">
        <v>577007681.4200995</v>
      </c>
      <c r="DL131" s="3">
        <v>8.0890724062919611E-2</v>
      </c>
      <c r="DM131" s="3">
        <v>23356500</v>
      </c>
      <c r="DN131" s="3">
        <v>0.11555817723274231</v>
      </c>
      <c r="DO131" s="3">
        <v>2295365400</v>
      </c>
      <c r="DP131" s="3">
        <v>1157183400</v>
      </c>
      <c r="DQ131" s="3">
        <v>4996</v>
      </c>
      <c r="DR131" s="3">
        <v>-0.60172418513788051</v>
      </c>
      <c r="DS131" s="3">
        <v>-0.76651565496208129</v>
      </c>
      <c r="DT131" s="12">
        <v>-0.37333333333333335</v>
      </c>
      <c r="DU131" s="3">
        <v>-3.666666666666666E-2</v>
      </c>
      <c r="DV131" s="3">
        <v>-0.41000000000000003</v>
      </c>
      <c r="DW131" s="3">
        <v>-4.4098360655737707</v>
      </c>
      <c r="DX131" s="3">
        <v>0.31403981310056822</v>
      </c>
      <c r="DY131" s="3">
        <v>-4.0467376283199048</v>
      </c>
      <c r="DZ131" s="3">
        <v>1635</v>
      </c>
      <c r="EA131" s="3">
        <v>-4.0317834165189179</v>
      </c>
      <c r="EB131" s="3">
        <v>4</v>
      </c>
      <c r="EC131" s="3">
        <v>9.3958567228984255E-2</v>
      </c>
      <c r="ED131" s="3">
        <v>0.82391025077127855</v>
      </c>
      <c r="EE131" s="13">
        <v>8.3600000000000008E-2</v>
      </c>
      <c r="EF131" s="3">
        <v>6.0299999999999992E-2</v>
      </c>
      <c r="EG131" s="3">
        <v>20.114039813100568</v>
      </c>
      <c r="EH131" s="3" t="s">
        <v>1071</v>
      </c>
      <c r="EI131" s="3">
        <v>0</v>
      </c>
      <c r="EJ131" s="3">
        <v>0</v>
      </c>
      <c r="EK131" s="14">
        <v>45470</v>
      </c>
      <c r="EL131" s="15">
        <v>-2.2000000000000002</v>
      </c>
      <c r="EM131" s="15">
        <v>-5.61</v>
      </c>
      <c r="EN131" s="3">
        <v>-3.81</v>
      </c>
      <c r="EO131" s="3">
        <v>9.65</v>
      </c>
      <c r="EP131" s="3">
        <v>-2.33</v>
      </c>
    </row>
    <row r="132" spans="1:146" ht="96" x14ac:dyDescent="0.25">
      <c r="A132" s="3"/>
      <c r="B132" s="3"/>
      <c r="C132" s="7" t="str">
        <f>""&amp;CHAR(10)&amp;Basic_Fundamental_Information_Constructure(F132)&amp;CHAR(10)&amp;Basic_Fundamental_Information_Concatenate("")</f>
        <v xml:space="preserve">
市值45.408亿, 利润-440.59万; PE122.7; 平均PE222.51; 平均PEG171.96, PB1.97; ROIC5.8267%; ROE4.465%; 股利率.3858%; 毛利43.58%; 净利10.2067%; 上一年度营收增-73.56%, 利润增-108.85%; 当季营收增-49.53%, 利润增-115.4%; 过往5年营收增1.29%, 利润增-56.15%
Income profile:
</v>
      </c>
      <c r="D132" s="3" t="s">
        <v>1730</v>
      </c>
      <c r="E132" s="3" t="s">
        <v>1731</v>
      </c>
      <c r="F132" s="3">
        <v>18.920000000000002</v>
      </c>
      <c r="G132" s="3">
        <v>0.11</v>
      </c>
      <c r="H132" s="3" t="s">
        <v>4835</v>
      </c>
      <c r="I132" s="3">
        <v>4540800000</v>
      </c>
      <c r="J132" s="3">
        <v>122.7</v>
      </c>
      <c r="K132" s="3">
        <v>1.97</v>
      </c>
      <c r="L132" s="3" t="s">
        <v>2983</v>
      </c>
      <c r="M132" s="3" t="s">
        <v>2809</v>
      </c>
      <c r="N132" s="3" t="s">
        <v>4836</v>
      </c>
      <c r="O132" s="3" t="s">
        <v>1085</v>
      </c>
      <c r="P132" s="5">
        <v>10.45</v>
      </c>
      <c r="Q132" s="3" t="s">
        <v>1085</v>
      </c>
      <c r="R132" s="3">
        <v>-4405915</v>
      </c>
      <c r="S132" s="3">
        <v>-1.528</v>
      </c>
      <c r="T132" s="3" t="s">
        <v>4837</v>
      </c>
      <c r="U132" s="3">
        <v>55514332</v>
      </c>
      <c r="V132" s="3">
        <v>240000000</v>
      </c>
      <c r="W132" s="3">
        <v>1.03</v>
      </c>
      <c r="X132" s="3">
        <v>7.0000000000000007E-2</v>
      </c>
      <c r="Y132" s="3">
        <v>-2.73</v>
      </c>
      <c r="Z132" s="3" t="s">
        <v>148</v>
      </c>
      <c r="AA132" s="3" t="s">
        <v>4838</v>
      </c>
      <c r="AB132" s="3" t="s">
        <v>4839</v>
      </c>
      <c r="AC132" s="3" t="s">
        <v>4840</v>
      </c>
      <c r="AD132" s="3" t="s">
        <v>22</v>
      </c>
      <c r="AE132" s="3">
        <v>-8036074</v>
      </c>
      <c r="AF132" s="3" t="s">
        <v>108</v>
      </c>
      <c r="AG132" s="3" t="s">
        <v>22</v>
      </c>
      <c r="AH132" s="3" t="s">
        <v>2811</v>
      </c>
      <c r="AI132" s="3" t="s">
        <v>2359</v>
      </c>
      <c r="AJ132" s="3" t="s">
        <v>2813</v>
      </c>
      <c r="AK132" s="3" t="s">
        <v>4841</v>
      </c>
      <c r="AL132" s="3" t="s">
        <v>2814</v>
      </c>
      <c r="AM132" s="3" t="s">
        <v>22</v>
      </c>
      <c r="AN132" s="3">
        <v>0</v>
      </c>
      <c r="AO132" s="3" t="s">
        <v>22</v>
      </c>
      <c r="AP132" s="3" t="s">
        <v>22</v>
      </c>
      <c r="AQ132" s="3" t="s">
        <v>4842</v>
      </c>
      <c r="AR132" s="3" t="s">
        <v>22</v>
      </c>
      <c r="AS132" s="3" t="s">
        <v>4843</v>
      </c>
      <c r="AT132" s="3" t="s">
        <v>22</v>
      </c>
      <c r="AU132" s="3" t="s">
        <v>4844</v>
      </c>
      <c r="AV132" s="3" t="s">
        <v>440</v>
      </c>
      <c r="AW132" s="3" t="s">
        <v>4845</v>
      </c>
      <c r="AX132" s="3" t="s">
        <v>1090</v>
      </c>
      <c r="AY132" s="3" t="s">
        <v>381</v>
      </c>
      <c r="AZ132" s="3" t="s">
        <v>1763</v>
      </c>
      <c r="BA132" s="3" t="s">
        <v>393</v>
      </c>
      <c r="BB132" s="3" t="s">
        <v>22</v>
      </c>
      <c r="BC132" s="3" t="s">
        <v>2815</v>
      </c>
      <c r="BD132" s="3" t="s">
        <v>1732</v>
      </c>
      <c r="BE132" s="3" t="s">
        <v>1808</v>
      </c>
      <c r="BF132" s="3" t="s">
        <v>1809</v>
      </c>
      <c r="BG132" s="3" t="s">
        <v>22</v>
      </c>
      <c r="BH132" s="3" t="s">
        <v>1880</v>
      </c>
      <c r="BI132" s="3" t="s">
        <v>320</v>
      </c>
      <c r="BJ132" s="3" t="s">
        <v>1090</v>
      </c>
      <c r="BK132" s="3" t="s">
        <v>2810</v>
      </c>
      <c r="BL132" s="3" t="s">
        <v>4846</v>
      </c>
      <c r="BM132" s="3" t="s">
        <v>2815</v>
      </c>
      <c r="BN132" s="3">
        <v>1.76</v>
      </c>
      <c r="BO132" s="3">
        <v>4.88</v>
      </c>
      <c r="BP132" s="3">
        <v>10.84</v>
      </c>
      <c r="BQ132" s="3">
        <v>3.41</v>
      </c>
      <c r="BR132" s="3">
        <v>5.52</v>
      </c>
      <c r="BS132" s="3" t="s">
        <v>22</v>
      </c>
      <c r="BT132" s="3" t="s">
        <v>2816</v>
      </c>
      <c r="BU132" s="3" t="s">
        <v>2998</v>
      </c>
      <c r="BV132" s="3">
        <v>43.5</v>
      </c>
      <c r="BW132" s="3">
        <v>41.27</v>
      </c>
      <c r="BX132" s="3">
        <v>45.97</v>
      </c>
      <c r="BY132" s="3">
        <v>7.82</v>
      </c>
      <c r="BZ132" s="3">
        <v>8.17</v>
      </c>
      <c r="CA132" s="3">
        <v>14.63</v>
      </c>
      <c r="CB132" s="3">
        <v>-3.22</v>
      </c>
      <c r="CC132" s="10">
        <v>2.0499999999999998</v>
      </c>
      <c r="CD132" s="11" t="s">
        <v>4847</v>
      </c>
      <c r="CE132" s="10" t="s">
        <v>181</v>
      </c>
      <c r="CF132" s="10">
        <v>-0.4952978056426332</v>
      </c>
      <c r="CG132" s="10">
        <v>-1.1539819034571457</v>
      </c>
      <c r="CH132" s="10">
        <v>-0.73563218116760254</v>
      </c>
      <c r="CI132" s="10">
        <v>-6.3076920807361603E-2</v>
      </c>
      <c r="CJ132" s="11">
        <v>0.43171805143356323</v>
      </c>
      <c r="CK132" s="11">
        <v>0.41874998807907104</v>
      </c>
      <c r="CL132" s="11" t="s">
        <v>22</v>
      </c>
      <c r="CM132" s="11">
        <v>-1.0885273218154907</v>
      </c>
      <c r="CN132" s="11">
        <v>-0.47616031765937805</v>
      </c>
      <c r="CO132" s="3">
        <v>2.0305092334747314</v>
      </c>
      <c r="CP132" s="3">
        <v>-2.7116966247558594</v>
      </c>
      <c r="CQ132" s="3" t="s">
        <v>22</v>
      </c>
      <c r="CR132" s="10">
        <v>222.50664952262602</v>
      </c>
      <c r="CS132" s="11">
        <v>171.95611819557598</v>
      </c>
      <c r="CT132" s="3">
        <v>0.38583509513742065</v>
      </c>
      <c r="CU132" s="3">
        <v>1.2939734384417534E-2</v>
      </c>
      <c r="CV132" s="3">
        <v>-0.56146875768899918</v>
      </c>
      <c r="CW132" s="3">
        <v>0.06</v>
      </c>
      <c r="CX132" s="3" t="e">
        <v>#VALUE!</v>
      </c>
      <c r="CY132" s="3" t="s">
        <v>1073</v>
      </c>
      <c r="CZ132" s="3">
        <v>1.2939734384417534E-2</v>
      </c>
      <c r="DA132" s="3" t="e">
        <v>#VALUE!</v>
      </c>
      <c r="DB132" s="3" t="s">
        <v>1074</v>
      </c>
      <c r="DC132" s="3">
        <v>1.2292747665196656E-2</v>
      </c>
      <c r="DD132" s="3" t="e">
        <v>#VALUE!</v>
      </c>
      <c r="DE132" s="3" t="s">
        <v>1074</v>
      </c>
      <c r="DF132" s="3">
        <v>1.138696625828743E-2</v>
      </c>
      <c r="DG132" s="3" t="e">
        <v>#VALUE!</v>
      </c>
      <c r="DH132" s="3" t="s">
        <v>1074</v>
      </c>
      <c r="DI132" s="3">
        <v>1.0351787507534028E-2</v>
      </c>
      <c r="DJ132" s="3" t="e">
        <v>#VALUE!</v>
      </c>
      <c r="DK132" s="3" t="s">
        <v>1074</v>
      </c>
      <c r="DL132" s="3">
        <v>9.0578140690922727E-3</v>
      </c>
      <c r="DM132" s="3">
        <v>-4405900</v>
      </c>
      <c r="DN132" s="3">
        <v>1.2939734384417534E-2</v>
      </c>
      <c r="DO132" s="3">
        <v>2329318900</v>
      </c>
      <c r="DP132" s="3">
        <v>2202671900</v>
      </c>
      <c r="DQ132" s="12">
        <v>4998</v>
      </c>
      <c r="DR132" s="3">
        <v>-0.50823754002705068</v>
      </c>
      <c r="DS132" s="3">
        <v>-0.59251314576814651</v>
      </c>
      <c r="DT132" s="3">
        <v>-0.628</v>
      </c>
      <c r="DU132" s="3">
        <v>-2.5660000000000003</v>
      </c>
      <c r="DV132" s="3">
        <v>-3.1940000000000004</v>
      </c>
      <c r="DW132" s="3">
        <v>-4.6366459627329188</v>
      </c>
      <c r="DX132" s="3">
        <v>0.3058387387387394</v>
      </c>
      <c r="DY132" s="3">
        <v>-4.0801147249734209</v>
      </c>
      <c r="DZ132" s="3">
        <v>867</v>
      </c>
      <c r="EA132" s="3">
        <v>-4.0665218743761695</v>
      </c>
      <c r="EB132" s="13">
        <v>4</v>
      </c>
      <c r="EC132" s="13">
        <v>5.8200416666666664E-2</v>
      </c>
      <c r="ED132" s="3">
        <v>0.46250000000000008</v>
      </c>
      <c r="EE132" s="3">
        <v>-2.01471</v>
      </c>
      <c r="EF132" s="3">
        <v>-2.03491</v>
      </c>
      <c r="EG132" s="3">
        <v>18.125838738738739</v>
      </c>
      <c r="EH132" s="14" t="s">
        <v>1401</v>
      </c>
      <c r="EI132" s="3">
        <v>0</v>
      </c>
      <c r="EJ132" s="3">
        <v>1</v>
      </c>
      <c r="EK132" s="3">
        <v>45470</v>
      </c>
      <c r="EL132" s="3">
        <v>4.0999999999999996</v>
      </c>
      <c r="EM132" s="3">
        <v>-6.91</v>
      </c>
      <c r="EN132" s="3">
        <v>-2.66</v>
      </c>
      <c r="EO132" s="3">
        <v>4.38</v>
      </c>
      <c r="EP132" s="3">
        <v>-2.02</v>
      </c>
    </row>
    <row r="133" spans="1:146" ht="96" x14ac:dyDescent="0.25">
      <c r="A133" s="3"/>
      <c r="B133" s="3"/>
      <c r="C133" s="7" t="str">
        <f>""&amp;CHAR(10)&amp;Basic_Fundamental_Information_Constructure(F133)&amp;CHAR(10)&amp;Basic_Fundamental_Information_Concatenate("")</f>
        <v xml:space="preserve">
市值42.000988亿, 利润-1146.45万; PE; 平均PE78.9; 平均PEG5.02, PB2.66; ROIC21.53%; ROE10.6%; 股利率.4267%; 毛利43.3533%; 净利21.5933%; 上一年度营收增-76.58%, 利润增-110.62%; 当季营收增-54.34%, 利润增-132.91%; 过往5年营收增15.72%, 利润增187.72%
Income profile:
</v>
      </c>
      <c r="D133" s="3" t="s">
        <v>1714</v>
      </c>
      <c r="E133" s="3" t="s">
        <v>4848</v>
      </c>
      <c r="F133" s="3">
        <v>9.14</v>
      </c>
      <c r="G133" s="3">
        <v>1.56</v>
      </c>
      <c r="H133" s="3" t="s">
        <v>4849</v>
      </c>
      <c r="I133" s="3">
        <v>4200098800</v>
      </c>
      <c r="K133" s="3">
        <v>2.66</v>
      </c>
      <c r="L133" s="3" t="s">
        <v>2983</v>
      </c>
      <c r="M133" s="3" t="s">
        <v>871</v>
      </c>
      <c r="N133" s="3" t="s">
        <v>4850</v>
      </c>
      <c r="O133" s="3" t="s">
        <v>277</v>
      </c>
      <c r="P133" s="5">
        <v>2.89</v>
      </c>
      <c r="Q133" s="3" t="s">
        <v>277</v>
      </c>
      <c r="R133" s="3">
        <v>-11464472</v>
      </c>
      <c r="S133" s="3">
        <v>-1.571</v>
      </c>
      <c r="T133" s="3" t="s">
        <v>4851</v>
      </c>
      <c r="U133" s="3">
        <v>319005490</v>
      </c>
      <c r="V133" s="3">
        <v>459529410</v>
      </c>
      <c r="W133" s="3">
        <v>1.0900000000000001</v>
      </c>
      <c r="X133" s="3">
        <v>0.06</v>
      </c>
      <c r="Y133" s="3">
        <v>-11.65</v>
      </c>
      <c r="Z133" s="3" t="s">
        <v>265</v>
      </c>
      <c r="AA133" s="3" t="s">
        <v>4852</v>
      </c>
      <c r="AB133" s="3" t="s">
        <v>4853</v>
      </c>
      <c r="AC133" s="3" t="s">
        <v>4854</v>
      </c>
      <c r="AD133" s="3" t="s">
        <v>22</v>
      </c>
      <c r="AE133" s="3">
        <v>-6434330</v>
      </c>
      <c r="AF133" s="3" t="s">
        <v>2818</v>
      </c>
      <c r="AG133" s="3" t="s">
        <v>22</v>
      </c>
      <c r="AH133" s="3" t="s">
        <v>2819</v>
      </c>
      <c r="AI133" s="3" t="s">
        <v>3366</v>
      </c>
      <c r="AJ133" s="3" t="s">
        <v>2820</v>
      </c>
      <c r="AK133" s="3" t="s">
        <v>4855</v>
      </c>
      <c r="AL133" s="3" t="s">
        <v>2821</v>
      </c>
      <c r="AM133" s="3" t="s">
        <v>22</v>
      </c>
      <c r="AN133" s="3" t="s">
        <v>4856</v>
      </c>
      <c r="AO133" s="3" t="s">
        <v>3971</v>
      </c>
      <c r="AP133" s="3" t="s">
        <v>2822</v>
      </c>
      <c r="AQ133" s="3" t="s">
        <v>4857</v>
      </c>
      <c r="AR133" s="3" t="s">
        <v>22</v>
      </c>
      <c r="AS133" s="3" t="s">
        <v>407</v>
      </c>
      <c r="AT133" s="3" t="s">
        <v>22</v>
      </c>
      <c r="AU133" s="3" t="s">
        <v>4858</v>
      </c>
      <c r="AV133" s="3" t="s">
        <v>4859</v>
      </c>
      <c r="AW133" s="3" t="s">
        <v>4860</v>
      </c>
      <c r="AX133" s="3" t="s">
        <v>1713</v>
      </c>
      <c r="AY133" s="3" t="s">
        <v>562</v>
      </c>
      <c r="AZ133" s="3" t="s">
        <v>390</v>
      </c>
      <c r="BA133" s="3" t="s">
        <v>417</v>
      </c>
      <c r="BB133" s="3" t="s">
        <v>22</v>
      </c>
      <c r="BC133" s="3" t="s">
        <v>396</v>
      </c>
      <c r="BD133" s="3" t="s">
        <v>343</v>
      </c>
      <c r="BE133" s="3" t="s">
        <v>1810</v>
      </c>
      <c r="BF133" s="3" t="s">
        <v>1811</v>
      </c>
      <c r="BG133" s="3" t="s">
        <v>22</v>
      </c>
      <c r="BH133" s="3" t="s">
        <v>260</v>
      </c>
      <c r="BI133" s="3" t="s">
        <v>390</v>
      </c>
      <c r="BJ133" s="3" t="s">
        <v>1713</v>
      </c>
      <c r="BK133" s="3" t="s">
        <v>2817</v>
      </c>
      <c r="BL133" s="3" t="s">
        <v>4861</v>
      </c>
      <c r="BM133" s="3" t="s">
        <v>396</v>
      </c>
      <c r="BN133" s="3">
        <v>1.73</v>
      </c>
      <c r="BO133" s="3">
        <v>16.68</v>
      </c>
      <c r="BP133" s="3">
        <v>46.18</v>
      </c>
      <c r="BQ133" s="3">
        <v>2.99</v>
      </c>
      <c r="BR133" s="3">
        <v>18.21</v>
      </c>
      <c r="BS133" s="3" t="s">
        <v>22</v>
      </c>
      <c r="BT133" s="3" t="s">
        <v>2824</v>
      </c>
      <c r="BU133" s="3" t="s">
        <v>2998</v>
      </c>
      <c r="BV133" s="3">
        <v>21</v>
      </c>
      <c r="BW133" s="3">
        <v>41.35</v>
      </c>
      <c r="BX133" s="3">
        <v>67.709999999999994</v>
      </c>
      <c r="BY133" s="3">
        <v>5.61</v>
      </c>
      <c r="BZ133" s="3">
        <v>25.36</v>
      </c>
      <c r="CA133" s="3">
        <v>33.81</v>
      </c>
      <c r="CB133" s="3">
        <v>-8.24</v>
      </c>
      <c r="CC133" s="10">
        <v>-1.31</v>
      </c>
      <c r="CD133" s="11" t="s">
        <v>4862</v>
      </c>
      <c r="CE133" s="10" t="s">
        <v>257</v>
      </c>
      <c r="CF133" s="10">
        <v>-0.54337899543378998</v>
      </c>
      <c r="CG133" s="10">
        <v>-1.3290747879501126</v>
      </c>
      <c r="CH133" s="10">
        <v>-0.76580798625946045</v>
      </c>
      <c r="CI133" s="10">
        <v>-5.5309735238552094E-2</v>
      </c>
      <c r="CJ133" s="11">
        <v>1.0639269351959229</v>
      </c>
      <c r="CK133" s="11">
        <v>0.3860759437084198</v>
      </c>
      <c r="CL133" s="11" t="s">
        <v>22</v>
      </c>
      <c r="CM133" s="11">
        <v>-1.1061527729034424</v>
      </c>
      <c r="CN133" s="11">
        <v>-0.29411765933036804</v>
      </c>
      <c r="CO133" s="3">
        <v>5.0207300186157227</v>
      </c>
      <c r="CP133" s="3">
        <v>3.88840651512146</v>
      </c>
      <c r="CQ133" s="3" t="s">
        <v>22</v>
      </c>
      <c r="CR133" s="10">
        <v>78.904819355422902</v>
      </c>
      <c r="CS133" s="11">
        <v>5.0187108680284256</v>
      </c>
      <c r="CT133" s="3">
        <v>0.42669584245076586</v>
      </c>
      <c r="CU133" s="3">
        <v>0.15722128935158253</v>
      </c>
      <c r="CV133" s="3">
        <v>1.877216525375843</v>
      </c>
      <c r="CW133" s="3">
        <v>0.06</v>
      </c>
      <c r="CX133" s="3" t="e">
        <v>#VALUE!</v>
      </c>
      <c r="CY133" s="3" t="s">
        <v>1073</v>
      </c>
      <c r="CZ133" s="3">
        <v>0.15722128935158253</v>
      </c>
      <c r="DA133" s="3" t="e">
        <v>#VALUE!</v>
      </c>
      <c r="DB133" s="3" t="s">
        <v>1074</v>
      </c>
      <c r="DC133" s="3">
        <v>0.14936022488400338</v>
      </c>
      <c r="DD133" s="3" t="e">
        <v>#VALUE!</v>
      </c>
      <c r="DE133" s="3" t="s">
        <v>1074</v>
      </c>
      <c r="DF133" s="3">
        <v>0.13835473462939263</v>
      </c>
      <c r="DG133" s="3" t="e">
        <v>#VALUE!</v>
      </c>
      <c r="DH133" s="3" t="s">
        <v>1074</v>
      </c>
      <c r="DI133" s="3">
        <v>0.12577703148126604</v>
      </c>
      <c r="DJ133" s="3" t="e">
        <v>#VALUE!</v>
      </c>
      <c r="DK133" s="3" t="s">
        <v>1074</v>
      </c>
      <c r="DL133" s="3">
        <v>0.11005490254610777</v>
      </c>
      <c r="DM133" s="3">
        <v>-11464500</v>
      </c>
      <c r="DN133" s="3">
        <v>0.15722128935158253</v>
      </c>
      <c r="DO133" s="3">
        <v>2810098800</v>
      </c>
      <c r="DP133" s="3">
        <v>1207693700</v>
      </c>
      <c r="DQ133" s="12">
        <v>5000</v>
      </c>
      <c r="DR133" s="3">
        <v>-0.70060028478537251</v>
      </c>
      <c r="DS133" s="3">
        <v>-3.2062913133259556</v>
      </c>
      <c r="DT133" s="3">
        <v>-0.46800000000000008</v>
      </c>
      <c r="DU133" s="3">
        <v>-1.3648000000000002</v>
      </c>
      <c r="DV133" s="3">
        <v>-1.8328000000000002</v>
      </c>
      <c r="DW133" s="3">
        <v>-5.1589805825242721</v>
      </c>
      <c r="DX133" s="3">
        <v>0.23857019230769205</v>
      </c>
      <c r="DY133" s="3">
        <v>-5.0156707465926065</v>
      </c>
      <c r="DZ133" s="3">
        <v>4207</v>
      </c>
      <c r="EA133" s="3">
        <v>-5.0027692141238989</v>
      </c>
      <c r="EB133" s="13">
        <v>5</v>
      </c>
      <c r="EC133" s="13">
        <v>2.2308256614087012E-2</v>
      </c>
      <c r="ED133" s="3">
        <v>0.22631848525211912</v>
      </c>
      <c r="EE133" s="3">
        <v>-2.06731</v>
      </c>
      <c r="EF133" s="3">
        <v>-2.1090100000000001</v>
      </c>
      <c r="EG133" s="3">
        <v>14.098570192307692</v>
      </c>
      <c r="EH133" s="14" t="s">
        <v>1401</v>
      </c>
      <c r="EI133" s="15">
        <v>0</v>
      </c>
      <c r="EJ133" s="15">
        <v>0</v>
      </c>
      <c r="EK133" s="15">
        <v>45470</v>
      </c>
      <c r="EL133" s="15">
        <v>0.49</v>
      </c>
      <c r="EM133" s="15">
        <v>-3.85</v>
      </c>
      <c r="EN133" s="3">
        <v>-4.7300000000000004</v>
      </c>
      <c r="EO133" s="3">
        <v>2.37</v>
      </c>
      <c r="EP133" s="3">
        <v>-4.17</v>
      </c>
    </row>
    <row r="134" spans="1:146" ht="96" x14ac:dyDescent="0.25">
      <c r="C134" s="7" t="str">
        <f>""&amp;CHAR(10)&amp;Basic_Fundamental_Information_Constructure(F134)&amp;CHAR(10)&amp;Basic_Fundamental_Information_Concatenate("")</f>
        <v xml:space="preserve">
市值38.697033亿, 利润-3542.84万; PE; 平均PE104.01; 平均PEG8.93, PB4.91; ROIC8.67%; ROE.7467%; 股利率0%; 毛利39.8767%; 净利-6.01%; 上一年度营收增-75.57%, 利润增-1355.48%; 当季营收增-4.43%, 利润增49.47%; 过往5年营收增11.65%, 利润增-256.88%
Income profile:
</v>
      </c>
      <c r="D134" s="3" t="s">
        <v>689</v>
      </c>
      <c r="E134" s="3" t="s">
        <v>690</v>
      </c>
      <c r="F134" s="3">
        <v>27.17</v>
      </c>
      <c r="G134" s="3">
        <v>-0.98</v>
      </c>
      <c r="H134" s="3" t="s">
        <v>4863</v>
      </c>
      <c r="I134" s="3">
        <v>3869703300</v>
      </c>
      <c r="K134" s="3">
        <v>4.91</v>
      </c>
      <c r="L134" s="3" t="s">
        <v>2983</v>
      </c>
      <c r="M134" s="3" t="s">
        <v>1748</v>
      </c>
      <c r="N134" s="3" t="s">
        <v>3425</v>
      </c>
      <c r="O134" s="3" t="s">
        <v>169</v>
      </c>
      <c r="P134" s="3">
        <v>145.41999999999999</v>
      </c>
      <c r="Q134" s="3" t="s">
        <v>169</v>
      </c>
      <c r="R134" s="3">
        <v>-35428358</v>
      </c>
      <c r="S134" s="5">
        <v>0.27629999999999999</v>
      </c>
      <c r="T134" s="3" t="s">
        <v>4864</v>
      </c>
      <c r="U134" s="3">
        <v>142425590</v>
      </c>
      <c r="V134" s="3">
        <v>142425590</v>
      </c>
      <c r="W134" s="3">
        <v>1.64</v>
      </c>
      <c r="X134" s="3">
        <v>0.11</v>
      </c>
      <c r="Y134" s="3">
        <v>-23.31</v>
      </c>
      <c r="Z134" s="3" t="s">
        <v>127</v>
      </c>
      <c r="AA134" s="3" t="s">
        <v>4865</v>
      </c>
      <c r="AB134" s="3" t="s">
        <v>4866</v>
      </c>
      <c r="AC134" s="3" t="s">
        <v>4867</v>
      </c>
      <c r="AD134" s="3" t="s">
        <v>22</v>
      </c>
      <c r="AE134" s="3">
        <v>198203</v>
      </c>
      <c r="AF134" s="3" t="s">
        <v>108</v>
      </c>
      <c r="AG134" s="3" t="s">
        <v>4868</v>
      </c>
      <c r="AH134" s="3" t="s">
        <v>2825</v>
      </c>
      <c r="AI134" s="3" t="s">
        <v>795</v>
      </c>
      <c r="AJ134" s="3" t="s">
        <v>2826</v>
      </c>
      <c r="AK134" s="3" t="s">
        <v>4869</v>
      </c>
      <c r="AL134" s="3" t="s">
        <v>2827</v>
      </c>
      <c r="AM134" s="3" t="s">
        <v>22</v>
      </c>
      <c r="AN134" s="3" t="s">
        <v>4870</v>
      </c>
      <c r="AO134" s="3" t="s">
        <v>2828</v>
      </c>
      <c r="AP134" s="3" t="s">
        <v>22</v>
      </c>
      <c r="AQ134" s="3" t="s">
        <v>4871</v>
      </c>
      <c r="AR134" s="3" t="s">
        <v>4872</v>
      </c>
      <c r="AS134" s="3" t="s">
        <v>107</v>
      </c>
      <c r="AT134" s="3" t="s">
        <v>22</v>
      </c>
      <c r="AU134" s="3" t="s">
        <v>4873</v>
      </c>
      <c r="AV134" s="3" t="s">
        <v>4874</v>
      </c>
      <c r="AW134" s="3" t="s">
        <v>4875</v>
      </c>
      <c r="AX134" s="3" t="s">
        <v>1238</v>
      </c>
      <c r="AY134" s="3" t="s">
        <v>787</v>
      </c>
      <c r="AZ134" s="3" t="s">
        <v>546</v>
      </c>
      <c r="BA134" s="3" t="s">
        <v>643</v>
      </c>
      <c r="BB134" s="3" t="s">
        <v>390</v>
      </c>
      <c r="BC134" s="3" t="s">
        <v>2829</v>
      </c>
      <c r="BD134" s="3" t="s">
        <v>1054</v>
      </c>
      <c r="BE134" s="3" t="s">
        <v>691</v>
      </c>
      <c r="BF134" s="3" t="s">
        <v>692</v>
      </c>
      <c r="BG134" s="3" t="s">
        <v>693</v>
      </c>
      <c r="BH134" s="3" t="s">
        <v>1239</v>
      </c>
      <c r="BI134" s="3" t="s">
        <v>417</v>
      </c>
      <c r="BJ134" s="3" t="s">
        <v>1238</v>
      </c>
      <c r="BK134" s="3" t="s">
        <v>1884</v>
      </c>
      <c r="BL134" s="3" t="s">
        <v>4876</v>
      </c>
      <c r="BM134" s="3" t="s">
        <v>2829</v>
      </c>
      <c r="BN134" s="3" t="s">
        <v>22</v>
      </c>
      <c r="BO134" s="3" t="s">
        <v>22</v>
      </c>
      <c r="BP134" s="3">
        <v>8.67</v>
      </c>
      <c r="BQ134" s="3">
        <v>-8.5</v>
      </c>
      <c r="BR134" s="3">
        <v>0.28000000000000003</v>
      </c>
      <c r="BS134" s="3">
        <v>10.46</v>
      </c>
      <c r="BT134" s="3" t="s">
        <v>1368</v>
      </c>
      <c r="BU134" s="3" t="s">
        <v>2998</v>
      </c>
      <c r="BV134" s="3">
        <v>28.26</v>
      </c>
      <c r="BW134" s="3">
        <v>39.19</v>
      </c>
      <c r="BX134" s="3">
        <v>52.18</v>
      </c>
      <c r="BY134" s="3">
        <v>-33.01</v>
      </c>
      <c r="BZ134" s="3">
        <v>0.47</v>
      </c>
      <c r="CA134" s="3">
        <v>14.51</v>
      </c>
      <c r="CB134" s="3">
        <v>-9.43</v>
      </c>
      <c r="CC134" s="3">
        <v>-8.76</v>
      </c>
      <c r="CD134" s="3" t="s">
        <v>4877</v>
      </c>
      <c r="CE134" s="3" t="s">
        <v>277</v>
      </c>
      <c r="CF134" s="10">
        <v>-4.4303797468354431E-2</v>
      </c>
      <c r="CG134" s="11">
        <v>0.49468261088472437</v>
      </c>
      <c r="CH134" s="10">
        <v>-0.75566345453262329</v>
      </c>
      <c r="CI134" s="10">
        <v>-6.2215477228164673E-2</v>
      </c>
      <c r="CJ134" s="10">
        <v>0.81542700529098511</v>
      </c>
      <c r="CK134" s="10">
        <v>0.40697672963142395</v>
      </c>
      <c r="CL134" s="10">
        <v>0.17808219790458679</v>
      </c>
      <c r="CM134" s="11">
        <v>-13.554803848266602</v>
      </c>
      <c r="CN134" s="11">
        <v>-0.9704892635345459</v>
      </c>
      <c r="CO134" s="11">
        <v>7.054399698972702E-2</v>
      </c>
      <c r="CP134" s="11">
        <v>1.0868388414382935</v>
      </c>
      <c r="CQ134" s="11">
        <v>0.52367985248565674</v>
      </c>
      <c r="CR134" s="3">
        <v>104.00969666888112</v>
      </c>
      <c r="CS134" s="3">
        <v>8.9262312741296235</v>
      </c>
      <c r="CT134" s="3">
        <v>0</v>
      </c>
      <c r="CU134" s="10">
        <v>0.11652140021324157</v>
      </c>
      <c r="CV134" s="11">
        <v>-2.568846084177494</v>
      </c>
      <c r="CW134" s="3">
        <v>0.06</v>
      </c>
      <c r="CX134" s="3" t="e">
        <v>#VALUE!</v>
      </c>
      <c r="CY134" s="3" t="s">
        <v>1073</v>
      </c>
      <c r="CZ134" s="3">
        <v>0.11652140021324157</v>
      </c>
      <c r="DA134" s="3" t="e">
        <v>#VALUE!</v>
      </c>
      <c r="DB134" s="3" t="s">
        <v>1074</v>
      </c>
      <c r="DC134" s="3">
        <v>0.11069533020257949</v>
      </c>
      <c r="DD134" s="3" t="e">
        <v>#VALUE!</v>
      </c>
      <c r="DE134" s="3" t="s">
        <v>1074</v>
      </c>
      <c r="DF134" s="3">
        <v>0.10253883218765258</v>
      </c>
      <c r="DG134" s="3" t="e">
        <v>#VALUE!</v>
      </c>
      <c r="DH134" s="3" t="s">
        <v>1074</v>
      </c>
      <c r="DI134" s="3">
        <v>9.3217120170593262E-2</v>
      </c>
      <c r="DJ134" s="3" t="e">
        <v>#VALUE!</v>
      </c>
      <c r="DK134" s="3" t="s">
        <v>1074</v>
      </c>
      <c r="DL134" s="3">
        <v>8.1564980149269092E-2</v>
      </c>
      <c r="DM134" s="3">
        <v>-35428400</v>
      </c>
      <c r="DN134" s="3">
        <v>0.11652140021324157</v>
      </c>
      <c r="DO134" s="3">
        <v>3547703300</v>
      </c>
      <c r="DP134" s="3">
        <v>785160760</v>
      </c>
      <c r="DQ134" s="3">
        <v>5001</v>
      </c>
      <c r="DR134" s="3">
        <v>-0.160825197681596</v>
      </c>
      <c r="DS134" s="3">
        <v>3.0635286950622183</v>
      </c>
      <c r="DT134" s="12">
        <v>-0.29000000000000004</v>
      </c>
      <c r="DU134" s="3">
        <v>-1.615</v>
      </c>
      <c r="DV134" s="3">
        <v>-1.905</v>
      </c>
      <c r="DW134" s="3">
        <v>-5.9289501590668081</v>
      </c>
      <c r="DX134" s="3">
        <v>0.43178699999999653</v>
      </c>
      <c r="DY134" s="3">
        <v>-5.0852655482502653</v>
      </c>
      <c r="DZ134" s="3">
        <v>146</v>
      </c>
      <c r="EA134" s="3">
        <v>-5.082829389728829</v>
      </c>
      <c r="EB134" s="3">
        <v>5</v>
      </c>
      <c r="EC134" s="3">
        <v>6.4445581724463977E-2</v>
      </c>
      <c r="ED134" s="3">
        <v>0.70212101631455415</v>
      </c>
      <c r="EE134" s="13">
        <v>-2.0677099999999999</v>
      </c>
      <c r="EF134" s="3">
        <v>-2.09131</v>
      </c>
      <c r="EG134" s="3">
        <v>34.091786999999997</v>
      </c>
      <c r="EH134" s="3" t="s">
        <v>1401</v>
      </c>
      <c r="EI134" s="3">
        <v>0</v>
      </c>
      <c r="EJ134" s="3">
        <v>1</v>
      </c>
      <c r="EK134" s="14">
        <v>45470</v>
      </c>
      <c r="EL134" s="15">
        <v>0.66</v>
      </c>
      <c r="EM134" s="15">
        <v>-4.0999999999999996</v>
      </c>
      <c r="EN134" s="3">
        <v>-3.57</v>
      </c>
      <c r="EO134" s="3">
        <v>0.68</v>
      </c>
      <c r="EP134" s="3">
        <v>-2.36</v>
      </c>
    </row>
    <row r="135" spans="1:146" ht="96" x14ac:dyDescent="0.25">
      <c r="C135" s="7" t="str">
        <f>""&amp;CHAR(10)&amp;Basic_Fundamental_Information_Constructure(F135)&amp;CHAR(10)&amp;Basic_Fundamental_Information_Concatenate("")</f>
        <v xml:space="preserve">
市值52.955678亿, 利润5347.70万; PE23.4; 平均PE64.63; 平均PEG14.17, PB4.03; ROIC16.0167%; ROE16.2%; 股利率1.5148%; 毛利42.3667%; 净利21.3967%; 上一年度营收增-71.35%, 利润增-63.37%; 当季营收增-41.02%, 利润增-21.87%; 过往5年营收增4.56%, 利润增38.16%
Income profile:
</v>
      </c>
      <c r="D135" s="3" t="s">
        <v>738</v>
      </c>
      <c r="E135" s="3" t="s">
        <v>739</v>
      </c>
      <c r="F135" s="3">
        <v>39.61</v>
      </c>
      <c r="G135" s="3">
        <v>0.18</v>
      </c>
      <c r="H135" s="3" t="s">
        <v>4878</v>
      </c>
      <c r="I135" s="3">
        <v>5295567800</v>
      </c>
      <c r="J135" s="3">
        <v>23.4</v>
      </c>
      <c r="K135" s="3">
        <v>4.03</v>
      </c>
      <c r="L135" s="3" t="s">
        <v>2983</v>
      </c>
      <c r="M135" s="3" t="s">
        <v>359</v>
      </c>
      <c r="N135" s="3" t="s">
        <v>4879</v>
      </c>
      <c r="O135" s="3" t="s">
        <v>578</v>
      </c>
      <c r="P135" s="3">
        <v>23.57</v>
      </c>
      <c r="Q135" s="3" t="s">
        <v>578</v>
      </c>
      <c r="R135" s="3">
        <v>53477036</v>
      </c>
      <c r="S135" s="5">
        <v>0.9335</v>
      </c>
      <c r="T135" s="3" t="s">
        <v>4880</v>
      </c>
      <c r="U135" s="3">
        <v>133692700</v>
      </c>
      <c r="V135" s="3">
        <v>133692700</v>
      </c>
      <c r="W135" s="3">
        <v>1.07</v>
      </c>
      <c r="X135" s="3">
        <v>0.15</v>
      </c>
      <c r="Y135" s="3">
        <v>24.38</v>
      </c>
      <c r="Z135" s="3" t="s">
        <v>131</v>
      </c>
      <c r="AA135" s="3" t="s">
        <v>450</v>
      </c>
      <c r="AB135" s="3" t="s">
        <v>4881</v>
      </c>
      <c r="AC135" s="3" t="s">
        <v>4882</v>
      </c>
      <c r="AD135" s="3" t="s">
        <v>22</v>
      </c>
      <c r="AE135" s="3">
        <v>-2323260</v>
      </c>
      <c r="AF135" s="3" t="s">
        <v>2830</v>
      </c>
      <c r="AG135" s="3" t="s">
        <v>22</v>
      </c>
      <c r="AH135" s="3" t="s">
        <v>2831</v>
      </c>
      <c r="AI135" s="3" t="s">
        <v>158</v>
      </c>
      <c r="AJ135" s="3" t="s">
        <v>2832</v>
      </c>
      <c r="AK135" s="3" t="s">
        <v>4883</v>
      </c>
      <c r="AL135" s="3" t="s">
        <v>2833</v>
      </c>
      <c r="AM135" s="3" t="s">
        <v>22</v>
      </c>
      <c r="AN135" s="3" t="s">
        <v>4884</v>
      </c>
      <c r="AO135" s="3" t="s">
        <v>4885</v>
      </c>
      <c r="AP135" s="3" t="s">
        <v>4886</v>
      </c>
      <c r="AQ135" s="3" t="s">
        <v>4887</v>
      </c>
      <c r="AR135" s="3" t="s">
        <v>22</v>
      </c>
      <c r="AS135" s="3" t="s">
        <v>4888</v>
      </c>
      <c r="AT135" s="3" t="s">
        <v>22</v>
      </c>
      <c r="AU135" s="3" t="s">
        <v>4889</v>
      </c>
      <c r="AV135" s="3" t="s">
        <v>4890</v>
      </c>
      <c r="AW135" s="3" t="s">
        <v>4891</v>
      </c>
      <c r="AX135" s="3" t="s">
        <v>881</v>
      </c>
      <c r="AY135" s="3" t="s">
        <v>1055</v>
      </c>
      <c r="AZ135" s="3" t="s">
        <v>286</v>
      </c>
      <c r="BA135" s="3" t="s">
        <v>648</v>
      </c>
      <c r="BB135" s="3" t="s">
        <v>159</v>
      </c>
      <c r="BC135" s="3" t="s">
        <v>494</v>
      </c>
      <c r="BD135" s="3" t="s">
        <v>267</v>
      </c>
      <c r="BE135" s="3" t="s">
        <v>740</v>
      </c>
      <c r="BF135" s="3" t="s">
        <v>743</v>
      </c>
      <c r="BG135" s="3" t="s">
        <v>744</v>
      </c>
      <c r="BH135" s="3" t="s">
        <v>617</v>
      </c>
      <c r="BI135" s="3" t="s">
        <v>440</v>
      </c>
      <c r="BJ135" s="3" t="s">
        <v>881</v>
      </c>
      <c r="BK135" s="3" t="s">
        <v>337</v>
      </c>
      <c r="BL135" s="3" t="s">
        <v>4892</v>
      </c>
      <c r="BM135" s="3" t="s">
        <v>494</v>
      </c>
      <c r="BN135" s="3">
        <v>9.42</v>
      </c>
      <c r="BO135" s="3">
        <v>14.01</v>
      </c>
      <c r="BP135" s="3">
        <v>24.62</v>
      </c>
      <c r="BQ135" s="3">
        <v>10.33</v>
      </c>
      <c r="BR135" s="3">
        <v>14.1</v>
      </c>
      <c r="BS135" s="3">
        <v>24.17</v>
      </c>
      <c r="BT135" s="3" t="s">
        <v>1374</v>
      </c>
      <c r="BU135" s="3" t="s">
        <v>3311</v>
      </c>
      <c r="BV135" s="3">
        <v>43.47</v>
      </c>
      <c r="BW135" s="3">
        <v>44.63</v>
      </c>
      <c r="BX135" s="3">
        <v>39</v>
      </c>
      <c r="BY135" s="3">
        <v>23.55</v>
      </c>
      <c r="BZ135" s="3">
        <v>19.78</v>
      </c>
      <c r="CA135" s="3">
        <v>20.86</v>
      </c>
      <c r="CB135" s="3">
        <v>-9.34</v>
      </c>
      <c r="CC135" s="3">
        <v>-2.68</v>
      </c>
      <c r="CD135" s="3" t="s">
        <v>4893</v>
      </c>
      <c r="CE135" s="3" t="s">
        <v>170</v>
      </c>
      <c r="CF135" s="10">
        <v>-0.41018766756032166</v>
      </c>
      <c r="CG135" s="11">
        <v>-0.21866089639816022</v>
      </c>
      <c r="CH135" s="10">
        <v>-0.71354168653488159</v>
      </c>
      <c r="CI135" s="10">
        <v>-7.7519379556179047E-3</v>
      </c>
      <c r="CJ135" s="10">
        <v>0.42541435360908508</v>
      </c>
      <c r="CK135" s="10">
        <v>0.14315789937973022</v>
      </c>
      <c r="CL135" s="10">
        <v>0.38081395626068115</v>
      </c>
      <c r="CM135" s="11">
        <v>-0.63371920585632324</v>
      </c>
      <c r="CN135" s="11">
        <v>-8.1761009991168976E-2</v>
      </c>
      <c r="CO135" s="11">
        <v>1.3748782873153687</v>
      </c>
      <c r="CP135" s="11">
        <v>0.64109575748443604</v>
      </c>
      <c r="CQ135" s="11">
        <v>0.60730916261672974</v>
      </c>
      <c r="CR135" s="3">
        <v>64.631853150693857</v>
      </c>
      <c r="CS135" s="3">
        <v>14.16789879841644</v>
      </c>
      <c r="CT135" s="3">
        <v>1.5147689977278465</v>
      </c>
      <c r="CU135" s="10">
        <v>4.5618516951799394E-2</v>
      </c>
      <c r="CV135" s="11">
        <v>0.38156059831380845</v>
      </c>
      <c r="CW135" s="3">
        <v>0.06</v>
      </c>
      <c r="CX135" s="3">
        <v>76.937552965543802</v>
      </c>
      <c r="CY135" s="3">
        <v>52751454.180218272</v>
      </c>
      <c r="CZ135" s="3">
        <v>4.5618516951799394E-2</v>
      </c>
      <c r="DA135" s="3">
        <v>26.110199773682442</v>
      </c>
      <c r="DB135" s="3">
        <v>155439936.69825536</v>
      </c>
      <c r="DC135" s="3">
        <v>4.3337591104209421E-2</v>
      </c>
      <c r="DD135" s="3">
        <v>13.507377537289971</v>
      </c>
      <c r="DE135" s="3">
        <v>300470449.48551011</v>
      </c>
      <c r="DF135" s="3">
        <v>4.0144294917583465E-2</v>
      </c>
      <c r="DG135" s="3">
        <v>8.567780722809843</v>
      </c>
      <c r="DH135" s="3">
        <v>473701175.52086163</v>
      </c>
      <c r="DI135" s="3">
        <v>3.6494813561439514E-2</v>
      </c>
      <c r="DJ135" s="3">
        <v>4.9700389645898859</v>
      </c>
      <c r="DK135" s="3">
        <v>816606837.27353871</v>
      </c>
      <c r="DL135" s="3">
        <v>3.1932961866259574E-2</v>
      </c>
      <c r="DM135" s="3">
        <v>53477000</v>
      </c>
      <c r="DN135" s="3">
        <v>4.5618516951799394E-2</v>
      </c>
      <c r="DO135" s="3">
        <v>4058567800</v>
      </c>
      <c r="DP135" s="3">
        <v>1282582100</v>
      </c>
      <c r="DQ135" s="3">
        <v>5007</v>
      </c>
      <c r="DR135" s="3">
        <v>-0.45580618451212107</v>
      </c>
      <c r="DS135" s="3">
        <v>-0.60022149471196862</v>
      </c>
      <c r="DT135" s="12">
        <v>-0.54</v>
      </c>
      <c r="DU135" s="3">
        <v>0.14666666666666653</v>
      </c>
      <c r="DV135" s="3">
        <v>-0.39333333333333353</v>
      </c>
      <c r="DW135" s="3">
        <v>-5.2869379014989297</v>
      </c>
      <c r="DX135" s="3">
        <v>0.31281037037037179</v>
      </c>
      <c r="DY135" s="3">
        <v>-5.0381083289713695</v>
      </c>
      <c r="DZ135" s="3">
        <v>2715</v>
      </c>
      <c r="EA135" s="3">
        <v>-5.017860948705759</v>
      </c>
      <c r="EB135" s="3">
        <v>5</v>
      </c>
      <c r="EC135" s="3">
        <v>0.13410904260292447</v>
      </c>
      <c r="ED135" s="3">
        <v>1.0097783947814654</v>
      </c>
      <c r="EE135" s="13">
        <v>2.0975099999999998</v>
      </c>
      <c r="EF135" s="3">
        <v>2.1350099999999999</v>
      </c>
      <c r="EG135" s="3">
        <v>18.132810370370372</v>
      </c>
      <c r="EH135" s="3" t="s">
        <v>2952</v>
      </c>
      <c r="EI135" s="3">
        <v>0</v>
      </c>
      <c r="EJ135" s="3">
        <v>0</v>
      </c>
      <c r="EK135" s="14">
        <v>45470</v>
      </c>
      <c r="EL135" s="15">
        <v>-3.15</v>
      </c>
      <c r="EM135" s="15">
        <v>-5.46</v>
      </c>
      <c r="EN135" s="3">
        <v>-3.72</v>
      </c>
      <c r="EO135" s="3">
        <v>2.96</v>
      </c>
      <c r="EP135" s="3">
        <v>-3.75</v>
      </c>
    </row>
    <row r="136" spans="1:146" ht="96" x14ac:dyDescent="0.25">
      <c r="C136" s="7" t="str">
        <f>""&amp;CHAR(10)&amp;Basic_Fundamental_Information_Constructure(F136)&amp;CHAR(10)&amp;Basic_Fundamental_Information_Concatenate("")</f>
        <v xml:space="preserve">
市值172.69754亿, 利润2760.29万; PE113.6; 平均PE125.64; 平均PEG4.06, PB2.83; ROIC3.1667%; ROE3.72%; 股利率.1112%; 毛利36.9533%; 净利12.34%; 上一年度营收增-56.03%, 利润增-77.37%; 当季营收增-28.24%, 利润增-43.96%; 过往5年营收增30.92%, 利润增771.66%
Income profile:
</v>
      </c>
      <c r="D136" s="3" t="s">
        <v>694</v>
      </c>
      <c r="E136" s="3" t="s">
        <v>695</v>
      </c>
      <c r="F136" s="3">
        <v>143.86000000000001</v>
      </c>
      <c r="G136" s="3">
        <v>1.84</v>
      </c>
      <c r="H136" s="3" t="s">
        <v>2980</v>
      </c>
      <c r="I136" s="3">
        <v>17269754000</v>
      </c>
      <c r="J136" s="3">
        <v>113.6</v>
      </c>
      <c r="K136" s="3">
        <v>2.83</v>
      </c>
      <c r="L136" s="3" t="s">
        <v>2983</v>
      </c>
      <c r="M136" s="3" t="s">
        <v>1763</v>
      </c>
      <c r="N136" s="3" t="s">
        <v>4894</v>
      </c>
      <c r="O136" s="3" t="s">
        <v>1798</v>
      </c>
      <c r="P136" s="3">
        <v>70.27</v>
      </c>
      <c r="Q136" s="3" t="s">
        <v>1798</v>
      </c>
      <c r="R136" s="3">
        <v>27602890</v>
      </c>
      <c r="S136" s="5">
        <v>37.24</v>
      </c>
      <c r="T136" s="3" t="s">
        <v>4895</v>
      </c>
      <c r="U136" s="3">
        <v>120034708</v>
      </c>
      <c r="V136" s="3">
        <v>120045559</v>
      </c>
      <c r="W136" s="3">
        <v>1.06</v>
      </c>
      <c r="X136" s="3">
        <v>0.1</v>
      </c>
      <c r="Y136" s="3">
        <v>4.2300000000000004</v>
      </c>
      <c r="Z136" s="3" t="s">
        <v>2338</v>
      </c>
      <c r="AA136" s="3" t="s">
        <v>449</v>
      </c>
      <c r="AB136" s="3" t="s">
        <v>4896</v>
      </c>
      <c r="AC136" s="3" t="s">
        <v>4897</v>
      </c>
      <c r="AD136" s="3" t="s">
        <v>22</v>
      </c>
      <c r="AE136" s="3">
        <v>-9283138</v>
      </c>
      <c r="AF136" s="3" t="s">
        <v>2836</v>
      </c>
      <c r="AG136" s="3" t="s">
        <v>4898</v>
      </c>
      <c r="AH136" s="3" t="s">
        <v>2837</v>
      </c>
      <c r="AI136" s="3" t="s">
        <v>4899</v>
      </c>
      <c r="AJ136" s="3" t="s">
        <v>2838</v>
      </c>
      <c r="AK136" s="3" t="s">
        <v>22</v>
      </c>
      <c r="AL136" s="3" t="s">
        <v>2839</v>
      </c>
      <c r="AM136" s="3" t="s">
        <v>22</v>
      </c>
      <c r="AN136" s="3" t="s">
        <v>4900</v>
      </c>
      <c r="AO136" s="3" t="s">
        <v>4901</v>
      </c>
      <c r="AP136" s="3" t="s">
        <v>22</v>
      </c>
      <c r="AQ136" s="3" t="s">
        <v>258</v>
      </c>
      <c r="AR136" s="3" t="s">
        <v>22</v>
      </c>
      <c r="AS136" s="3" t="s">
        <v>496</v>
      </c>
      <c r="AT136" s="3" t="s">
        <v>22</v>
      </c>
      <c r="AU136" s="3" t="s">
        <v>4902</v>
      </c>
      <c r="AV136" s="3" t="s">
        <v>1311</v>
      </c>
      <c r="AW136" s="3" t="s">
        <v>4903</v>
      </c>
      <c r="AX136" s="3" t="s">
        <v>1696</v>
      </c>
      <c r="AY136" s="3" t="s">
        <v>1056</v>
      </c>
      <c r="AZ136" s="3" t="s">
        <v>696</v>
      </c>
      <c r="BA136" s="3" t="s">
        <v>698</v>
      </c>
      <c r="BB136" s="3" t="s">
        <v>553</v>
      </c>
      <c r="BC136" s="3" t="s">
        <v>141</v>
      </c>
      <c r="BD136" s="3" t="s">
        <v>500</v>
      </c>
      <c r="BE136" s="3" t="s">
        <v>697</v>
      </c>
      <c r="BF136" s="3" t="s">
        <v>699</v>
      </c>
      <c r="BG136" s="3" t="s">
        <v>700</v>
      </c>
      <c r="BH136" s="3" t="s">
        <v>2835</v>
      </c>
      <c r="BI136" s="3" t="s">
        <v>1598</v>
      </c>
      <c r="BJ136" s="3" t="s">
        <v>1696</v>
      </c>
      <c r="BK136" s="3" t="s">
        <v>27</v>
      </c>
      <c r="BL136" s="3" t="s">
        <v>4904</v>
      </c>
      <c r="BM136" s="3" t="s">
        <v>141</v>
      </c>
      <c r="BN136" s="3">
        <v>1.32</v>
      </c>
      <c r="BO136" s="3">
        <v>1.65</v>
      </c>
      <c r="BP136" s="3">
        <v>6.53</v>
      </c>
      <c r="BQ136" s="3">
        <v>1.95</v>
      </c>
      <c r="BR136" s="3">
        <v>2.06</v>
      </c>
      <c r="BS136" s="3">
        <v>7.15</v>
      </c>
      <c r="BT136" s="3" t="s">
        <v>1377</v>
      </c>
      <c r="BU136" s="3" t="s">
        <v>2998</v>
      </c>
      <c r="BV136" s="3">
        <v>34.200000000000003</v>
      </c>
      <c r="BW136" s="3">
        <v>39.369999999999997</v>
      </c>
      <c r="BX136" s="3">
        <v>37.29</v>
      </c>
      <c r="BY136" s="3">
        <v>5.68</v>
      </c>
      <c r="BZ136" s="3">
        <v>8.24</v>
      </c>
      <c r="CA136" s="3">
        <v>23.1</v>
      </c>
      <c r="CB136" s="3">
        <v>-1.72</v>
      </c>
      <c r="CC136" s="3">
        <v>15.89</v>
      </c>
      <c r="CD136" s="3" t="s">
        <v>4905</v>
      </c>
      <c r="CE136" s="3" t="s">
        <v>4906</v>
      </c>
      <c r="CF136" s="10">
        <v>-0.28241758241758241</v>
      </c>
      <c r="CG136" s="11">
        <v>-0.43957391773968901</v>
      </c>
      <c r="CH136" s="10">
        <v>-0.56026935577392578</v>
      </c>
      <c r="CI136" s="10">
        <v>-0.15864023566246033</v>
      </c>
      <c r="CJ136" s="10">
        <v>0.66352492570877075</v>
      </c>
      <c r="CK136" s="10">
        <v>0.6348227858543396</v>
      </c>
      <c r="CL136" s="10">
        <v>0.96666663885116577</v>
      </c>
      <c r="CM136" s="11">
        <v>-0.77374672889709473</v>
      </c>
      <c r="CN136" s="11">
        <v>-0.70098036527633667</v>
      </c>
      <c r="CO136" s="11">
        <v>1.0606060028076172</v>
      </c>
      <c r="CP136" s="11">
        <v>1.9386097192764282</v>
      </c>
      <c r="CQ136" s="11">
        <v>37.058517456054687</v>
      </c>
      <c r="CR136" s="3">
        <v>125.63596261228069</v>
      </c>
      <c r="CS136" s="3">
        <v>4.0629835036319601</v>
      </c>
      <c r="CT136" s="3">
        <v>0.11121924092868066</v>
      </c>
      <c r="CU136" s="10">
        <v>0.30922095179557801</v>
      </c>
      <c r="CV136" s="11">
        <v>7.7166012167930607</v>
      </c>
      <c r="CW136" s="3">
        <v>0.06</v>
      </c>
      <c r="CX136" s="3">
        <v>340.71057410108847</v>
      </c>
      <c r="CY136" s="3">
        <v>34092731.141809583</v>
      </c>
      <c r="CZ136" s="3">
        <v>0.30922095179557801</v>
      </c>
      <c r="DA136" s="3">
        <v>92.927771482412936</v>
      </c>
      <c r="DB136" s="3">
        <v>124997660.1687725</v>
      </c>
      <c r="DC136" s="3">
        <v>0.29375990420579912</v>
      </c>
      <c r="DD136" s="3">
        <v>35.302753891311042</v>
      </c>
      <c r="DE136" s="3">
        <v>329032517.8529188</v>
      </c>
      <c r="DF136" s="3">
        <v>0.27211443758010867</v>
      </c>
      <c r="DG136" s="3">
        <v>15.446799603907413</v>
      </c>
      <c r="DH136" s="3">
        <v>751984507.97935426</v>
      </c>
      <c r="DI136" s="3">
        <v>0.24737676143646242</v>
      </c>
      <c r="DJ136" s="3">
        <v>3.6827567046212075</v>
      </c>
      <c r="DK136" s="3">
        <v>3154092146.6314311</v>
      </c>
      <c r="DL136" s="3">
        <v>0.2164546662569046</v>
      </c>
      <c r="DM136" s="3">
        <v>27602900</v>
      </c>
      <c r="DN136" s="3">
        <v>0.30922095179557801</v>
      </c>
      <c r="DO136" s="3">
        <v>11615754000</v>
      </c>
      <c r="DP136" s="3">
        <v>5516869600</v>
      </c>
      <c r="DQ136" s="3">
        <v>5012</v>
      </c>
      <c r="DR136" s="3">
        <v>-0.59163853421316048</v>
      </c>
      <c r="DS136" s="3">
        <v>-8.1561751345327504</v>
      </c>
      <c r="DT136" s="12">
        <v>-5.6666666666666789E-2</v>
      </c>
      <c r="DU136" s="3">
        <v>0.28633333333333327</v>
      </c>
      <c r="DV136" s="3">
        <v>0.22966666666666649</v>
      </c>
      <c r="DW136" s="3">
        <v>2.1589</v>
      </c>
      <c r="DX136" s="3">
        <v>0.47069291893200499</v>
      </c>
      <c r="DY136" s="3">
        <v>2.0271231048182958</v>
      </c>
      <c r="DZ136" s="3">
        <v>4250</v>
      </c>
      <c r="EA136" s="3">
        <v>2.0045647495388912</v>
      </c>
      <c r="EB136" s="3">
        <v>2</v>
      </c>
      <c r="EC136" s="3">
        <v>5.1678713079256852E-2</v>
      </c>
      <c r="ED136" s="3">
        <v>0.30275838858811926</v>
      </c>
      <c r="EE136" s="13">
        <v>1.6299999999999999E-2</v>
      </c>
      <c r="EF136" s="3">
        <v>1.9910000000000004E-2</v>
      </c>
      <c r="EG136" s="3">
        <v>30.170692918932005</v>
      </c>
      <c r="EH136" s="3">
        <v>-1</v>
      </c>
      <c r="EI136" s="3">
        <v>1</v>
      </c>
      <c r="EJ136" s="3">
        <v>0</v>
      </c>
      <c r="EK136" s="14">
        <v>45470</v>
      </c>
      <c r="EL136" s="15">
        <v>-3.41</v>
      </c>
      <c r="EM136" s="15">
        <v>-6.02</v>
      </c>
      <c r="EN136" s="3">
        <v>-2.65</v>
      </c>
      <c r="EO136" s="3">
        <v>3.29</v>
      </c>
      <c r="EP136" s="3">
        <v>-3.62</v>
      </c>
    </row>
    <row r="137" spans="1:146" ht="96" x14ac:dyDescent="0.25">
      <c r="A137" s="3"/>
      <c r="B137" s="3"/>
      <c r="C137" s="7" t="str">
        <f>""&amp;CHAR(10)&amp;Basic_Fundamental_Information_Constructure(F137)&amp;CHAR(10)&amp;Basic_Fundamental_Information_Concatenate("")</f>
        <v xml:space="preserve">
市值29.2824亿, 利润-490.81万; PE162.1; 平均PE111.73; 平均PEG36.85, PB1.92; ROIC4.56%; ROE4.33%; 股利率.4016%; 毛利29.6033%; 净利8.01%; 上一年度营收增-78.19%, 利润增-112.32%; 当季营收增-53.36%, 利润增-135.03%; 过往5年营收增3.03%, 利润增37.14%
Income profile:
</v>
      </c>
      <c r="D137" s="5" t="s">
        <v>1719</v>
      </c>
      <c r="E137" s="3" t="s">
        <v>1720</v>
      </c>
      <c r="F137" s="3">
        <v>7.47</v>
      </c>
      <c r="G137" s="3">
        <v>0.13</v>
      </c>
      <c r="H137" s="3" t="s">
        <v>4907</v>
      </c>
      <c r="I137" s="3">
        <v>2928240000</v>
      </c>
      <c r="J137" s="3">
        <v>162.1</v>
      </c>
      <c r="K137" s="3">
        <v>1.92</v>
      </c>
      <c r="L137" s="3" t="s">
        <v>2983</v>
      </c>
      <c r="M137" s="3" t="s">
        <v>221</v>
      </c>
      <c r="N137" s="3" t="s">
        <v>1120</v>
      </c>
      <c r="O137" s="3" t="s">
        <v>181</v>
      </c>
      <c r="P137" s="5">
        <v>0.02</v>
      </c>
      <c r="Q137" s="3" t="s">
        <v>181</v>
      </c>
      <c r="R137" s="3">
        <v>-4908141</v>
      </c>
      <c r="S137" s="3">
        <v>-2.2690000000000001</v>
      </c>
      <c r="T137" s="3" t="s">
        <v>4908</v>
      </c>
      <c r="U137" s="3">
        <v>228398520</v>
      </c>
      <c r="V137" s="3">
        <v>392000000</v>
      </c>
      <c r="W137" s="3">
        <v>1.1299999999999999</v>
      </c>
      <c r="X137" s="3">
        <v>7.0000000000000007E-2</v>
      </c>
      <c r="Y137" s="3">
        <v>-4.43</v>
      </c>
      <c r="Z137" s="3" t="s">
        <v>162</v>
      </c>
      <c r="AA137" s="3" t="s">
        <v>4909</v>
      </c>
      <c r="AB137" s="3" t="s">
        <v>4910</v>
      </c>
      <c r="AC137" s="3" t="s">
        <v>4911</v>
      </c>
      <c r="AD137" s="3" t="s">
        <v>22</v>
      </c>
      <c r="AE137" s="3">
        <v>-7584131</v>
      </c>
      <c r="AF137" s="3" t="s">
        <v>108</v>
      </c>
      <c r="AG137" s="3" t="s">
        <v>4912</v>
      </c>
      <c r="AH137" s="3" t="s">
        <v>2842</v>
      </c>
      <c r="AI137" s="3" t="s">
        <v>1584</v>
      </c>
      <c r="AJ137" s="3" t="s">
        <v>2843</v>
      </c>
      <c r="AK137" s="3" t="s">
        <v>22</v>
      </c>
      <c r="AL137" s="3" t="s">
        <v>2844</v>
      </c>
      <c r="AM137" s="3" t="s">
        <v>22</v>
      </c>
      <c r="AN137" s="3" t="s">
        <v>4913</v>
      </c>
      <c r="AO137" s="3" t="s">
        <v>265</v>
      </c>
      <c r="AP137" s="3" t="s">
        <v>22</v>
      </c>
      <c r="AQ137" s="3" t="s">
        <v>4914</v>
      </c>
      <c r="AR137" s="3" t="s">
        <v>4915</v>
      </c>
      <c r="AS137" s="3" t="s">
        <v>445</v>
      </c>
      <c r="AT137" s="3" t="s">
        <v>22</v>
      </c>
      <c r="AU137" s="3" t="s">
        <v>4916</v>
      </c>
      <c r="AV137" s="3" t="s">
        <v>4917</v>
      </c>
      <c r="AW137" s="3" t="s">
        <v>4918</v>
      </c>
      <c r="AX137" s="3" t="s">
        <v>458</v>
      </c>
      <c r="AY137" s="3" t="s">
        <v>1547</v>
      </c>
      <c r="AZ137" s="3" t="s">
        <v>366</v>
      </c>
      <c r="BA137" s="3" t="s">
        <v>334</v>
      </c>
      <c r="BB137" s="3" t="s">
        <v>22</v>
      </c>
      <c r="BC137" s="3" t="s">
        <v>1813</v>
      </c>
      <c r="BD137" s="3" t="s">
        <v>1814</v>
      </c>
      <c r="BE137" s="3" t="s">
        <v>1815</v>
      </c>
      <c r="BF137" s="3" t="s">
        <v>1816</v>
      </c>
      <c r="BG137" s="3" t="s">
        <v>22</v>
      </c>
      <c r="BH137" s="3" t="s">
        <v>2840</v>
      </c>
      <c r="BI137" s="3" t="s">
        <v>269</v>
      </c>
      <c r="BJ137" s="3" t="s">
        <v>458</v>
      </c>
      <c r="BK137" s="3" t="s">
        <v>2841</v>
      </c>
      <c r="BL137" s="3" t="s">
        <v>4919</v>
      </c>
      <c r="BM137" s="3" t="s">
        <v>1813</v>
      </c>
      <c r="BN137" s="3">
        <v>-2.72</v>
      </c>
      <c r="BO137" s="3">
        <v>6.46</v>
      </c>
      <c r="BP137" s="3">
        <v>9.94</v>
      </c>
      <c r="BQ137" s="3">
        <v>1.54</v>
      </c>
      <c r="BR137" s="3">
        <v>7.12</v>
      </c>
      <c r="BS137" s="3" t="s">
        <v>22</v>
      </c>
      <c r="BT137" s="3" t="s">
        <v>1378</v>
      </c>
      <c r="BU137" s="3" t="s">
        <v>2998</v>
      </c>
      <c r="BV137" s="3">
        <v>25.78</v>
      </c>
      <c r="BW137" s="3">
        <v>30.04</v>
      </c>
      <c r="BX137" s="3">
        <v>32.99</v>
      </c>
      <c r="BY137" s="3">
        <v>4.6900000000000004</v>
      </c>
      <c r="BZ137" s="3">
        <v>7.83</v>
      </c>
      <c r="CA137" s="3">
        <v>11.51</v>
      </c>
      <c r="CB137" s="3">
        <v>-8.23</v>
      </c>
      <c r="CC137" s="10">
        <v>-6.74</v>
      </c>
      <c r="CD137" s="11" t="s">
        <v>4920</v>
      </c>
      <c r="CE137" s="10" t="s">
        <v>138</v>
      </c>
      <c r="CF137" s="10">
        <v>-0.53361344537815125</v>
      </c>
      <c r="CG137" s="10">
        <v>-1.3503012589928058</v>
      </c>
      <c r="CH137" s="10">
        <v>-0.78192532062530518</v>
      </c>
      <c r="CI137" s="10">
        <v>-1.165048498660326E-2</v>
      </c>
      <c r="CJ137" s="11">
        <v>0.90740740299224854</v>
      </c>
      <c r="CK137" s="11">
        <v>7.4626863934099674E-3</v>
      </c>
      <c r="CL137" s="11" t="s">
        <v>22</v>
      </c>
      <c r="CM137" s="11">
        <v>-1.1231871843338013</v>
      </c>
      <c r="CN137" s="11">
        <v>-0.32748067378997803</v>
      </c>
      <c r="CO137" s="3">
        <v>3.3503079414367676</v>
      </c>
      <c r="CP137" s="3">
        <v>-0.41410538554191589</v>
      </c>
      <c r="CQ137" s="3" t="s">
        <v>22</v>
      </c>
      <c r="CR137" s="10">
        <v>111.73059870177244</v>
      </c>
      <c r="CS137" s="11">
        <v>36.846121754651932</v>
      </c>
      <c r="CT137" s="3">
        <v>0.40160642570281124</v>
      </c>
      <c r="CU137" s="3">
        <v>3.0323570943437517E-2</v>
      </c>
      <c r="CV137" s="3">
        <v>0.3713836744427681</v>
      </c>
      <c r="CW137" s="3">
        <v>0.06</v>
      </c>
      <c r="CX137" s="3" t="e">
        <v>#VALUE!</v>
      </c>
      <c r="CY137" s="3" t="s">
        <v>1073</v>
      </c>
      <c r="CZ137" s="3">
        <v>3.0323570943437517E-2</v>
      </c>
      <c r="DA137" s="3" t="e">
        <v>#VALUE!</v>
      </c>
      <c r="DB137" s="3" t="s">
        <v>1074</v>
      </c>
      <c r="DC137" s="3">
        <v>2.8807392396265639E-2</v>
      </c>
      <c r="DD137" s="3" t="e">
        <v>#VALUE!</v>
      </c>
      <c r="DE137" s="3" t="s">
        <v>1074</v>
      </c>
      <c r="DF137" s="3">
        <v>2.6684742430225016E-2</v>
      </c>
      <c r="DG137" s="3" t="e">
        <v>#VALUE!</v>
      </c>
      <c r="DH137" s="3" t="s">
        <v>1074</v>
      </c>
      <c r="DI137" s="3">
        <v>2.4258856754750015E-2</v>
      </c>
      <c r="DJ137" s="3" t="e">
        <v>#VALUE!</v>
      </c>
      <c r="DK137" s="3" t="s">
        <v>1074</v>
      </c>
      <c r="DL137" s="3">
        <v>2.122649966040626E-2</v>
      </c>
      <c r="DM137" s="3">
        <v>-4908100</v>
      </c>
      <c r="DN137" s="3">
        <v>3.0323570943437517E-2</v>
      </c>
      <c r="DO137" s="3">
        <v>1539240000</v>
      </c>
      <c r="DP137" s="3">
        <v>521461990</v>
      </c>
      <c r="DQ137" s="12">
        <v>5022</v>
      </c>
      <c r="DR137" s="3">
        <v>-0.56393701632158877</v>
      </c>
      <c r="DS137" s="3">
        <v>-1.7216849334355739</v>
      </c>
      <c r="DT137" s="3">
        <v>-0.60799999999999998</v>
      </c>
      <c r="DU137" s="3">
        <v>-1.9260000000000002</v>
      </c>
      <c r="DV137" s="3">
        <v>-2.5340000000000003</v>
      </c>
      <c r="DW137" s="3">
        <v>-5.8189550425273389</v>
      </c>
      <c r="DX137" s="3">
        <v>0.23607612903225828</v>
      </c>
      <c r="DY137" s="3">
        <v>-5.0950611311880216</v>
      </c>
      <c r="DZ137" s="3">
        <v>90</v>
      </c>
      <c r="EA137" s="3">
        <v>-5.0933868646896023</v>
      </c>
      <c r="EB137" s="13">
        <v>5</v>
      </c>
      <c r="EC137" s="13">
        <v>4.5897448979591839E-2</v>
      </c>
      <c r="ED137" s="3">
        <v>0.39540816326530615</v>
      </c>
      <c r="EE137" s="3">
        <v>9.3999999999999917E-3</v>
      </c>
      <c r="EF137" s="3">
        <v>3.3510000000000005E-2</v>
      </c>
      <c r="EG137" s="3">
        <v>12.116076129032258</v>
      </c>
      <c r="EH137" s="14">
        <v>-1</v>
      </c>
      <c r="EI137" s="15">
        <v>0</v>
      </c>
      <c r="EJ137" s="15">
        <v>1</v>
      </c>
      <c r="EK137" s="15">
        <v>45470</v>
      </c>
      <c r="EL137" s="15">
        <v>0.75</v>
      </c>
      <c r="EM137" s="15">
        <v>-5.61</v>
      </c>
      <c r="EN137" s="3">
        <v>-2.8</v>
      </c>
      <c r="EO137" s="3">
        <v>4.2699999999999996</v>
      </c>
      <c r="EP137" s="3">
        <v>-4.29</v>
      </c>
    </row>
    <row r="138" spans="1:146" ht="96" x14ac:dyDescent="0.25">
      <c r="A138" s="3"/>
      <c r="B138" s="3"/>
      <c r="C138" s="7" t="str">
        <f>""&amp;CHAR(10)&amp;Basic_Fundamental_Information_Constructure(F138)&amp;CHAR(10)&amp;Basic_Fundamental_Information_Concatenate("")</f>
        <v xml:space="preserve">
市值66.6288亿, 利润2804.28万; PE54.17; 平均PE214.99; 平均PEG14.3, PB3.4; ROIC15.4%; ROE18.69%; 股利率.1891%; 毛利38.65%; 净利13.8367%; 上一年度营收增-67.02%, 利润增-69.22%; 当季营收增-49.07%, 利润增-64.12%; 过往5年营收增15.04%, 利润增234.03%
Income profile:
</v>
      </c>
      <c r="D138" s="3" t="s">
        <v>1885</v>
      </c>
      <c r="E138" s="3" t="s">
        <v>1905</v>
      </c>
      <c r="F138" s="3">
        <v>39.659999999999997</v>
      </c>
      <c r="G138" s="3">
        <v>0.79</v>
      </c>
      <c r="H138" s="3" t="s">
        <v>4921</v>
      </c>
      <c r="I138" s="3">
        <v>6662880000</v>
      </c>
      <c r="J138" s="3">
        <v>54.17</v>
      </c>
      <c r="K138" s="3">
        <v>3.4</v>
      </c>
      <c r="L138" s="3" t="s">
        <v>2983</v>
      </c>
      <c r="M138" s="3" t="s">
        <v>1089</v>
      </c>
      <c r="N138" s="3" t="s">
        <v>4922</v>
      </c>
      <c r="O138" s="3" t="s">
        <v>390</v>
      </c>
      <c r="P138" s="5">
        <v>20.98</v>
      </c>
      <c r="Q138" s="3" t="s">
        <v>390</v>
      </c>
      <c r="R138" s="3">
        <v>28042771</v>
      </c>
      <c r="S138" s="3">
        <v>0.16020000000000001</v>
      </c>
      <c r="T138" s="3" t="s">
        <v>4923</v>
      </c>
      <c r="U138" s="3">
        <v>40320000</v>
      </c>
      <c r="V138" s="3">
        <v>168000000</v>
      </c>
      <c r="W138" s="3">
        <v>1.55</v>
      </c>
      <c r="X138" s="3">
        <v>7.0000000000000007E-2</v>
      </c>
      <c r="Y138" s="3">
        <v>12.8</v>
      </c>
      <c r="Z138" s="3" t="s">
        <v>337</v>
      </c>
      <c r="AA138" s="3" t="s">
        <v>359</v>
      </c>
      <c r="AB138" s="3" t="s">
        <v>4924</v>
      </c>
      <c r="AC138" s="3" t="s">
        <v>4925</v>
      </c>
      <c r="AD138" s="3" t="s">
        <v>22</v>
      </c>
      <c r="AE138" s="3">
        <v>-4172182</v>
      </c>
      <c r="AF138" s="3" t="s">
        <v>2845</v>
      </c>
      <c r="AG138" s="3">
        <v>5001.5</v>
      </c>
      <c r="AH138" s="3" t="s">
        <v>2846</v>
      </c>
      <c r="AI138" s="3" t="s">
        <v>686</v>
      </c>
      <c r="AJ138" s="3" t="s">
        <v>2847</v>
      </c>
      <c r="AK138" s="3" t="s">
        <v>4926</v>
      </c>
      <c r="AL138" s="3" t="s">
        <v>2848</v>
      </c>
      <c r="AM138" s="3" t="s">
        <v>22</v>
      </c>
      <c r="AN138" s="3" t="s">
        <v>4927</v>
      </c>
      <c r="AO138" s="3" t="s">
        <v>4928</v>
      </c>
      <c r="AP138" s="3" t="s">
        <v>4929</v>
      </c>
      <c r="AQ138" s="3" t="s">
        <v>256</v>
      </c>
      <c r="AR138" s="3" t="s">
        <v>22</v>
      </c>
      <c r="AS138" s="3" t="s">
        <v>4930</v>
      </c>
      <c r="AT138" s="3" t="s">
        <v>22</v>
      </c>
      <c r="AU138" s="3" t="s">
        <v>4931</v>
      </c>
      <c r="AV138" s="3" t="s">
        <v>2778</v>
      </c>
      <c r="AW138" s="3" t="s">
        <v>4932</v>
      </c>
      <c r="AX138" s="3" t="s">
        <v>1578</v>
      </c>
      <c r="AY138" s="3" t="s">
        <v>1882</v>
      </c>
      <c r="AZ138" s="3" t="s">
        <v>105</v>
      </c>
      <c r="BA138" s="3" t="s">
        <v>133</v>
      </c>
      <c r="BB138" s="3" t="s">
        <v>22</v>
      </c>
      <c r="BC138" s="3" t="s">
        <v>2849</v>
      </c>
      <c r="BD138" s="3" t="s">
        <v>2850</v>
      </c>
      <c r="BE138" s="3" t="s">
        <v>2851</v>
      </c>
      <c r="BF138" s="3" t="s">
        <v>2852</v>
      </c>
      <c r="BG138" s="3" t="s">
        <v>22</v>
      </c>
      <c r="BH138" s="3" t="s">
        <v>616</v>
      </c>
      <c r="BI138" s="3" t="s">
        <v>498</v>
      </c>
      <c r="BJ138" s="3" t="s">
        <v>1578</v>
      </c>
      <c r="BK138" s="3" t="s">
        <v>304</v>
      </c>
      <c r="BL138" s="3" t="s">
        <v>4933</v>
      </c>
      <c r="BM138" s="3" t="s">
        <v>2849</v>
      </c>
      <c r="BN138" s="3">
        <v>16.100000000000001</v>
      </c>
      <c r="BO138" s="3">
        <v>15.48</v>
      </c>
      <c r="BP138" s="3">
        <v>14.62</v>
      </c>
      <c r="BQ138" s="3">
        <v>19.25</v>
      </c>
      <c r="BR138" s="3">
        <v>18.13</v>
      </c>
      <c r="BS138" s="3" t="s">
        <v>22</v>
      </c>
      <c r="BT138" s="3" t="s">
        <v>1382</v>
      </c>
      <c r="BU138" s="3" t="s">
        <v>1212</v>
      </c>
      <c r="BV138" s="3">
        <v>38.35</v>
      </c>
      <c r="BW138" s="3">
        <v>39.57</v>
      </c>
      <c r="BX138" s="3">
        <v>38.03</v>
      </c>
      <c r="BY138" s="3">
        <v>16.05</v>
      </c>
      <c r="BZ138" s="3">
        <v>13.73</v>
      </c>
      <c r="CA138" s="3">
        <v>11.73</v>
      </c>
      <c r="CB138" s="3">
        <v>1.46</v>
      </c>
      <c r="CC138" s="10">
        <v>-0.38</v>
      </c>
      <c r="CD138" s="11" t="s">
        <v>4934</v>
      </c>
      <c r="CE138" s="10" t="s">
        <v>4935</v>
      </c>
      <c r="CF138" s="10">
        <v>-0.49069767441860462</v>
      </c>
      <c r="CG138" s="10">
        <v>-0.64122657936182004</v>
      </c>
      <c r="CH138" s="10">
        <v>-0.67018073797225952</v>
      </c>
      <c r="CI138" s="10">
        <v>0.32534930109977722</v>
      </c>
      <c r="CJ138" s="11">
        <v>0.43553009629249573</v>
      </c>
      <c r="CK138" s="11">
        <v>0.51082253456115723</v>
      </c>
      <c r="CL138" s="11" t="s">
        <v>22</v>
      </c>
      <c r="CM138" s="11">
        <v>-0.69223946332931519</v>
      </c>
      <c r="CN138" s="11">
        <v>0.54953306913375854</v>
      </c>
      <c r="CO138" s="3">
        <v>8.2881336212158203</v>
      </c>
      <c r="CP138" s="3">
        <v>1.2157853841781616</v>
      </c>
      <c r="CQ138" s="3" t="s">
        <v>22</v>
      </c>
      <c r="CR138" s="10">
        <v>214.99111689622484</v>
      </c>
      <c r="CS138" s="11">
        <v>14.296494889784693</v>
      </c>
      <c r="CT138" s="3">
        <v>0.18910741301059003</v>
      </c>
      <c r="CU138" s="3">
        <v>0.15038029849529266</v>
      </c>
      <c r="CV138" s="3">
        <v>2.3403031527996063</v>
      </c>
      <c r="CW138" s="3">
        <v>0.06</v>
      </c>
      <c r="CX138" s="3">
        <v>184.92170283813132</v>
      </c>
      <c r="CY138" s="3">
        <v>30433853.428909246</v>
      </c>
      <c r="CZ138" s="3">
        <v>0.15038029849529266</v>
      </c>
      <c r="DA138" s="3">
        <v>57.43904159895029</v>
      </c>
      <c r="DB138" s="3">
        <v>97980047.07834211</v>
      </c>
      <c r="DC138" s="3">
        <v>0.14286128357052802</v>
      </c>
      <c r="DD138" s="3">
        <v>26.379995029245208</v>
      </c>
      <c r="DE138" s="3">
        <v>213338933.3000578</v>
      </c>
      <c r="DF138" s="3">
        <v>0.13233466267585756</v>
      </c>
      <c r="DG138" s="3">
        <v>14.617974910046508</v>
      </c>
      <c r="DH138" s="3">
        <v>384997240.35865748</v>
      </c>
      <c r="DI138" s="3">
        <v>0.12030423879623414</v>
      </c>
      <c r="DJ138" s="3">
        <v>6.2841980399320629</v>
      </c>
      <c r="DK138" s="3">
        <v>895560573.39988637</v>
      </c>
      <c r="DL138" s="3">
        <v>0.10526620894670485</v>
      </c>
      <c r="DM138" s="3">
        <v>28042800.000000004</v>
      </c>
      <c r="DN138" s="3">
        <v>0.15038029849529266</v>
      </c>
      <c r="DO138" s="3">
        <v>5627880000</v>
      </c>
      <c r="DP138" s="3">
        <v>1925211700</v>
      </c>
      <c r="DQ138" s="12">
        <v>5040</v>
      </c>
      <c r="DR138" s="3">
        <v>-0.64107797291389734</v>
      </c>
      <c r="DS138" s="3">
        <v>-2.9815297321614262</v>
      </c>
      <c r="DT138" s="3">
        <v>-0.44800000000000006</v>
      </c>
      <c r="DU138" s="3">
        <v>-1.0000000000000052E-2</v>
      </c>
      <c r="DV138" s="3">
        <v>-0.45800000000000013</v>
      </c>
      <c r="DW138" s="3">
        <v>-3.8E-3</v>
      </c>
      <c r="DX138" s="3">
        <v>0.276824612390696</v>
      </c>
      <c r="DY138" s="3">
        <v>-4.0593352708464029E-4</v>
      </c>
      <c r="DZ138" s="3">
        <v>2739</v>
      </c>
      <c r="EA138" s="3">
        <v>-1.8834997900541724E-4</v>
      </c>
      <c r="EB138" s="13">
        <v>0</v>
      </c>
      <c r="EC138" s="13">
        <v>5.3241071428571429E-2</v>
      </c>
      <c r="ED138" s="3">
        <v>0.49839702380952383</v>
      </c>
      <c r="EE138" s="3">
        <v>3.3910000000000003E-2</v>
      </c>
      <c r="EF138" s="3">
        <v>1.9210000000000001E-2</v>
      </c>
      <c r="EG138" s="3">
        <v>17.106824612390696</v>
      </c>
      <c r="EH138" s="14">
        <v>-1</v>
      </c>
      <c r="EI138" s="3">
        <v>0</v>
      </c>
      <c r="EJ138" s="3">
        <v>0</v>
      </c>
      <c r="EK138" s="3">
        <v>45470</v>
      </c>
      <c r="EL138" s="3">
        <v>-9.26</v>
      </c>
      <c r="EM138" s="3">
        <v>-3.66</v>
      </c>
      <c r="EN138" s="3">
        <v>-1.19</v>
      </c>
      <c r="EO138" s="3">
        <v>3.44</v>
      </c>
      <c r="EP138" s="3">
        <v>1.47</v>
      </c>
    </row>
    <row r="139" spans="1:146" ht="96" x14ac:dyDescent="0.25">
      <c r="A139" s="3"/>
      <c r="B139" s="3"/>
      <c r="C139" s="7" t="str">
        <f>""&amp;CHAR(10)&amp;Basic_Fundamental_Information_Constructure(F139)&amp;CHAR(10)&amp;Basic_Fundamental_Information_Concatenate("")</f>
        <v xml:space="preserve">
市值62.653248亿, 利润-2406.97万; PE; 平均PE-269.53; 平均PEG-2.41, PB3.94; ROIC1.815%; ROE1.095%; 股利率0%; 毛利27.3033%; 净利3.7533%; 上一年度营收增-80.41%, 利润增-217.67%; 当季营收增-51.61%, 利润增-902.03%; 过往5年营收增111.98%, 利润增-4.75%
Income profile:
</v>
      </c>
      <c r="D139" s="3" t="s">
        <v>1887</v>
      </c>
      <c r="E139" s="3" t="s">
        <v>1900</v>
      </c>
      <c r="F139" s="3">
        <v>14.76</v>
      </c>
      <c r="G139" s="3">
        <v>3.94</v>
      </c>
      <c r="H139" s="3" t="s">
        <v>4936</v>
      </c>
      <c r="I139" s="3">
        <v>6265324800</v>
      </c>
      <c r="K139" s="3">
        <v>3.94</v>
      </c>
      <c r="L139" s="3" t="s">
        <v>2983</v>
      </c>
      <c r="M139" s="3" t="s">
        <v>2853</v>
      </c>
      <c r="N139" s="3" t="s">
        <v>1287</v>
      </c>
      <c r="O139" s="3" t="s">
        <v>2854</v>
      </c>
      <c r="P139" s="3">
        <v>37.15</v>
      </c>
      <c r="Q139" s="3" t="s">
        <v>2854</v>
      </c>
      <c r="R139" s="3">
        <v>-24069747</v>
      </c>
      <c r="S139" s="3">
        <v>-1.056</v>
      </c>
      <c r="T139" s="3" t="s">
        <v>4937</v>
      </c>
      <c r="U139" s="3">
        <v>54600762</v>
      </c>
      <c r="V139" s="3">
        <v>424480000</v>
      </c>
      <c r="W139" s="3">
        <v>1.03</v>
      </c>
      <c r="X139" s="3">
        <v>0.05</v>
      </c>
      <c r="Y139" s="3">
        <v>-29.26</v>
      </c>
      <c r="Z139" s="3" t="s">
        <v>24</v>
      </c>
      <c r="AA139" s="3" t="s">
        <v>4938</v>
      </c>
      <c r="AB139" s="3" t="s">
        <v>4939</v>
      </c>
      <c r="AC139" s="3" t="s">
        <v>4940</v>
      </c>
      <c r="AD139" s="3" t="s">
        <v>22</v>
      </c>
      <c r="AE139" s="3">
        <v>-2267512</v>
      </c>
      <c r="AF139" s="3" t="s">
        <v>2856</v>
      </c>
      <c r="AG139" s="3" t="s">
        <v>22</v>
      </c>
      <c r="AH139" s="3" t="s">
        <v>2857</v>
      </c>
      <c r="AI139" s="3" t="s">
        <v>3284</v>
      </c>
      <c r="AJ139" s="3" t="s">
        <v>2858</v>
      </c>
      <c r="AK139" s="3" t="s">
        <v>4941</v>
      </c>
      <c r="AL139" s="3" t="s">
        <v>2859</v>
      </c>
      <c r="AM139" s="3" t="s">
        <v>22</v>
      </c>
      <c r="AN139" s="3" t="s">
        <v>2860</v>
      </c>
      <c r="AO139" s="3" t="s">
        <v>22</v>
      </c>
      <c r="AP139" s="3" t="s">
        <v>22</v>
      </c>
      <c r="AQ139" s="3" t="s">
        <v>4942</v>
      </c>
      <c r="AR139" s="3" t="s">
        <v>22</v>
      </c>
      <c r="AS139" s="3" t="s">
        <v>4943</v>
      </c>
      <c r="AT139" s="3" t="s">
        <v>22</v>
      </c>
      <c r="AU139" s="3" t="s">
        <v>4944</v>
      </c>
      <c r="AV139" s="3" t="s">
        <v>4945</v>
      </c>
      <c r="AW139" s="3" t="s">
        <v>4946</v>
      </c>
      <c r="AX139" s="3" t="s">
        <v>1145</v>
      </c>
      <c r="AY139" s="3" t="s">
        <v>1746</v>
      </c>
      <c r="AZ139" s="3" t="s">
        <v>1889</v>
      </c>
      <c r="BA139" s="3" t="s">
        <v>1890</v>
      </c>
      <c r="BB139" s="3" t="s">
        <v>22</v>
      </c>
      <c r="BC139" s="3" t="s">
        <v>1888</v>
      </c>
      <c r="BD139" s="3" t="s">
        <v>1891</v>
      </c>
      <c r="BE139" s="3" t="s">
        <v>1892</v>
      </c>
      <c r="BF139" s="3" t="s">
        <v>1893</v>
      </c>
      <c r="BG139" s="3" t="s">
        <v>22</v>
      </c>
      <c r="BH139" s="3" t="s">
        <v>1532</v>
      </c>
      <c r="BI139" s="3" t="s">
        <v>535</v>
      </c>
      <c r="BJ139" s="3" t="s">
        <v>1145</v>
      </c>
      <c r="BK139" s="3" t="s">
        <v>2855</v>
      </c>
      <c r="BL139" s="3" t="s">
        <v>4947</v>
      </c>
      <c r="BM139" s="3" t="s">
        <v>1888</v>
      </c>
      <c r="BN139" s="3" t="s">
        <v>22</v>
      </c>
      <c r="BO139" s="3">
        <v>1.44</v>
      </c>
      <c r="BP139" s="3">
        <v>2.19</v>
      </c>
      <c r="BQ139" s="3">
        <v>0.13</v>
      </c>
      <c r="BR139" s="3">
        <v>2.06</v>
      </c>
      <c r="BS139" s="3" t="s">
        <v>22</v>
      </c>
      <c r="BT139" s="3" t="s">
        <v>1368</v>
      </c>
      <c r="BU139" s="3" t="s">
        <v>3311</v>
      </c>
      <c r="BV139" s="3">
        <v>28.1</v>
      </c>
      <c r="BW139" s="3">
        <v>26.63</v>
      </c>
      <c r="BX139" s="3">
        <v>27.18</v>
      </c>
      <c r="BY139" s="3">
        <v>2.39</v>
      </c>
      <c r="BZ139" s="3">
        <v>4.87</v>
      </c>
      <c r="CA139" s="3">
        <v>4</v>
      </c>
      <c r="CB139" s="3">
        <v>14.6</v>
      </c>
      <c r="CC139" s="10">
        <v>32.61</v>
      </c>
      <c r="CD139" s="11" t="s">
        <v>4948</v>
      </c>
      <c r="CE139" s="10" t="s">
        <v>328</v>
      </c>
      <c r="CF139" s="10">
        <v>-0.51607352941176465</v>
      </c>
      <c r="CG139" s="10">
        <v>-9.0203082203192171</v>
      </c>
      <c r="CH139" s="10">
        <v>-0.80412495136260986</v>
      </c>
      <c r="CI139" s="10">
        <v>0.22807016968727112</v>
      </c>
      <c r="CJ139" s="11">
        <v>3.2164387702941895</v>
      </c>
      <c r="CK139" s="11">
        <v>1.838811993598938</v>
      </c>
      <c r="CL139" s="11" t="s">
        <v>22</v>
      </c>
      <c r="CM139" s="11">
        <v>-2.176680326461792</v>
      </c>
      <c r="CN139" s="11">
        <v>0.49616736173629761</v>
      </c>
      <c r="CO139" s="3">
        <v>1.2506568431854248</v>
      </c>
      <c r="CP139" s="3">
        <v>0.23970399796962738</v>
      </c>
      <c r="CQ139" s="3" t="s">
        <v>22</v>
      </c>
      <c r="CR139" s="10">
        <v>-269.52687901903323</v>
      </c>
      <c r="CS139" s="11">
        <v>-2.4069219573248692</v>
      </c>
      <c r="CT139" s="3">
        <v>0</v>
      </c>
      <c r="CU139" s="3">
        <v>1.1197989955544472</v>
      </c>
      <c r="CV139" s="3">
        <v>-4.753803089261055E-2</v>
      </c>
      <c r="CW139" s="3">
        <v>0.06</v>
      </c>
      <c r="CX139" s="3" t="e">
        <v>#VALUE!</v>
      </c>
      <c r="CY139" s="3" t="s">
        <v>1073</v>
      </c>
      <c r="CZ139" s="3">
        <v>1.1197989955544472</v>
      </c>
      <c r="DA139" s="3" t="e">
        <v>#VALUE!</v>
      </c>
      <c r="DB139" s="3" t="s">
        <v>1074</v>
      </c>
      <c r="DC139" s="3">
        <v>1.0638090457767249</v>
      </c>
      <c r="DD139" s="3" t="e">
        <v>#VALUE!</v>
      </c>
      <c r="DE139" s="3" t="s">
        <v>1074</v>
      </c>
      <c r="DF139" s="3">
        <v>0.98542311608791355</v>
      </c>
      <c r="DG139" s="3" t="e">
        <v>#VALUE!</v>
      </c>
      <c r="DH139" s="3" t="s">
        <v>1074</v>
      </c>
      <c r="DI139" s="3">
        <v>0.89583919644355781</v>
      </c>
      <c r="DJ139" s="3" t="e">
        <v>#VALUE!</v>
      </c>
      <c r="DK139" s="3" t="s">
        <v>1074</v>
      </c>
      <c r="DL139" s="3">
        <v>0.78385929688811296</v>
      </c>
      <c r="DM139" s="3">
        <v>-24069699.999999996</v>
      </c>
      <c r="DN139" s="3">
        <v>1.1197989955544472</v>
      </c>
      <c r="DO139" s="3">
        <v>4765447500</v>
      </c>
      <c r="DP139" s="3">
        <v>1426585600</v>
      </c>
      <c r="DQ139" s="12">
        <v>5041</v>
      </c>
      <c r="DR139" s="3">
        <v>-1.6358725249662118</v>
      </c>
      <c r="DS139" s="3">
        <v>-8.9727701894266065</v>
      </c>
      <c r="DT139" s="3">
        <v>0.22580000000000008</v>
      </c>
      <c r="DU139" s="3">
        <v>-1.8379999999999999</v>
      </c>
      <c r="DV139" s="3">
        <v>-1.6121999999999999</v>
      </c>
      <c r="DW139" s="3">
        <v>9.4477154247163444</v>
      </c>
      <c r="DX139" s="3">
        <v>0.57823443983402656</v>
      </c>
      <c r="DY139" s="3">
        <v>9.0842754621765334</v>
      </c>
      <c r="DZ139" s="3">
        <v>4010</v>
      </c>
      <c r="EA139" s="3">
        <v>9.0181414889225415</v>
      </c>
      <c r="EB139" s="13">
        <v>9</v>
      </c>
      <c r="EC139" s="13">
        <v>0.10687075951752732</v>
      </c>
      <c r="ED139" s="3">
        <v>0.567753486618922</v>
      </c>
      <c r="EE139" s="3">
        <v>-3.0585100000000001</v>
      </c>
      <c r="EF139" s="3">
        <v>-3.1272099999999998</v>
      </c>
      <c r="EG139" s="3">
        <v>39.188234439834027</v>
      </c>
      <c r="EH139" s="14" t="s">
        <v>1838</v>
      </c>
      <c r="EI139" s="3">
        <v>1</v>
      </c>
      <c r="EJ139" s="3">
        <v>0</v>
      </c>
      <c r="EK139" s="3">
        <v>45470</v>
      </c>
      <c r="EL139" s="3">
        <v>-4.93</v>
      </c>
      <c r="EM139" s="3">
        <v>8.33</v>
      </c>
      <c r="EN139" s="3">
        <v>-6.06</v>
      </c>
      <c r="EO139" s="3">
        <v>6.54</v>
      </c>
      <c r="EP139" s="3">
        <v>-6.87</v>
      </c>
    </row>
    <row r="140" spans="1:146" ht="192" x14ac:dyDescent="0.25">
      <c r="A140" s="3"/>
      <c r="B140" s="3"/>
      <c r="C140" s="7" t="str">
        <f>"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amp;CHAR(10)&amp;Basic_Fundamental_Information_Constructure(F140)&amp;CHAR(10)&amp;Basic_Fundamental_Information_Concatenate("半导体芯片测试探针 1.21亿 42.10% 5527.63万 50.45% 45.52%
精微屏蔽罩 1.17亿 40.64% 4216.97万 38.49% 35.97%
精密结构件 2463.16万 8.54% 533.97万 4.87% 21.68%
其它 1261.11万 4.37% 264.17万 2.41% 20.95%
精微连接器及零组件 969.85万 3.36% 414.23万 3.78% 42.71%")</f>
        <v>公司主营业务为微型精密电子零部件和元器件的研发、设计、生产和销售，公司主要产品为微机电(MEMS)精微电子零部件系列产品以及半导体芯片测试探针系列产品；其中，微机电(MEMS)精微电子零部件系列产品主要包括精微屏蔽罩、精密结构件以及精微连接器及零部件。
市值31.779607亿, 利润-541.80万; PE; 平均PE80.39; 平均PEG6.87, PB2.61; ROIC15.11%; ROE8.89%; 股利率.2941%; 毛利35.9%; 净利11.2733%; 上一年度营收增-66.43%, 利润增-114.21%; 当季营收增-1.99%, 利润增68.01%; 过往5年营收增11.7%, 利润增42.37%
Income profile:
半导体芯片测试探针 1.21亿 42.10% 5527.63万 50.45% 45.52%
精微屏蔽罩 1.17亿 40.64% 4216.97万 38.49% 35.97%
精密结构件 2463.16万 8.54% 533.97万 4.87% 21.68%
其它 1261.11万 4.37% 264.17万 2.41% 20.95%
精微连接器及零组件 969.85万 3.36% 414.23万 3.78% 42.71%</v>
      </c>
      <c r="D140" s="3" t="s">
        <v>1697</v>
      </c>
      <c r="E140" s="3" t="s">
        <v>1698</v>
      </c>
      <c r="F140" s="3">
        <v>27.2</v>
      </c>
      <c r="G140" s="3">
        <v>-0.66</v>
      </c>
      <c r="H140" s="3" t="s">
        <v>4949</v>
      </c>
      <c r="I140" s="3">
        <v>3177960700</v>
      </c>
      <c r="K140" s="3">
        <v>2.61</v>
      </c>
      <c r="L140" s="3" t="s">
        <v>2983</v>
      </c>
      <c r="M140" s="3" t="s">
        <v>1072</v>
      </c>
      <c r="N140" s="3" t="s">
        <v>1559</v>
      </c>
      <c r="O140" s="3" t="s">
        <v>2861</v>
      </c>
      <c r="P140" s="5">
        <v>124.93</v>
      </c>
      <c r="Q140" s="3" t="s">
        <v>2861</v>
      </c>
      <c r="R140" s="3">
        <v>-5417990</v>
      </c>
      <c r="S140" s="3">
        <v>0.24349999999999999</v>
      </c>
      <c r="T140" s="3" t="s">
        <v>4950</v>
      </c>
      <c r="U140" s="3">
        <v>116653224</v>
      </c>
      <c r="V140" s="3">
        <v>116836789</v>
      </c>
      <c r="W140" s="3">
        <v>1.1399999999999999</v>
      </c>
      <c r="X140" s="3">
        <v>7.0000000000000007E-2</v>
      </c>
      <c r="Y140" s="3">
        <v>-5.59</v>
      </c>
      <c r="Z140" s="3" t="s">
        <v>309</v>
      </c>
      <c r="AA140" s="3" t="s">
        <v>4951</v>
      </c>
      <c r="AB140" s="3" t="s">
        <v>4952</v>
      </c>
      <c r="AC140" s="3" t="s">
        <v>4953</v>
      </c>
      <c r="AD140" s="3" t="s">
        <v>22</v>
      </c>
      <c r="AE140" s="3">
        <v>-3622911</v>
      </c>
      <c r="AF140" s="3" t="s">
        <v>2863</v>
      </c>
      <c r="AG140" s="3">
        <v>5640.1</v>
      </c>
      <c r="AH140" s="3" t="s">
        <v>2864</v>
      </c>
      <c r="AI140" s="3" t="s">
        <v>1847</v>
      </c>
      <c r="AJ140" s="3" t="s">
        <v>2865</v>
      </c>
      <c r="AK140" s="3" t="s">
        <v>22</v>
      </c>
      <c r="AL140" s="3" t="s">
        <v>2866</v>
      </c>
      <c r="AM140" s="3" t="s">
        <v>22</v>
      </c>
      <c r="AN140" s="3" t="s">
        <v>4954</v>
      </c>
      <c r="AO140" s="3" t="s">
        <v>4955</v>
      </c>
      <c r="AP140" s="3" t="s">
        <v>22</v>
      </c>
      <c r="AQ140" s="3" t="s">
        <v>4956</v>
      </c>
      <c r="AR140" s="3" t="s">
        <v>2867</v>
      </c>
      <c r="AS140" s="3" t="s">
        <v>197</v>
      </c>
      <c r="AT140" s="3" t="s">
        <v>22</v>
      </c>
      <c r="AU140" s="3" t="s">
        <v>4166</v>
      </c>
      <c r="AV140" s="3" t="s">
        <v>4957</v>
      </c>
      <c r="AW140" s="3" t="s">
        <v>4958</v>
      </c>
      <c r="AX140" s="3" t="s">
        <v>229</v>
      </c>
      <c r="AY140" s="3" t="s">
        <v>547</v>
      </c>
      <c r="AZ140" s="3" t="s">
        <v>619</v>
      </c>
      <c r="BA140" s="3" t="s">
        <v>127</v>
      </c>
      <c r="BB140" s="3" t="s">
        <v>283</v>
      </c>
      <c r="BC140" s="3" t="s">
        <v>1699</v>
      </c>
      <c r="BD140" s="3" t="s">
        <v>309</v>
      </c>
      <c r="BE140" s="3" t="s">
        <v>1700</v>
      </c>
      <c r="BF140" s="3" t="s">
        <v>1701</v>
      </c>
      <c r="BG140" s="3" t="s">
        <v>1702</v>
      </c>
      <c r="BH140" s="3" t="s">
        <v>732</v>
      </c>
      <c r="BI140" s="3" t="s">
        <v>4959</v>
      </c>
      <c r="BJ140" s="3" t="s">
        <v>229</v>
      </c>
      <c r="BK140" s="3" t="s">
        <v>2862</v>
      </c>
      <c r="BL140" s="3" t="s">
        <v>4960</v>
      </c>
      <c r="BM140" s="3" t="s">
        <v>1699</v>
      </c>
      <c r="BN140" s="3" t="s">
        <v>22</v>
      </c>
      <c r="BO140" s="3">
        <v>3.98</v>
      </c>
      <c r="BP140" s="3">
        <v>26.24</v>
      </c>
      <c r="BQ140" s="3">
        <v>-1.79</v>
      </c>
      <c r="BR140" s="3">
        <v>5.19</v>
      </c>
      <c r="BS140" s="3">
        <v>23.27</v>
      </c>
      <c r="BT140" s="3" t="s">
        <v>2868</v>
      </c>
      <c r="BU140" s="3" t="s">
        <v>1211</v>
      </c>
      <c r="BV140" s="3">
        <v>25.06</v>
      </c>
      <c r="BW140" s="3">
        <v>38.97</v>
      </c>
      <c r="BX140" s="3">
        <v>43.67</v>
      </c>
      <c r="BY140" s="3">
        <v>-7.32</v>
      </c>
      <c r="BZ140" s="3">
        <v>13.22</v>
      </c>
      <c r="CA140" s="3">
        <v>27.92</v>
      </c>
      <c r="CB140" s="3">
        <v>-11.26</v>
      </c>
      <c r="CC140" s="10">
        <v>-30.31</v>
      </c>
      <c r="CD140" s="11" t="s">
        <v>4961</v>
      </c>
      <c r="CE140" s="10" t="s">
        <v>4962</v>
      </c>
      <c r="CF140" s="10">
        <v>-1.9874693323060078E-2</v>
      </c>
      <c r="CG140" s="10">
        <v>0.68011867158671591</v>
      </c>
      <c r="CH140" s="10">
        <v>-0.6643139123916626</v>
      </c>
      <c r="CI140" s="10">
        <v>-0.22162161767482758</v>
      </c>
      <c r="CJ140" s="11">
        <v>0.61572051048278809</v>
      </c>
      <c r="CK140" s="11">
        <v>0.21164020895957947</v>
      </c>
      <c r="CL140" s="11">
        <v>0.64347827434539795</v>
      </c>
      <c r="CM140" s="11">
        <v>-1.1420935392379761</v>
      </c>
      <c r="CN140" s="11">
        <v>-0.62980777025222778</v>
      </c>
      <c r="CO140" s="3">
        <v>0.67762279510498047</v>
      </c>
      <c r="CP140" s="3">
        <v>3.734344482421875</v>
      </c>
      <c r="CQ140" s="3">
        <v>-0.52147907018661499</v>
      </c>
      <c r="CR140" s="10">
        <v>80.394557995221291</v>
      </c>
      <c r="CS140" s="11">
        <v>6.8724638322138398</v>
      </c>
      <c r="CT140" s="3">
        <v>0.29411764705882354</v>
      </c>
      <c r="CU140" s="3">
        <v>0.11698069274425507</v>
      </c>
      <c r="CV140" s="3">
        <v>0.42371737957000732</v>
      </c>
      <c r="CW140" s="3">
        <v>0.06</v>
      </c>
      <c r="CX140" s="3" t="e">
        <v>#VALUE!</v>
      </c>
      <c r="CY140" s="3" t="s">
        <v>1073</v>
      </c>
      <c r="CZ140" s="3">
        <v>0.11698069274425507</v>
      </c>
      <c r="DA140" s="3" t="e">
        <v>#VALUE!</v>
      </c>
      <c r="DB140" s="3" t="s">
        <v>1074</v>
      </c>
      <c r="DC140" s="3">
        <v>0.11113165810704231</v>
      </c>
      <c r="DD140" s="3" t="e">
        <v>#VALUE!</v>
      </c>
      <c r="DE140" s="3" t="s">
        <v>1074</v>
      </c>
      <c r="DF140" s="3">
        <v>0.10294300961494446</v>
      </c>
      <c r="DG140" s="3" t="e">
        <v>#VALUE!</v>
      </c>
      <c r="DH140" s="3" t="s">
        <v>1074</v>
      </c>
      <c r="DI140" s="3">
        <v>9.3584554195404068E-2</v>
      </c>
      <c r="DJ140" s="3" t="e">
        <v>#VALUE!</v>
      </c>
      <c r="DK140" s="3" t="s">
        <v>1074</v>
      </c>
      <c r="DL140" s="3">
        <v>8.1886484920978539E-2</v>
      </c>
      <c r="DM140" s="3">
        <v>-5418000</v>
      </c>
      <c r="DN140" s="3">
        <v>0.11698069274425507</v>
      </c>
      <c r="DO140" s="3">
        <v>2112960700</v>
      </c>
      <c r="DP140" s="3">
        <v>819383430</v>
      </c>
      <c r="DQ140" s="12">
        <v>5048</v>
      </c>
      <c r="DR140" s="3">
        <v>-0.13685538606731515</v>
      </c>
      <c r="DS140" s="3">
        <v>0.25640129201670858</v>
      </c>
      <c r="DT140" s="3">
        <v>-0.34</v>
      </c>
      <c r="DU140" s="3">
        <v>-0.53</v>
      </c>
      <c r="DV140" s="3">
        <v>-0.87000000000000011</v>
      </c>
      <c r="DW140" s="3">
        <v>-9.3714945562520615</v>
      </c>
      <c r="DX140" s="3">
        <v>0.3024933656022904</v>
      </c>
      <c r="DY140" s="3">
        <v>-9.0417906729357238</v>
      </c>
      <c r="DZ140" s="3">
        <v>4128</v>
      </c>
      <c r="EA140" s="3">
        <v>-9.0080310060318745</v>
      </c>
      <c r="EB140" s="13">
        <v>9</v>
      </c>
      <c r="EC140" s="13">
        <v>6.5422886621781431E-2</v>
      </c>
      <c r="ED140" s="3">
        <v>0.58157110086275998</v>
      </c>
      <c r="EE140" s="3">
        <v>-4.0153100000000004</v>
      </c>
      <c r="EF140" s="3">
        <v>-4.04061</v>
      </c>
      <c r="EG140" s="3">
        <v>19.11249336560229</v>
      </c>
      <c r="EH140" s="14" t="s">
        <v>1903</v>
      </c>
      <c r="EI140" s="15">
        <v>0</v>
      </c>
      <c r="EJ140" s="15">
        <v>0</v>
      </c>
      <c r="EK140" s="15">
        <v>45470</v>
      </c>
      <c r="EL140" s="15">
        <v>-2.27</v>
      </c>
      <c r="EM140" s="15">
        <v>-4.5599999999999996</v>
      </c>
      <c r="EN140" s="3">
        <v>-2.92</v>
      </c>
      <c r="EO140" s="3">
        <v>2.25</v>
      </c>
      <c r="EP140" s="3">
        <v>-2.5299999999999998</v>
      </c>
    </row>
    <row r="141" spans="1:146" ht="96" x14ac:dyDescent="0.25">
      <c r="C141" s="7" t="str">
        <f>""&amp;CHAR(10)&amp;Basic_Fundamental_Information_Constructure(F141)&amp;CHAR(10)&amp;Basic_Fundamental_Information_Concatenate("")</f>
        <v xml:space="preserve">
市值25.896609亿, 利润1731.63万; PE37.23; 平均PE36.75; 平均PEG3.85, PB2.18; ROIC9.42%; ROE8.5533%; 股利率1.009%; 毛利29.08%; 净利12.96%; 上一年度营收增-71.15%, 利润增-79.95%; 当季营收增-40.91%, 利润增-43.27%; 过往5年营收增-9.54%, 利润增2.06%
Income profile:
</v>
      </c>
      <c r="D141" s="3" t="s">
        <v>702</v>
      </c>
      <c r="E141" s="3" t="s">
        <v>2973</v>
      </c>
      <c r="F141" s="3">
        <v>20.09</v>
      </c>
      <c r="G141" s="3">
        <v>0.4</v>
      </c>
      <c r="H141" s="3" t="s">
        <v>4963</v>
      </c>
      <c r="I141" s="3">
        <v>2589660900</v>
      </c>
      <c r="J141" s="3">
        <v>37.229999999999997</v>
      </c>
      <c r="K141" s="3">
        <v>2.1800000000000002</v>
      </c>
      <c r="L141" s="3" t="s">
        <v>2983</v>
      </c>
      <c r="M141" s="3" t="s">
        <v>1636</v>
      </c>
      <c r="N141" s="3" t="s">
        <v>1216</v>
      </c>
      <c r="O141" s="3" t="s">
        <v>519</v>
      </c>
      <c r="P141" s="3">
        <v>32.54</v>
      </c>
      <c r="Q141" s="3" t="s">
        <v>519</v>
      </c>
      <c r="R141" s="3">
        <v>17316318</v>
      </c>
      <c r="S141" s="5">
        <v>0.4652</v>
      </c>
      <c r="T141" s="3" t="s">
        <v>4964</v>
      </c>
      <c r="U141" s="3">
        <v>128902980</v>
      </c>
      <c r="V141" s="3">
        <v>128902980</v>
      </c>
      <c r="W141" s="3">
        <v>1.49</v>
      </c>
      <c r="X141" s="3">
        <v>0.1</v>
      </c>
      <c r="Y141" s="3">
        <v>8.75</v>
      </c>
      <c r="Z141" s="3" t="s">
        <v>216</v>
      </c>
      <c r="AA141" s="3" t="s">
        <v>359</v>
      </c>
      <c r="AB141" s="3" t="s">
        <v>4965</v>
      </c>
      <c r="AC141" s="3" t="s">
        <v>4966</v>
      </c>
      <c r="AD141" s="3" t="s">
        <v>22</v>
      </c>
      <c r="AE141" s="3">
        <v>7706515</v>
      </c>
      <c r="AF141" s="3" t="s">
        <v>2870</v>
      </c>
      <c r="AG141" s="3" t="s">
        <v>4967</v>
      </c>
      <c r="AH141" s="3" t="s">
        <v>2871</v>
      </c>
      <c r="AI141" s="3" t="s">
        <v>412</v>
      </c>
      <c r="AJ141" s="3" t="s">
        <v>2872</v>
      </c>
      <c r="AK141" s="3" t="s">
        <v>4968</v>
      </c>
      <c r="AL141" s="3" t="s">
        <v>2873</v>
      </c>
      <c r="AM141" s="3" t="s">
        <v>22</v>
      </c>
      <c r="AN141" s="3" t="s">
        <v>4969</v>
      </c>
      <c r="AO141" s="3" t="s">
        <v>22</v>
      </c>
      <c r="AP141" s="3" t="s">
        <v>4970</v>
      </c>
      <c r="AQ141" s="3" t="s">
        <v>472</v>
      </c>
      <c r="AR141" s="3" t="s">
        <v>22</v>
      </c>
      <c r="AS141" s="3" t="s">
        <v>324</v>
      </c>
      <c r="AT141" s="3" t="s">
        <v>22</v>
      </c>
      <c r="AU141" s="3" t="s">
        <v>4971</v>
      </c>
      <c r="AV141" s="3" t="s">
        <v>4972</v>
      </c>
      <c r="AW141" s="3" t="s">
        <v>4973</v>
      </c>
      <c r="AX141" s="3" t="s">
        <v>1302</v>
      </c>
      <c r="AY141" s="3" t="s">
        <v>429</v>
      </c>
      <c r="AZ141" s="3" t="s">
        <v>217</v>
      </c>
      <c r="BA141" s="3" t="s">
        <v>106</v>
      </c>
      <c r="BB141" s="3" t="s">
        <v>704</v>
      </c>
      <c r="BC141" s="3" t="s">
        <v>1703</v>
      </c>
      <c r="BD141" s="3" t="s">
        <v>195</v>
      </c>
      <c r="BE141" s="3" t="s">
        <v>703</v>
      </c>
      <c r="BF141" s="3" t="s">
        <v>706</v>
      </c>
      <c r="BG141" s="3" t="s">
        <v>707</v>
      </c>
      <c r="BH141" s="3" t="s">
        <v>526</v>
      </c>
      <c r="BI141" s="3" t="s">
        <v>553</v>
      </c>
      <c r="BJ141" s="3" t="s">
        <v>1302</v>
      </c>
      <c r="BK141" s="3" t="s">
        <v>2869</v>
      </c>
      <c r="BL141" s="3" t="s">
        <v>4974</v>
      </c>
      <c r="BM141" s="3" t="s">
        <v>1703</v>
      </c>
      <c r="BN141" s="3">
        <v>4.18</v>
      </c>
      <c r="BO141" s="3">
        <v>7.16</v>
      </c>
      <c r="BP141" s="3">
        <v>16.920000000000002</v>
      </c>
      <c r="BQ141" s="3">
        <v>3.85</v>
      </c>
      <c r="BR141" s="3">
        <v>7.49</v>
      </c>
      <c r="BS141" s="3">
        <v>14.32</v>
      </c>
      <c r="BT141" s="3" t="s">
        <v>4975</v>
      </c>
      <c r="BU141" s="3" t="s">
        <v>1210</v>
      </c>
      <c r="BV141" s="3">
        <v>26.49</v>
      </c>
      <c r="BW141" s="3">
        <v>28.36</v>
      </c>
      <c r="BX141" s="3">
        <v>32.39</v>
      </c>
      <c r="BY141" s="3">
        <v>9.18</v>
      </c>
      <c r="BZ141" s="3">
        <v>12.78</v>
      </c>
      <c r="CA141" s="3">
        <v>16.920000000000002</v>
      </c>
      <c r="CB141" s="3">
        <v>-5.37</v>
      </c>
      <c r="CC141" s="3">
        <v>-1.36</v>
      </c>
      <c r="CD141" s="3" t="s">
        <v>4976</v>
      </c>
      <c r="CE141" s="3" t="s">
        <v>4977</v>
      </c>
      <c r="CF141" s="10">
        <v>-0.40909090909090912</v>
      </c>
      <c r="CG141" s="11">
        <v>-0.43269083594333563</v>
      </c>
      <c r="CH141" s="10">
        <v>-0.71153843402862549</v>
      </c>
      <c r="CI141" s="10">
        <v>-0.1875</v>
      </c>
      <c r="CJ141" s="10">
        <v>0.36393442749977112</v>
      </c>
      <c r="CK141" s="10">
        <v>0.15530303120613098</v>
      </c>
      <c r="CL141" s="10">
        <v>-9.7435899078845978E-2</v>
      </c>
      <c r="CM141" s="11">
        <v>-0.79953432083129883</v>
      </c>
      <c r="CN141" s="11">
        <v>-0.38737305998802185</v>
      </c>
      <c r="CO141" s="11">
        <v>1.0276422500610352</v>
      </c>
      <c r="CP141" s="11">
        <v>0.31891047954559326</v>
      </c>
      <c r="CQ141" s="11">
        <v>-5.6470908224582672E-2</v>
      </c>
      <c r="CR141" s="3">
        <v>36.74666079526024</v>
      </c>
      <c r="CS141" s="3">
        <v>3.8499393871584915</v>
      </c>
      <c r="CT141" s="3">
        <v>1.0089596814335491</v>
      </c>
      <c r="CU141" s="10">
        <v>-9.5447374880313879E-2</v>
      </c>
      <c r="CV141" s="11">
        <v>2.0634888112545012E-2</v>
      </c>
      <c r="CW141" s="3">
        <v>0.06</v>
      </c>
      <c r="CX141" s="3">
        <v>111.08960343722389</v>
      </c>
      <c r="CY141" s="3" t="s">
        <v>4978</v>
      </c>
      <c r="CZ141" s="3">
        <v>-9.5447374880313879E-2</v>
      </c>
      <c r="DA141" s="3">
        <v>37.029867812407964</v>
      </c>
      <c r="DB141" s="3" t="s">
        <v>4979</v>
      </c>
      <c r="DC141" s="3">
        <v>-9.0675006136298184E-2</v>
      </c>
      <c r="DD141" s="3">
        <v>18.514933906203982</v>
      </c>
      <c r="DE141" s="3" t="s">
        <v>4980</v>
      </c>
      <c r="DF141" s="3">
        <v>-8.3993689894676218E-2</v>
      </c>
      <c r="DG141" s="3">
        <v>11.108960343722389</v>
      </c>
      <c r="DH141" s="3" t="s">
        <v>4981</v>
      </c>
      <c r="DI141" s="3">
        <v>-7.6357899904251111E-2</v>
      </c>
      <c r="DJ141" s="3">
        <v>5.5544801718611945</v>
      </c>
      <c r="DK141" s="3" t="s">
        <v>4982</v>
      </c>
      <c r="DL141" s="3">
        <v>-6.6813162416219707E-2</v>
      </c>
      <c r="DM141" s="3">
        <v>17316300</v>
      </c>
      <c r="DN141" s="3">
        <v>-9.5447374880313879E-2</v>
      </c>
      <c r="DO141" s="3">
        <v>1923660900</v>
      </c>
      <c r="DP141" s="3">
        <v>1302045600</v>
      </c>
      <c r="DQ141" s="3">
        <v>5068</v>
      </c>
      <c r="DR141" s="3">
        <v>-0.31364353421059521</v>
      </c>
      <c r="DS141" s="3">
        <v>-0.45332572405588062</v>
      </c>
      <c r="DT141" s="12">
        <v>-0.67333333333333334</v>
      </c>
      <c r="DU141" s="3">
        <v>-0.32</v>
      </c>
      <c r="DV141" s="3">
        <v>-0.9933333333333334</v>
      </c>
      <c r="DW141" s="3">
        <v>-4.2532588454376166</v>
      </c>
      <c r="DX141" s="3">
        <v>0.26209334668375528</v>
      </c>
      <c r="DY141" s="3">
        <v>-4.0283886315623665</v>
      </c>
      <c r="DZ141" s="3">
        <v>279</v>
      </c>
      <c r="EA141" s="3">
        <v>-4.0268386456120924</v>
      </c>
      <c r="EB141" s="3">
        <v>4</v>
      </c>
      <c r="EC141" s="3">
        <v>6.5198647851275437E-2</v>
      </c>
      <c r="ED141" s="3">
        <v>0.58164597901460457</v>
      </c>
      <c r="EE141" s="13">
        <v>-1.09971</v>
      </c>
      <c r="EF141" s="3">
        <v>-1.1208100000000001</v>
      </c>
      <c r="EG141" s="3">
        <v>15.112093346683755</v>
      </c>
      <c r="EH141" s="3" t="s">
        <v>1386</v>
      </c>
      <c r="EI141" s="3">
        <v>0</v>
      </c>
      <c r="EJ141" s="3">
        <v>1</v>
      </c>
      <c r="EK141" s="14">
        <v>45470</v>
      </c>
      <c r="EL141" s="15">
        <v>-0.11</v>
      </c>
      <c r="EM141" s="15">
        <v>-4.25</v>
      </c>
      <c r="EN141" s="3">
        <v>0.28999999999999998</v>
      </c>
      <c r="EO141" s="3">
        <v>4.5999999999999996</v>
      </c>
      <c r="EP141" s="3">
        <v>-2.11</v>
      </c>
    </row>
    <row r="142" spans="1:146" ht="96" x14ac:dyDescent="0.25">
      <c r="A142" s="3"/>
      <c r="B142" s="3"/>
      <c r="C142" s="7" t="str">
        <f>""&amp;CHAR(10)&amp;Basic_Fundamental_Information_Constructure(F142)&amp;CHAR(10)&amp;Basic_Fundamental_Information_Concatenate("")</f>
        <v xml:space="preserve">
市值61.776亿, 利润5569.38万; PE36.67; 平均PE142.3; 平均PEG7.49, PB4.42; ROIC11.56%; ROE0%; 股利率.8314%; 毛利20.9667%; 净利8.1867%; 上一年度营收增-73.83%, 利润增-41.29%; 当季营收增-48.88%, 利润增-48.9%; 过往5年营收增18.99%, 利润增113.87%
Income profile:
</v>
      </c>
      <c r="D142" s="3" t="s">
        <v>1939</v>
      </c>
      <c r="E142" s="3" t="s">
        <v>1940</v>
      </c>
      <c r="F142" s="3">
        <v>51.48</v>
      </c>
      <c r="G142" s="3">
        <v>-2.5</v>
      </c>
      <c r="H142" s="3" t="s">
        <v>4983</v>
      </c>
      <c r="I142" s="3">
        <v>6177600000</v>
      </c>
      <c r="J142" s="3">
        <v>36.67</v>
      </c>
      <c r="K142" s="3">
        <v>4.42</v>
      </c>
      <c r="L142" s="3" t="s">
        <v>2983</v>
      </c>
      <c r="M142" s="3" t="s">
        <v>1951</v>
      </c>
      <c r="N142" s="3" t="s">
        <v>4032</v>
      </c>
      <c r="O142" s="3" t="s">
        <v>186</v>
      </c>
      <c r="P142" s="5">
        <v>-2.9</v>
      </c>
      <c r="Q142" s="3" t="s">
        <v>186</v>
      </c>
      <c r="R142" s="3">
        <v>55693783</v>
      </c>
      <c r="S142" s="3">
        <v>-3.5099999999999999E-2</v>
      </c>
      <c r="T142" s="3" t="s">
        <v>4984</v>
      </c>
      <c r="U142" s="3">
        <v>23965499</v>
      </c>
      <c r="V142" s="3">
        <v>120000000</v>
      </c>
      <c r="W142" s="3">
        <v>1.47</v>
      </c>
      <c r="X142" s="3">
        <v>0.26</v>
      </c>
      <c r="Y142" s="3">
        <v>16.36</v>
      </c>
      <c r="Z142" s="3" t="s">
        <v>732</v>
      </c>
      <c r="AA142" s="3" t="s">
        <v>285</v>
      </c>
      <c r="AB142" s="3" t="s">
        <v>4985</v>
      </c>
      <c r="AC142" s="3" t="s">
        <v>4986</v>
      </c>
      <c r="AD142" s="3" t="s">
        <v>22</v>
      </c>
      <c r="AE142" s="3">
        <v>-1012349</v>
      </c>
      <c r="AF142" s="3" t="s">
        <v>2874</v>
      </c>
      <c r="AG142" s="3" t="s">
        <v>4987</v>
      </c>
      <c r="AH142" s="3" t="s">
        <v>2875</v>
      </c>
      <c r="AI142" s="3" t="s">
        <v>1771</v>
      </c>
      <c r="AJ142" s="3" t="s">
        <v>2876</v>
      </c>
      <c r="AK142" s="3" t="s">
        <v>22</v>
      </c>
      <c r="AL142" s="3" t="s">
        <v>2877</v>
      </c>
      <c r="AM142" s="3" t="s">
        <v>22</v>
      </c>
      <c r="AN142" s="3">
        <v>0</v>
      </c>
      <c r="AO142" s="3" t="s">
        <v>22</v>
      </c>
      <c r="AP142" s="3" t="s">
        <v>22</v>
      </c>
      <c r="AQ142" s="3" t="s">
        <v>4988</v>
      </c>
      <c r="AR142" s="3" t="s">
        <v>22</v>
      </c>
      <c r="AS142" s="3" t="s">
        <v>584</v>
      </c>
      <c r="AT142" s="3" t="s">
        <v>22</v>
      </c>
      <c r="AU142" s="3" t="s">
        <v>4989</v>
      </c>
      <c r="AV142" s="3" t="s">
        <v>188</v>
      </c>
      <c r="AW142" s="3" t="s">
        <v>4990</v>
      </c>
      <c r="AX142" s="3" t="s">
        <v>1941</v>
      </c>
      <c r="AY142" s="3" t="s">
        <v>640</v>
      </c>
      <c r="AZ142" s="3" t="s">
        <v>1770</v>
      </c>
      <c r="BA142" s="3" t="s">
        <v>128</v>
      </c>
      <c r="BB142" s="3" t="s">
        <v>22</v>
      </c>
      <c r="BC142" s="3" t="s">
        <v>1942</v>
      </c>
      <c r="BD142" s="3" t="s">
        <v>1943</v>
      </c>
      <c r="BE142" s="3" t="s">
        <v>1944</v>
      </c>
      <c r="BF142" s="3" t="s">
        <v>1945</v>
      </c>
      <c r="BG142" s="3" t="s">
        <v>22</v>
      </c>
      <c r="BH142" s="3" t="s">
        <v>2324</v>
      </c>
      <c r="BI142" s="3" t="s">
        <v>3754</v>
      </c>
      <c r="BJ142" s="3" t="s">
        <v>1941</v>
      </c>
      <c r="BK142" s="3" t="s">
        <v>535</v>
      </c>
      <c r="BL142" s="3" t="s">
        <v>205</v>
      </c>
      <c r="BM142" s="3" t="s">
        <v>1942</v>
      </c>
      <c r="BN142" s="3" t="s">
        <v>22</v>
      </c>
      <c r="BO142" s="3">
        <v>15.59</v>
      </c>
      <c r="BP142" s="3">
        <v>7.53</v>
      </c>
      <c r="BQ142" s="3" t="s">
        <v>22</v>
      </c>
      <c r="BR142" s="3" t="s">
        <v>22</v>
      </c>
      <c r="BS142" s="3" t="s">
        <v>22</v>
      </c>
      <c r="BT142" s="3" t="s">
        <v>4991</v>
      </c>
      <c r="BU142" s="3" t="s">
        <v>1221</v>
      </c>
      <c r="BV142" s="3">
        <v>26.17</v>
      </c>
      <c r="BW142" s="3">
        <v>19.63</v>
      </c>
      <c r="BX142" s="3">
        <v>17.100000000000001</v>
      </c>
      <c r="BY142" s="3">
        <v>12.71</v>
      </c>
      <c r="BZ142" s="3">
        <v>7.28</v>
      </c>
      <c r="CA142" s="3">
        <v>4.57</v>
      </c>
      <c r="CB142" s="3">
        <v>-3.78</v>
      </c>
      <c r="CC142" s="10">
        <v>1.08</v>
      </c>
      <c r="CD142" s="11" t="s">
        <v>4992</v>
      </c>
      <c r="CE142" s="10" t="s">
        <v>4993</v>
      </c>
      <c r="CF142" s="10">
        <v>-0.48875562218890556</v>
      </c>
      <c r="CG142" s="10">
        <v>-0.48904786238532116</v>
      </c>
      <c r="CH142" s="10">
        <v>-0.7382962703704834</v>
      </c>
      <c r="CI142" s="10">
        <v>0.36439797282218933</v>
      </c>
      <c r="CJ142" s="11">
        <v>0.88735175132751465</v>
      </c>
      <c r="CK142" s="11">
        <v>0.24630542099475861</v>
      </c>
      <c r="CL142" s="11" t="s">
        <v>22</v>
      </c>
      <c r="CM142" s="11">
        <v>-0.41292262077331543</v>
      </c>
      <c r="CN142" s="11">
        <v>1.1752864122390747</v>
      </c>
      <c r="CO142" s="3">
        <v>1.4799492359161377</v>
      </c>
      <c r="CP142" s="3">
        <v>2.3126246929168701</v>
      </c>
      <c r="CQ142" s="3" t="s">
        <v>22</v>
      </c>
      <c r="CR142" s="10">
        <v>142.29845543890329</v>
      </c>
      <c r="CS142" s="11">
        <v>7.4917693054252608</v>
      </c>
      <c r="CT142" s="3">
        <v>0.83139083139083148</v>
      </c>
      <c r="CU142" s="3">
        <v>0.1899397186934948</v>
      </c>
      <c r="CV142" s="3">
        <v>1.1387344300746918</v>
      </c>
      <c r="CW142" s="3">
        <v>0.06</v>
      </c>
      <c r="CX142" s="3">
        <v>93.338231725404512</v>
      </c>
      <c r="CY142" s="3">
        <v>62521004.438652597</v>
      </c>
      <c r="CZ142" s="3">
        <v>0.1899397186934948</v>
      </c>
      <c r="DA142" s="3">
        <v>28.054608621865889</v>
      </c>
      <c r="DB142" s="3">
        <v>208008604.88396573</v>
      </c>
      <c r="DC142" s="3">
        <v>0.18044273275882006</v>
      </c>
      <c r="DD142" s="3">
        <v>12.299929072686355</v>
      </c>
      <c r="DE142" s="3">
        <v>474441760.23410845</v>
      </c>
      <c r="DF142" s="3">
        <v>0.16714695245027542</v>
      </c>
      <c r="DG142" s="3">
        <v>6.4453440385633964</v>
      </c>
      <c r="DH142" s="3">
        <v>905397751.47529554</v>
      </c>
      <c r="DI142" s="3">
        <v>0.15195177495479584</v>
      </c>
      <c r="DJ142" s="3">
        <v>2.4220723743780224</v>
      </c>
      <c r="DK142" s="3">
        <v>2409341711.557466</v>
      </c>
      <c r="DL142" s="3">
        <v>0.13295780308544636</v>
      </c>
      <c r="DM142" s="3">
        <v>55693800</v>
      </c>
      <c r="DN142" s="3">
        <v>0.1899397186934948</v>
      </c>
      <c r="DO142" s="3">
        <v>5835600000</v>
      </c>
      <c r="DP142" s="3">
        <v>640445030</v>
      </c>
      <c r="DQ142" s="12">
        <v>5070</v>
      </c>
      <c r="DR142" s="3">
        <v>-0.67869534088240036</v>
      </c>
      <c r="DS142" s="3">
        <v>-1.6277822924600129</v>
      </c>
      <c r="DT142" s="3">
        <v>-0.28800000000000009</v>
      </c>
      <c r="DU142" s="3">
        <v>0.80400000000000027</v>
      </c>
      <c r="DV142" s="3">
        <v>0.51600000000000024</v>
      </c>
      <c r="DW142" s="3">
        <v>-4.2857142857142856</v>
      </c>
      <c r="DX142" s="3">
        <v>0.39480048791864703</v>
      </c>
      <c r="DY142" s="3">
        <v>-4.0270858536910419</v>
      </c>
      <c r="DZ142" s="3" t="s">
        <v>1881</v>
      </c>
      <c r="EA142" s="3" t="e">
        <v>#VALUE!</v>
      </c>
      <c r="EB142" s="13" t="e">
        <v>#VALUE!</v>
      </c>
      <c r="EC142" s="13">
        <v>7.6552499999999996E-2</v>
      </c>
      <c r="ED142" s="3">
        <v>0.80751166666666663</v>
      </c>
      <c r="EE142" s="3">
        <v>9</v>
      </c>
      <c r="EF142" s="3">
        <v>9.02881</v>
      </c>
      <c r="EG142" s="3">
        <v>30.094800487918647</v>
      </c>
      <c r="EH142" s="14" t="s">
        <v>3464</v>
      </c>
      <c r="EI142" s="3" t="e">
        <v>#VALUE!</v>
      </c>
      <c r="EJ142" s="3">
        <v>0</v>
      </c>
      <c r="EK142" s="3">
        <v>45470</v>
      </c>
      <c r="EL142" s="3">
        <v>-6.85</v>
      </c>
      <c r="EM142" s="3">
        <v>-1.26</v>
      </c>
      <c r="EN142" s="3">
        <v>-0.56999999999999995</v>
      </c>
      <c r="EO142" s="3">
        <v>8.02</v>
      </c>
      <c r="EP142" s="3">
        <v>-2.88</v>
      </c>
    </row>
    <row r="143" spans="1:146" ht="96" x14ac:dyDescent="0.25">
      <c r="A143" s="3"/>
      <c r="B143" s="3"/>
      <c r="C143" s="7" t="str">
        <f>""&amp;CHAR(10)&amp;Basic_Fundamental_Information_Constructure(F143)&amp;CHAR(10)&amp;Basic_Fundamental_Information_Concatenate("")</f>
        <v xml:space="preserve">
市值22.974737亿, 利润-1595.10万; PE; 平均PE137.87; 平均PEG202.63, PB2.28; ROIC13.9233%; ROE12.45%; 股利率.5452%; 毛利43.62%; 净利19.1333%; 上一年度营收增-90.51%, 利润增-126.1%; 当季营收增-83.22%, 利润增-154.41%; 过往5年营收增.68%, 利润增-16.04%
Income profile:
</v>
      </c>
      <c r="D143" s="3" t="s">
        <v>1733</v>
      </c>
      <c r="E143" s="3" t="s">
        <v>1817</v>
      </c>
      <c r="F143" s="3">
        <v>31.18</v>
      </c>
      <c r="G143" s="3">
        <v>-1.73</v>
      </c>
      <c r="H143" s="3" t="s">
        <v>4994</v>
      </c>
      <c r="I143" s="3">
        <v>2297473700</v>
      </c>
      <c r="K143" s="3">
        <v>2.2799999999999998</v>
      </c>
      <c r="L143" s="3" t="s">
        <v>2983</v>
      </c>
      <c r="M143" s="3" t="s">
        <v>2878</v>
      </c>
      <c r="N143" s="3" t="s">
        <v>1985</v>
      </c>
      <c r="O143" s="3" t="s">
        <v>2879</v>
      </c>
      <c r="P143" s="5">
        <v>-63.54</v>
      </c>
      <c r="Q143" s="3" t="s">
        <v>2879</v>
      </c>
      <c r="R143" s="3">
        <v>-15950957</v>
      </c>
      <c r="S143" s="3">
        <v>-2.2919999999999998</v>
      </c>
      <c r="T143" s="3" t="s">
        <v>4995</v>
      </c>
      <c r="U143" s="3">
        <v>17500001</v>
      </c>
      <c r="V143" s="3">
        <v>73684211</v>
      </c>
      <c r="W143" s="3">
        <v>1.05</v>
      </c>
      <c r="X143" s="3">
        <v>0.02</v>
      </c>
      <c r="Y143" s="3">
        <v>-71.489999999999995</v>
      </c>
      <c r="Z143" s="3" t="s">
        <v>4996</v>
      </c>
      <c r="AA143" s="3" t="s">
        <v>4997</v>
      </c>
      <c r="AB143" s="3" t="s">
        <v>4998</v>
      </c>
      <c r="AC143" s="3" t="s">
        <v>4999</v>
      </c>
      <c r="AD143" s="3" t="s">
        <v>22</v>
      </c>
      <c r="AE143" s="3">
        <v>-1231277</v>
      </c>
      <c r="AF143" s="3" t="s">
        <v>2881</v>
      </c>
      <c r="AG143" s="3" t="s">
        <v>2399</v>
      </c>
      <c r="AH143" s="3" t="s">
        <v>2882</v>
      </c>
      <c r="AI143" s="3" t="s">
        <v>1764</v>
      </c>
      <c r="AJ143" s="3" t="s">
        <v>2883</v>
      </c>
      <c r="AK143" s="3" t="s">
        <v>5000</v>
      </c>
      <c r="AL143" s="3" t="s">
        <v>2884</v>
      </c>
      <c r="AM143" s="3" t="s">
        <v>22</v>
      </c>
      <c r="AN143" s="3" t="s">
        <v>5001</v>
      </c>
      <c r="AO143" s="3" t="s">
        <v>2885</v>
      </c>
      <c r="AP143" s="3" t="s">
        <v>5002</v>
      </c>
      <c r="AQ143" s="3" t="s">
        <v>5003</v>
      </c>
      <c r="AR143" s="3" t="s">
        <v>5004</v>
      </c>
      <c r="AS143" s="3" t="s">
        <v>5005</v>
      </c>
      <c r="AT143" s="3" t="s">
        <v>22</v>
      </c>
      <c r="AU143" s="3" t="s">
        <v>5006</v>
      </c>
      <c r="AV143" s="3" t="s">
        <v>5007</v>
      </c>
      <c r="AW143" s="3" t="s">
        <v>5008</v>
      </c>
      <c r="AX143" s="3" t="s">
        <v>206</v>
      </c>
      <c r="AY143" s="3" t="s">
        <v>139</v>
      </c>
      <c r="AZ143" s="3" t="s">
        <v>305</v>
      </c>
      <c r="BA143" s="3" t="s">
        <v>327</v>
      </c>
      <c r="BB143" s="3" t="s">
        <v>22</v>
      </c>
      <c r="BC143" s="3" t="s">
        <v>2886</v>
      </c>
      <c r="BD143" s="3" t="s">
        <v>1818</v>
      </c>
      <c r="BE143" s="3" t="s">
        <v>1819</v>
      </c>
      <c r="BF143" s="3" t="s">
        <v>1820</v>
      </c>
      <c r="BG143" s="3" t="s">
        <v>22</v>
      </c>
      <c r="BH143" s="3" t="s">
        <v>1758</v>
      </c>
      <c r="BI143" s="3" t="s">
        <v>370</v>
      </c>
      <c r="BJ143" s="3" t="s">
        <v>206</v>
      </c>
      <c r="BK143" s="3" t="s">
        <v>2880</v>
      </c>
      <c r="BL143" s="3" t="s">
        <v>5009</v>
      </c>
      <c r="BM143" s="3" t="s">
        <v>2886</v>
      </c>
      <c r="BN143" s="3">
        <v>3.14</v>
      </c>
      <c r="BO143" s="3">
        <v>17.7</v>
      </c>
      <c r="BP143" s="3">
        <v>20.93</v>
      </c>
      <c r="BQ143" s="3">
        <v>5.13</v>
      </c>
      <c r="BR143" s="3">
        <v>19.77</v>
      </c>
      <c r="BS143" s="3" t="s">
        <v>22</v>
      </c>
      <c r="BT143" s="3" t="s">
        <v>1558</v>
      </c>
      <c r="BU143" s="3" t="s">
        <v>1210</v>
      </c>
      <c r="BV143" s="3">
        <v>45.14</v>
      </c>
      <c r="BW143" s="3">
        <v>46.19</v>
      </c>
      <c r="BX143" s="3">
        <v>39.53</v>
      </c>
      <c r="BY143" s="3">
        <v>8.33</v>
      </c>
      <c r="BZ143" s="3">
        <v>25.96</v>
      </c>
      <c r="CA143" s="3">
        <v>23.11</v>
      </c>
      <c r="CB143" s="3">
        <v>-13.2</v>
      </c>
      <c r="CC143" s="10">
        <v>34.86</v>
      </c>
      <c r="CD143" s="11" t="s">
        <v>5010</v>
      </c>
      <c r="CE143" s="10" t="s">
        <v>221</v>
      </c>
      <c r="CF143" s="10">
        <v>-0.83223308270676688</v>
      </c>
      <c r="CG143" s="10">
        <v>-1.5440744467487104</v>
      </c>
      <c r="CH143" s="10">
        <v>-0.90505111217498779</v>
      </c>
      <c r="CI143" s="10">
        <v>0.1190476194024086</v>
      </c>
      <c r="CJ143" s="11">
        <v>0.53284668922424316</v>
      </c>
      <c r="CK143" s="11">
        <v>0.28037384152412415</v>
      </c>
      <c r="CL143" s="11" t="s">
        <v>22</v>
      </c>
      <c r="CM143" s="11">
        <v>-1.2609643936157227</v>
      </c>
      <c r="CN143" s="11">
        <v>0.26086696982383728</v>
      </c>
      <c r="CO143" s="3">
        <v>3.4646999835968018</v>
      </c>
      <c r="CP143" s="3">
        <v>-3.1062743663787842</v>
      </c>
      <c r="CQ143" s="3" t="s">
        <v>22</v>
      </c>
      <c r="CR143" s="10">
        <v>137.87213600739327</v>
      </c>
      <c r="CS143" s="11">
        <v>202.62621690140173</v>
      </c>
      <c r="CT143" s="3">
        <v>0.54522129570237332</v>
      </c>
      <c r="CU143" s="3">
        <v>6.8042594939470291E-3</v>
      </c>
      <c r="CV143" s="3">
        <v>-0.16041795164346695</v>
      </c>
      <c r="CW143" s="3">
        <v>0.06</v>
      </c>
      <c r="CX143" s="3" t="e">
        <v>#VALUE!</v>
      </c>
      <c r="CY143" s="3" t="s">
        <v>1073</v>
      </c>
      <c r="CZ143" s="3">
        <v>6.8042594939470291E-3</v>
      </c>
      <c r="DA143" s="3" t="e">
        <v>#VALUE!</v>
      </c>
      <c r="DB143" s="3" t="s">
        <v>1074</v>
      </c>
      <c r="DC143" s="3">
        <v>6.4640465192496773E-3</v>
      </c>
      <c r="DD143" s="3" t="e">
        <v>#VALUE!</v>
      </c>
      <c r="DE143" s="3" t="s">
        <v>1074</v>
      </c>
      <c r="DF143" s="3">
        <v>5.9877483546733855E-3</v>
      </c>
      <c r="DG143" s="3" t="e">
        <v>#VALUE!</v>
      </c>
      <c r="DH143" s="3" t="s">
        <v>1074</v>
      </c>
      <c r="DI143" s="3">
        <v>5.4434075951576236E-3</v>
      </c>
      <c r="DJ143" s="3" t="e">
        <v>#VALUE!</v>
      </c>
      <c r="DK143" s="3" t="s">
        <v>1074</v>
      </c>
      <c r="DL143" s="3">
        <v>4.76298164576292E-3</v>
      </c>
      <c r="DM143" s="3">
        <v>-15951000</v>
      </c>
      <c r="DN143" s="3">
        <v>6.8042594939470291E-3</v>
      </c>
      <c r="DO143" s="3">
        <v>1335470400</v>
      </c>
      <c r="DP143" s="3">
        <v>887580360</v>
      </c>
      <c r="DQ143" s="12">
        <v>5072</v>
      </c>
      <c r="DR143" s="3">
        <v>-0.83903734220071391</v>
      </c>
      <c r="DS143" s="3">
        <v>-1.3836564951052435</v>
      </c>
      <c r="DT143" s="3">
        <v>-0.628</v>
      </c>
      <c r="DU143" s="3">
        <v>-2.1700000000000004</v>
      </c>
      <c r="DV143" s="3">
        <v>-2.7980000000000005</v>
      </c>
      <c r="DW143" s="3">
        <v>-7.274656679151061</v>
      </c>
      <c r="DX143" s="3">
        <v>0.33734637681159413</v>
      </c>
      <c r="DY143" s="3">
        <v>-7.0404696665400133</v>
      </c>
      <c r="DZ143" s="3">
        <v>742</v>
      </c>
      <c r="EA143" s="3">
        <v>-7.0345932492068055</v>
      </c>
      <c r="EB143" s="13">
        <v>7</v>
      </c>
      <c r="EC143" s="13">
        <v>0.27595871251169402</v>
      </c>
      <c r="ED143" s="3">
        <v>1.8728571308173469</v>
      </c>
      <c r="EE143" s="3">
        <v>11.03651</v>
      </c>
      <c r="EF143" s="3">
        <v>11.06841</v>
      </c>
      <c r="EG143" s="3">
        <v>19.147346376811594</v>
      </c>
      <c r="EH143" s="14" t="s">
        <v>5011</v>
      </c>
      <c r="EI143" s="3">
        <v>0</v>
      </c>
      <c r="EJ143" s="3">
        <v>1</v>
      </c>
      <c r="EK143" s="3">
        <v>45470</v>
      </c>
      <c r="EL143" s="3">
        <v>-6.22</v>
      </c>
      <c r="EM143" s="3">
        <v>-5.66</v>
      </c>
      <c r="EN143" s="3">
        <v>1.65</v>
      </c>
      <c r="EO143" s="3">
        <v>2.79</v>
      </c>
      <c r="EP143" s="3">
        <v>-3.19</v>
      </c>
    </row>
    <row r="144" spans="1:146" ht="96" x14ac:dyDescent="0.25">
      <c r="C144" s="7" t="str">
        <f>""&amp;CHAR(10)&amp;Basic_Fundamental_Information_Constructure(F144)&amp;CHAR(10)&amp;Basic_Fundamental_Information_Concatenate("")</f>
        <v xml:space="preserve">
市值31.5005亿, 利润115.51万; PE; 平均PE21.08; 平均PEG2.45, PB2.39; ROIC46.02%; ROE13.86%; 股利率0%; 毛利34.6067%; 净利13.29%; 上一年度营收增-81.75%, 利润增-89.13%; 当季营收增-60.06%, 利润增101.44%; 过往5年营收增8.62%, 利润增81.78%
Income profile:
</v>
      </c>
      <c r="D144" s="3" t="s">
        <v>708</v>
      </c>
      <c r="E144" s="3" t="s">
        <v>709</v>
      </c>
      <c r="F144" s="3">
        <v>28.62</v>
      </c>
      <c r="G144" s="3">
        <v>-1.51</v>
      </c>
      <c r="H144" s="3" t="s">
        <v>5012</v>
      </c>
      <c r="I144" s="3">
        <v>3150050000</v>
      </c>
      <c r="K144" s="3">
        <v>2.39</v>
      </c>
      <c r="L144" s="3" t="s">
        <v>2983</v>
      </c>
      <c r="M144" s="3" t="s">
        <v>199</v>
      </c>
      <c r="N144" s="3" t="s">
        <v>468</v>
      </c>
      <c r="O144" s="3" t="s">
        <v>162</v>
      </c>
      <c r="P144" s="3">
        <v>-12.12</v>
      </c>
      <c r="Q144" s="3" t="s">
        <v>162</v>
      </c>
      <c r="R144" s="3">
        <v>1155099</v>
      </c>
      <c r="S144" s="5">
        <v>1.238</v>
      </c>
      <c r="T144" s="3" t="s">
        <v>5013</v>
      </c>
      <c r="U144" s="3">
        <v>110064640</v>
      </c>
      <c r="V144" s="3">
        <v>110064640</v>
      </c>
      <c r="W144" s="3">
        <v>1.17</v>
      </c>
      <c r="X144" s="3">
        <v>0.08</v>
      </c>
      <c r="Y144" s="3">
        <v>0.92</v>
      </c>
      <c r="Z144" s="3" t="s">
        <v>166</v>
      </c>
      <c r="AA144" s="3" t="s">
        <v>5014</v>
      </c>
      <c r="AB144" s="3" t="s">
        <v>5015</v>
      </c>
      <c r="AC144" s="3" t="s">
        <v>5016</v>
      </c>
      <c r="AD144" s="3" t="s">
        <v>22</v>
      </c>
      <c r="AE144" s="3">
        <v>-163780</v>
      </c>
      <c r="AF144" s="3" t="s">
        <v>2888</v>
      </c>
      <c r="AG144" s="3" t="s">
        <v>22</v>
      </c>
      <c r="AH144" s="3" t="s">
        <v>2889</v>
      </c>
      <c r="AI144" s="3" t="s">
        <v>23</v>
      </c>
      <c r="AJ144" s="3" t="s">
        <v>2890</v>
      </c>
      <c r="AK144" s="3" t="s">
        <v>309</v>
      </c>
      <c r="AL144" s="3" t="s">
        <v>2891</v>
      </c>
      <c r="AM144" s="3" t="s">
        <v>22</v>
      </c>
      <c r="AN144" s="3" t="s">
        <v>5017</v>
      </c>
      <c r="AO144" s="3" t="s">
        <v>5018</v>
      </c>
      <c r="AP144" s="3" t="s">
        <v>5019</v>
      </c>
      <c r="AQ144" s="3" t="s">
        <v>304</v>
      </c>
      <c r="AR144" s="3" t="s">
        <v>22</v>
      </c>
      <c r="AS144" s="3" t="s">
        <v>216</v>
      </c>
      <c r="AT144" s="3" t="s">
        <v>22</v>
      </c>
      <c r="AU144" s="3" t="s">
        <v>5020</v>
      </c>
      <c r="AV144" s="3" t="s">
        <v>5021</v>
      </c>
      <c r="AW144" s="3" t="s">
        <v>5022</v>
      </c>
      <c r="AX144" s="3" t="s">
        <v>1224</v>
      </c>
      <c r="AY144" s="3" t="s">
        <v>411</v>
      </c>
      <c r="AZ144" s="3" t="s">
        <v>705</v>
      </c>
      <c r="BA144" s="3" t="s">
        <v>351</v>
      </c>
      <c r="BB144" s="3" t="s">
        <v>228</v>
      </c>
      <c r="BC144" s="3" t="s">
        <v>1704</v>
      </c>
      <c r="BD144" s="3" t="s">
        <v>811</v>
      </c>
      <c r="BE144" s="3" t="s">
        <v>205</v>
      </c>
      <c r="BF144" s="3" t="s">
        <v>710</v>
      </c>
      <c r="BG144" s="3" t="s">
        <v>711</v>
      </c>
      <c r="BH144" s="3" t="s">
        <v>1126</v>
      </c>
      <c r="BI144" s="3" t="s">
        <v>807</v>
      </c>
      <c r="BJ144" s="3" t="s">
        <v>1224</v>
      </c>
      <c r="BK144" s="3" t="s">
        <v>2887</v>
      </c>
      <c r="BL144" s="3" t="s">
        <v>5023</v>
      </c>
      <c r="BM144" s="3" t="s">
        <v>1704</v>
      </c>
      <c r="BN144" s="3" t="s">
        <v>22</v>
      </c>
      <c r="BO144" s="3" t="s">
        <v>22</v>
      </c>
      <c r="BP144" s="3">
        <v>46.02</v>
      </c>
      <c r="BQ144" s="3">
        <v>-5.88</v>
      </c>
      <c r="BR144" s="3">
        <v>0.67</v>
      </c>
      <c r="BS144" s="3">
        <v>46.79</v>
      </c>
      <c r="BT144" s="3" t="s">
        <v>1368</v>
      </c>
      <c r="BU144" s="3" t="s">
        <v>3311</v>
      </c>
      <c r="BV144" s="3">
        <v>14.64</v>
      </c>
      <c r="BW144" s="3">
        <v>24.2</v>
      </c>
      <c r="BX144" s="3">
        <v>64.98</v>
      </c>
      <c r="BY144" s="3">
        <v>-13.41</v>
      </c>
      <c r="BZ144" s="3">
        <v>1.55</v>
      </c>
      <c r="CA144" s="3">
        <v>51.73</v>
      </c>
      <c r="CB144" s="3">
        <v>-9.86</v>
      </c>
      <c r="CC144" s="3">
        <v>-0.56000000000000005</v>
      </c>
      <c r="CD144" s="3" t="s">
        <v>5024</v>
      </c>
      <c r="CE144" s="3" t="s">
        <v>5025</v>
      </c>
      <c r="CF144" s="10">
        <v>-0.60063897763578278</v>
      </c>
      <c r="CG144" s="11">
        <v>1.0143973630778551</v>
      </c>
      <c r="CH144" s="10">
        <v>-0.81751823425292969</v>
      </c>
      <c r="CI144" s="10">
        <v>-0.45243808627128601</v>
      </c>
      <c r="CJ144" s="10">
        <v>1.3828573226928711</v>
      </c>
      <c r="CK144" s="10">
        <v>0.13390928506851196</v>
      </c>
      <c r="CL144" s="10">
        <v>0.18414321541786194</v>
      </c>
      <c r="CM144" s="11">
        <v>-0.89131027460098267</v>
      </c>
      <c r="CN144" s="11">
        <v>-0.98357415199279785</v>
      </c>
      <c r="CO144" s="11">
        <v>4.9357800483703613</v>
      </c>
      <c r="CP144" s="11">
        <v>0.35027167201042175</v>
      </c>
      <c r="CQ144" s="11">
        <v>0.67785584926605225</v>
      </c>
      <c r="CR144" s="3">
        <v>21.079526773250798</v>
      </c>
      <c r="CS144" s="3">
        <v>2.4456845858524776</v>
      </c>
      <c r="CT144" s="3">
        <v>0</v>
      </c>
      <c r="CU144" s="10">
        <v>8.6190700531005859E-2</v>
      </c>
      <c r="CV144" s="11">
        <v>0.81780462861061098</v>
      </c>
      <c r="CW144" s="3">
        <v>0.06</v>
      </c>
      <c r="CX144" s="3">
        <v>1754.7980875788548</v>
      </c>
      <c r="CY144" s="3">
        <v>1183640.4511163819</v>
      </c>
      <c r="CZ144" s="3">
        <v>8.6190700531005859E-2</v>
      </c>
      <c r="DA144" s="3">
        <v>575.30518452760373</v>
      </c>
      <c r="DB144" s="3">
        <v>3610344.6585580721</v>
      </c>
      <c r="DC144" s="3">
        <v>8.1881165504455566E-2</v>
      </c>
      <c r="DD144" s="3">
        <v>284.43250371188833</v>
      </c>
      <c r="DE144" s="3">
        <v>7302435.456194968</v>
      </c>
      <c r="DF144" s="3">
        <v>7.5847816467285153E-2</v>
      </c>
      <c r="DG144" s="3">
        <v>171.63724753159198</v>
      </c>
      <c r="DH144" s="3">
        <v>12101394.247875554</v>
      </c>
      <c r="DI144" s="3">
        <v>6.8952560424804688E-2</v>
      </c>
      <c r="DJ144" s="3">
        <v>89.611184126676619</v>
      </c>
      <c r="DK144" s="3">
        <v>23178468.404834714</v>
      </c>
      <c r="DL144" s="3">
        <v>6.0333490371704095E-2</v>
      </c>
      <c r="DM144" s="3">
        <v>1155100</v>
      </c>
      <c r="DN144" s="3">
        <v>8.6190700531005859E-2</v>
      </c>
      <c r="DO144" s="3">
        <v>2077050000</v>
      </c>
      <c r="DP144" s="3">
        <v>934052890</v>
      </c>
      <c r="DQ144" s="3">
        <v>5077</v>
      </c>
      <c r="DR144" s="3">
        <v>-0.68682967816678864</v>
      </c>
      <c r="DS144" s="3">
        <v>0.19659273446724412</v>
      </c>
      <c r="DT144" s="12">
        <v>-0.55666666666666664</v>
      </c>
      <c r="DU144" s="3">
        <v>0.45999999999999991</v>
      </c>
      <c r="DV144" s="3">
        <v>-9.6666666666666734E-2</v>
      </c>
      <c r="DW144" s="3">
        <v>-5.056795131845842</v>
      </c>
      <c r="DX144" s="3">
        <v>0.27291711453986905</v>
      </c>
      <c r="DY144" s="3">
        <v>-5.0052772397710275</v>
      </c>
      <c r="DZ144" s="3">
        <v>1258</v>
      </c>
      <c r="EA144" s="3">
        <v>-5.0039780680230912</v>
      </c>
      <c r="EB144" s="3">
        <v>5</v>
      </c>
      <c r="EC144" s="3">
        <v>3.9897463890310278E-2</v>
      </c>
      <c r="ED144" s="3">
        <v>0.429387676187375</v>
      </c>
      <c r="EE144" s="13">
        <v>1.0015000000000001</v>
      </c>
      <c r="EF144" s="3">
        <v>1.0262100000000001</v>
      </c>
      <c r="EG144" s="3">
        <v>18.092917114539869</v>
      </c>
      <c r="EH144" s="3" t="s">
        <v>2954</v>
      </c>
      <c r="EI144" s="3">
        <v>0</v>
      </c>
      <c r="EJ144" s="3">
        <v>1</v>
      </c>
      <c r="EK144" s="14">
        <v>45470</v>
      </c>
      <c r="EL144" s="15">
        <v>-1</v>
      </c>
      <c r="EM144" s="15">
        <v>-5.32</v>
      </c>
      <c r="EN144" s="3">
        <v>-3.57</v>
      </c>
      <c r="EO144" s="3">
        <v>5.12</v>
      </c>
      <c r="EP144" s="3">
        <v>-2.77</v>
      </c>
    </row>
    <row r="145" spans="1:146" ht="96" x14ac:dyDescent="0.25">
      <c r="A145" s="3"/>
      <c r="B145" s="3"/>
      <c r="C145" s="7" t="str">
        <f>""&amp;CHAR(10)&amp;Basic_Fundamental_Information_Constructure(F145)&amp;CHAR(10)&amp;Basic_Fundamental_Information_Concatenate("")</f>
        <v xml:space="preserve">
市值164.123亿, 利润-606.88万; PE; 平均PE-1412.26; 平均PEG-43.65, PB6.92; ROIC0%; ROE1.57%; 股利率0%; 毛利42.18%; 净利-2.1533%; 上一年度营收增-66.93%, 利润增79.37%; 当季营收增-60.5%, 利润增-117.12%; 过往5年营收增32.35%, 利润增-147.85%
Income profile:
</v>
      </c>
      <c r="D145" s="3" t="s">
        <v>1821</v>
      </c>
      <c r="E145" s="3" t="s">
        <v>1894</v>
      </c>
      <c r="F145" s="3">
        <v>40.03</v>
      </c>
      <c r="G145" s="3">
        <v>0.1</v>
      </c>
      <c r="H145" s="3" t="s">
        <v>5026</v>
      </c>
      <c r="I145" s="3">
        <v>16412300000</v>
      </c>
      <c r="K145" s="3">
        <v>6.92</v>
      </c>
      <c r="L145" s="3" t="s">
        <v>2983</v>
      </c>
      <c r="M145" s="3" t="s">
        <v>1551</v>
      </c>
      <c r="N145" s="3" t="s">
        <v>5027</v>
      </c>
      <c r="O145" s="3" t="s">
        <v>196</v>
      </c>
      <c r="P145" s="3">
        <v>-13.61</v>
      </c>
      <c r="Q145" s="3" t="s">
        <v>196</v>
      </c>
      <c r="R145" s="3">
        <v>-6068799</v>
      </c>
      <c r="S145" s="3">
        <v>-1.387</v>
      </c>
      <c r="T145" s="3" t="s">
        <v>5028</v>
      </c>
      <c r="U145" s="3">
        <v>40000000</v>
      </c>
      <c r="V145" s="3">
        <v>410000000</v>
      </c>
      <c r="W145" s="3">
        <v>1.31</v>
      </c>
      <c r="X145" s="3">
        <v>0.08</v>
      </c>
      <c r="Y145" s="3">
        <v>-2.39</v>
      </c>
      <c r="Z145" s="3" t="s">
        <v>303</v>
      </c>
      <c r="AA145" s="3" t="s">
        <v>417</v>
      </c>
      <c r="AB145" s="3" t="s">
        <v>5029</v>
      </c>
      <c r="AC145" s="3" t="s">
        <v>5030</v>
      </c>
      <c r="AD145" s="3" t="s">
        <v>22</v>
      </c>
      <c r="AE145" s="3">
        <v>701069</v>
      </c>
      <c r="AF145" s="3" t="s">
        <v>2893</v>
      </c>
      <c r="AG145" s="3" t="s">
        <v>5031</v>
      </c>
      <c r="AH145" s="3" t="s">
        <v>2894</v>
      </c>
      <c r="AI145" s="3" t="s">
        <v>1622</v>
      </c>
      <c r="AJ145" s="3" t="s">
        <v>2895</v>
      </c>
      <c r="AK145" s="3" t="s">
        <v>5032</v>
      </c>
      <c r="AL145" s="3" t="s">
        <v>2896</v>
      </c>
      <c r="AM145" s="3" t="s">
        <v>22</v>
      </c>
      <c r="AN145" s="3">
        <v>0</v>
      </c>
      <c r="AO145" s="3" t="s">
        <v>204</v>
      </c>
      <c r="AP145" s="3" t="s">
        <v>22</v>
      </c>
      <c r="AQ145" s="3" t="s">
        <v>5033</v>
      </c>
      <c r="AR145" s="3" t="s">
        <v>22</v>
      </c>
      <c r="AS145" s="3" t="s">
        <v>1049</v>
      </c>
      <c r="AT145" s="3" t="s">
        <v>22</v>
      </c>
      <c r="AU145" s="3" t="s">
        <v>5034</v>
      </c>
      <c r="AV145" s="3" t="s">
        <v>183</v>
      </c>
      <c r="AW145" s="3" t="s">
        <v>5035</v>
      </c>
      <c r="AX145" s="3" t="s">
        <v>881</v>
      </c>
      <c r="AY145" s="3" t="s">
        <v>506</v>
      </c>
      <c r="AZ145" s="3" t="s">
        <v>136</v>
      </c>
      <c r="BA145" s="3" t="s">
        <v>445</v>
      </c>
      <c r="BB145" s="3" t="s">
        <v>318</v>
      </c>
      <c r="BC145" s="3" t="s">
        <v>1823</v>
      </c>
      <c r="BD145" s="3" t="s">
        <v>1824</v>
      </c>
      <c r="BE145" s="3" t="s">
        <v>1825</v>
      </c>
      <c r="BF145" s="3" t="s">
        <v>1826</v>
      </c>
      <c r="BG145" s="3" t="s">
        <v>1827</v>
      </c>
      <c r="BH145" s="3" t="s">
        <v>2050</v>
      </c>
      <c r="BI145" s="3" t="s">
        <v>1822</v>
      </c>
      <c r="BJ145" s="3" t="s">
        <v>881</v>
      </c>
      <c r="BK145" s="3" t="s">
        <v>2892</v>
      </c>
      <c r="BL145" s="3" t="s">
        <v>5036</v>
      </c>
      <c r="BM145" s="3" t="s">
        <v>1823</v>
      </c>
      <c r="BN145" s="3" t="s">
        <v>22</v>
      </c>
      <c r="BO145" s="3" t="s">
        <v>22</v>
      </c>
      <c r="BP145" s="3" t="s">
        <v>22</v>
      </c>
      <c r="BQ145" s="3">
        <v>10.94</v>
      </c>
      <c r="BR145" s="3">
        <v>-7.8</v>
      </c>
      <c r="BS145" s="3" t="s">
        <v>22</v>
      </c>
      <c r="BT145" s="3" t="s">
        <v>1368</v>
      </c>
      <c r="BU145" s="3" t="s">
        <v>2998</v>
      </c>
      <c r="BV145" s="3">
        <v>36.26</v>
      </c>
      <c r="BW145" s="3">
        <v>43.16</v>
      </c>
      <c r="BX145" s="3">
        <v>47.12</v>
      </c>
      <c r="BY145" s="3">
        <v>-1.88</v>
      </c>
      <c r="BZ145" s="3">
        <v>-3.83</v>
      </c>
      <c r="CA145" s="3">
        <v>-0.75</v>
      </c>
      <c r="CB145" s="3">
        <v>-1.1599999999999999</v>
      </c>
      <c r="CC145" s="10">
        <v>-0.55000000000000004</v>
      </c>
      <c r="CD145" s="11" t="s">
        <v>5037</v>
      </c>
      <c r="CE145" s="10" t="s">
        <v>5038</v>
      </c>
      <c r="CF145" s="10">
        <v>-0.60497667185069981</v>
      </c>
      <c r="CG145" s="10">
        <v>-1.1711545772463197</v>
      </c>
      <c r="CH145" s="10">
        <v>-0.66927081346511841</v>
      </c>
      <c r="CI145" s="10">
        <v>0.67320263385772705</v>
      </c>
      <c r="CJ145" s="11">
        <v>0.73863637447357178</v>
      </c>
      <c r="CK145" s="11">
        <v>0.375</v>
      </c>
      <c r="CL145" s="11">
        <v>0.5</v>
      </c>
      <c r="CM145" s="11">
        <v>0.793723464012146</v>
      </c>
      <c r="CN145" s="11">
        <v>-7.5117025375366211</v>
      </c>
      <c r="CO145" s="3">
        <v>0.6393129825592041</v>
      </c>
      <c r="CP145" s="3">
        <v>-2.540518045425415</v>
      </c>
      <c r="CQ145" s="3">
        <v>1.2268713712692261</v>
      </c>
      <c r="CR145" s="10">
        <v>-1412.2582208843232</v>
      </c>
      <c r="CS145" s="11">
        <v>-43.65374595539565</v>
      </c>
      <c r="CT145" s="3">
        <v>0</v>
      </c>
      <c r="CU145" s="3">
        <v>0.3235136389732361</v>
      </c>
      <c r="CV145" s="3">
        <v>-1.4784625530242921</v>
      </c>
      <c r="CW145" s="3">
        <v>0.06</v>
      </c>
      <c r="CX145" s="3" t="e">
        <v>#VALUE!</v>
      </c>
      <c r="CY145" s="3" t="s">
        <v>1073</v>
      </c>
      <c r="CZ145" s="3">
        <v>0.3235136389732361</v>
      </c>
      <c r="DA145" s="3" t="e">
        <v>#VALUE!</v>
      </c>
      <c r="DB145" s="3" t="s">
        <v>1074</v>
      </c>
      <c r="DC145" s="3">
        <v>0.30733795702457428</v>
      </c>
      <c r="DD145" s="3" t="e">
        <v>#VALUE!</v>
      </c>
      <c r="DE145" s="3" t="s">
        <v>1074</v>
      </c>
      <c r="DF145" s="3">
        <v>0.28469200229644775</v>
      </c>
      <c r="DG145" s="3" t="e">
        <v>#VALUE!</v>
      </c>
      <c r="DH145" s="3" t="s">
        <v>1074</v>
      </c>
      <c r="DI145" s="3">
        <v>0.2588109111785889</v>
      </c>
      <c r="DJ145" s="3" t="e">
        <v>#VALUE!</v>
      </c>
      <c r="DK145" s="3" t="s">
        <v>1074</v>
      </c>
      <c r="DL145" s="3">
        <v>0.22645954728126524</v>
      </c>
      <c r="DM145" s="3">
        <v>-6068800</v>
      </c>
      <c r="DN145" s="3">
        <v>0.3235136389732361</v>
      </c>
      <c r="DO145" s="3">
        <v>14817300000</v>
      </c>
      <c r="DP145" s="3">
        <v>2119395700</v>
      </c>
      <c r="DQ145" s="12">
        <v>5080</v>
      </c>
      <c r="DR145" s="3">
        <v>-0.92849031082393596</v>
      </c>
      <c r="DS145" s="3">
        <v>0.30730797577797242</v>
      </c>
      <c r="DT145" s="3">
        <v>1.0000000000000011E-2</v>
      </c>
      <c r="DU145" s="3">
        <v>-2.2983333333333333</v>
      </c>
      <c r="DV145" s="3">
        <v>-2.2883333333333331</v>
      </c>
      <c r="DW145" s="3">
        <v>-5.5000000000000005E-3</v>
      </c>
      <c r="DX145" s="3">
        <v>0.27718708525477581</v>
      </c>
      <c r="DY145" s="3">
        <v>-4.7952896890125725E-4</v>
      </c>
      <c r="DZ145" s="3">
        <v>3861</v>
      </c>
      <c r="EA145" s="3">
        <v>-1.1720776558858519E-4</v>
      </c>
      <c r="EB145" s="13">
        <v>0</v>
      </c>
      <c r="EC145" s="13">
        <v>1.7371219512195123E-2</v>
      </c>
      <c r="ED145" s="3">
        <v>0.19924073170731707</v>
      </c>
      <c r="EE145" s="3">
        <v>-8.0457099999999997</v>
      </c>
      <c r="EF145" s="3">
        <v>-8.0693099999999998</v>
      </c>
      <c r="EG145" s="3">
        <v>19.087187085254776</v>
      </c>
      <c r="EH145" s="14" t="s">
        <v>5039</v>
      </c>
      <c r="EI145" s="3">
        <v>0</v>
      </c>
      <c r="EJ145" s="3">
        <v>0</v>
      </c>
      <c r="EK145" s="3">
        <v>45470</v>
      </c>
      <c r="EL145" s="3">
        <v>-1.73</v>
      </c>
      <c r="EM145" s="3">
        <v>-4.6900000000000004</v>
      </c>
      <c r="EN145" s="3">
        <v>-0.72</v>
      </c>
      <c r="EO145" s="3">
        <v>5.0599999999999996</v>
      </c>
      <c r="EP145" s="3">
        <v>-2.36</v>
      </c>
    </row>
    <row r="146" spans="1:146" ht="96" x14ac:dyDescent="0.25">
      <c r="A146" s="3"/>
      <c r="B146" s="3"/>
      <c r="C146" s="7" t="str">
        <f>""&amp;CHAR(10)&amp;Basic_Fundamental_Information_Constructure(F146)&amp;CHAR(10)&amp;Basic_Fundamental_Information_Concatenate("")</f>
        <v xml:space="preserve">
市值119.536187亿, 利润5862.72万; PE40.56; 平均PE129.65; 平均PEG3.36, PB4.28; ROIC17.69%; ROE18.14%; 股利率.5967%; 毛利78.3233%; 净利33.4567%; 上一年度营收增-83.55%, 利润增-79.14%; 当季营收增-69.45%, 利润增-60.12%; 过往5年营收增38.63%, 利润增87.07%
Income profile:
</v>
      </c>
      <c r="D146" s="3" t="s">
        <v>1907</v>
      </c>
      <c r="E146" s="3" t="s">
        <v>1937</v>
      </c>
      <c r="F146" s="3">
        <v>18.77</v>
      </c>
      <c r="G146" s="3">
        <v>0.48</v>
      </c>
      <c r="H146" s="3" t="s">
        <v>5040</v>
      </c>
      <c r="I146" s="3">
        <v>11953618700</v>
      </c>
      <c r="J146" s="3">
        <v>40.56</v>
      </c>
      <c r="K146" s="3">
        <v>4.28</v>
      </c>
      <c r="L146" s="3" t="s">
        <v>2983</v>
      </c>
      <c r="M146" s="3" t="s">
        <v>1419</v>
      </c>
      <c r="N146" s="3" t="s">
        <v>5041</v>
      </c>
      <c r="O146" s="3" t="s">
        <v>407</v>
      </c>
      <c r="P146" s="5">
        <v>-36.380000000000003</v>
      </c>
      <c r="Q146" s="3" t="s">
        <v>407</v>
      </c>
      <c r="R146" s="3">
        <v>58627178</v>
      </c>
      <c r="S146" s="3">
        <v>-0.21790000000000001</v>
      </c>
      <c r="T146" s="3" t="s">
        <v>5042</v>
      </c>
      <c r="U146" s="3">
        <v>71703942</v>
      </c>
      <c r="V146" s="3">
        <v>636847030</v>
      </c>
      <c r="W146" s="3">
        <v>1.35</v>
      </c>
      <c r="X146" s="3">
        <v>0.05</v>
      </c>
      <c r="Y146" s="3">
        <v>42.66</v>
      </c>
      <c r="Z146" s="3" t="s">
        <v>265</v>
      </c>
      <c r="AA146" s="3" t="s">
        <v>5043</v>
      </c>
      <c r="AB146" s="3" t="s">
        <v>5044</v>
      </c>
      <c r="AC146" s="3" t="s">
        <v>5045</v>
      </c>
      <c r="AD146" s="3" t="s">
        <v>22</v>
      </c>
      <c r="AE146" s="3">
        <v>1805083</v>
      </c>
      <c r="AF146" s="3" t="s">
        <v>2897</v>
      </c>
      <c r="AG146" s="3" t="s">
        <v>5046</v>
      </c>
      <c r="AH146" s="3" t="s">
        <v>2898</v>
      </c>
      <c r="AI146" s="3" t="s">
        <v>2693</v>
      </c>
      <c r="AJ146" s="3" t="s">
        <v>2899</v>
      </c>
      <c r="AK146" s="3" t="s">
        <v>302</v>
      </c>
      <c r="AL146" s="3" t="s">
        <v>2900</v>
      </c>
      <c r="AM146" s="3" t="s">
        <v>22</v>
      </c>
      <c r="AN146" s="3" t="s">
        <v>496</v>
      </c>
      <c r="AO146" s="3" t="s">
        <v>393</v>
      </c>
      <c r="AP146" s="3" t="s">
        <v>5047</v>
      </c>
      <c r="AQ146" s="3" t="s">
        <v>619</v>
      </c>
      <c r="AR146" s="3" t="s">
        <v>22</v>
      </c>
      <c r="AS146" s="3" t="s">
        <v>1836</v>
      </c>
      <c r="AT146" s="3" t="s">
        <v>326</v>
      </c>
      <c r="AU146" s="3" t="s">
        <v>5048</v>
      </c>
      <c r="AV146" s="3" t="s">
        <v>5049</v>
      </c>
      <c r="AW146" s="3" t="s">
        <v>2423</v>
      </c>
      <c r="AX146" s="3" t="s">
        <v>410</v>
      </c>
      <c r="AY146" s="3" t="s">
        <v>2901</v>
      </c>
      <c r="AZ146" s="3" t="s">
        <v>395</v>
      </c>
      <c r="BA146" s="3" t="s">
        <v>359</v>
      </c>
      <c r="BB146" s="3" t="s">
        <v>118</v>
      </c>
      <c r="BC146" s="3" t="s">
        <v>585</v>
      </c>
      <c r="BD146" s="3" t="s">
        <v>356</v>
      </c>
      <c r="BE146" s="3" t="s">
        <v>2902</v>
      </c>
      <c r="BF146" s="3" t="s">
        <v>2903</v>
      </c>
      <c r="BG146" s="3" t="s">
        <v>2904</v>
      </c>
      <c r="BH146" s="3" t="s">
        <v>746</v>
      </c>
      <c r="BI146" s="3" t="s">
        <v>1773</v>
      </c>
      <c r="BJ146" s="3" t="s">
        <v>410</v>
      </c>
      <c r="BK146" s="3" t="s">
        <v>369</v>
      </c>
      <c r="BL146" s="3" t="s">
        <v>472</v>
      </c>
      <c r="BM146" s="3" t="s">
        <v>585</v>
      </c>
      <c r="BN146" s="3">
        <v>12.11</v>
      </c>
      <c r="BO146" s="3">
        <v>21.94</v>
      </c>
      <c r="BP146" s="3">
        <v>19.02</v>
      </c>
      <c r="BQ146" s="3">
        <v>18.14</v>
      </c>
      <c r="BR146" s="3" t="s">
        <v>22</v>
      </c>
      <c r="BS146" s="3" t="s">
        <v>22</v>
      </c>
      <c r="BT146" s="3" t="s">
        <v>2905</v>
      </c>
      <c r="BU146" s="3" t="s">
        <v>2998</v>
      </c>
      <c r="BV146" s="3">
        <v>76.150000000000006</v>
      </c>
      <c r="BW146" s="3">
        <v>76.13</v>
      </c>
      <c r="BX146" s="3">
        <v>82.69</v>
      </c>
      <c r="BY146" s="3">
        <v>34.18</v>
      </c>
      <c r="BZ146" s="3">
        <v>33.590000000000003</v>
      </c>
      <c r="CA146" s="3">
        <v>32.6</v>
      </c>
      <c r="CB146" s="3">
        <v>-2.85</v>
      </c>
      <c r="CC146" s="10">
        <v>-1.72</v>
      </c>
      <c r="CD146" s="11" t="s">
        <v>5050</v>
      </c>
      <c r="CE146" s="10" t="s">
        <v>358</v>
      </c>
      <c r="CF146" s="10">
        <v>-0.69450549450549448</v>
      </c>
      <c r="CG146" s="10">
        <v>-0.60117565986394561</v>
      </c>
      <c r="CH146" s="10">
        <v>-0.8355029821395874</v>
      </c>
      <c r="CI146" s="10">
        <v>0.57063198089599609</v>
      </c>
      <c r="CJ146" s="11">
        <v>0.59171599149703979</v>
      </c>
      <c r="CK146" s="11">
        <v>1.3802816867828369</v>
      </c>
      <c r="CL146" s="11">
        <v>0.22413793206214905</v>
      </c>
      <c r="CM146" s="11">
        <v>-0.79136228561401367</v>
      </c>
      <c r="CN146" s="11">
        <v>0.62427747249603271</v>
      </c>
      <c r="CO146" s="3">
        <v>2.6755256652832031</v>
      </c>
      <c r="CP146" s="3">
        <v>5.3949036598205566</v>
      </c>
      <c r="CQ146" s="3">
        <v>-3.5499286651611328</v>
      </c>
      <c r="CR146" s="10">
        <v>129.65216773538575</v>
      </c>
      <c r="CS146" s="11">
        <v>3.3566650350391605</v>
      </c>
      <c r="CT146" s="3">
        <v>0.59669685668620143</v>
      </c>
      <c r="CU146" s="3">
        <v>0.3862529218196869</v>
      </c>
      <c r="CV146" s="3">
        <v>0.87068316936492918</v>
      </c>
      <c r="CW146" s="3">
        <v>0.06</v>
      </c>
      <c r="CX146" s="3">
        <v>131.67313540037284</v>
      </c>
      <c r="CY146" s="3">
        <v>76671818.205761462</v>
      </c>
      <c r="CZ146" s="3">
        <v>0.3862529218196869</v>
      </c>
      <c r="DA146" s="3">
        <v>33.784151055560002</v>
      </c>
      <c r="DB146" s="3">
        <v>298827064.89789152</v>
      </c>
      <c r="DC146" s="3">
        <v>0.36694027572870253</v>
      </c>
      <c r="DD146" s="3">
        <v>11.681294214748203</v>
      </c>
      <c r="DE146" s="3">
        <v>864255151.3901422</v>
      </c>
      <c r="DF146" s="3">
        <v>0.3399025712013245</v>
      </c>
      <c r="DG146" s="3">
        <v>4.5194138630404392</v>
      </c>
      <c r="DH146" s="3">
        <v>2233833635.4989548</v>
      </c>
      <c r="DI146" s="3">
        <v>0.30900233745574957</v>
      </c>
      <c r="DJ146" s="3">
        <v>0.78404954373699154</v>
      </c>
      <c r="DK146" s="3">
        <v>12876250972.459673</v>
      </c>
      <c r="DL146" s="3">
        <v>0.27037704527378081</v>
      </c>
      <c r="DM146" s="3">
        <v>58627200</v>
      </c>
      <c r="DN146" s="3">
        <v>0.3862529218196869</v>
      </c>
      <c r="DO146" s="3">
        <v>10095618700</v>
      </c>
      <c r="DP146" s="3">
        <v>2487646600</v>
      </c>
      <c r="DQ146" s="12">
        <v>5082</v>
      </c>
      <c r="DR146" s="3">
        <v>-1.0807584163251813</v>
      </c>
      <c r="DS146" s="3">
        <v>-1.4718588292288748</v>
      </c>
      <c r="DT146" s="3">
        <v>-0.15666666666666673</v>
      </c>
      <c r="DU146" s="3">
        <v>-0.24699999999999997</v>
      </c>
      <c r="DV146" s="3">
        <v>-0.40366666666666673</v>
      </c>
      <c r="DW146" s="3">
        <v>-4.6035087719298247</v>
      </c>
      <c r="DX146" s="3">
        <v>0.26111000000000051</v>
      </c>
      <c r="DY146" s="3">
        <v>-4.0549856842105267</v>
      </c>
      <c r="DZ146" s="3">
        <v>792</v>
      </c>
      <c r="EA146" s="3">
        <v>-4.0464634411782887</v>
      </c>
      <c r="EB146" s="13">
        <v>4</v>
      </c>
      <c r="EC146" s="13">
        <v>2.7182194757193107E-2</v>
      </c>
      <c r="ED146" s="3">
        <v>0.29834480032041605</v>
      </c>
      <c r="EE146" s="3">
        <v>-2.0072100000000002</v>
      </c>
      <c r="EF146" s="3">
        <v>-2.0344099999999998</v>
      </c>
      <c r="EG146" s="3">
        <v>17.09111</v>
      </c>
      <c r="EH146" s="14" t="s">
        <v>1401</v>
      </c>
      <c r="EI146" s="3">
        <v>0</v>
      </c>
      <c r="EJ146" s="3">
        <v>1</v>
      </c>
      <c r="EK146" s="3">
        <v>45470</v>
      </c>
      <c r="EL146" s="3">
        <v>0.67</v>
      </c>
      <c r="EM146" s="3">
        <v>-5.97</v>
      </c>
      <c r="EN146" s="3">
        <v>-5.29</v>
      </c>
      <c r="EO146" s="3">
        <v>2.61</v>
      </c>
      <c r="EP146" s="3">
        <v>-2.72</v>
      </c>
    </row>
    <row r="147" spans="1:146" ht="144" x14ac:dyDescent="0.25">
      <c r="A147" s="7" t="s">
        <v>848</v>
      </c>
      <c r="B147" s="7" t="s">
        <v>847</v>
      </c>
      <c r="C147" s="7" t="s">
        <v>846</v>
      </c>
      <c r="D147" s="3" t="s">
        <v>819</v>
      </c>
      <c r="E147" s="3" t="s">
        <v>820</v>
      </c>
      <c r="F147" s="3">
        <v>14.39</v>
      </c>
      <c r="G147" s="3">
        <v>-7.0000000000000007E-2</v>
      </c>
      <c r="H147" s="3" t="s">
        <v>5051</v>
      </c>
      <c r="I147" s="3">
        <v>3063395900</v>
      </c>
      <c r="J147" s="3">
        <v>36.65</v>
      </c>
      <c r="K147" s="3">
        <v>2.76</v>
      </c>
      <c r="L147" s="3" t="s">
        <v>2983</v>
      </c>
      <c r="M147" s="3" t="s">
        <v>2906</v>
      </c>
      <c r="N147" s="3" t="s">
        <v>1851</v>
      </c>
      <c r="O147" s="3" t="s">
        <v>199</v>
      </c>
      <c r="P147" s="3">
        <v>-25.59</v>
      </c>
      <c r="Q147" s="3" t="s">
        <v>199</v>
      </c>
      <c r="R147" s="3">
        <v>-1716178</v>
      </c>
      <c r="S147" s="5">
        <v>-1.056</v>
      </c>
      <c r="T147" s="3" t="s">
        <v>5052</v>
      </c>
      <c r="U147" s="3">
        <v>173914820</v>
      </c>
      <c r="V147" s="3">
        <v>212883660</v>
      </c>
      <c r="W147" s="3">
        <v>2.08</v>
      </c>
      <c r="X147" s="3">
        <v>0.1</v>
      </c>
      <c r="Y147" s="3">
        <v>-1.26</v>
      </c>
      <c r="Z147" s="3" t="s">
        <v>373</v>
      </c>
      <c r="AA147" s="3" t="s">
        <v>123</v>
      </c>
      <c r="AB147" s="3" t="s">
        <v>5053</v>
      </c>
      <c r="AC147" s="3" t="s">
        <v>5054</v>
      </c>
      <c r="AD147" s="3" t="s">
        <v>22</v>
      </c>
      <c r="AE147" s="3">
        <v>5384212</v>
      </c>
      <c r="AF147" s="3" t="s">
        <v>2907</v>
      </c>
      <c r="AG147" s="3" t="s">
        <v>5055</v>
      </c>
      <c r="AH147" s="3" t="s">
        <v>2909</v>
      </c>
      <c r="AI147" s="3" t="s">
        <v>871</v>
      </c>
      <c r="AJ147" s="3" t="s">
        <v>2910</v>
      </c>
      <c r="AK147" s="3" t="s">
        <v>5056</v>
      </c>
      <c r="AL147" s="3" t="s">
        <v>2911</v>
      </c>
      <c r="AM147" s="3" t="s">
        <v>22</v>
      </c>
      <c r="AN147" s="3" t="s">
        <v>510</v>
      </c>
      <c r="AO147" s="3" t="s">
        <v>119</v>
      </c>
      <c r="AP147" s="3" t="s">
        <v>5057</v>
      </c>
      <c r="AQ147" s="3" t="s">
        <v>366</v>
      </c>
      <c r="AR147" s="3" t="s">
        <v>22</v>
      </c>
      <c r="AS147" s="3" t="s">
        <v>5058</v>
      </c>
      <c r="AT147" s="3" t="s">
        <v>22</v>
      </c>
      <c r="AU147" s="3" t="s">
        <v>5059</v>
      </c>
      <c r="AV147" s="3" t="s">
        <v>5060</v>
      </c>
      <c r="AW147" s="3" t="s">
        <v>5061</v>
      </c>
      <c r="AX147" s="3" t="s">
        <v>746</v>
      </c>
      <c r="AY147" s="3" t="s">
        <v>1058</v>
      </c>
      <c r="AZ147" s="3" t="s">
        <v>404</v>
      </c>
      <c r="BA147" s="3" t="s">
        <v>279</v>
      </c>
      <c r="BB147" s="3" t="s">
        <v>373</v>
      </c>
      <c r="BC147" s="3" t="s">
        <v>1705</v>
      </c>
      <c r="BD147" s="3" t="s">
        <v>1059</v>
      </c>
      <c r="BE147" s="3" t="s">
        <v>821</v>
      </c>
      <c r="BF147" s="3" t="s">
        <v>822</v>
      </c>
      <c r="BG147" s="3" t="s">
        <v>823</v>
      </c>
      <c r="BH147" s="3" t="s">
        <v>544</v>
      </c>
      <c r="BI147" s="3" t="s">
        <v>1828</v>
      </c>
      <c r="BJ147" s="3" t="s">
        <v>746</v>
      </c>
      <c r="BK147" s="3" t="s">
        <v>118</v>
      </c>
      <c r="BL147" s="3" t="s">
        <v>5062</v>
      </c>
      <c r="BM147" s="3" t="s">
        <v>1705</v>
      </c>
      <c r="BN147" s="3">
        <v>6.01</v>
      </c>
      <c r="BO147" s="3">
        <v>7.59</v>
      </c>
      <c r="BP147" s="3">
        <v>11.53</v>
      </c>
      <c r="BQ147" s="3">
        <v>8.27</v>
      </c>
      <c r="BR147" s="3">
        <v>8.59</v>
      </c>
      <c r="BS147" s="3">
        <v>14.83</v>
      </c>
      <c r="BT147" s="3" t="s">
        <v>2913</v>
      </c>
      <c r="BU147" s="3" t="s">
        <v>1210</v>
      </c>
      <c r="BV147" s="3">
        <v>22.18</v>
      </c>
      <c r="BW147" s="3">
        <v>20.9</v>
      </c>
      <c r="BX147" s="3">
        <v>21.57</v>
      </c>
      <c r="BY147" s="3">
        <v>7.59</v>
      </c>
      <c r="BZ147" s="3">
        <v>8.48</v>
      </c>
      <c r="CA147" s="3">
        <v>12.39</v>
      </c>
      <c r="CB147" s="3">
        <v>-10.4</v>
      </c>
      <c r="CC147" s="3">
        <v>-14.85</v>
      </c>
      <c r="CD147" s="3" t="s">
        <v>5063</v>
      </c>
      <c r="CE147" s="3" t="s">
        <v>265</v>
      </c>
      <c r="CF147" s="10">
        <v>-0.67801047120418845</v>
      </c>
      <c r="CG147" s="11">
        <v>-1.0274507225861145</v>
      </c>
      <c r="CH147" s="10">
        <v>-0.73434126377105713</v>
      </c>
      <c r="CI147" s="10">
        <v>0.680580735206604</v>
      </c>
      <c r="CJ147" s="10">
        <v>0.65963858366012573</v>
      </c>
      <c r="CK147" s="10">
        <v>0.27692309021949768</v>
      </c>
      <c r="CL147" s="10">
        <v>-7.6335878111422062E-3</v>
      </c>
      <c r="CM147" s="11">
        <v>-1.0218045711517334</v>
      </c>
      <c r="CN147" s="11">
        <v>0.14352436363697052</v>
      </c>
      <c r="CO147" s="11">
        <v>1.5838898420333862</v>
      </c>
      <c r="CP147" s="11">
        <v>1.3761563301086426</v>
      </c>
      <c r="CQ147" s="11">
        <v>0.48794829845428467</v>
      </c>
      <c r="CR147" s="3">
        <v>96.12970969734404</v>
      </c>
      <c r="CS147" s="3">
        <v>5.4920745674979843</v>
      </c>
      <c r="CT147" s="3">
        <v>0.62543432939541344</v>
      </c>
      <c r="CU147" s="10">
        <v>0.17503351150080562</v>
      </c>
      <c r="CV147" s="11">
        <v>0.51394285261631012</v>
      </c>
      <c r="CW147" s="3">
        <v>0.06</v>
      </c>
      <c r="CX147" s="3" t="e">
        <v>#VALUE!</v>
      </c>
      <c r="CY147" s="3" t="s">
        <v>1073</v>
      </c>
      <c r="CZ147" s="3">
        <v>0.17503351150080562</v>
      </c>
      <c r="DA147" s="3" t="e">
        <v>#VALUE!</v>
      </c>
      <c r="DB147" s="3" t="s">
        <v>1074</v>
      </c>
      <c r="DC147" s="3">
        <v>0.16628183592576534</v>
      </c>
      <c r="DD147" s="3" t="e">
        <v>#VALUE!</v>
      </c>
      <c r="DE147" s="3" t="s">
        <v>1074</v>
      </c>
      <c r="DF147" s="3">
        <v>0.15402949012070896</v>
      </c>
      <c r="DG147" s="3" t="e">
        <v>#VALUE!</v>
      </c>
      <c r="DH147" s="3" t="s">
        <v>1074</v>
      </c>
      <c r="DI147" s="3">
        <v>0.1400268092006445</v>
      </c>
      <c r="DJ147" s="3" t="e">
        <v>#VALUE!</v>
      </c>
      <c r="DK147" s="3" t="s">
        <v>1074</v>
      </c>
      <c r="DL147" s="3">
        <v>0.12252345805056393</v>
      </c>
      <c r="DM147" s="3">
        <v>-1716200</v>
      </c>
      <c r="DN147" s="3">
        <v>0.17503351150080562</v>
      </c>
      <c r="DO147" s="3">
        <v>3262395900</v>
      </c>
      <c r="DP147" s="3">
        <v>473194030</v>
      </c>
      <c r="DQ147" s="3">
        <v>5083</v>
      </c>
      <c r="DR147" s="3">
        <v>-0.85304398270499404</v>
      </c>
      <c r="DS147" s="3">
        <v>-1.5413935752024246</v>
      </c>
      <c r="DT147" s="12">
        <v>-9.000000000000008E-2</v>
      </c>
      <c r="DU147" s="3">
        <v>-1.0483333333333333</v>
      </c>
      <c r="DV147" s="3">
        <v>-1.1383333333333334</v>
      </c>
      <c r="DW147" s="3">
        <v>-9.7003367003367007</v>
      </c>
      <c r="DX147" s="3">
        <v>0.38157425742574302</v>
      </c>
      <c r="DY147" s="3">
        <v>-9.1061530153015298</v>
      </c>
      <c r="DZ147" s="3">
        <v>892</v>
      </c>
      <c r="EA147" s="3">
        <v>-9.0876229781882287</v>
      </c>
      <c r="EB147" s="3">
        <v>9</v>
      </c>
      <c r="EC147" s="3">
        <v>7.1912517851299623E-2</v>
      </c>
      <c r="ED147" s="3">
        <v>0.47443754020388412</v>
      </c>
      <c r="EE147" s="13">
        <v>-1.05671</v>
      </c>
      <c r="EF147" s="3">
        <v>-1.1009100000000001</v>
      </c>
      <c r="EG147" s="3">
        <v>23.151574257425743</v>
      </c>
      <c r="EH147" s="3" t="s">
        <v>1386</v>
      </c>
      <c r="EI147" s="3">
        <v>0</v>
      </c>
      <c r="EJ147" s="3">
        <v>1</v>
      </c>
      <c r="EK147" s="14">
        <v>45470</v>
      </c>
      <c r="EL147" s="15">
        <v>-4.96</v>
      </c>
      <c r="EM147" s="15">
        <v>-5.74</v>
      </c>
      <c r="EN147" s="3">
        <v>0.92</v>
      </c>
      <c r="EO147" s="3">
        <v>2.4700000000000002</v>
      </c>
      <c r="EP147" s="3">
        <v>-4.42</v>
      </c>
    </row>
    <row r="148" spans="1:146" ht="96" x14ac:dyDescent="0.25">
      <c r="A148" s="3"/>
      <c r="B148" s="3"/>
      <c r="C148" s="7" t="str">
        <f>""&amp;CHAR(10)&amp;Basic_Fundamental_Information_Constructure(F148)&amp;CHAR(10)&amp;Basic_Fundamental_Information_Concatenate("")</f>
        <v xml:space="preserve">
市值33.138134亿, 利润751.01万; PE90.47; 平均PE155.98; 平均PEG243.65, PB3.25; ROIC5.95%; ROE4.75%; 股利率.3989%; 毛利26.5867%; 净利9.13%; 上一年度营收增-74.73%, 利润增-67.75%; 当季营收增-46.84%, 利润增-32.45%; 过往5年营收增-.64%, 利润增-3.69%
Income profile:
</v>
      </c>
      <c r="D148" s="3" t="s">
        <v>1897</v>
      </c>
      <c r="E148" s="3" t="s">
        <v>1898</v>
      </c>
      <c r="F148" s="3">
        <v>37.6</v>
      </c>
      <c r="G148" s="3">
        <v>0.8</v>
      </c>
      <c r="H148" s="3" t="s">
        <v>5064</v>
      </c>
      <c r="I148" s="3">
        <v>3313813400</v>
      </c>
      <c r="J148" s="3">
        <v>90.47</v>
      </c>
      <c r="K148" s="3">
        <v>3.25</v>
      </c>
      <c r="L148" s="3" t="s">
        <v>2983</v>
      </c>
      <c r="M148" s="3" t="s">
        <v>136</v>
      </c>
      <c r="N148" s="3" t="s">
        <v>1852</v>
      </c>
      <c r="O148" s="3" t="s">
        <v>2915</v>
      </c>
      <c r="P148" s="5">
        <v>14.22</v>
      </c>
      <c r="Q148" s="3" t="s">
        <v>2915</v>
      </c>
      <c r="R148" s="3">
        <v>7510130</v>
      </c>
      <c r="S148" s="3">
        <v>1.123</v>
      </c>
      <c r="T148" s="3" t="s">
        <v>5065</v>
      </c>
      <c r="U148" s="3">
        <v>17699418</v>
      </c>
      <c r="V148" s="3">
        <v>88133334</v>
      </c>
      <c r="W148" s="3">
        <v>1.25</v>
      </c>
      <c r="X148" s="3">
        <v>0.06</v>
      </c>
      <c r="Y148" s="3">
        <v>9.17</v>
      </c>
      <c r="Z148" s="3" t="s">
        <v>5066</v>
      </c>
      <c r="AA148" s="3" t="s">
        <v>5067</v>
      </c>
      <c r="AB148" s="3" t="s">
        <v>5068</v>
      </c>
      <c r="AC148" s="3" t="s">
        <v>5069</v>
      </c>
      <c r="AD148" s="3" t="s">
        <v>22</v>
      </c>
      <c r="AE148" s="3">
        <v>-1935994</v>
      </c>
      <c r="AF148" s="3" t="s">
        <v>2917</v>
      </c>
      <c r="AG148" s="3" t="s">
        <v>5070</v>
      </c>
      <c r="AH148" s="3" t="s">
        <v>2918</v>
      </c>
      <c r="AI148" s="3" t="s">
        <v>139</v>
      </c>
      <c r="AJ148" s="3" t="s">
        <v>2919</v>
      </c>
      <c r="AK148" s="3" t="s">
        <v>5071</v>
      </c>
      <c r="AL148" s="3" t="s">
        <v>2920</v>
      </c>
      <c r="AM148" s="3" t="s">
        <v>22</v>
      </c>
      <c r="AN148" s="3" t="s">
        <v>5072</v>
      </c>
      <c r="AO148" s="3" t="s">
        <v>118</v>
      </c>
      <c r="AP148" s="3" t="s">
        <v>2921</v>
      </c>
      <c r="AQ148" s="3" t="s">
        <v>5073</v>
      </c>
      <c r="AR148" s="3" t="s">
        <v>22</v>
      </c>
      <c r="AS148" s="3" t="s">
        <v>476</v>
      </c>
      <c r="AT148" s="3" t="s">
        <v>2922</v>
      </c>
      <c r="AU148" s="3" t="s">
        <v>5074</v>
      </c>
      <c r="AV148" s="3" t="s">
        <v>5075</v>
      </c>
      <c r="AW148" s="3" t="s">
        <v>5076</v>
      </c>
      <c r="AX148" s="3" t="s">
        <v>1834</v>
      </c>
      <c r="AY148" s="3" t="s">
        <v>1119</v>
      </c>
      <c r="AZ148" s="3" t="s">
        <v>129</v>
      </c>
      <c r="BA148" s="3" t="s">
        <v>248</v>
      </c>
      <c r="BB148" s="3" t="s">
        <v>22</v>
      </c>
      <c r="BC148" s="3" t="s">
        <v>2923</v>
      </c>
      <c r="BD148" s="3" t="s">
        <v>2924</v>
      </c>
      <c r="BE148" s="3" t="s">
        <v>2925</v>
      </c>
      <c r="BF148" s="3" t="s">
        <v>2926</v>
      </c>
      <c r="BG148" s="3" t="s">
        <v>22</v>
      </c>
      <c r="BH148" s="3" t="s">
        <v>528</v>
      </c>
      <c r="BI148" s="3" t="s">
        <v>1072</v>
      </c>
      <c r="BJ148" s="3" t="s">
        <v>1834</v>
      </c>
      <c r="BK148" s="3" t="s">
        <v>2916</v>
      </c>
      <c r="BL148" s="3" t="s">
        <v>1135</v>
      </c>
      <c r="BM148" s="3" t="s">
        <v>2923</v>
      </c>
      <c r="BN148" s="3">
        <v>3.1</v>
      </c>
      <c r="BO148" s="3">
        <v>4.6100000000000003</v>
      </c>
      <c r="BP148" s="3">
        <v>10.14</v>
      </c>
      <c r="BQ148" s="3">
        <v>4.13</v>
      </c>
      <c r="BR148" s="3">
        <v>5.37</v>
      </c>
      <c r="BS148" s="3" t="s">
        <v>22</v>
      </c>
      <c r="BT148" s="3" t="s">
        <v>1371</v>
      </c>
      <c r="BU148" s="3" t="s">
        <v>1211</v>
      </c>
      <c r="BV148" s="3">
        <v>27.18</v>
      </c>
      <c r="BW148" s="3">
        <v>23.33</v>
      </c>
      <c r="BX148" s="3">
        <v>29.25</v>
      </c>
      <c r="BY148" s="3">
        <v>9.07</v>
      </c>
      <c r="BZ148" s="3">
        <v>7.19</v>
      </c>
      <c r="CA148" s="3">
        <v>11.13</v>
      </c>
      <c r="CB148" s="3">
        <v>-7.25</v>
      </c>
      <c r="CC148" s="10">
        <v>14.29</v>
      </c>
      <c r="CD148" s="11" t="s">
        <v>5077</v>
      </c>
      <c r="CE148" s="10" t="s">
        <v>162</v>
      </c>
      <c r="CF148" s="10">
        <v>-0.46844350649350647</v>
      </c>
      <c r="CG148" s="10">
        <v>-0.32454355764214909</v>
      </c>
      <c r="CH148" s="10">
        <v>-0.74734663963317871</v>
      </c>
      <c r="CI148" s="10">
        <v>3.1847134232521057E-2</v>
      </c>
      <c r="CJ148" s="11">
        <v>0.50239235162734985</v>
      </c>
      <c r="CK148" s="11">
        <v>0.1875</v>
      </c>
      <c r="CL148" s="11" t="s">
        <v>22</v>
      </c>
      <c r="CM148" s="11">
        <v>-0.67746633291244507</v>
      </c>
      <c r="CN148" s="11">
        <v>-0.33454033732414246</v>
      </c>
      <c r="CO148" s="3">
        <v>0.49866580963134766</v>
      </c>
      <c r="CP148" s="3">
        <v>0.36584180593490601</v>
      </c>
      <c r="CQ148" s="3" t="s">
        <v>22</v>
      </c>
      <c r="CR148" s="10">
        <v>155.97807146777322</v>
      </c>
      <c r="CS148" s="11">
        <v>243.64765072854058</v>
      </c>
      <c r="CT148" s="3">
        <v>0.39893617021276595</v>
      </c>
      <c r="CU148" s="3">
        <v>-6.4017884433269501E-3</v>
      </c>
      <c r="CV148" s="3">
        <v>-3.6874763667583466E-2</v>
      </c>
      <c r="CW148" s="3">
        <v>0.06</v>
      </c>
      <c r="CX148" s="3">
        <v>340.58313471192128</v>
      </c>
      <c r="CY148" s="3" t="s">
        <v>5078</v>
      </c>
      <c r="CZ148" s="3">
        <v>-6.4017884433269501E-3</v>
      </c>
      <c r="DA148" s="3">
        <v>113.52771157064042</v>
      </c>
      <c r="DB148" s="3" t="s">
        <v>5079</v>
      </c>
      <c r="DC148" s="3">
        <v>-6.0816990211606022E-3</v>
      </c>
      <c r="DD148" s="3">
        <v>56.76385578532021</v>
      </c>
      <c r="DE148" s="3" t="s">
        <v>5080</v>
      </c>
      <c r="DF148" s="3">
        <v>-5.6335738301277159E-3</v>
      </c>
      <c r="DG148" s="3">
        <v>34.058313471192129</v>
      </c>
      <c r="DH148" s="3" t="s">
        <v>5081</v>
      </c>
      <c r="DI148" s="3">
        <v>-5.1214307546615604E-3</v>
      </c>
      <c r="DJ148" s="3">
        <v>17.029156735596064</v>
      </c>
      <c r="DK148" s="3" t="s">
        <v>5082</v>
      </c>
      <c r="DL148" s="3">
        <v>-4.4812519103288647E-3</v>
      </c>
      <c r="DM148" s="3">
        <v>7510100</v>
      </c>
      <c r="DN148" s="3">
        <v>-6.4017884433269501E-3</v>
      </c>
      <c r="DO148" s="3">
        <v>2557813400</v>
      </c>
      <c r="DP148" s="3">
        <v>507254310</v>
      </c>
      <c r="DQ148" s="12">
        <v>5088</v>
      </c>
      <c r="DR148" s="3">
        <v>-0.46204171805017952</v>
      </c>
      <c r="DS148" s="3">
        <v>-0.28766879397456563</v>
      </c>
      <c r="DT148" s="3">
        <v>-0.628</v>
      </c>
      <c r="DU148" s="3">
        <v>-0.54399999999999993</v>
      </c>
      <c r="DV148" s="3">
        <v>-1.1719999999999999</v>
      </c>
      <c r="DW148" s="3">
        <v>-7.336583101207057</v>
      </c>
      <c r="DX148" s="3">
        <v>0.31554080000000112</v>
      </c>
      <c r="DY148" s="3">
        <v>-7.0456207428040853</v>
      </c>
      <c r="DZ148" s="3">
        <v>1672</v>
      </c>
      <c r="EA148" s="3">
        <v>-7.0306935643366817</v>
      </c>
      <c r="EB148" s="13">
        <v>7</v>
      </c>
      <c r="EC148" s="13">
        <v>0.19223827388624604</v>
      </c>
      <c r="ED148" s="3">
        <v>1.4183055868509411</v>
      </c>
      <c r="EE148" s="3">
        <v>4.82E-2</v>
      </c>
      <c r="EF148" s="3">
        <v>2.3099999999999965E-3</v>
      </c>
      <c r="EG148" s="3">
        <v>18.135540800000001</v>
      </c>
      <c r="EH148" s="14">
        <v>-1</v>
      </c>
      <c r="EI148" s="3">
        <v>0</v>
      </c>
      <c r="EJ148" s="3">
        <v>0</v>
      </c>
      <c r="EK148" s="3">
        <v>45470</v>
      </c>
      <c r="EL148" s="3">
        <v>-0.57999999999999996</v>
      </c>
      <c r="EM148" s="3">
        <v>-1.1599999999999999</v>
      </c>
      <c r="EN148" s="3">
        <v>-3.54</v>
      </c>
      <c r="EO148" s="3">
        <v>1.92</v>
      </c>
      <c r="EP148" s="3">
        <v>-5.05</v>
      </c>
    </row>
    <row r="149" spans="1:146" ht="96" x14ac:dyDescent="0.25">
      <c r="C149" s="7" t="str">
        <f>""&amp;CHAR(10)&amp;Basic_Fundamental_Information_Constructure(F149)&amp;CHAR(10)&amp;Basic_Fundamental_Information_Concatenate("")</f>
        <v xml:space="preserve">
市值300.36776亿, 利润3016.34万; PE144.7; 平均PE53.65; 平均PEG4.61, PB3.81; ROIC6.4533%; ROE11.3233%; 股利率.0519%; 毛利31.2533%; 净利8.7967%; 上一年度营收增-78.31%, 利润增-93.13%; 当季营收增-33.97%, 利润增232.12%; 过往5年营收增11.65%, 利润增-1.67%
Income profile:
</v>
      </c>
      <c r="D149" s="3" t="s">
        <v>824</v>
      </c>
      <c r="E149" s="3" t="s">
        <v>825</v>
      </c>
      <c r="F149" s="3">
        <v>11.55</v>
      </c>
      <c r="G149" s="3">
        <v>1.49</v>
      </c>
      <c r="H149" s="3" t="s">
        <v>5083</v>
      </c>
      <c r="I149" s="3">
        <v>30036776000</v>
      </c>
      <c r="J149" s="3">
        <v>144.69999999999999</v>
      </c>
      <c r="K149" s="3">
        <v>3.81</v>
      </c>
      <c r="L149" s="3" t="s">
        <v>2983</v>
      </c>
      <c r="M149" s="3" t="s">
        <v>2927</v>
      </c>
      <c r="N149" s="3" t="s">
        <v>5084</v>
      </c>
      <c r="O149" s="3" t="s">
        <v>1751</v>
      </c>
      <c r="P149" s="3">
        <v>51.13</v>
      </c>
      <c r="Q149" s="3" t="s">
        <v>1751</v>
      </c>
      <c r="R149" s="3">
        <v>30163398</v>
      </c>
      <c r="S149" s="5">
        <v>1.2330000000000001</v>
      </c>
      <c r="T149" s="3" t="s">
        <v>5085</v>
      </c>
      <c r="U149" s="3">
        <v>1114199670</v>
      </c>
      <c r="V149" s="3">
        <v>2600586700</v>
      </c>
      <c r="W149" s="3">
        <v>2.63</v>
      </c>
      <c r="X149" s="3">
        <v>0.06</v>
      </c>
      <c r="Y149" s="3">
        <v>2.34</v>
      </c>
      <c r="Z149" s="3" t="s">
        <v>1751</v>
      </c>
      <c r="AA149" s="3" t="s">
        <v>172</v>
      </c>
      <c r="AB149" s="3" t="s">
        <v>5086</v>
      </c>
      <c r="AC149" s="3" t="s">
        <v>5087</v>
      </c>
      <c r="AD149" s="3" t="s">
        <v>22</v>
      </c>
      <c r="AE149" s="3">
        <v>34317875</v>
      </c>
      <c r="AF149" s="3" t="s">
        <v>2930</v>
      </c>
      <c r="AG149" s="3" t="s">
        <v>5088</v>
      </c>
      <c r="AH149" s="3" t="s">
        <v>2931</v>
      </c>
      <c r="AI149" s="3" t="s">
        <v>597</v>
      </c>
      <c r="AJ149" s="3" t="s">
        <v>2932</v>
      </c>
      <c r="AK149" s="3" t="s">
        <v>5089</v>
      </c>
      <c r="AL149" s="3" t="s">
        <v>2933</v>
      </c>
      <c r="AM149" s="3" t="s">
        <v>22</v>
      </c>
      <c r="AN149" s="3" t="s">
        <v>742</v>
      </c>
      <c r="AO149" s="3" t="s">
        <v>5090</v>
      </c>
      <c r="AP149" s="3" t="s">
        <v>22</v>
      </c>
      <c r="AQ149" s="3" t="s">
        <v>536</v>
      </c>
      <c r="AR149" s="3" t="s">
        <v>22</v>
      </c>
      <c r="AS149" s="3" t="s">
        <v>5091</v>
      </c>
      <c r="AT149" s="3" t="s">
        <v>1993</v>
      </c>
      <c r="AU149" s="3" t="s">
        <v>5092</v>
      </c>
      <c r="AV149" s="3" t="s">
        <v>5093</v>
      </c>
      <c r="AW149" s="3" t="s">
        <v>705</v>
      </c>
      <c r="AX149" s="3" t="s">
        <v>1706</v>
      </c>
      <c r="AY149" s="3" t="s">
        <v>1060</v>
      </c>
      <c r="AZ149" s="3" t="s">
        <v>826</v>
      </c>
      <c r="BA149" s="3" t="s">
        <v>827</v>
      </c>
      <c r="BB149" s="3" t="s">
        <v>828</v>
      </c>
      <c r="BC149" s="3" t="s">
        <v>493</v>
      </c>
      <c r="BD149" s="3" t="s">
        <v>1061</v>
      </c>
      <c r="BE149" s="3" t="s">
        <v>552</v>
      </c>
      <c r="BF149" s="3" t="s">
        <v>438</v>
      </c>
      <c r="BG149" s="3" t="s">
        <v>829</v>
      </c>
      <c r="BH149" s="3" t="s">
        <v>2928</v>
      </c>
      <c r="BI149" s="3" t="s">
        <v>5094</v>
      </c>
      <c r="BJ149" s="3" t="s">
        <v>1706</v>
      </c>
      <c r="BK149" s="3" t="s">
        <v>2929</v>
      </c>
      <c r="BL149" s="3" t="s">
        <v>5095</v>
      </c>
      <c r="BM149" s="3" t="s">
        <v>493</v>
      </c>
      <c r="BN149" s="3">
        <v>0.72</v>
      </c>
      <c r="BO149" s="3">
        <v>3.52</v>
      </c>
      <c r="BP149" s="3">
        <v>15.12</v>
      </c>
      <c r="BQ149" s="3">
        <v>0.63</v>
      </c>
      <c r="BR149" s="3">
        <v>5.68</v>
      </c>
      <c r="BS149" s="3">
        <v>27.66</v>
      </c>
      <c r="BT149" s="3" t="s">
        <v>2934</v>
      </c>
      <c r="BU149" s="3" t="s">
        <v>2998</v>
      </c>
      <c r="BV149" s="3">
        <v>29.57</v>
      </c>
      <c r="BW149" s="3">
        <v>30.48</v>
      </c>
      <c r="BX149" s="3">
        <v>33.71</v>
      </c>
      <c r="BY149" s="3">
        <v>1.03</v>
      </c>
      <c r="BZ149" s="3">
        <v>7.38</v>
      </c>
      <c r="CA149" s="3">
        <v>17.98</v>
      </c>
      <c r="CB149" s="3">
        <v>-4.62</v>
      </c>
      <c r="CC149" s="3">
        <v>-11.97</v>
      </c>
      <c r="CD149" s="3" t="s">
        <v>5096</v>
      </c>
      <c r="CE149" s="3" t="s">
        <v>341</v>
      </c>
      <c r="CF149" s="10">
        <v>-0.33965163934426229</v>
      </c>
      <c r="CG149" s="11">
        <v>2.3212349702361403</v>
      </c>
      <c r="CH149" s="10">
        <v>-0.78314268589019775</v>
      </c>
      <c r="CI149" s="10">
        <v>-0.15097843110561371</v>
      </c>
      <c r="CJ149" s="10">
        <v>8.4417589008808136E-2</v>
      </c>
      <c r="CK149" s="10">
        <v>0.74959355592727661</v>
      </c>
      <c r="CL149" s="10">
        <v>0.68262654542922974</v>
      </c>
      <c r="CM149" s="11">
        <v>-0.93129068613052368</v>
      </c>
      <c r="CN149" s="11">
        <v>-0.65103340148925781</v>
      </c>
      <c r="CO149" s="11">
        <v>0.62742561101913452</v>
      </c>
      <c r="CP149" s="11">
        <v>1.1532033681869507</v>
      </c>
      <c r="CQ149" s="11">
        <v>-0.28200000524520874</v>
      </c>
      <c r="CR149" s="3">
        <v>53.650458325427103</v>
      </c>
      <c r="CS149" s="3">
        <v>4.6050585320767725</v>
      </c>
      <c r="CT149" s="3">
        <v>5.1948051948051945E-2</v>
      </c>
      <c r="CU149" s="10">
        <v>0.1165033146739006</v>
      </c>
      <c r="CV149" s="11">
        <v>-1.6739022731781007E-2</v>
      </c>
      <c r="CW149" s="3">
        <v>0.06</v>
      </c>
      <c r="CX149" s="3">
        <v>1084.9357408812384</v>
      </c>
      <c r="CY149" s="3">
        <v>31771260.454561062</v>
      </c>
      <c r="CZ149" s="3">
        <v>0.1165033146739006</v>
      </c>
      <c r="DA149" s="3">
        <v>346.70212536214331</v>
      </c>
      <c r="DB149" s="3">
        <v>99421876.817152575</v>
      </c>
      <c r="DC149" s="3">
        <v>0.11067814894020557</v>
      </c>
      <c r="DD149" s="3">
        <v>165.59278988422417</v>
      </c>
      <c r="DE149" s="3">
        <v>208159884.40136725</v>
      </c>
      <c r="DF149" s="3">
        <v>0.10252291691303253</v>
      </c>
      <c r="DG149" s="3">
        <v>96.069139095391009</v>
      </c>
      <c r="DH149" s="3">
        <v>358801758.03151041</v>
      </c>
      <c r="DI149" s="3">
        <v>9.3202651739120485E-2</v>
      </c>
      <c r="DJ149" s="3">
        <v>45.942998628284222</v>
      </c>
      <c r="DK149" s="3">
        <v>750272664.58787739</v>
      </c>
      <c r="DL149" s="3">
        <v>8.1552320271730414E-2</v>
      </c>
      <c r="DM149" s="3">
        <v>30163400</v>
      </c>
      <c r="DN149" s="3">
        <v>0.1165033146739006</v>
      </c>
      <c r="DO149" s="3">
        <v>34469776000</v>
      </c>
      <c r="DP149" s="3">
        <v>2645332000</v>
      </c>
      <c r="DQ149" s="3">
        <v>5090</v>
      </c>
      <c r="DR149" s="3">
        <v>-0.45615495401816286</v>
      </c>
      <c r="DS149" s="3">
        <v>2.3379739929679215</v>
      </c>
      <c r="DT149" s="12">
        <v>-0.49000000000000005</v>
      </c>
      <c r="DU149" s="3">
        <v>-0.23333333333333336</v>
      </c>
      <c r="DV149" s="3">
        <v>-0.72333333333333338</v>
      </c>
      <c r="DW149" s="3">
        <v>-8.3859649122807021</v>
      </c>
      <c r="DX149" s="3">
        <v>0.30098299999999939</v>
      </c>
      <c r="DY149" s="3">
        <v>-8.0389758947368417</v>
      </c>
      <c r="DZ149" s="3">
        <v>3016</v>
      </c>
      <c r="EA149" s="3">
        <v>-8.0159717267277788</v>
      </c>
      <c r="EB149" s="3">
        <v>8</v>
      </c>
      <c r="EC149" s="3">
        <v>1.5532341221309792E-2</v>
      </c>
      <c r="ED149" s="3">
        <v>0.15381144570184874</v>
      </c>
      <c r="EE149" s="13">
        <v>-3.02711</v>
      </c>
      <c r="EF149" s="3">
        <v>-3.0606100000000001</v>
      </c>
      <c r="EG149" s="3">
        <v>20.100982999999999</v>
      </c>
      <c r="EH149" s="3" t="s">
        <v>1838</v>
      </c>
      <c r="EI149" s="3">
        <v>0</v>
      </c>
      <c r="EJ149" s="3">
        <v>0</v>
      </c>
      <c r="EK149" s="14">
        <v>45470</v>
      </c>
      <c r="EL149" s="15">
        <v>-2.56</v>
      </c>
      <c r="EM149" s="15">
        <v>-5.93</v>
      </c>
      <c r="EN149" s="3">
        <v>-2.21</v>
      </c>
      <c r="EO149" s="3">
        <v>4.91</v>
      </c>
      <c r="EP149" s="3">
        <v>-3.35</v>
      </c>
    </row>
    <row r="150" spans="1:146" ht="96" x14ac:dyDescent="0.25">
      <c r="C150" s="7" t="str">
        <f>""&amp;CHAR(10)&amp;Basic_Fundamental_Information_Constructure(F150)&amp;CHAR(10)&amp;Basic_Fundamental_Information_Concatenate("")</f>
        <v xml:space="preserve">
市值95.629615亿, 利润4992.39万; PE321; 平均PE103.23; 平均PEG2.82, PB4.82; ROIC13.27%; ROE9.8533%; 股利率0%; 毛利30.1233%; 净利10.37%; 上一年度营收增-56.22%, 利润增-39.96%; 当季营收增-13.65%, 利润增163.8%; 过往5年营收增36.59%, 利润增86.94%
Income profile:
</v>
      </c>
      <c r="D150" s="3" t="s">
        <v>830</v>
      </c>
      <c r="E150" s="3" t="s">
        <v>5097</v>
      </c>
      <c r="F150" s="3">
        <v>90.55</v>
      </c>
      <c r="G150" s="3">
        <v>0.5</v>
      </c>
      <c r="H150" s="3" t="s">
        <v>5098</v>
      </c>
      <c r="I150" s="3">
        <v>9562961500</v>
      </c>
      <c r="J150" s="3">
        <v>321</v>
      </c>
      <c r="K150" s="3">
        <v>4.82</v>
      </c>
      <c r="L150" s="3" t="s">
        <v>2983</v>
      </c>
      <c r="M150" s="3" t="s">
        <v>622</v>
      </c>
      <c r="N150" s="3" t="s">
        <v>5099</v>
      </c>
      <c r="O150" s="3" t="s">
        <v>635</v>
      </c>
      <c r="P150" s="3">
        <v>98.52</v>
      </c>
      <c r="Q150" s="3" t="s">
        <v>635</v>
      </c>
      <c r="R150" s="3">
        <v>49923909</v>
      </c>
      <c r="S150" s="5">
        <v>2.774</v>
      </c>
      <c r="T150" s="3" t="s">
        <v>5100</v>
      </c>
      <c r="U150" s="3">
        <v>61230869</v>
      </c>
      <c r="V150" s="3">
        <v>105609735</v>
      </c>
      <c r="W150" s="3">
        <v>1.1299999999999999</v>
      </c>
      <c r="X150" s="3">
        <v>0.19</v>
      </c>
      <c r="Y150" s="3">
        <v>12.33</v>
      </c>
      <c r="Z150" s="3" t="s">
        <v>159</v>
      </c>
      <c r="AA150" s="3" t="s">
        <v>465</v>
      </c>
      <c r="AB150" s="3" t="s">
        <v>5101</v>
      </c>
      <c r="AC150" s="3" t="s">
        <v>5102</v>
      </c>
      <c r="AD150" s="3" t="s">
        <v>22</v>
      </c>
      <c r="AE150" s="3">
        <v>-7347342</v>
      </c>
      <c r="AF150" s="3" t="s">
        <v>108</v>
      </c>
      <c r="AG150" s="3">
        <v>0.71</v>
      </c>
      <c r="AH150" s="3" t="s">
        <v>2937</v>
      </c>
      <c r="AI150" s="3" t="s">
        <v>5103</v>
      </c>
      <c r="AJ150" s="3" t="s">
        <v>2938</v>
      </c>
      <c r="AK150" s="3" t="s">
        <v>5104</v>
      </c>
      <c r="AL150" s="3" t="s">
        <v>2939</v>
      </c>
      <c r="AM150" s="3" t="s">
        <v>22</v>
      </c>
      <c r="AN150" s="3" t="s">
        <v>5105</v>
      </c>
      <c r="AO150" s="3" t="s">
        <v>22</v>
      </c>
      <c r="AP150" s="3" t="s">
        <v>22</v>
      </c>
      <c r="AQ150" s="3" t="s">
        <v>215</v>
      </c>
      <c r="AR150" s="3" t="s">
        <v>22</v>
      </c>
      <c r="AS150" s="3" t="s">
        <v>357</v>
      </c>
      <c r="AT150" s="3" t="s">
        <v>22</v>
      </c>
      <c r="AU150" s="3" t="s">
        <v>5106</v>
      </c>
      <c r="AV150" s="3" t="s">
        <v>5107</v>
      </c>
      <c r="AW150" s="3" t="s">
        <v>22</v>
      </c>
      <c r="AX150" s="3" t="s">
        <v>1707</v>
      </c>
      <c r="AY150" s="3" t="s">
        <v>564</v>
      </c>
      <c r="AZ150" s="3" t="s">
        <v>686</v>
      </c>
      <c r="BA150" s="3" t="s">
        <v>546</v>
      </c>
      <c r="BB150" s="3" t="s">
        <v>797</v>
      </c>
      <c r="BC150" s="3" t="s">
        <v>1708</v>
      </c>
      <c r="BD150" s="3" t="s">
        <v>550</v>
      </c>
      <c r="BE150" s="3" t="s">
        <v>831</v>
      </c>
      <c r="BF150" s="3" t="s">
        <v>832</v>
      </c>
      <c r="BG150" s="3" t="s">
        <v>833</v>
      </c>
      <c r="BH150" s="3" t="s">
        <v>1853</v>
      </c>
      <c r="BI150" s="3" t="s">
        <v>1757</v>
      </c>
      <c r="BJ150" s="3" t="s">
        <v>1707</v>
      </c>
      <c r="BK150" s="3" t="s">
        <v>2935</v>
      </c>
      <c r="BL150" s="3" t="s">
        <v>5108</v>
      </c>
      <c r="BM150" s="3" t="s">
        <v>1708</v>
      </c>
      <c r="BN150" s="3" t="s">
        <v>22</v>
      </c>
      <c r="BO150" s="3">
        <v>2.7</v>
      </c>
      <c r="BP150" s="3">
        <v>23.84</v>
      </c>
      <c r="BQ150" s="3">
        <v>-5.26</v>
      </c>
      <c r="BR150" s="3">
        <v>4.24</v>
      </c>
      <c r="BS150" s="3">
        <v>30.58</v>
      </c>
      <c r="BT150" s="3" t="s">
        <v>1383</v>
      </c>
      <c r="BU150" s="3" t="s">
        <v>2998</v>
      </c>
      <c r="BV150" s="3">
        <v>24.29</v>
      </c>
      <c r="BW150" s="3">
        <v>29.85</v>
      </c>
      <c r="BX150" s="3">
        <v>36.229999999999997</v>
      </c>
      <c r="BY150" s="3">
        <v>-4.28</v>
      </c>
      <c r="BZ150" s="3">
        <v>8.99</v>
      </c>
      <c r="CA150" s="3">
        <v>26.4</v>
      </c>
      <c r="CB150" s="3">
        <v>-6.81</v>
      </c>
      <c r="CC150" s="3">
        <v>10.14</v>
      </c>
      <c r="CD150" s="3" t="s">
        <v>5109</v>
      </c>
      <c r="CE150" s="3" t="s">
        <v>5110</v>
      </c>
      <c r="CF150" s="10">
        <v>-0.13646055437100224</v>
      </c>
      <c r="CG150" s="11">
        <v>1.6380093035738248</v>
      </c>
      <c r="CH150" s="10">
        <v>-0.56216216087341309</v>
      </c>
      <c r="CI150" s="10">
        <v>-0.16137811541557312</v>
      </c>
      <c r="CJ150" s="10">
        <v>0.53835433721542358</v>
      </c>
      <c r="CK150" s="10">
        <v>0.97520661354064941</v>
      </c>
      <c r="CL150" s="10">
        <v>1.0393258333206177</v>
      </c>
      <c r="CM150" s="11">
        <v>-0.39956554770469666</v>
      </c>
      <c r="CN150" s="11">
        <v>-0.71427386999130249</v>
      </c>
      <c r="CO150" s="11">
        <v>2.3821673393249512</v>
      </c>
      <c r="CP150" s="11">
        <v>1.6620475053787231</v>
      </c>
      <c r="CQ150" s="11">
        <v>1.416743278503418</v>
      </c>
      <c r="CR150" s="3">
        <v>103.23378088902531</v>
      </c>
      <c r="CS150" s="3">
        <v>2.8216026993669368</v>
      </c>
      <c r="CT150" s="3">
        <v>0</v>
      </c>
      <c r="CU150" s="10">
        <v>0.36586930155754088</v>
      </c>
      <c r="CV150" s="11">
        <v>0.86942374110221865</v>
      </c>
      <c r="CW150" s="3">
        <v>0.06</v>
      </c>
      <c r="CX150" s="3">
        <v>120.6745391004582</v>
      </c>
      <c r="CY150" s="3">
        <v>64329738.135875955</v>
      </c>
      <c r="CZ150" s="3">
        <v>0.36586930155754088</v>
      </c>
      <c r="DA150" s="3">
        <v>31.463104409444949</v>
      </c>
      <c r="DB150" s="3">
        <v>246732216.85237223</v>
      </c>
      <c r="DC150" s="3">
        <v>0.34757583647966384</v>
      </c>
      <c r="DD150" s="3">
        <v>11.153958432990727</v>
      </c>
      <c r="DE150" s="3">
        <v>695982645.68021214</v>
      </c>
      <c r="DF150" s="3">
        <v>0.321964985370636</v>
      </c>
      <c r="DG150" s="3">
        <v>4.459797047180591</v>
      </c>
      <c r="DH150" s="3">
        <v>1740653535.9961309</v>
      </c>
      <c r="DI150" s="3">
        <v>0.29269544124603269</v>
      </c>
      <c r="DJ150" s="3">
        <v>0.84251734725694594</v>
      </c>
      <c r="DK150" s="3">
        <v>9214007907.7000866</v>
      </c>
      <c r="DL150" s="3">
        <v>0.2561085110902786</v>
      </c>
      <c r="DM150" s="3">
        <v>49923900</v>
      </c>
      <c r="DN150" s="3">
        <v>0.36586930155754088</v>
      </c>
      <c r="DO150" s="3">
        <v>7762961500</v>
      </c>
      <c r="DP150" s="3">
        <v>1829470500</v>
      </c>
      <c r="DQ150" s="3">
        <v>5094</v>
      </c>
      <c r="DR150" s="3">
        <v>-0.50232985592854318</v>
      </c>
      <c r="DS150" s="3">
        <v>0.76858556247160614</v>
      </c>
      <c r="DT150" s="12">
        <v>-0.19000000000000009</v>
      </c>
      <c r="DU150" s="3">
        <v>0.7599999999999999</v>
      </c>
      <c r="DV150" s="3">
        <v>0.56999999999999984</v>
      </c>
      <c r="DW150" s="3">
        <v>-7.4017699115044246</v>
      </c>
      <c r="DX150" s="3">
        <v>0.3411084125288909</v>
      </c>
      <c r="DY150" s="3">
        <v>-7.0767816099894834</v>
      </c>
      <c r="DZ150" s="3">
        <v>155</v>
      </c>
      <c r="EA150" s="3">
        <v>-7.0744526179056537</v>
      </c>
      <c r="EB150" s="3">
        <v>7</v>
      </c>
      <c r="EC150" s="3">
        <v>0.10013754887274359</v>
      </c>
      <c r="ED150" s="3">
        <v>0.52398294532222822</v>
      </c>
      <c r="EE150" s="13">
        <v>-3.0333100000000002</v>
      </c>
      <c r="EF150" s="3">
        <v>-3.0544099999999998</v>
      </c>
      <c r="EG150" s="3">
        <v>15.191108412528891</v>
      </c>
      <c r="EH150" s="3" t="s">
        <v>1838</v>
      </c>
      <c r="EI150" s="3">
        <v>0</v>
      </c>
      <c r="EJ150" s="3">
        <v>1</v>
      </c>
      <c r="EK150" s="14">
        <v>45470</v>
      </c>
      <c r="EL150" s="15">
        <v>-1.08</v>
      </c>
      <c r="EM150" s="15">
        <v>-0.97</v>
      </c>
      <c r="EN150" s="3">
        <v>-2.56</v>
      </c>
      <c r="EO150" s="3">
        <v>3.35</v>
      </c>
      <c r="EP150" s="3">
        <v>-2.11</v>
      </c>
    </row>
    <row r="151" spans="1:146" ht="96" x14ac:dyDescent="0.25">
      <c r="C151" s="7" t="str">
        <f>""&amp;CHAR(10)&amp;Basic_Fundamental_Information_Constructure(F151)&amp;CHAR(10)&amp;Basic_Fundamental_Information_Concatenate("")</f>
        <v xml:space="preserve">
市值111.47188亿, 利润3582.31万; PE70.81; 平均PE133.55; 平均PEG8.7, PB3.02; ROIC12.74%; ROE4.7467%; 股利率.1044%; 毛利34.4467%; 净利3.9533%; 上一年度营收增-62.87%, 利润增167.11%; 当季营收增-23.09%, 利润增151.39%; 过往5年营收增15.34%, 利润增75.88%
Income profile:
</v>
      </c>
      <c r="D151" s="3" t="s">
        <v>834</v>
      </c>
      <c r="E151" s="3" t="s">
        <v>835</v>
      </c>
      <c r="F151" s="3">
        <v>47.91</v>
      </c>
      <c r="G151" s="3">
        <v>-2.2200000000000002</v>
      </c>
      <c r="H151" s="3" t="s">
        <v>5111</v>
      </c>
      <c r="I151" s="3">
        <v>11147188000</v>
      </c>
      <c r="J151" s="3">
        <v>70.81</v>
      </c>
      <c r="K151" s="3">
        <v>3.02</v>
      </c>
      <c r="L151" s="3" t="s">
        <v>2983</v>
      </c>
      <c r="M151" s="3" t="s">
        <v>2940</v>
      </c>
      <c r="N151" s="3" t="s">
        <v>5112</v>
      </c>
      <c r="O151" s="3" t="s">
        <v>1551</v>
      </c>
      <c r="P151" s="3">
        <v>101.75</v>
      </c>
      <c r="Q151" s="3" t="s">
        <v>1551</v>
      </c>
      <c r="R151" s="3">
        <v>35823072</v>
      </c>
      <c r="S151" s="5">
        <v>1.5069999999999999</v>
      </c>
      <c r="T151" s="3" t="s">
        <v>5113</v>
      </c>
      <c r="U151" s="3">
        <v>135283940</v>
      </c>
      <c r="V151" s="3">
        <v>232669340</v>
      </c>
      <c r="W151" s="3">
        <v>1.34</v>
      </c>
      <c r="X151" s="3">
        <v>0.16</v>
      </c>
      <c r="Y151" s="3">
        <v>4.62</v>
      </c>
      <c r="Z151" s="3" t="s">
        <v>1847</v>
      </c>
      <c r="AA151" s="3" t="s">
        <v>203</v>
      </c>
      <c r="AB151" s="3" t="s">
        <v>5114</v>
      </c>
      <c r="AC151" s="3" t="s">
        <v>5115</v>
      </c>
      <c r="AD151" s="3" t="s">
        <v>22</v>
      </c>
      <c r="AE151" s="3">
        <v>-2121708</v>
      </c>
      <c r="AF151" s="3" t="s">
        <v>2942</v>
      </c>
      <c r="AG151" s="3">
        <v>10000</v>
      </c>
      <c r="AH151" s="3" t="s">
        <v>2944</v>
      </c>
      <c r="AI151" s="3" t="s">
        <v>1747</v>
      </c>
      <c r="AJ151" s="3" t="s">
        <v>2945</v>
      </c>
      <c r="AK151" s="3" t="s">
        <v>22</v>
      </c>
      <c r="AL151" s="3" t="s">
        <v>2946</v>
      </c>
      <c r="AM151" s="3" t="s">
        <v>22</v>
      </c>
      <c r="AN151" s="3" t="s">
        <v>5116</v>
      </c>
      <c r="AO151" s="3" t="s">
        <v>345</v>
      </c>
      <c r="AP151" s="3" t="s">
        <v>5117</v>
      </c>
      <c r="AQ151" s="3" t="s">
        <v>498</v>
      </c>
      <c r="AR151" s="3" t="s">
        <v>22</v>
      </c>
      <c r="AS151" s="3" t="s">
        <v>557</v>
      </c>
      <c r="AT151" s="3" t="s">
        <v>258</v>
      </c>
      <c r="AU151" s="3" t="s">
        <v>5118</v>
      </c>
      <c r="AV151" s="3" t="s">
        <v>5119</v>
      </c>
      <c r="AW151" s="3" t="s">
        <v>3520</v>
      </c>
      <c r="AX151" s="3" t="s">
        <v>1709</v>
      </c>
      <c r="AY151" s="3" t="s">
        <v>768</v>
      </c>
      <c r="AZ151" s="3" t="s">
        <v>837</v>
      </c>
      <c r="BA151" s="3" t="s">
        <v>839</v>
      </c>
      <c r="BB151" s="3" t="s">
        <v>165</v>
      </c>
      <c r="BC151" s="3" t="s">
        <v>1710</v>
      </c>
      <c r="BD151" s="3" t="s">
        <v>229</v>
      </c>
      <c r="BE151" s="3" t="s">
        <v>111</v>
      </c>
      <c r="BF151" s="3" t="s">
        <v>840</v>
      </c>
      <c r="BG151" s="3" t="s">
        <v>841</v>
      </c>
      <c r="BH151" s="3" t="s">
        <v>1961</v>
      </c>
      <c r="BI151" s="3" t="s">
        <v>1803</v>
      </c>
      <c r="BJ151" s="3" t="s">
        <v>1709</v>
      </c>
      <c r="BK151" s="3" t="s">
        <v>2941</v>
      </c>
      <c r="BL151" s="3" t="s">
        <v>5120</v>
      </c>
      <c r="BM151" s="3" t="s">
        <v>1710</v>
      </c>
      <c r="BN151" s="3" t="s">
        <v>22</v>
      </c>
      <c r="BO151" s="3" t="s">
        <v>22</v>
      </c>
      <c r="BP151" s="3">
        <v>12.74</v>
      </c>
      <c r="BQ151" s="3">
        <v>-3.06</v>
      </c>
      <c r="BR151" s="3">
        <v>-1.46</v>
      </c>
      <c r="BS151" s="3">
        <v>18.760000000000002</v>
      </c>
      <c r="BT151" s="3" t="s">
        <v>1954</v>
      </c>
      <c r="BU151" s="3" t="s">
        <v>3311</v>
      </c>
      <c r="BV151" s="3">
        <v>24.85</v>
      </c>
      <c r="BW151" s="3">
        <v>38.08</v>
      </c>
      <c r="BX151" s="3">
        <v>40.409999999999997</v>
      </c>
      <c r="BY151" s="3">
        <v>2.02</v>
      </c>
      <c r="BZ151" s="3">
        <v>-2.5499999999999998</v>
      </c>
      <c r="CA151" s="3">
        <v>12.39</v>
      </c>
      <c r="CB151" s="3">
        <v>-15.38</v>
      </c>
      <c r="CC151" s="3">
        <v>-10.57</v>
      </c>
      <c r="CD151" s="3" t="s">
        <v>5121</v>
      </c>
      <c r="CE151" s="3" t="s">
        <v>5122</v>
      </c>
      <c r="CF151" s="10">
        <v>-0.23092170465807729</v>
      </c>
      <c r="CG151" s="11">
        <v>1.5139394774105526</v>
      </c>
      <c r="CH151" s="10">
        <v>-0.6287081241607666</v>
      </c>
      <c r="CI151" s="10">
        <v>-0.10184789448976517</v>
      </c>
      <c r="CJ151" s="10">
        <v>0.61821979284286499</v>
      </c>
      <c r="CK151" s="10">
        <v>0.41257366538047791</v>
      </c>
      <c r="CL151" s="10">
        <v>0.46685880422592163</v>
      </c>
      <c r="CM151" s="11">
        <v>1.6710608005523682</v>
      </c>
      <c r="CN151" s="11">
        <v>-1.1853568553924561</v>
      </c>
      <c r="CO151" s="11">
        <v>1.8235293626785278</v>
      </c>
      <c r="CP151" s="11">
        <v>0.13221500813961029</v>
      </c>
      <c r="CQ151" s="11">
        <v>1.3523440361022949</v>
      </c>
      <c r="CR151" s="3">
        <v>133.54545194974628</v>
      </c>
      <c r="CS151" s="3">
        <v>8.7046086478286373</v>
      </c>
      <c r="CT151" s="3">
        <v>0.10436234606553955</v>
      </c>
      <c r="CU151" s="10">
        <v>0.15341924875974655</v>
      </c>
      <c r="CV151" s="11">
        <v>0.75875847041606903</v>
      </c>
      <c r="CW151" s="3">
        <v>0.06</v>
      </c>
      <c r="CX151" s="3">
        <v>225.4010821510991</v>
      </c>
      <c r="CY151" s="3">
        <v>38980238.764382333</v>
      </c>
      <c r="CZ151" s="3">
        <v>0.15341924875974655</v>
      </c>
      <c r="DA151" s="3">
        <v>69.835109635843892</v>
      </c>
      <c r="DB151" s="3">
        <v>125813334.37887752</v>
      </c>
      <c r="DC151" s="3">
        <v>0.14574828632175921</v>
      </c>
      <c r="DD151" s="3">
        <v>31.95969930081613</v>
      </c>
      <c r="DE151" s="3">
        <v>274914601.58311421</v>
      </c>
      <c r="DF151" s="3">
        <v>0.13500893890857696</v>
      </c>
      <c r="DG151" s="3">
        <v>17.635482428493784</v>
      </c>
      <c r="DH151" s="3">
        <v>498210810.82557112</v>
      </c>
      <c r="DI151" s="3">
        <v>0.12273539900779724</v>
      </c>
      <c r="DJ151" s="3">
        <v>7.5062326614297081</v>
      </c>
      <c r="DK151" s="3">
        <v>1170519006.84444</v>
      </c>
      <c r="DL151" s="3">
        <v>0.10739347413182258</v>
      </c>
      <c r="DM151" s="3">
        <v>35823100</v>
      </c>
      <c r="DN151" s="3">
        <v>0.15341924875974655</v>
      </c>
      <c r="DO151" s="3">
        <v>8786188000</v>
      </c>
      <c r="DP151" s="3">
        <v>2482675000</v>
      </c>
      <c r="DQ151" s="3">
        <v>5107</v>
      </c>
      <c r="DR151" s="3">
        <v>-0.38434095341782382</v>
      </c>
      <c r="DS151" s="3">
        <v>0.75518100699448354</v>
      </c>
      <c r="DT151" s="12">
        <v>-0.29000000000000004</v>
      </c>
      <c r="DU151" s="3">
        <v>0.61833333333333329</v>
      </c>
      <c r="DV151" s="3">
        <v>0.32833333333333325</v>
      </c>
      <c r="DW151" s="3">
        <v>-5.6872561768530563</v>
      </c>
      <c r="DX151" s="3">
        <v>0.43320253097793882</v>
      </c>
      <c r="DY151" s="3">
        <v>-5.1190345092611711</v>
      </c>
      <c r="DZ151" s="3">
        <v>700</v>
      </c>
      <c r="EA151" s="3">
        <v>-5.1027284121021061</v>
      </c>
      <c r="EB151" s="3">
        <v>5</v>
      </c>
      <c r="EC151" s="3">
        <v>4.375350873475637E-2</v>
      </c>
      <c r="ED151" s="3">
        <v>0.25261471924061846</v>
      </c>
      <c r="EE151" s="13">
        <v>-2.0451100000000002</v>
      </c>
      <c r="EF151" s="3">
        <v>-2.0735100000000002</v>
      </c>
      <c r="EG151" s="3">
        <v>26.173202530977939</v>
      </c>
      <c r="EH151" s="3" t="s">
        <v>1401</v>
      </c>
      <c r="EI151" s="3">
        <v>0</v>
      </c>
      <c r="EJ151" s="3">
        <v>1</v>
      </c>
      <c r="EK151" s="14">
        <v>45470</v>
      </c>
      <c r="EL151" s="15">
        <v>0.78</v>
      </c>
      <c r="EM151" s="15">
        <v>-7.78</v>
      </c>
      <c r="EN151" s="3">
        <v>-0.51</v>
      </c>
      <c r="EO151" s="3">
        <v>1</v>
      </c>
      <c r="EP151" s="3">
        <v>-2.84</v>
      </c>
    </row>
    <row r="152" spans="1:146" ht="180" x14ac:dyDescent="0.25">
      <c r="A152" s="7" t="s">
        <v>1411</v>
      </c>
      <c r="B152" s="7" t="s">
        <v>1412</v>
      </c>
      <c r="C152" s="7" t="str">
        <f>"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amp;CHAR(10)&amp;Basic_Fundamental_Information_Constructure(F152)&amp;CHAR(10)&amp;Basic_Fundamental_Information_Concatenate("集成电路晶圆代工 321.34亿 90.19% 87.22% 28.34%
其他 29.46亿 8.27% 12.29% 43.55%
其他业务 5.50亿 1.54% 0.49% 9.36%")</f>
        <v>公司成立于2000年4月3日主要从事集成电路晶圆代工业务，以及相关的设计服务与IP支持、光掩模制造、凸块加工及测试等配套服务，属于集成电路行业。公司主要产品及服务为集成电路晶圆代工、设计服务与IP支持、光掩模制造及凸块加工及测试，公司是全球领先的集成电路晶圆代工企业之一，也是中国大陆技术最先进、规模最大、配套服务最完善、跨国经营的专业晶圆代工企业，主要为客户提供0.35微米至14纳米多种技术节点、不同工艺平台的集成电路晶圆代工及配套服务；
市值3710.8322亿, 利润5.09亿; PE99.21; 平均PE73.61; 平均PEG25.32, PB2.6; ROIC3.9333%; ROE7.67%; 股利率0%; 毛利29.83%; 净利25.0533%; 上一年度营收增-74.57%, 利润增-95.8%; 当季营收增-40.92%, 利润增-83.02%; 过往5年营收增2.91%, 利润增69.33%
Income profile:
集成电路晶圆代工 321.34亿 90.19% 87.22% 28.34%
其他 29.46亿 8.27% 12.29% 43.55%
其他业务 5.50亿 1.54% 0.49% 9.36%</v>
      </c>
      <c r="D152" s="3" t="s">
        <v>95</v>
      </c>
      <c r="E152" s="3" t="s">
        <v>712</v>
      </c>
      <c r="F152" s="3">
        <v>46.64</v>
      </c>
      <c r="G152" s="3">
        <v>1.04</v>
      </c>
      <c r="H152" s="3" t="s">
        <v>5123</v>
      </c>
      <c r="I152" s="3">
        <v>371083220000</v>
      </c>
      <c r="J152" s="3">
        <v>99.21</v>
      </c>
      <c r="K152" s="3">
        <v>2.6</v>
      </c>
      <c r="L152" s="3" t="s">
        <v>2983</v>
      </c>
      <c r="M152" s="3" t="s">
        <v>2947</v>
      </c>
      <c r="N152" s="3" t="s">
        <v>5124</v>
      </c>
      <c r="O152" s="3" t="s">
        <v>5125</v>
      </c>
      <c r="P152" s="3">
        <v>23.36</v>
      </c>
      <c r="Q152" s="3" t="s">
        <v>5125</v>
      </c>
      <c r="R152" s="3">
        <v>508959000</v>
      </c>
      <c r="S152" s="5">
        <v>-0.68020000000000003</v>
      </c>
      <c r="T152" s="3" t="s">
        <v>458</v>
      </c>
      <c r="U152" s="3">
        <v>1973609200</v>
      </c>
      <c r="V152" s="3">
        <v>7956329800</v>
      </c>
      <c r="W152" s="3">
        <v>1.56</v>
      </c>
      <c r="X152" s="3">
        <v>0.04</v>
      </c>
      <c r="Y152" s="3">
        <v>3.57</v>
      </c>
      <c r="Z152" s="3" t="s">
        <v>5126</v>
      </c>
      <c r="AA152" s="3" t="s">
        <v>5127</v>
      </c>
      <c r="AB152" s="3" t="s">
        <v>5128</v>
      </c>
      <c r="AC152" s="3" t="s">
        <v>5129</v>
      </c>
      <c r="AD152" s="3" t="s">
        <v>22</v>
      </c>
      <c r="AE152" s="3">
        <v>-716051000</v>
      </c>
      <c r="AF152" s="3" t="s">
        <v>5130</v>
      </c>
      <c r="AG152" s="3" t="s">
        <v>5131</v>
      </c>
      <c r="AH152" s="3" t="s">
        <v>5132</v>
      </c>
      <c r="AI152" s="3" t="s">
        <v>5133</v>
      </c>
      <c r="AJ152" s="3" t="s">
        <v>5134</v>
      </c>
      <c r="AK152" s="3" t="s">
        <v>401</v>
      </c>
      <c r="AL152" s="3" t="s">
        <v>5135</v>
      </c>
      <c r="AM152" s="3" t="s">
        <v>22</v>
      </c>
      <c r="AN152" s="3" t="s">
        <v>5136</v>
      </c>
      <c r="AO152" s="3" t="s">
        <v>3102</v>
      </c>
      <c r="AP152" s="3" t="s">
        <v>22</v>
      </c>
      <c r="AQ152" s="3" t="s">
        <v>5137</v>
      </c>
      <c r="AR152" s="3" t="s">
        <v>5138</v>
      </c>
      <c r="AS152" s="3" t="s">
        <v>5139</v>
      </c>
      <c r="AT152" s="3" t="s">
        <v>5140</v>
      </c>
      <c r="AU152" s="3" t="s">
        <v>2639</v>
      </c>
      <c r="AV152" s="3" t="s">
        <v>5141</v>
      </c>
      <c r="AW152" s="3" t="s">
        <v>5142</v>
      </c>
      <c r="AX152" s="3" t="s">
        <v>1711</v>
      </c>
      <c r="AY152" s="3" t="s">
        <v>1062</v>
      </c>
      <c r="AZ152" s="3" t="s">
        <v>713</v>
      </c>
      <c r="BA152" s="3" t="s">
        <v>243</v>
      </c>
      <c r="BB152" s="3" t="s">
        <v>714</v>
      </c>
      <c r="BC152" s="3" t="s">
        <v>1712</v>
      </c>
      <c r="BD152" s="3" t="s">
        <v>1063</v>
      </c>
      <c r="BE152" s="3" t="s">
        <v>437</v>
      </c>
      <c r="BF152" s="3" t="s">
        <v>225</v>
      </c>
      <c r="BG152" s="3" t="s">
        <v>716</v>
      </c>
      <c r="BH152" s="3" t="s">
        <v>2948</v>
      </c>
      <c r="BI152" s="3" t="s">
        <v>5143</v>
      </c>
      <c r="BJ152" s="3" t="s">
        <v>1711</v>
      </c>
      <c r="BK152" s="3" t="s">
        <v>2425</v>
      </c>
      <c r="BL152" s="3" t="s">
        <v>4428</v>
      </c>
      <c r="BM152" s="3" t="s">
        <v>1712</v>
      </c>
      <c r="BN152" s="3">
        <v>0.76</v>
      </c>
      <c r="BO152" s="3">
        <v>5.63</v>
      </c>
      <c r="BP152" s="3">
        <v>5.41</v>
      </c>
      <c r="BQ152" s="3">
        <v>2.7</v>
      </c>
      <c r="BR152" s="3">
        <v>10.01</v>
      </c>
      <c r="BS152" s="3">
        <v>10.3</v>
      </c>
      <c r="BT152" s="3" t="s">
        <v>1368</v>
      </c>
      <c r="BU152" s="3" t="s">
        <v>1221</v>
      </c>
      <c r="BV152" s="3">
        <v>21.89</v>
      </c>
      <c r="BW152" s="3">
        <v>38.299999999999997</v>
      </c>
      <c r="BX152" s="3">
        <v>29.3</v>
      </c>
      <c r="BY152" s="3">
        <v>14.13</v>
      </c>
      <c r="BZ152" s="3">
        <v>29.59</v>
      </c>
      <c r="CA152" s="3">
        <v>31.44</v>
      </c>
      <c r="CB152" s="3">
        <v>1.17</v>
      </c>
      <c r="CC152" s="3">
        <v>13.29</v>
      </c>
      <c r="CD152" s="3" t="s">
        <v>151</v>
      </c>
      <c r="CE152" s="3" t="s">
        <v>2021</v>
      </c>
      <c r="CF152" s="10">
        <v>-0.40923163523782718</v>
      </c>
      <c r="CG152" s="11">
        <v>-0.83017717717717721</v>
      </c>
      <c r="CH152" s="10">
        <v>-0.74565798044204712</v>
      </c>
      <c r="CI152" s="10">
        <v>0.38968867063522339</v>
      </c>
      <c r="CJ152" s="10">
        <v>0.29704058170318604</v>
      </c>
      <c r="CK152" s="10">
        <v>0.24766093492507935</v>
      </c>
      <c r="CL152" s="10">
        <v>-4.3402701616287231E-2</v>
      </c>
      <c r="CM152" s="11">
        <v>-0.95804834365844727</v>
      </c>
      <c r="CN152" s="11">
        <v>0.13043887913227081</v>
      </c>
      <c r="CO152" s="11">
        <v>1.477608323097229</v>
      </c>
      <c r="CP152" s="11">
        <v>1.4147158861160278</v>
      </c>
      <c r="CQ152" s="11">
        <v>1.4016064405441284</v>
      </c>
      <c r="CR152" s="3">
        <v>73.608149960327964</v>
      </c>
      <c r="CS152" s="3">
        <v>25.324571860483186</v>
      </c>
      <c r="CT152" s="3">
        <v>0</v>
      </c>
      <c r="CU152" s="10">
        <v>2.9065901041030885E-2</v>
      </c>
      <c r="CV152" s="11">
        <v>0.69326423704624174</v>
      </c>
      <c r="CW152" s="3">
        <v>0.06</v>
      </c>
      <c r="CX152" s="3">
        <v>551.16976056932049</v>
      </c>
      <c r="CY152" s="3">
        <v>494145795.87724966</v>
      </c>
      <c r="CZ152" s="3">
        <v>2.9065901041030885E-2</v>
      </c>
      <c r="DA152" s="3">
        <v>189.72080166957741</v>
      </c>
      <c r="DB152" s="3">
        <v>1435573841.1560481</v>
      </c>
      <c r="DC152" s="3">
        <v>2.7612605988979341E-2</v>
      </c>
      <c r="DD152" s="3">
        <v>99.945109901981681</v>
      </c>
      <c r="DE152" s="3">
        <v>2725077997.9841695</v>
      </c>
      <c r="DF152" s="3">
        <v>2.557799291610718E-2</v>
      </c>
      <c r="DG152" s="3">
        <v>64.635512798498567</v>
      </c>
      <c r="DH152" s="3">
        <v>4213755073.7638254</v>
      </c>
      <c r="DI152" s="3">
        <v>2.325272083282471E-2</v>
      </c>
      <c r="DJ152" s="3">
        <v>38.977155401633247</v>
      </c>
      <c r="DK152" s="3">
        <v>6987637173.45539</v>
      </c>
      <c r="DL152" s="3">
        <v>2.0346130728721618E-2</v>
      </c>
      <c r="DM152" s="3">
        <v>509000000</v>
      </c>
      <c r="DN152" s="3">
        <v>2.9065901041030885E-2</v>
      </c>
      <c r="DO152" s="3">
        <v>272358220000.00003</v>
      </c>
      <c r="DP152" s="3">
        <v>35514200000.000008</v>
      </c>
      <c r="DQ152" s="3">
        <v>5111</v>
      </c>
      <c r="DR152" s="3">
        <v>-0.43829753627885809</v>
      </c>
      <c r="DS152" s="3">
        <v>-1.5234414142234189</v>
      </c>
      <c r="DT152" s="12">
        <v>-0.37333333333333335</v>
      </c>
      <c r="DU152" s="3">
        <v>-7.3333333333333472E-2</v>
      </c>
      <c r="DV152" s="3">
        <v>-0.44666666666666682</v>
      </c>
      <c r="DW152" s="3">
        <v>2.1328999999999998</v>
      </c>
      <c r="DX152" s="3">
        <v>0.35939012584704599</v>
      </c>
      <c r="DY152" s="3">
        <v>2.0145379477250724</v>
      </c>
      <c r="DZ152" s="3">
        <v>304</v>
      </c>
      <c r="EA152" s="3">
        <v>2.0136730678604104</v>
      </c>
      <c r="EB152" s="3">
        <v>2</v>
      </c>
      <c r="EC152" s="3">
        <v>1.4202528407004946E-2</v>
      </c>
      <c r="ED152" s="3">
        <v>0.12983373313660276</v>
      </c>
      <c r="EE152" s="13">
        <v>0.11620999999999999</v>
      </c>
      <c r="EF152" s="3">
        <v>-1.01311</v>
      </c>
      <c r="EG152" s="3">
        <v>25.109390125847046</v>
      </c>
      <c r="EH152" s="3" t="s">
        <v>1386</v>
      </c>
      <c r="EI152" s="3">
        <v>1</v>
      </c>
      <c r="EJ152" s="3">
        <v>1</v>
      </c>
      <c r="EK152" s="14">
        <v>45470</v>
      </c>
      <c r="EL152" s="15">
        <v>0.98</v>
      </c>
      <c r="EM152" s="15">
        <v>-7.9</v>
      </c>
      <c r="EN152" s="3">
        <v>1.19</v>
      </c>
      <c r="EO152" s="3">
        <v>-0.69</v>
      </c>
      <c r="EP152" s="3">
        <v>-4.6900000000000004</v>
      </c>
    </row>
  </sheetData>
  <autoFilter ref="BU1:BU152"/>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半导体&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x14ac:dyDescent="0.25"/>
  <cols>
    <col min="1" max="16384" width="8.7265625" style="3"/>
  </cols>
  <sheetData>
    <row r="1" spans="1:30" x14ac:dyDescent="0.25">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x14ac:dyDescent="0.25">
      <c r="A2" s="3">
        <v>0.03</v>
      </c>
      <c r="B2" s="3" t="s">
        <v>1915</v>
      </c>
    </row>
    <row r="3" spans="1:30" s="1" customFormat="1" x14ac:dyDescent="0.25">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x14ac:dyDescent="0.25">
      <c r="A4" s="3">
        <v>0.2</v>
      </c>
      <c r="B4" s="3" t="s">
        <v>1916</v>
      </c>
    </row>
    <row r="5" spans="1:30" x14ac:dyDescent="0.25">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x14ac:dyDescent="0.25">
      <c r="A6" s="3">
        <v>33.840000000000003</v>
      </c>
      <c r="B6" s="3" t="s">
        <v>0</v>
      </c>
    </row>
    <row r="7" spans="1:30" x14ac:dyDescent="0.25">
      <c r="A7" s="16">
        <f>SUM($A$5:A5)</f>
        <v>1</v>
      </c>
      <c r="B7" s="16">
        <f>SUM($A$5:B5)</f>
        <v>2.2000000000000002</v>
      </c>
      <c r="C7" s="16">
        <f>SUM($A$5:C5)</f>
        <v>3.64</v>
      </c>
      <c r="D7" s="16">
        <f>SUM($A$5:D5)</f>
        <v>5.3680000000000003</v>
      </c>
      <c r="E7" s="16">
        <f>SUM($A$5:E5)</f>
        <v>7.4416000000000002</v>
      </c>
      <c r="F7" s="16">
        <f>SUM($A$5:F5)</f>
        <v>9.9299199999999992</v>
      </c>
      <c r="G7" s="16">
        <f>SUM($A$5:G5)</f>
        <v>12.915903999999999</v>
      </c>
      <c r="H7" s="16">
        <f>SUM($A$5:H5)</f>
        <v>16.499084799999999</v>
      </c>
      <c r="I7" s="16">
        <f>SUM($A$5:I5)</f>
        <v>20.79890176</v>
      </c>
      <c r="J7" s="16">
        <f>SUM($A$5:J5)</f>
        <v>25.958682111999998</v>
      </c>
      <c r="K7" s="16">
        <f>SUM($A$5:K5)</f>
        <v>32.150418534399996</v>
      </c>
      <c r="L7" s="16">
        <f>SUM($A$5:L5)</f>
        <v>39.580502241279994</v>
      </c>
      <c r="M7" s="16">
        <f>SUM($A$5:M5)</f>
        <v>48.49660268953599</v>
      </c>
      <c r="N7" s="16">
        <f>SUM($A$5:N5)</f>
        <v>59.195923227443188</v>
      </c>
      <c r="O7" s="16">
        <f>SUM($A$5:O5)</f>
        <v>72.035107872931832</v>
      </c>
      <c r="P7" s="16">
        <f>SUM($A$5:P5)</f>
        <v>87.442129447518198</v>
      </c>
      <c r="Q7" s="16">
        <f>SUM($A$5:Q5)</f>
        <v>105.93055533702184</v>
      </c>
      <c r="R7" s="16">
        <f>SUM($A$5:R5)</f>
        <v>128.11666640442621</v>
      </c>
      <c r="S7" s="16">
        <f>SUM($A$5:S5)</f>
        <v>154.73999968531146</v>
      </c>
      <c r="T7" s="16">
        <f>SUM($A$5:T5)</f>
        <v>186.68799962237375</v>
      </c>
      <c r="U7" s="16">
        <f>SUM($A$5:U5)</f>
        <v>225.0255995468485</v>
      </c>
      <c r="V7" s="16">
        <f>SUM($A$5:V5)</f>
        <v>271.03071945621821</v>
      </c>
      <c r="W7" s="16">
        <f>SUM($A$5:W5)</f>
        <v>326.23686334746185</v>
      </c>
      <c r="X7" s="16">
        <f>SUM($A$5:X5)</f>
        <v>392.48423601695424</v>
      </c>
      <c r="Y7" s="16">
        <f>SUM($A$5:Y5)</f>
        <v>471.98108322034511</v>
      </c>
      <c r="Z7" s="16">
        <f>SUM($A$5:Z5)</f>
        <v>567.37729986441411</v>
      </c>
      <c r="AA7" s="16">
        <f>SUM($A$5:AA5)</f>
        <v>681.85275983729696</v>
      </c>
      <c r="AB7" s="16">
        <f>SUM($A$5:AB5)</f>
        <v>819.22331180475635</v>
      </c>
      <c r="AC7" s="16">
        <f>SUM($A$5:AC5)</f>
        <v>984.0679741657076</v>
      </c>
      <c r="AD7" s="16">
        <f>SUM($A$5:AD5)</f>
        <v>1181.8815689988492</v>
      </c>
    </row>
    <row r="8" spans="1:30" x14ac:dyDescent="0.25">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x14ac:dyDescent="0.25">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x14ac:dyDescent="0.25">
      <c r="A10" s="3">
        <f>A6/(A4*100)</f>
        <v>1.6920000000000002</v>
      </c>
      <c r="B10" s="3" t="s">
        <v>1922</v>
      </c>
    </row>
    <row r="12" spans="1:30" x14ac:dyDescent="0.25">
      <c r="A12" s="3" t="s">
        <v>1917</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x14ac:dyDescent="0.25">
      <c r="A13" s="3" t="s">
        <v>1918</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x14ac:dyDescent="0.25">
      <c r="A14" s="3" t="s">
        <v>1919</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x14ac:dyDescent="0.25">
      <c r="A15" s="3" t="s">
        <v>1920</v>
      </c>
      <c r="B15" s="3">
        <v>0.3</v>
      </c>
      <c r="C15" s="3" t="s">
        <v>1921</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2024-07-08T15:22:23Z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