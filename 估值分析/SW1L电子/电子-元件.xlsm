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子\"/>
    </mc:Choice>
  </mc:AlternateContent>
  <bookViews>
    <workbookView xWindow="0" yWindow="0" windowWidth="3800" windowHeight="2950"/>
  </bookViews>
  <sheets>
    <sheet name="半导体及元件" sheetId="7" r:id="rId1"/>
    <sheet name="估值-增速与年化收益" sheetId="14" r:id="rId2"/>
  </sheets>
  <functionGroups builtInGroupCount="18"/>
  <definedNames>
    <definedName name="_xlnm._FilterDatabase" localSheetId="0" hidden="1">半导体及元件!$BU$1:$BU$54</definedName>
  </definedNames>
  <calcPr calcId="152511"/>
</workbook>
</file>

<file path=xl/calcChain.xml><?xml version="1.0" encoding="utf-8"?>
<calcChain xmlns="http://schemas.openxmlformats.org/spreadsheetml/2006/main">
  <c r="C13" i="14" l="1"/>
  <c r="C12" i="14"/>
  <c r="C4" i="7"/>
  <c r="A10" i="14" l="1"/>
  <c r="C14" i="14"/>
  <c r="D14" i="14" s="1"/>
  <c r="E14" i="14" s="1"/>
  <c r="F14" i="14" s="1"/>
  <c r="G14" i="14" s="1"/>
  <c r="H14" i="14" s="1"/>
  <c r="I14" i="14" s="1"/>
  <c r="J14" i="14" s="1"/>
  <c r="K14" i="14" s="1"/>
  <c r="L14" i="14" s="1"/>
  <c r="M14" i="14" s="1"/>
  <c r="N14" i="14" s="1"/>
  <c r="O14" i="14" s="1"/>
  <c r="P14" i="14" s="1"/>
  <c r="Q14" i="14" s="1"/>
  <c r="R14" i="14" s="1"/>
  <c r="S14" i="14" s="1"/>
  <c r="T14" i="14" s="1"/>
  <c r="B12"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l="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B7" i="14"/>
  <c r="B9" i="14" s="1"/>
  <c r="W7" i="14" l="1"/>
  <c r="W9" i="14" s="1"/>
  <c r="G7" i="14"/>
  <c r="G9" i="14" s="1"/>
  <c r="P7" i="14"/>
  <c r="P9" i="14" s="1"/>
  <c r="V7" i="14"/>
  <c r="V9" i="14" s="1"/>
  <c r="F7" i="14"/>
  <c r="F9" i="14" s="1"/>
  <c r="H7" i="14"/>
  <c r="H9" i="14" s="1"/>
  <c r="Q7" i="14"/>
  <c r="Q9" i="14" s="1"/>
  <c r="X7" i="14"/>
  <c r="X9" i="14" s="1"/>
  <c r="AB7" i="14"/>
  <c r="AB9" i="14" s="1"/>
  <c r="J7" i="14"/>
  <c r="J9" i="14" s="1"/>
  <c r="T7" i="14"/>
  <c r="T9" i="14" s="1"/>
  <c r="S7" i="14"/>
  <c r="S9" i="14" s="1"/>
  <c r="D7" i="14"/>
  <c r="D9" i="14" s="1"/>
  <c r="R7" i="14"/>
  <c r="R9" i="14" s="1"/>
  <c r="D12" i="14"/>
  <c r="E13" i="14"/>
  <c r="M7" i="14"/>
  <c r="M9" i="14" s="1"/>
  <c r="L7" i="14"/>
  <c r="L9" i="14" s="1"/>
  <c r="K7" i="14"/>
  <c r="K9" i="14" s="1"/>
  <c r="Z7" i="14"/>
  <c r="Z9" i="14" s="1"/>
  <c r="Y7" i="14"/>
  <c r="Y9" i="14" s="1"/>
  <c r="C7" i="14"/>
  <c r="C9" i="14" s="1"/>
  <c r="O7" i="14"/>
  <c r="O9" i="14" s="1"/>
  <c r="U7" i="14"/>
  <c r="U9" i="14" s="1"/>
  <c r="AD7" i="14"/>
  <c r="AD9" i="14" s="1"/>
  <c r="N7" i="14"/>
  <c r="N9" i="14" s="1"/>
  <c r="I7" i="14"/>
  <c r="I9" i="14" s="1"/>
  <c r="AC7" i="14"/>
  <c r="AC9" i="14" s="1"/>
  <c r="E7" i="14"/>
  <c r="E9" i="14" s="1"/>
  <c r="AA7" i="14"/>
  <c r="AA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S13" i="14" l="1"/>
  <c r="R12" i="14"/>
  <c r="S12" i="14" l="1"/>
  <c r="T13" i="14"/>
  <c r="T12" i="14" s="1"/>
  <c r="C38" i="7"/>
  <c r="C25" i="7"/>
  <c r="C54" i="7"/>
  <c r="C53" i="7"/>
  <c r="C52" i="7"/>
  <c r="C51" i="7"/>
  <c r="C50" i="7"/>
  <c r="C49" i="7"/>
  <c r="C48" i="7"/>
  <c r="C47" i="7"/>
  <c r="C46" i="7"/>
  <c r="C45" i="7"/>
  <c r="C44" i="7"/>
  <c r="C43" i="7"/>
  <c r="C42" i="7"/>
  <c r="C40" i="7"/>
  <c r="C39" i="7"/>
  <c r="C37" i="7"/>
  <c r="C36" i="7"/>
  <c r="C35" i="7"/>
  <c r="C34" i="7"/>
  <c r="C33" i="7"/>
  <c r="C32" i="7"/>
  <c r="C31" i="7"/>
  <c r="C30" i="7"/>
  <c r="C29" i="7"/>
  <c r="C28" i="7"/>
  <c r="C27" i="7"/>
  <c r="C26" i="7"/>
  <c r="C24" i="7"/>
  <c r="C23" i="7"/>
  <c r="C22" i="7"/>
  <c r="C21" i="7"/>
  <c r="C19" i="7"/>
  <c r="C18" i="7"/>
  <c r="C17" i="7"/>
  <c r="C16" i="7"/>
  <c r="C15" i="7"/>
  <c r="C13" i="7"/>
  <c r="C12" i="7"/>
  <c r="C11" i="7"/>
  <c r="C10" i="7"/>
  <c r="C9" i="7"/>
  <c r="C8" i="7"/>
  <c r="C7" i="7"/>
  <c r="C6" i="7"/>
  <c r="C5" i="7"/>
  <c r="C3" i="7"/>
  <c r="C2" i="7"/>
</calcChain>
</file>

<file path=xl/sharedStrings.xml><?xml version="1.0" encoding="utf-8"?>
<sst xmlns="http://schemas.openxmlformats.org/spreadsheetml/2006/main" count="3210" uniqueCount="2284">
  <si>
    <t>&lt;-估值</t>
    <phoneticPr fontId="1" type="noConversion"/>
  </si>
  <si>
    <t>市净率</t>
  </si>
  <si>
    <t>铜峰电子</t>
  </si>
  <si>
    <t>惠伦晶体</t>
  </si>
  <si>
    <t>中京电子</t>
  </si>
  <si>
    <t>深南电路</t>
  </si>
  <si>
    <t>泰晶科技</t>
  </si>
  <si>
    <t>华正新材</t>
  </si>
  <si>
    <t>弘信电子</t>
  </si>
  <si>
    <t>沪电股份</t>
  </si>
  <si>
    <t>博敏电子</t>
  </si>
  <si>
    <t>明阳电路</t>
  </si>
  <si>
    <t>兴森科技</t>
  </si>
  <si>
    <t>顺络电子</t>
  </si>
  <si>
    <t>三环集团</t>
  </si>
  <si>
    <t>奥士康</t>
  </si>
  <si>
    <t>艾华集团</t>
  </si>
  <si>
    <t>生益科技</t>
  </si>
  <si>
    <t>法拉电子</t>
  </si>
  <si>
    <t>胜宏科技</t>
  </si>
  <si>
    <t>世运电路</t>
  </si>
  <si>
    <t>江海股份</t>
  </si>
  <si>
    <t>崇达技术</t>
  </si>
  <si>
    <t>超声电子</t>
  </si>
  <si>
    <t>金安国纪</t>
  </si>
  <si>
    <t>鹏鼎控股</t>
  </si>
  <si>
    <t>依顿电子</t>
  </si>
  <si>
    <t>风华高科</t>
  </si>
  <si>
    <t>东晶电子</t>
  </si>
  <si>
    <t>天津普林</t>
  </si>
  <si>
    <t>--</t>
  </si>
  <si>
    <t>1.80亿</t>
  </si>
  <si>
    <t>1.12亿</t>
  </si>
  <si>
    <t>10.17亿</t>
  </si>
  <si>
    <t>1.24亿</t>
  </si>
  <si>
    <t>2.11亿</t>
  </si>
  <si>
    <t>总市值</t>
  </si>
  <si>
    <t>TTM市盈率</t>
  </si>
  <si>
    <t>SH603738</t>
  </si>
  <si>
    <t>SZ002288</t>
  </si>
  <si>
    <t>SH603386</t>
  </si>
  <si>
    <t>SZ002916</t>
  </si>
  <si>
    <t>SH603186</t>
  </si>
  <si>
    <t>SH600183</t>
  </si>
  <si>
    <t>SZ300657</t>
  </si>
  <si>
    <t>SZ002463</t>
  </si>
  <si>
    <t>SZ002436</t>
  </si>
  <si>
    <t>SZ002579</t>
  </si>
  <si>
    <t>SZ002138</t>
  </si>
  <si>
    <t>SH603936</t>
  </si>
  <si>
    <t>SZ300739</t>
  </si>
  <si>
    <t>SZ002384</t>
  </si>
  <si>
    <t>东山精密</t>
  </si>
  <si>
    <t>SH603228</t>
  </si>
  <si>
    <t>SZ002913</t>
  </si>
  <si>
    <t>SZ002938</t>
  </si>
  <si>
    <t>SZ002636</t>
  </si>
  <si>
    <t>SZ300408</t>
  </si>
  <si>
    <t>SZ002815</t>
  </si>
  <si>
    <t>SZ300476</t>
  </si>
  <si>
    <t>SH603920</t>
  </si>
  <si>
    <t>SH603989</t>
  </si>
  <si>
    <t>SZ002484</t>
  </si>
  <si>
    <t>SH600563</t>
  </si>
  <si>
    <t>SZ000823</t>
  </si>
  <si>
    <t>SH603328</t>
  </si>
  <si>
    <t>SZ000636</t>
  </si>
  <si>
    <t>SH600237</t>
  </si>
  <si>
    <t>SH600601</t>
  </si>
  <si>
    <t>SZ002134</t>
  </si>
  <si>
    <t>SZ002199</t>
  </si>
  <si>
    <t>SZ300460</t>
  </si>
  <si>
    <t>所属行业</t>
  </si>
  <si>
    <t>现价</t>
  </si>
  <si>
    <t>SZ300852</t>
  </si>
  <si>
    <t>四会富仕</t>
  </si>
  <si>
    <t>负债合计</t>
  </si>
  <si>
    <t>所有者权益合计</t>
  </si>
  <si>
    <t>净利润增长率</t>
  </si>
  <si>
    <t>总股本</t>
  </si>
  <si>
    <t>财务费用</t>
  </si>
  <si>
    <t>投资收益</t>
  </si>
  <si>
    <t>应收账款</t>
  </si>
  <si>
    <t>3.49亿</t>
  </si>
  <si>
    <t>5.28亿</t>
  </si>
  <si>
    <t>1.56亿</t>
  </si>
  <si>
    <t>0亿</t>
  </si>
  <si>
    <t>4.02亿</t>
  </si>
  <si>
    <t>1.02亿</t>
  </si>
  <si>
    <t>1.05亿</t>
  </si>
  <si>
    <t>2.06亿</t>
  </si>
  <si>
    <t>SH688519</t>
  </si>
  <si>
    <t>南亚新材</t>
  </si>
  <si>
    <t>1.32亿</t>
  </si>
  <si>
    <t>2.93亿</t>
  </si>
  <si>
    <t>2.07亿</t>
  </si>
  <si>
    <t>11.50亿</t>
  </si>
  <si>
    <t>主营业务收入</t>
  </si>
  <si>
    <t>1.89亿</t>
  </si>
  <si>
    <t>5.19亿</t>
  </si>
  <si>
    <t>17.21亿</t>
  </si>
  <si>
    <t>4.06亿</t>
  </si>
  <si>
    <t>1.29亿</t>
  </si>
  <si>
    <t>1.77亿</t>
  </si>
  <si>
    <t>2.31亿</t>
  </si>
  <si>
    <t>1.71亿</t>
  </si>
  <si>
    <t>2.64亿</t>
  </si>
  <si>
    <t>1.55亿</t>
  </si>
  <si>
    <t>2.10亿</t>
  </si>
  <si>
    <t>1.18亿</t>
  </si>
  <si>
    <t>1.22亿</t>
  </si>
  <si>
    <t>6.21亿</t>
  </si>
  <si>
    <t>2.30亿</t>
  </si>
  <si>
    <t>2.44亿</t>
  </si>
  <si>
    <t>1.34亿</t>
  </si>
  <si>
    <t>3.04亿</t>
  </si>
  <si>
    <t>1.13亿</t>
  </si>
  <si>
    <t>1.45亿</t>
  </si>
  <si>
    <t>5.22亿</t>
  </si>
  <si>
    <t>1.20亿</t>
  </si>
  <si>
    <t>1.40亿</t>
  </si>
  <si>
    <t>3.29亿</t>
  </si>
  <si>
    <t>3.48亿</t>
  </si>
  <si>
    <t>1.25亿</t>
  </si>
  <si>
    <t>1.27亿</t>
  </si>
  <si>
    <t>1.51亿</t>
  </si>
  <si>
    <t>1.35亿</t>
  </si>
  <si>
    <t>1.88亿</t>
  </si>
  <si>
    <t>7.03亿</t>
  </si>
  <si>
    <t>4.41亿</t>
  </si>
  <si>
    <t>1.48亿</t>
  </si>
  <si>
    <t>2.23亿</t>
  </si>
  <si>
    <t>1.36亿</t>
  </si>
  <si>
    <t>1.97亿</t>
  </si>
  <si>
    <t>4.79亿</t>
  </si>
  <si>
    <t>3.41亿</t>
  </si>
  <si>
    <t>3.03亿</t>
  </si>
  <si>
    <t>1.49亿</t>
  </si>
  <si>
    <t>3.54亿</t>
  </si>
  <si>
    <t>11.20亿</t>
  </si>
  <si>
    <t>13.28亿</t>
  </si>
  <si>
    <t>4.87亿</t>
  </si>
  <si>
    <t>1.31亿</t>
  </si>
  <si>
    <t>1.41亿</t>
  </si>
  <si>
    <t>1.60亿</t>
  </si>
  <si>
    <t>1.30亿</t>
  </si>
  <si>
    <t>4.35亿</t>
  </si>
  <si>
    <t>5.64亿</t>
  </si>
  <si>
    <t>3.79亿</t>
  </si>
  <si>
    <t>1.09亿</t>
  </si>
  <si>
    <t>2.35亿</t>
  </si>
  <si>
    <t>3.46亿</t>
  </si>
  <si>
    <t>2.39亿</t>
  </si>
  <si>
    <t>2.17亿</t>
  </si>
  <si>
    <t>1.81亿</t>
  </si>
  <si>
    <t>2.71亿</t>
  </si>
  <si>
    <t>2.45亿</t>
  </si>
  <si>
    <t>4.58亿</t>
  </si>
  <si>
    <t>3.10亿</t>
  </si>
  <si>
    <t>3.39亿</t>
  </si>
  <si>
    <t>32.03亿</t>
  </si>
  <si>
    <t>14.72亿</t>
  </si>
  <si>
    <t>3.21亿</t>
  </si>
  <si>
    <t>4.18亿</t>
  </si>
  <si>
    <t>7.92亿</t>
  </si>
  <si>
    <t>1.76亿</t>
  </si>
  <si>
    <t>8.22亿</t>
  </si>
  <si>
    <t>105.24亿</t>
  </si>
  <si>
    <t>24.39亿</t>
  </si>
  <si>
    <t>58.30亿</t>
  </si>
  <si>
    <t>2.34亿</t>
  </si>
  <si>
    <t>22.54亿</t>
  </si>
  <si>
    <t>33.22亿</t>
  </si>
  <si>
    <t>71.29亿</t>
  </si>
  <si>
    <t>132.41亿</t>
  </si>
  <si>
    <t>266.15亿</t>
  </si>
  <si>
    <t>20.26亿</t>
  </si>
  <si>
    <t>26.93亿</t>
  </si>
  <si>
    <t>3.95亿</t>
  </si>
  <si>
    <t>1.04亿</t>
  </si>
  <si>
    <t>5.80亿</t>
  </si>
  <si>
    <t>26.69亿</t>
  </si>
  <si>
    <t>2.02亿</t>
  </si>
  <si>
    <t>63.32亿</t>
  </si>
  <si>
    <t>3.35亿</t>
  </si>
  <si>
    <t>38.85亿</t>
  </si>
  <si>
    <t>48.42亿</t>
  </si>
  <si>
    <t>已知和基本信息</t>
    <phoneticPr fontId="1" type="noConversion"/>
  </si>
  <si>
    <t>预期多</t>
    <phoneticPr fontId="1" type="noConversion"/>
  </si>
  <si>
    <t>预期空</t>
    <phoneticPr fontId="1" type="noConversion"/>
  </si>
  <si>
    <t>32.93亿</t>
  </si>
  <si>
    <t>1.01亿</t>
  </si>
  <si>
    <t>1.59亿</t>
  </si>
  <si>
    <t>13.21亿</t>
  </si>
  <si>
    <t>235.53亿</t>
  </si>
  <si>
    <t>38.04亿</t>
  </si>
  <si>
    <t>2.38亿</t>
  </si>
  <si>
    <t>21.23亿</t>
  </si>
  <si>
    <t>20.99亿</t>
  </si>
  <si>
    <t>37.27亿</t>
  </si>
  <si>
    <t>22.76亿</t>
  </si>
  <si>
    <t>1.10亿</t>
  </si>
  <si>
    <t>1.00亿</t>
  </si>
  <si>
    <t>27.26亿</t>
  </si>
  <si>
    <t>1.15亿</t>
  </si>
  <si>
    <t>2.32亿</t>
  </si>
  <si>
    <t>16.80亿</t>
  </si>
  <si>
    <t>25.36亿</t>
  </si>
  <si>
    <t>3.07亿</t>
  </si>
  <si>
    <t>17.58亿</t>
  </si>
  <si>
    <t>1.75亿</t>
  </si>
  <si>
    <t>1.19亿</t>
  </si>
  <si>
    <t>1.93亿</t>
  </si>
  <si>
    <t>1.03亿</t>
  </si>
  <si>
    <t>4.48亿</t>
  </si>
  <si>
    <t>2.15亿</t>
  </si>
  <si>
    <t>1267.15万</t>
  </si>
  <si>
    <t>19.49亿</t>
  </si>
  <si>
    <t>3.99亿</t>
  </si>
  <si>
    <t>1479.34万</t>
  </si>
  <si>
    <t>1.21亿</t>
  </si>
  <si>
    <t>1850.29万</t>
  </si>
  <si>
    <t>5.70亿</t>
  </si>
  <si>
    <t>3.19亿</t>
  </si>
  <si>
    <t>3.09亿</t>
  </si>
  <si>
    <t>3.67亿</t>
  </si>
  <si>
    <t>2.92亿</t>
  </si>
  <si>
    <t>1.07亿</t>
  </si>
  <si>
    <t>12.06亿</t>
  </si>
  <si>
    <t>2.41亿</t>
  </si>
  <si>
    <t>2.56亿</t>
  </si>
  <si>
    <t>1.63亿</t>
  </si>
  <si>
    <t>5.26亿</t>
  </si>
  <si>
    <t>2.68亿</t>
  </si>
  <si>
    <t>2.50亿</t>
  </si>
  <si>
    <t>2.43亿</t>
  </si>
  <si>
    <t>12.33亿</t>
  </si>
  <si>
    <t>29.25亿</t>
  </si>
  <si>
    <t>2.01亿</t>
  </si>
  <si>
    <t>2.52亿</t>
  </si>
  <si>
    <t>4.00亿</t>
  </si>
  <si>
    <t>1.53亿</t>
  </si>
  <si>
    <t>2.72亿</t>
  </si>
  <si>
    <t>1.44亿</t>
  </si>
  <si>
    <t>8.71亿</t>
  </si>
  <si>
    <t>2.42亿</t>
  </si>
  <si>
    <t>1.14亿</t>
  </si>
  <si>
    <t>-1.33亿</t>
  </si>
  <si>
    <t>4.63亿</t>
  </si>
  <si>
    <t>1.84亿</t>
  </si>
  <si>
    <t>2.36亿</t>
  </si>
  <si>
    <t>1.73亿</t>
  </si>
  <si>
    <t>1.90亿</t>
  </si>
  <si>
    <t>5.79亿</t>
  </si>
  <si>
    <t>2.99亿</t>
  </si>
  <si>
    <t>2.40亿</t>
  </si>
  <si>
    <t>2.70亿</t>
  </si>
  <si>
    <t>3.92亿</t>
  </si>
  <si>
    <t>3.11亿</t>
  </si>
  <si>
    <t>1.33亿</t>
  </si>
  <si>
    <t>2.62亿</t>
  </si>
  <si>
    <t>2.74亿</t>
  </si>
  <si>
    <t>8779.95万</t>
  </si>
  <si>
    <t>2.18亿</t>
  </si>
  <si>
    <t>3.12亿</t>
  </si>
  <si>
    <t>14.49亿</t>
  </si>
  <si>
    <t>6.50亿</t>
  </si>
  <si>
    <t>5.61亿</t>
  </si>
  <si>
    <t>11.31亿</t>
  </si>
  <si>
    <t>3.85亿</t>
  </si>
  <si>
    <t>1.85亿</t>
  </si>
  <si>
    <t>4.56亿</t>
  </si>
  <si>
    <t>2.19亿</t>
  </si>
  <si>
    <t>-13.27亿</t>
  </si>
  <si>
    <t>3.20亿</t>
  </si>
  <si>
    <t>2.80亿</t>
  </si>
  <si>
    <t>3.38亿</t>
  </si>
  <si>
    <t>5.56亿</t>
  </si>
  <si>
    <t>8.37亿</t>
  </si>
  <si>
    <t>6.97亿</t>
  </si>
  <si>
    <t>5.18亿</t>
  </si>
  <si>
    <t>3462.66万</t>
  </si>
  <si>
    <t>4.66亿</t>
  </si>
  <si>
    <t>3.81亿</t>
  </si>
  <si>
    <t>1138.23万</t>
  </si>
  <si>
    <t>8.45亿</t>
  </si>
  <si>
    <t>5.86亿</t>
  </si>
  <si>
    <t>1.82亿</t>
  </si>
  <si>
    <t>6.11亿</t>
  </si>
  <si>
    <t>5.42亿</t>
  </si>
  <si>
    <t>流动资产</t>
  </si>
  <si>
    <t>营业收入[20191231]</t>
  </si>
  <si>
    <t>营业收入[20181231]</t>
  </si>
  <si>
    <t>营业收入[20171231]</t>
  </si>
  <si>
    <t>净利润[20191231]</t>
  </si>
  <si>
    <t>净利润[20181231]</t>
  </si>
  <si>
    <t>净利润[20171231]</t>
  </si>
  <si>
    <t>43.32亿</t>
  </si>
  <si>
    <t>3.59亿</t>
  </si>
  <si>
    <t>45.80亿</t>
  </si>
  <si>
    <t>2.47亿</t>
  </si>
  <si>
    <t>3.73亿</t>
  </si>
  <si>
    <t>2.26亿</t>
  </si>
  <si>
    <t>7.84亿</t>
  </si>
  <si>
    <t>2.04亿</t>
  </si>
  <si>
    <t>51.69亿</t>
  </si>
  <si>
    <t>2.24亿</t>
  </si>
  <si>
    <t>49.41亿</t>
  </si>
  <si>
    <t>1.92亿</t>
  </si>
  <si>
    <t>8.06亿</t>
  </si>
  <si>
    <t>1.17亿</t>
  </si>
  <si>
    <t>19.61亿</t>
  </si>
  <si>
    <t>11.97亿</t>
  </si>
  <si>
    <t>650.13万</t>
  </si>
  <si>
    <t>-5925.72万</t>
  </si>
  <si>
    <t>34.77亿</t>
  </si>
  <si>
    <t>5.88亿</t>
  </si>
  <si>
    <t>23.62亿</t>
  </si>
  <si>
    <t>13.19亿</t>
  </si>
  <si>
    <t>36.07亿</t>
  </si>
  <si>
    <t>21.66亿</t>
  </si>
  <si>
    <t>2.16亿</t>
  </si>
  <si>
    <t>4.13亿</t>
  </si>
  <si>
    <t>797.55万</t>
  </si>
  <si>
    <t>-7862.88万</t>
  </si>
  <si>
    <t>12.78亿</t>
  </si>
  <si>
    <t>2146.89万</t>
  </si>
  <si>
    <t>1.62亿</t>
  </si>
  <si>
    <t>13.93亿</t>
  </si>
  <si>
    <t>14.39亿</t>
  </si>
  <si>
    <t>3451.47万</t>
  </si>
  <si>
    <t>280.93亿</t>
  </si>
  <si>
    <t>15.30亿</t>
  </si>
  <si>
    <t>198.25亿</t>
  </si>
  <si>
    <t>8.11亿</t>
  </si>
  <si>
    <t>1.06亿</t>
  </si>
  <si>
    <t>3.72亿</t>
  </si>
  <si>
    <t>4.39亿</t>
  </si>
  <si>
    <t>40.35亿</t>
  </si>
  <si>
    <t>1.46亿</t>
  </si>
  <si>
    <t>34.73亿</t>
  </si>
  <si>
    <t>74.60亿</t>
  </si>
  <si>
    <t>13.43亿</t>
  </si>
  <si>
    <t>54.97亿</t>
  </si>
  <si>
    <t>26.35亿</t>
  </si>
  <si>
    <t>23.40亿</t>
  </si>
  <si>
    <t>5.81亿</t>
  </si>
  <si>
    <t>17.61亿</t>
  </si>
  <si>
    <t>8155.80万</t>
  </si>
  <si>
    <t>36.83亿</t>
  </si>
  <si>
    <t>30.54亿</t>
  </si>
  <si>
    <t>43.68亿</t>
  </si>
  <si>
    <t>36.56亿</t>
  </si>
  <si>
    <t>3.76亿</t>
  </si>
  <si>
    <t>29.11亿</t>
  </si>
  <si>
    <t>22.35亿</t>
  </si>
  <si>
    <t>4.90亿</t>
  </si>
  <si>
    <t>116.00亿</t>
  </si>
  <si>
    <t>14.30亿</t>
  </si>
  <si>
    <t>16.02亿</t>
  </si>
  <si>
    <t>76.02亿</t>
  </si>
  <si>
    <t>298.51亿</t>
  </si>
  <si>
    <t>28.41亿</t>
  </si>
  <si>
    <t>4.59亿</t>
  </si>
  <si>
    <t>258.55亿</t>
  </si>
  <si>
    <t>27.71亿</t>
  </si>
  <si>
    <t>3.88亿</t>
  </si>
  <si>
    <t>8.70亿</t>
  </si>
  <si>
    <t>2.97亿</t>
  </si>
  <si>
    <t>1.95亿</t>
  </si>
  <si>
    <t>3.80亿</t>
  </si>
  <si>
    <t>3.15亿</t>
  </si>
  <si>
    <t>3.55亿</t>
  </si>
  <si>
    <t>2.69亿</t>
  </si>
  <si>
    <t>1.70亿</t>
  </si>
  <si>
    <t>6.86亿</t>
  </si>
  <si>
    <t>39.94亿</t>
  </si>
  <si>
    <t>14.40亿</t>
  </si>
  <si>
    <t>6.37亿</t>
  </si>
  <si>
    <t>37.50亿</t>
  </si>
  <si>
    <t>10.83亿</t>
  </si>
  <si>
    <t>3.37亿</t>
  </si>
  <si>
    <t>15.05亿</t>
  </si>
  <si>
    <t>2020.17万</t>
  </si>
  <si>
    <t>3.70亿</t>
  </si>
  <si>
    <t>-2229.44万</t>
  </si>
  <si>
    <t>56.00亿</t>
  </si>
  <si>
    <t>3.51亿</t>
  </si>
  <si>
    <t>33.04亿</t>
  </si>
  <si>
    <t>18.18亿</t>
  </si>
  <si>
    <t>3.22亿</t>
  </si>
  <si>
    <t>5.32亿</t>
  </si>
  <si>
    <t>4.52亿</t>
  </si>
  <si>
    <t>8.36亿</t>
  </si>
  <si>
    <t>5.24亿</t>
  </si>
  <si>
    <t>12.91亿</t>
  </si>
  <si>
    <t>27.92亿</t>
  </si>
  <si>
    <t>1.52亿</t>
  </si>
  <si>
    <t>2.48亿</t>
  </si>
  <si>
    <t>6329.94万</t>
  </si>
  <si>
    <t>SZ300903</t>
  </si>
  <si>
    <t>科翔股份</t>
  </si>
  <si>
    <t>SZ300936</t>
  </si>
  <si>
    <t>中英科技</t>
  </si>
  <si>
    <t>5777.78万</t>
  </si>
  <si>
    <t>4770.49万</t>
  </si>
  <si>
    <t>5275.08万</t>
  </si>
  <si>
    <t>146.87亿</t>
  </si>
  <si>
    <t>119.81亿</t>
  </si>
  <si>
    <t>8.47亿</t>
  </si>
  <si>
    <t>2.94亿</t>
  </si>
  <si>
    <t>8.85亿</t>
  </si>
  <si>
    <t>8.13亿</t>
  </si>
  <si>
    <t>18.91亿</t>
  </si>
  <si>
    <t>59.73亿</t>
  </si>
  <si>
    <t>10.71亿</t>
  </si>
  <si>
    <t>57.01亿</t>
  </si>
  <si>
    <t>5508.28万</t>
  </si>
  <si>
    <t>9.21亿</t>
  </si>
  <si>
    <t>5.65亿</t>
  </si>
  <si>
    <t>66.87亿</t>
  </si>
  <si>
    <t>22.84亿</t>
  </si>
  <si>
    <t>17.14亿</t>
  </si>
  <si>
    <t>15.13亿</t>
  </si>
  <si>
    <t>7274.17万</t>
  </si>
  <si>
    <t>70.64亿</t>
  </si>
  <si>
    <t>49.86亿</t>
  </si>
  <si>
    <t>8.03亿</t>
  </si>
  <si>
    <t>1.86亿</t>
  </si>
  <si>
    <t>33.29亿</t>
  </si>
  <si>
    <t>32.86亿</t>
  </si>
  <si>
    <t>6.54亿</t>
  </si>
  <si>
    <t>5.34亿</t>
  </si>
  <si>
    <t>20.66亿</t>
  </si>
  <si>
    <t>6899.42万</t>
  </si>
  <si>
    <t>6.31亿</t>
  </si>
  <si>
    <t>3861.31万</t>
  </si>
  <si>
    <t>3635.87万</t>
  </si>
  <si>
    <t>12.71亿</t>
  </si>
  <si>
    <t>21.67亿</t>
  </si>
  <si>
    <t>27.86亿</t>
  </si>
  <si>
    <t>25.17亿</t>
  </si>
  <si>
    <t>SH605058</t>
  </si>
  <si>
    <t>澳弘电子</t>
  </si>
  <si>
    <t>6.70亿</t>
  </si>
  <si>
    <t>8.82亿</t>
  </si>
  <si>
    <t>1.67亿</t>
  </si>
  <si>
    <t>SH605258</t>
  </si>
  <si>
    <t>6.16亿</t>
  </si>
  <si>
    <t>9164.08万</t>
  </si>
  <si>
    <t>3.00亿</t>
  </si>
  <si>
    <t>8.31亿</t>
  </si>
  <si>
    <t>SH688183</t>
  </si>
  <si>
    <t>生益电子</t>
  </si>
  <si>
    <t>36.34亿</t>
  </si>
  <si>
    <t>30.96亿</t>
  </si>
  <si>
    <t>20.54亿</t>
  </si>
  <si>
    <t>2.13亿</t>
  </si>
  <si>
    <t>21.21亿</t>
  </si>
  <si>
    <t>7.34亿</t>
  </si>
  <si>
    <t>18.38亿</t>
  </si>
  <si>
    <t>SH688655</t>
  </si>
  <si>
    <t>迅捷兴</t>
  </si>
  <si>
    <t>5649.01万</t>
  </si>
  <si>
    <t>3524.43万</t>
  </si>
  <si>
    <t>3239.69万</t>
  </si>
  <si>
    <t>5.85亿</t>
  </si>
  <si>
    <t>4.37亿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</si>
  <si>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</si>
  <si>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</si>
  <si>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</si>
  <si>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</si>
  <si>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</si>
  <si>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</si>
  <si>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</si>
  <si>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</si>
  <si>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</si>
  <si>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</si>
  <si>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</si>
  <si>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</si>
  <si>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</si>
  <si>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1.海太半导体目前主要是为 SK 海力士的 DRAM 产品提供后工序服务。2.十一科技把握机遇，先后中标多个十亿以上的重大项目，合同较去年同期增幅明显；在生物医药、大数据中心等领域多点开花，新能源板块连续中标多个光伏、风电等新能源设计和总包项目。</t>
    <phoneticPr fontId="1" type="noConversion"/>
  </si>
  <si>
    <t>2.86亿</t>
  </si>
  <si>
    <t>1.43亿</t>
  </si>
  <si>
    <t>1.储能锂铜箔是销量突破点，现有产能中大概五六千吨的产能可以生产锂电铜箔。另外，公司2020年11月在梅州动工建设的年产2万吨高精度超薄锂电铜箔项目和公司2021年2月在广西玉林建设的10万吨高精度电子铜箔产业基地项目都将扩大公司锂电铜箔的产能</t>
    <phoneticPr fontId="1" type="noConversion"/>
  </si>
  <si>
    <t>5.39亿</t>
  </si>
  <si>
    <t>9.29亿</t>
  </si>
  <si>
    <t>6.99亿</t>
  </si>
  <si>
    <t>6.28亿</t>
  </si>
  <si>
    <t>6.41亿</t>
  </si>
  <si>
    <t>SZ300319</t>
  </si>
  <si>
    <t>麦捷科技</t>
  </si>
  <si>
    <t>23.29亿</t>
  </si>
  <si>
    <t>3567.61万</t>
  </si>
  <si>
    <t>16.72亿</t>
  </si>
  <si>
    <t>4509.10万</t>
  </si>
  <si>
    <t>10.64亿</t>
  </si>
  <si>
    <t>20.11亿</t>
  </si>
  <si>
    <t>5.82亿</t>
  </si>
  <si>
    <t>3.53亿</t>
  </si>
  <si>
    <t>SZ300814</t>
  </si>
  <si>
    <t>中富电路</t>
  </si>
  <si>
    <t>10.82亿</t>
  </si>
  <si>
    <t>11.17亿</t>
  </si>
  <si>
    <t>8.68亿</t>
  </si>
  <si>
    <t>9334.49万</t>
  </si>
  <si>
    <t>8398.60万</t>
  </si>
  <si>
    <t>6.77亿</t>
  </si>
  <si>
    <t>SZ300964</t>
  </si>
  <si>
    <t>本川智能</t>
  </si>
  <si>
    <t>8259.45万</t>
  </si>
  <si>
    <t>6729.69万</t>
  </si>
  <si>
    <t>4701.52万</t>
  </si>
  <si>
    <t>SZ301041</t>
  </si>
  <si>
    <t>金百泽</t>
  </si>
  <si>
    <t>5639.56万</t>
  </si>
  <si>
    <t>4743.37万</t>
  </si>
  <si>
    <t>4110.59万</t>
  </si>
  <si>
    <t>-1.29亿</t>
  </si>
  <si>
    <t>7.00亿</t>
  </si>
  <si>
    <t>1.78亿</t>
  </si>
  <si>
    <t>-3.08亿</t>
  </si>
  <si>
    <t>3.13亿</t>
  </si>
  <si>
    <t>6.55亿</t>
  </si>
  <si>
    <t>50.40亿</t>
  </si>
  <si>
    <t>销售毛利率%[20201231]</t>
  </si>
  <si>
    <t>销售净利率%[20201231]</t>
  </si>
  <si>
    <t>工程技术主要由子公司十一科技主导，可承接国内煤炭、化工石化医药、石油天然气、电力、冶金等全部21个行业的所有工程设计业务；半导体主要为封测业务（由子公司太极半导体控股子公司海太半导体完成）；光伏业务也有十一科技完成；
工程技术服务分部 78.83亿 77.07% 利润占比59.09% 8.38%
半导体及其他分部 20.87亿 20.41% 利润占比27.29% 14.61%
电力分部 2.40亿 2.34% 利润占比11.33% 52.84%
其他业务 3548.01万 0.35% 利润占比2.06% 64.94%</t>
    <phoneticPr fontId="1" type="noConversion"/>
  </si>
  <si>
    <t>1.问答环节问：公司自建封装线优势在哪里？答：一方面，目前与公司建立合作关系的封装厂商的产能瓶颈已部分限制了业务规模的扩张，如果封装环节能够实现有效补充，则可以缓解和突破产能瓶颈，最大程度满足客户需求；另一方面，封装环节的管控有助于公司加强质量管理，持续推出高质量的产品，进一步提升优质的品牌形象。集成电路市场需求日益旺盛，晶圆制造和封装测试产能日益紧张环境下，实现“设计+封装测试”的产业链模式，公司在供应链上更有掌控力</t>
    <phoneticPr fontId="1" type="noConversion"/>
  </si>
  <si>
    <t>1.目前在显示驱动芯片领域，主要竞争企业有集创北方、聚积科技（台湾）和公司等；根据TrendForce集邦咨询研究显示：显示屏IC产业具高度集中的特性，2020年营收仅前五大厂商的市占率就已超过九成，集创北方、聚积科技（台湾）和公司分列前三</t>
    <phoneticPr fontId="1" type="noConversion"/>
  </si>
  <si>
    <t>1.预计年报业绩：净利润3.650亿元至3.850亿元，增长幅度为74.30%至83.80%；</t>
    <phoneticPr fontId="1" type="noConversion"/>
  </si>
  <si>
    <t>1.50亿</t>
  </si>
  <si>
    <t>1.家电新推出ARM cortex-M3 内核基于55nm高阶制程产品；</t>
    <phoneticPr fontId="1" type="noConversion"/>
  </si>
  <si>
    <t>公司主要从事自主品牌的集成电路芯片研发设计及销售，并提供相应的系统解决方案和售后的技术支持服务。MCU微控制器作为智能控制的核心，广泛应用于消费电子、汽车电子、计算机与网络、工业控制等领
域，伴随物联网的逐步落地和新能源汽车的发展，MCU微控制器的市场需求长期增长可期。
2021H1:
工业控制 5.82亿 84.90% 利润占比89.78% 47.38%
显屏驱动 1.04亿 15.10% 利润占比10.22% 30.35%</t>
    <phoneticPr fontId="1" type="noConversion"/>
  </si>
  <si>
    <t>代码</t>
  </si>
  <si>
    <t>涨幅%</t>
  </si>
  <si>
    <t>流通股本</t>
  </si>
  <si>
    <t>净利润[20201231]</t>
  </si>
  <si>
    <t>投入资本回报率roic%[20201231]</t>
  </si>
  <si>
    <t>净资产收益率%[20201231]</t>
  </si>
  <si>
    <t>50.55亿</t>
  </si>
  <si>
    <t>9.43亿</t>
  </si>
  <si>
    <t>67.31亿</t>
  </si>
  <si>
    <t>45.77亿</t>
  </si>
  <si>
    <t>7.85亿</t>
  </si>
  <si>
    <t>42.07亿</t>
  </si>
  <si>
    <t>3093.85万</t>
  </si>
  <si>
    <t>24.72亿</t>
  </si>
  <si>
    <t>7188.59万</t>
  </si>
  <si>
    <t>317.93亿</t>
  </si>
  <si>
    <t>18.62亿</t>
  </si>
  <si>
    <t>74.19亿</t>
  </si>
  <si>
    <t>35.50亿</t>
  </si>
  <si>
    <t>29.45亿</t>
  </si>
  <si>
    <t>28.11亿</t>
  </si>
  <si>
    <t>1.96亿</t>
  </si>
  <si>
    <t>58.91亿</t>
  </si>
  <si>
    <t>6.90亿</t>
  </si>
  <si>
    <t>59.96亿</t>
  </si>
  <si>
    <t>5.54亿</t>
  </si>
  <si>
    <t>44.35亿</t>
  </si>
  <si>
    <t>139.43亿</t>
  </si>
  <si>
    <t>14.81亿</t>
  </si>
  <si>
    <t>6.34亿</t>
  </si>
  <si>
    <t>333.15亿</t>
  </si>
  <si>
    <t>33.17亿</t>
  </si>
  <si>
    <t>33.18亿</t>
  </si>
  <si>
    <t>7.86亿</t>
  </si>
  <si>
    <t>35.21亿</t>
  </si>
  <si>
    <t>62.18亿</t>
  </si>
  <si>
    <t>74.32亿</t>
  </si>
  <si>
    <t>3.40亿</t>
  </si>
  <si>
    <t>18.54亿</t>
  </si>
  <si>
    <t>9629.86万</t>
  </si>
  <si>
    <t>10.50亿</t>
  </si>
  <si>
    <t>7094.83万</t>
  </si>
  <si>
    <t>5172.73万</t>
  </si>
  <si>
    <t>5390.04万</t>
  </si>
  <si>
    <t>5140.33万</t>
  </si>
  <si>
    <t>54.32亿</t>
  </si>
  <si>
    <t>-12.12亿</t>
  </si>
  <si>
    <t>-9.20亿</t>
  </si>
  <si>
    <t>36.20亿</t>
  </si>
  <si>
    <t>95.32亿</t>
  </si>
  <si>
    <t>9.35亿</t>
  </si>
  <si>
    <t>29.08亿</t>
  </si>
  <si>
    <t>25.84亿</t>
  </si>
  <si>
    <t>31.35亿</t>
  </si>
  <si>
    <t>27.27亿</t>
  </si>
  <si>
    <t>12.41亿</t>
  </si>
  <si>
    <t>4.46亿</t>
  </si>
  <si>
    <t>37.59亿</t>
  </si>
  <si>
    <t>32.34亿</t>
  </si>
  <si>
    <t>7812.21万</t>
  </si>
  <si>
    <t>5.87亿</t>
  </si>
  <si>
    <t>7.33亿</t>
  </si>
  <si>
    <t>10.07亿</t>
  </si>
  <si>
    <t>36.47亿</t>
  </si>
  <si>
    <t>4.25亿</t>
  </si>
  <si>
    <t>6407.53万</t>
  </si>
  <si>
    <t>5.71亿</t>
  </si>
  <si>
    <t xml:space="preserve">    名称</t>
  </si>
  <si>
    <t>净利润?</t>
  </si>
  <si>
    <t>投入资本回报率roic%[20211231]</t>
  </si>
  <si>
    <t>净资产收益率%[20211231]</t>
  </si>
  <si>
    <t>单季营收增速</t>
  </si>
  <si>
    <t>单季利润增速</t>
  </si>
  <si>
    <t/>
  </si>
  <si>
    <t>1.83亿</t>
  </si>
  <si>
    <t>1.54亿</t>
  </si>
  <si>
    <t>11.89亿</t>
  </si>
  <si>
    <t>7.56亿</t>
  </si>
  <si>
    <t>亏损</t>
  </si>
  <si>
    <t>扭亏</t>
  </si>
  <si>
    <t>4.64亿</t>
  </si>
  <si>
    <t>-1.79亿</t>
  </si>
  <si>
    <t>3.08亿</t>
  </si>
  <si>
    <t>3.18亿</t>
  </si>
  <si>
    <t>1.61亿</t>
  </si>
  <si>
    <t>8.61亿</t>
  </si>
  <si>
    <t>1.2021 年中国集成电路产业销售额为10,458.3 亿元，同比增长 18.2%；其中，设计业销售额为 4,519 亿元，同比增长19.6%；制造业销售额为 3,176.3 亿元，同比增长 24.1%；封装测试业销售额 2,763 亿元，同比增长 10.1%。2.2021 年全球委外封测（OSAT）榜单，长电科技以预估 309.5 亿元营收在全球前十大 OSAT 厂商中排名第三，中国大陆第一。</t>
    <phoneticPr fontId="1" type="noConversion"/>
  </si>
  <si>
    <t>1.世界封测排名：日月光，安靠，长电科技，力成科技，通富微电，华天科技，智路资本，京元电子；2.公司 2021年度营业收入按市场应用领域划分：通讯电子占比 40.0%、消费电子占比 33.8%、运算电子占比13.2%、工业及医疗电子占比 10.3%、汽车电子占比 2.6%。</t>
    <phoneticPr fontId="1" type="noConversion"/>
  </si>
  <si>
    <t>6.08亿</t>
  </si>
  <si>
    <t>6.09亿</t>
  </si>
  <si>
    <t>1.公司目前具备铜箔产能达2万吨/年；</t>
    <phoneticPr fontId="1" type="noConversion"/>
  </si>
  <si>
    <r>
      <t>1.锂电池铜箔方面，由于我国新能源汽车起步早、国家支持力度高，我国锂电池铜箔技术实力已经处于国际领先水平。2021年，我国4.5μm~6μm锂电池铜箔的升级已大幅度实现，且更薄水平3.5μm产品也在商用尝试之中，而海外电池制造商尚未大规模使用4.5μm~6μm锂电池铜箔。因此，目前我国4.5μm~6μm锂电池铜箔市场较为广阔，但</t>
    </r>
    <r>
      <rPr>
        <sz val="9"/>
        <color rgb="FFFF0000"/>
        <rFont val="宋体"/>
        <family val="3"/>
        <charset val="134"/>
        <scheme val="minor"/>
      </rPr>
      <t>传统7-8μm铜箔市场竞争激烈</t>
    </r>
    <r>
      <rPr>
        <sz val="9"/>
        <color theme="1"/>
        <rFont val="宋体"/>
        <family val="3"/>
        <charset val="134"/>
        <scheme val="minor"/>
      </rPr>
      <t>;</t>
    </r>
    <phoneticPr fontId="1" type="noConversion"/>
  </si>
  <si>
    <t>骏亚科技</t>
  </si>
  <si>
    <t>6.46亿</t>
  </si>
  <si>
    <t>SZ301132</t>
  </si>
  <si>
    <t>满坤科技</t>
  </si>
  <si>
    <t>9.62亿</t>
  </si>
  <si>
    <t>8.07亿</t>
  </si>
  <si>
    <t>7.08亿</t>
  </si>
  <si>
    <t>8029.92万</t>
  </si>
  <si>
    <t>7583.07万</t>
  </si>
  <si>
    <t>1.经过持续投入，逐步形成生产小间距及Mini Led PCB的工艺能力；</t>
    <phoneticPr fontId="1" type="noConversion"/>
  </si>
  <si>
    <t>公司的主营业务为印制电路板(PCB)的研发、生产、销售与服务。公司主要产品有刚性电路板(RPCB)、高密度互联板(HDI)、柔性电路板(FPC)、刚柔结合板(R-F)和柔性电路板组件(FPCA)。
市值51.22亿，利润1.48亿，pe45.95，pb1.82；毛利21.5%，净利6.58%；2021营收增25.9%，利润增-8.64%；2022Q1营收增15.26%，利润增-158%；过往5年营收增31.13%，利润增49.5%；
2021：
刚性电路板 20.89亿 70.94% 68.40% 17.39%
柔性电路板组件 3.88亿 13.18% 8.37% 11.46%
柔性电路板 3.76亿 12.77% 17.48% 24.68%</t>
    <phoneticPr fontId="1" type="noConversion"/>
  </si>
  <si>
    <t>1.问：公司未来三年发展规划具体是什么？答：一是发展新能源汽车业务。公司制定了新能源汽车领域的业务目标，并组建了销售团队。二是坚持稳健经营，保持健康的财务状况。公司将坚持总体降杠杆的目标不变，但同时也避免因降杠杆而错失新业务高速发展的机会。三是持续加大IC载板等高端电路板业务的投入。2.问：公司目前高度重视新能源汽车这一应用领域，未来将如何规划和布局？答：公司现有三大板块均有涉及新能源汽车的业务。一是传统精密组件板块，核心产品主要有三电结构件、电芯、散热等。二是电子电路板块，随着新能源汽车电气化程度的提升，市场对于FPC和硬板的需求也在提升。三是光电显示板块，公司以Mini LED为代表的产品也将迎来新能源汽车的市场机遇。</t>
    <phoneticPr fontId="1" type="noConversion"/>
  </si>
  <si>
    <t>7.91亿</t>
  </si>
  <si>
    <t>3.31亿</t>
  </si>
  <si>
    <t>4.34亿</t>
  </si>
  <si>
    <t>2.27亿</t>
  </si>
  <si>
    <t>SZ301282</t>
  </si>
  <si>
    <t>金禄电子</t>
  </si>
  <si>
    <t>6739.51万</t>
  </si>
  <si>
    <t>4914.82万</t>
  </si>
  <si>
    <t>3968.65万</t>
  </si>
  <si>
    <t>1.79亿</t>
  </si>
  <si>
    <t>3.27亿</t>
  </si>
  <si>
    <t>细分行业</t>
  </si>
  <si>
    <t>被动元件</t>
  </si>
  <si>
    <t>印制电路板</t>
  </si>
  <si>
    <t>5.93亿</t>
  </si>
  <si>
    <t>13.35亿</t>
  </si>
  <si>
    <t>-1.35亿</t>
  </si>
  <si>
    <t>3.62亿</t>
  </si>
  <si>
    <t>4.33亿</t>
  </si>
  <si>
    <t>3.34亿</t>
  </si>
  <si>
    <t>10.66亿</t>
  </si>
  <si>
    <t>5.23亿</t>
  </si>
  <si>
    <t>SZ301176</t>
  </si>
  <si>
    <t>逸豪新材</t>
  </si>
  <si>
    <t>8.38亿</t>
  </si>
  <si>
    <t>5763.95万</t>
  </si>
  <si>
    <t>2618.95万</t>
  </si>
  <si>
    <t>2289.70万</t>
  </si>
  <si>
    <t>SZ301366</t>
  </si>
  <si>
    <t>一博科技</t>
  </si>
  <si>
    <t>7.09亿</t>
  </si>
  <si>
    <t>5.74亿</t>
  </si>
  <si>
    <t>7991.23万</t>
  </si>
  <si>
    <t>3993.13万</t>
  </si>
  <si>
    <t>SZ002552</t>
  </si>
  <si>
    <t>宝鼎科技</t>
  </si>
  <si>
    <t>636.71万</t>
  </si>
  <si>
    <t>758.26万</t>
  </si>
  <si>
    <t>5606.76万</t>
  </si>
  <si>
    <t>2869.07万</t>
  </si>
  <si>
    <t>17.27亿</t>
  </si>
  <si>
    <t>2.78亿</t>
  </si>
  <si>
    <t>37.60亿</t>
  </si>
  <si>
    <t>9.16亿</t>
  </si>
  <si>
    <t>15.31亿</t>
  </si>
  <si>
    <t>35.35亿</t>
  </si>
  <si>
    <t>15.81亿</t>
  </si>
  <si>
    <t>10.69亿</t>
  </si>
  <si>
    <t>4.83亿</t>
  </si>
  <si>
    <t>7.71亿</t>
  </si>
  <si>
    <t>16.70亿</t>
  </si>
  <si>
    <t>78.85亿</t>
  </si>
  <si>
    <t>22.59亿</t>
  </si>
  <si>
    <t>6.76亿</t>
  </si>
  <si>
    <t>2.00亿</t>
  </si>
  <si>
    <t>-2.68亿</t>
  </si>
  <si>
    <t>5.59亿</t>
  </si>
  <si>
    <t>6.92亿</t>
  </si>
  <si>
    <t>5.33亿</t>
  </si>
  <si>
    <t>10.42亿</t>
  </si>
  <si>
    <t xml:space="preserve">1.公司目前铜箔设计产能为2万吨/年（实际产能可达到2.5万吨/年），覆铜板产能为1,200万张/年，PCB产能为740万平方米/年
</t>
    <phoneticPr fontId="1" type="noConversion"/>
  </si>
  <si>
    <t>3增速</t>
    <phoneticPr fontId="1" type="noConversion"/>
  </si>
  <si>
    <t>不分配不转增</t>
  </si>
  <si>
    <t>10派1元(含税)</t>
  </si>
  <si>
    <t>10派3元(含税)</t>
  </si>
  <si>
    <t>10派5元(含税)</t>
  </si>
  <si>
    <t>10派1.9元(含税)</t>
  </si>
  <si>
    <t>10派4元(含税)</t>
  </si>
  <si>
    <t>10派2元(含税)</t>
  </si>
  <si>
    <t>10派2.5元(含税)</t>
  </si>
  <si>
    <t>10派0.75元(含税)</t>
  </si>
  <si>
    <t>10派3.5元(含税)</t>
  </si>
  <si>
    <r>
      <t>1.全球</t>
    </r>
    <r>
      <rPr>
        <b/>
        <sz val="9"/>
        <color rgb="FFFF0000"/>
        <rFont val="宋体"/>
        <family val="3"/>
        <charset val="134"/>
        <scheme val="minor"/>
      </rPr>
      <t>铝塑膜</t>
    </r>
    <r>
      <rPr>
        <sz val="9"/>
        <color theme="1"/>
        <rFont val="宋体"/>
        <family val="3"/>
        <charset val="134"/>
        <scheme val="minor"/>
      </rPr>
      <t>渗透率约为25%，分行业来看，动力电池渗透率约15%，储能约10%，数码电池约70%，预计铝塑膜材料在未来的市场应用具有极大的空间。2.问：公司铝塑膜产业的</t>
    </r>
    <r>
      <rPr>
        <sz val="9"/>
        <color rgb="FFFF0000"/>
        <rFont val="宋体"/>
        <family val="3"/>
        <charset val="134"/>
        <scheme val="minor"/>
      </rPr>
      <t>核心竞争力</t>
    </r>
    <r>
      <rPr>
        <sz val="9"/>
        <color theme="1"/>
        <rFont val="宋体"/>
        <family val="3"/>
        <charset val="134"/>
        <scheme val="minor"/>
      </rPr>
      <t>？答：第一，公司将铝塑膜产业定位为战略产业，坚定做大做强的信心和决心，并制定了基于长期主义的发展规划；第二，公司重视研发能力的打造，以业内资深技术专家为核心建立了硕博士比例超过60%的研发团队，并经过第一阶段中试工厂的产品开发，产品技术已经迭代成熟，产品各项指标达到行业优秀水平；第三，公司铝塑膜新工厂固定资产投资强度高，核心设备均为日本进口，具备非常好的硬件基础；第四，产品原材料国产化程度高，目前W1T-113，W3T-153两支产品已实现原材料完全国产化，同时公司积极联动产品上下游，合作开发，进行多样化战略合作；第五，公司始终追求贴近下游客户的需求，投资建有应用实验室，与比亚迪、亿纬锂能等客户共同进行电芯、电池的试验和研究；第六、公司不断提升技术迭代能力，积极与四川大学、中山大学、中铝应用研究院等科研院所共同开发研究，研究方向包括铝箔处理液向无铬化改进、锂电池使用寿命之部件影响因素分析与改进等。</t>
    </r>
    <phoneticPr fontId="1" type="noConversion"/>
  </si>
  <si>
    <t>-1-1</t>
  </si>
  <si>
    <r>
      <t>1.公司汽车电子产品主要通过与电池厂及Tier1模组厂合作，产品储备不断增加。因每个车型的需求规模不大，所以</t>
    </r>
    <r>
      <rPr>
        <sz val="9"/>
        <color rgb="FFFF0000"/>
        <rFont val="宋体"/>
        <family val="3"/>
        <charset val="134"/>
        <scheme val="minor"/>
      </rPr>
      <t>汽车电子产品目前总体营收体量不大</t>
    </r>
    <r>
      <rPr>
        <sz val="9"/>
        <color theme="1"/>
        <rFont val="宋体"/>
        <family val="3"/>
        <charset val="134"/>
        <scheme val="minor"/>
      </rPr>
      <t>。</t>
    </r>
    <phoneticPr fontId="1" type="noConversion"/>
  </si>
  <si>
    <t>2-0</t>
  </si>
  <si>
    <t>-2-1</t>
  </si>
  <si>
    <t>3-1</t>
  </si>
  <si>
    <t>13.15亿</t>
  </si>
  <si>
    <r>
      <t>1.2022年，公司通讯板收入226.7亿，同比增加3.1%；消费电子及计算机板收入132.0亿，同比增加19.2%；</t>
    </r>
    <r>
      <rPr>
        <sz val="9"/>
        <color rgb="FFFF0000"/>
        <rFont val="宋体"/>
        <family val="3"/>
        <charset val="134"/>
        <scheme val="minor"/>
      </rPr>
      <t>汽车/服务器及其他板收入3.4亿，同比增加31.4%</t>
    </r>
    <r>
      <rPr>
        <sz val="9"/>
        <color theme="1"/>
        <rFont val="宋体"/>
        <family val="3"/>
        <charset val="134"/>
        <scheme val="minor"/>
      </rPr>
      <t>，增长比较明显。从历史情况来看，在2017年时，公司的消费电子用板占总体营收比例为21%，但到2022年，该占比已提升至36%2.公司从去年开始全面启动了数字化转型项目，降本增效的成效正逐步显现，未来将更好地提升公司经营效率。</t>
    </r>
    <phoneticPr fontId="1" type="noConversion"/>
  </si>
  <si>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</si>
  <si>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</si>
  <si>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</si>
  <si>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</si>
  <si>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</si>
  <si>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</si>
  <si>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</si>
  <si>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</si>
  <si>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</si>
  <si>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</si>
  <si>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</si>
  <si>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</si>
  <si>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</si>
  <si>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</si>
  <si>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</si>
  <si>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</si>
  <si>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</si>
  <si>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</si>
  <si>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</si>
  <si>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</si>
  <si>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</si>
  <si>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</si>
  <si>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</si>
  <si>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</si>
  <si>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</si>
  <si>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</si>
  <si>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</si>
  <si>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</si>
  <si>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</si>
  <si>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</si>
  <si>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</si>
  <si>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</si>
  <si>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</si>
  <si>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</si>
  <si>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</si>
  <si>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</si>
  <si>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</si>
  <si>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</si>
  <si>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</si>
  <si>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</si>
  <si>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</si>
  <si>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</si>
  <si>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</si>
  <si>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</si>
  <si>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</si>
  <si>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</si>
  <si>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</si>
  <si>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</si>
  <si>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</si>
  <si>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</si>
  <si>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</si>
  <si>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</si>
  <si>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</si>
  <si>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</si>
  <si>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</si>
  <si>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</si>
  <si>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</si>
  <si>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</si>
  <si>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</si>
  <si>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</si>
  <si>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</si>
  <si>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</si>
  <si>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</si>
  <si>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</si>
  <si>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</si>
  <si>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</si>
  <si>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</si>
  <si>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</si>
  <si>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</si>
  <si>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</si>
  <si>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</si>
  <si>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</si>
  <si>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</si>
  <si>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</si>
  <si>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</si>
  <si>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</si>
  <si>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</si>
  <si>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</si>
  <si>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</si>
  <si>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</si>
  <si>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</si>
  <si>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</si>
  <si>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</si>
  <si>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</si>
  <si>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</si>
  <si>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</si>
  <si>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</si>
  <si>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</si>
  <si>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38.74亿</t>
  </si>
  <si>
    <t>15.68亿</t>
  </si>
  <si>
    <t>66.73亿</t>
  </si>
  <si>
    <t>4.17亿</t>
  </si>
  <si>
    <t>1605.89万</t>
  </si>
  <si>
    <t>2708.61万</t>
  </si>
  <si>
    <t>42.38亿</t>
  </si>
  <si>
    <t>-6910.84万</t>
  </si>
  <si>
    <t>-3.36亿</t>
  </si>
  <si>
    <t>315.80亿</t>
  </si>
  <si>
    <t>23.68亿</t>
  </si>
  <si>
    <t>53.54亿</t>
  </si>
  <si>
    <t>4.15亿</t>
  </si>
  <si>
    <t>83.36亿</t>
  </si>
  <si>
    <t>13.62亿</t>
  </si>
  <si>
    <t>45.22亿</t>
  </si>
  <si>
    <t>6.61亿</t>
  </si>
  <si>
    <t>25.73亿</t>
  </si>
  <si>
    <t>6.71亿</t>
  </si>
  <si>
    <t>8710.48万</t>
  </si>
  <si>
    <t>58.71亿</t>
  </si>
  <si>
    <t>45.67亿</t>
  </si>
  <si>
    <t>10.58亿</t>
  </si>
  <si>
    <t>139.92亿</t>
  </si>
  <si>
    <t>362.11亿</t>
  </si>
  <si>
    <t>50.12亿</t>
  </si>
  <si>
    <t>10派7元(含税)</t>
  </si>
  <si>
    <t>31.52亿</t>
  </si>
  <si>
    <t>51.49亿</t>
  </si>
  <si>
    <t>9.80亿</t>
  </si>
  <si>
    <t>4.19亿</t>
  </si>
  <si>
    <t>26.45亿</t>
  </si>
  <si>
    <t>24.70亿</t>
  </si>
  <si>
    <t>7750.76万</t>
  </si>
  <si>
    <t>19.69亿</t>
  </si>
  <si>
    <t>12.19亿</t>
  </si>
  <si>
    <t>26.37亿</t>
  </si>
  <si>
    <t>5008.96万</t>
  </si>
  <si>
    <t>3443.66万</t>
  </si>
  <si>
    <t>6.52亿</t>
  </si>
  <si>
    <t>3387.44万</t>
  </si>
  <si>
    <t>7032.58万</t>
  </si>
  <si>
    <t>14.96亿</t>
  </si>
  <si>
    <t>6.24亿</t>
  </si>
  <si>
    <t>180.14亿</t>
  </si>
  <si>
    <t>6.56亿</t>
  </si>
  <si>
    <t>10派4.5元(含税)</t>
  </si>
  <si>
    <t>7.93亿</t>
  </si>
  <si>
    <t>10.40亿</t>
  </si>
  <si>
    <t>38.36亿</t>
  </si>
  <si>
    <t>12.34亿</t>
  </si>
  <si>
    <t>48.89亿</t>
  </si>
  <si>
    <t>-4.24亿</t>
  </si>
  <si>
    <t>10派2.6元(含税)</t>
  </si>
  <si>
    <t>3607.99万</t>
  </si>
  <si>
    <t>105.14亿</t>
  </si>
  <si>
    <t>30.58亿</t>
  </si>
  <si>
    <t>44.32亿</t>
  </si>
  <si>
    <t>34.45亿</t>
  </si>
  <si>
    <t>11.26亿</t>
  </si>
  <si>
    <t>6.88亿</t>
  </si>
  <si>
    <t>5054.67万</t>
  </si>
  <si>
    <t>4.45亿</t>
  </si>
  <si>
    <t>6.63亿</t>
  </si>
  <si>
    <t>10转4股派3元(含税)</t>
  </si>
  <si>
    <t>37.78亿</t>
  </si>
  <si>
    <t>15.37亿</t>
  </si>
  <si>
    <t>方正科技</t>
  </si>
  <si>
    <t>3.96亿</t>
  </si>
  <si>
    <t>20.76亿</t>
  </si>
  <si>
    <t>26.24亿</t>
  </si>
  <si>
    <t>5.11亿</t>
  </si>
  <si>
    <t>-3-0</t>
  </si>
  <si>
    <t>26.29亿</t>
  </si>
  <si>
    <t>10.31亿</t>
  </si>
  <si>
    <t>4.54亿</t>
  </si>
  <si>
    <t>4.09亿</t>
  </si>
  <si>
    <t>11.64亿</t>
  </si>
  <si>
    <t>5.78亿</t>
  </si>
  <si>
    <t>5.55亿</t>
  </si>
  <si>
    <t>22.53亿</t>
  </si>
  <si>
    <t>7496.18万</t>
  </si>
  <si>
    <t>5133.03万</t>
  </si>
  <si>
    <t>4.91亿</t>
  </si>
  <si>
    <t>SZ301251</t>
  </si>
  <si>
    <t>6159.03万</t>
  </si>
  <si>
    <t>4902.24万</t>
  </si>
  <si>
    <t>1559.57万</t>
  </si>
  <si>
    <t>8.92亿</t>
  </si>
  <si>
    <t>4.85亿</t>
  </si>
  <si>
    <t>15.64亿</t>
  </si>
  <si>
    <t>16.19亿</t>
  </si>
  <si>
    <t>8.44亿</t>
  </si>
  <si>
    <t>7.26亿</t>
  </si>
  <si>
    <t>8.53亿</t>
  </si>
  <si>
    <t>4.77亿</t>
  </si>
  <si>
    <t>13.12亿</t>
  </si>
  <si>
    <t>11.36亿</t>
  </si>
  <si>
    <t>-3.11亿</t>
  </si>
  <si>
    <t>3.84亿</t>
  </si>
  <si>
    <t>6.87亿</t>
  </si>
  <si>
    <t>43.78亿</t>
  </si>
  <si>
    <t>13.31亿</t>
  </si>
  <si>
    <t>27.43亿</t>
  </si>
  <si>
    <t>-3-1</t>
  </si>
  <si>
    <t>3.45亿</t>
  </si>
  <si>
    <t>8.19亿</t>
  </si>
  <si>
    <t>-1.21亿</t>
  </si>
  <si>
    <t>16.77亿</t>
  </si>
  <si>
    <t>24.12亿</t>
  </si>
  <si>
    <t>-2.43亿</t>
  </si>
  <si>
    <t>5.68亿</t>
  </si>
  <si>
    <t>30.17亿</t>
  </si>
  <si>
    <t>6.57亿</t>
  </si>
  <si>
    <t>威尔高</t>
  </si>
  <si>
    <t>4.96亿</t>
  </si>
  <si>
    <t>26.00亿</t>
  </si>
  <si>
    <t>13.34亿</t>
  </si>
  <si>
    <t>9300.00万</t>
  </si>
  <si>
    <t>26.78亿</t>
  </si>
  <si>
    <t>57.27亿</t>
  </si>
  <si>
    <t>42.21亿</t>
  </si>
  <si>
    <t>21.16亿</t>
  </si>
  <si>
    <t>6.36亿</t>
  </si>
  <si>
    <t>13.88亿</t>
  </si>
  <si>
    <t>16.07亿</t>
  </si>
  <si>
    <t>1.2022 年，公司 IC 封装基板整体产能利用率有所下降，由 2021 年的 90%下降至 61%，主要受新增产能拖累以及行业需求大幅下滑导致；</t>
    <phoneticPr fontId="1" type="noConversion"/>
  </si>
  <si>
    <t>1.截至 2020年，中国国内芯片封测代工在全球占比已经超过 20%，但中国大陆的 IC 载板营业收入占全球市场的比例不到 4%；2.我们预计 2023-2025 年公司 IC 封装基板业务收入增速分别为131.64%/129.82%/26.17%，毛利率分别为 15.44%/22.95%/28.70%；</t>
    <phoneticPr fontId="1" type="noConversion"/>
  </si>
  <si>
    <t>1.主要还是多层的HDI板；</t>
    <phoneticPr fontId="1" type="noConversion"/>
  </si>
  <si>
    <t>-4-1</t>
  </si>
  <si>
    <t>SZ301566</t>
  </si>
  <si>
    <t>达利凯普</t>
  </si>
  <si>
    <t>8.55亿</t>
  </si>
  <si>
    <t>6.62亿</t>
  </si>
  <si>
    <t>-5-1</t>
  </si>
  <si>
    <t>&lt;-折合年化收益</t>
    <phoneticPr fontId="1" type="noConversion"/>
  </si>
  <si>
    <t>&lt;-增速</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</si>
  <si>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</si>
  <si>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</si>
  <si>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</si>
  <si>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</si>
  <si>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</si>
  <si>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&lt;-PEG</t>
    <phoneticPr fontId="1" type="noConversion"/>
  </si>
  <si>
    <t>-2-0</t>
  </si>
  <si>
    <t>1-0</t>
  </si>
  <si>
    <t>-1-0</t>
  </si>
  <si>
    <t>SZ001389</t>
  </si>
  <si>
    <t>广合科技</t>
  </si>
  <si>
    <t>5.27亿</t>
  </si>
  <si>
    <t>34.92亿</t>
  </si>
  <si>
    <t>1316128亿</t>
  </si>
  <si>
    <t>72550431亿</t>
  </si>
  <si>
    <t>1156870700亿</t>
  </si>
  <si>
    <t>7050225800亿</t>
  </si>
  <si>
    <t>10派0.5元(含税)</t>
  </si>
  <si>
    <t>32.71亿</t>
  </si>
  <si>
    <t>12.66亿</t>
  </si>
  <si>
    <t>54.57亿</t>
  </si>
  <si>
    <t>1743790亿</t>
  </si>
  <si>
    <t>14279784亿</t>
  </si>
  <si>
    <t>1379893300亿</t>
  </si>
  <si>
    <t>4694432800亿</t>
  </si>
  <si>
    <t>19.82亿</t>
  </si>
  <si>
    <t>150193470亿</t>
  </si>
  <si>
    <t>835767900亿</t>
  </si>
  <si>
    <t>2520886100亿</t>
  </si>
  <si>
    <t>6619.10万</t>
  </si>
  <si>
    <t>15.51亿</t>
  </si>
  <si>
    <t>2642.45万</t>
  </si>
  <si>
    <t>493778亿</t>
  </si>
  <si>
    <t>9862837亿</t>
  </si>
  <si>
    <t>321741540亿</t>
  </si>
  <si>
    <t>547068540亿</t>
  </si>
  <si>
    <t>60.29亿</t>
  </si>
  <si>
    <t>12.59亿</t>
  </si>
  <si>
    <t>-2945278亿</t>
  </si>
  <si>
    <t>157555540亿</t>
  </si>
  <si>
    <t>1885206400亿</t>
  </si>
  <si>
    <t>4529615900亿</t>
  </si>
  <si>
    <t>4349.14万</t>
  </si>
  <si>
    <t>-6659.56万</t>
  </si>
  <si>
    <t>85000亿</t>
  </si>
  <si>
    <t>-19003725亿</t>
  </si>
  <si>
    <t>49431212亿</t>
  </si>
  <si>
    <t>201297990亿</t>
  </si>
  <si>
    <t>17.26亿</t>
  </si>
  <si>
    <t>5725.05万</t>
  </si>
  <si>
    <t>-5.38亿</t>
  </si>
  <si>
    <t>-35762436亿</t>
  </si>
  <si>
    <t>57859761亿</t>
  </si>
  <si>
    <t>962081860亿</t>
  </si>
  <si>
    <t>5000.00万</t>
  </si>
  <si>
    <t>261.81亿</t>
  </si>
  <si>
    <t>77.45亿</t>
  </si>
  <si>
    <t>336.51亿</t>
  </si>
  <si>
    <t>19.65亿</t>
  </si>
  <si>
    <t>-2133536亿</t>
  </si>
  <si>
    <t>261306970亿</t>
  </si>
  <si>
    <t>5788954800亿</t>
  </si>
  <si>
    <t>23134073000亿</t>
  </si>
  <si>
    <t>86.28亿</t>
  </si>
  <si>
    <t>53.60亿</t>
  </si>
  <si>
    <t>2521767亿</t>
  </si>
  <si>
    <t>23926611亿</t>
  </si>
  <si>
    <t>1891625400亿</t>
  </si>
  <si>
    <t>5419154300亿</t>
  </si>
  <si>
    <t>61.98亿</t>
  </si>
  <si>
    <t>89.38亿</t>
  </si>
  <si>
    <t>-8670063亿</t>
  </si>
  <si>
    <t>496579420亿</t>
  </si>
  <si>
    <t>2428846800亿</t>
  </si>
  <si>
    <t>9574621800亿</t>
  </si>
  <si>
    <t>17.10亿</t>
  </si>
  <si>
    <t>10.51亿</t>
  </si>
  <si>
    <t>48.45亿</t>
  </si>
  <si>
    <t>7.07亿</t>
  </si>
  <si>
    <t>2514504亿</t>
  </si>
  <si>
    <t>128626924亿</t>
  </si>
  <si>
    <t>1506521300亿</t>
  </si>
  <si>
    <t>4437528600亿</t>
  </si>
  <si>
    <t>32.04亿</t>
  </si>
  <si>
    <t>30.42亿</t>
  </si>
  <si>
    <t>83172556亿</t>
  </si>
  <si>
    <t>81338329亿</t>
  </si>
  <si>
    <t>778083030亿</t>
  </si>
  <si>
    <t>2713842100亿</t>
  </si>
  <si>
    <t>5.95亿</t>
  </si>
  <si>
    <t>17.91亿</t>
  </si>
  <si>
    <t>7088.29万</t>
  </si>
  <si>
    <t>38.24亿</t>
  </si>
  <si>
    <t>-1.37亿</t>
  </si>
  <si>
    <t>-2158496亿</t>
  </si>
  <si>
    <t>-48600116亿</t>
  </si>
  <si>
    <t>845538400亿</t>
  </si>
  <si>
    <t>1906573400亿</t>
  </si>
  <si>
    <t>35.71亿</t>
  </si>
  <si>
    <t>-7881.28万</t>
  </si>
  <si>
    <t>1748608亿</t>
  </si>
  <si>
    <t>-23319382亿</t>
  </si>
  <si>
    <t>602605960亿</t>
  </si>
  <si>
    <t>3104213900亿</t>
  </si>
  <si>
    <t>10派0.6元(含税)</t>
  </si>
  <si>
    <t>14.01亿</t>
  </si>
  <si>
    <t>57.72亿</t>
  </si>
  <si>
    <t>2324416亿</t>
  </si>
  <si>
    <t>105290304亿</t>
  </si>
  <si>
    <t>1318748750亿</t>
  </si>
  <si>
    <t>5999293700亿</t>
  </si>
  <si>
    <t>11.86亿</t>
  </si>
  <si>
    <t>32.48亿</t>
  </si>
  <si>
    <t>9.77亿</t>
  </si>
  <si>
    <t>43.30亿</t>
  </si>
  <si>
    <t>3861887亿</t>
  </si>
  <si>
    <t>101331817亿</t>
  </si>
  <si>
    <t>1187328720亿</t>
  </si>
  <si>
    <t>3128411100亿</t>
  </si>
  <si>
    <t>11.19亿</t>
  </si>
  <si>
    <t>10派3.15元(含税)</t>
  </si>
  <si>
    <t>94.20亿</t>
  </si>
  <si>
    <t>39.61亿</t>
  </si>
  <si>
    <t>135.26亿</t>
  </si>
  <si>
    <t>13.98亿</t>
  </si>
  <si>
    <t>181108亿</t>
  </si>
  <si>
    <t>335516530亿</t>
  </si>
  <si>
    <t>3367044500亿</t>
  </si>
  <si>
    <t>9139027600亿</t>
  </si>
  <si>
    <t>16.41亿</t>
  </si>
  <si>
    <t>10派9元(含税)</t>
  </si>
  <si>
    <t>126.03亿</t>
  </si>
  <si>
    <t>320.66亿</t>
  </si>
  <si>
    <t>32.87亿</t>
  </si>
  <si>
    <t>-12764亿</t>
  </si>
  <si>
    <t>504088850亿</t>
  </si>
  <si>
    <t>3876525500亿</t>
  </si>
  <si>
    <t>19279329000亿</t>
  </si>
  <si>
    <t>386524亿</t>
  </si>
  <si>
    <t>53625479亿</t>
  </si>
  <si>
    <t>915154430亿</t>
  </si>
  <si>
    <t>3062113100亿</t>
  </si>
  <si>
    <t>35.88亿</t>
  </si>
  <si>
    <t>2953482亿</t>
  </si>
  <si>
    <t>378067510亿</t>
  </si>
  <si>
    <t>1600191200亿</t>
  </si>
  <si>
    <t>11588147900亿</t>
  </si>
  <si>
    <t>10派2.8元(含税)</t>
  </si>
  <si>
    <t>-1.62亿</t>
  </si>
  <si>
    <t>-97238亿</t>
  </si>
  <si>
    <t>-11120100亿</t>
  </si>
  <si>
    <t>238852110亿</t>
  </si>
  <si>
    <t>693907730亿</t>
  </si>
  <si>
    <t>97.58亿</t>
  </si>
  <si>
    <t>23.92亿</t>
  </si>
  <si>
    <t>79.31亿</t>
  </si>
  <si>
    <t>5855000亿</t>
  </si>
  <si>
    <t>206609430亿</t>
  </si>
  <si>
    <t>3191981600亿</t>
  </si>
  <si>
    <t>7068420400亿</t>
  </si>
  <si>
    <t>19.14亿</t>
  </si>
  <si>
    <t>41.38亿</t>
  </si>
  <si>
    <t>34.78亿</t>
  </si>
  <si>
    <t>-4.36亿</t>
  </si>
  <si>
    <t>-3704691亿</t>
  </si>
  <si>
    <t>15485376亿</t>
  </si>
  <si>
    <t>1704357100亿</t>
  </si>
  <si>
    <t>3046886800亿</t>
  </si>
  <si>
    <t>12.77亿</t>
  </si>
  <si>
    <t>10.93亿</t>
  </si>
  <si>
    <t>12.15亿</t>
  </si>
  <si>
    <t>2895737亿</t>
  </si>
  <si>
    <t>9631337亿</t>
  </si>
  <si>
    <t>309582410亿</t>
  </si>
  <si>
    <t>1631245900亿</t>
  </si>
  <si>
    <t>11.00亿</t>
  </si>
  <si>
    <t>2626.93万</t>
  </si>
  <si>
    <t>716600亿</t>
  </si>
  <si>
    <t>6580278亿</t>
  </si>
  <si>
    <t>289015430亿</t>
  </si>
  <si>
    <t>1413664900亿</t>
  </si>
  <si>
    <t>9858.39万</t>
  </si>
  <si>
    <t>11442845亿</t>
  </si>
  <si>
    <t>41978037亿</t>
  </si>
  <si>
    <t>276574310亿</t>
  </si>
  <si>
    <t>1592465700亿</t>
  </si>
  <si>
    <t>44.30亿</t>
  </si>
  <si>
    <t>29.62亿</t>
  </si>
  <si>
    <t>-1.59亿</t>
  </si>
  <si>
    <t>1468159亿</t>
  </si>
  <si>
    <t>-74948657亿</t>
  </si>
  <si>
    <t>1413338700亿</t>
  </si>
  <si>
    <t>3246278200亿</t>
  </si>
  <si>
    <t>6.05亿</t>
  </si>
  <si>
    <t>6669.26万</t>
  </si>
  <si>
    <t>5720.78万</t>
  </si>
  <si>
    <t>108884亿</t>
  </si>
  <si>
    <t>4596728亿</t>
  </si>
  <si>
    <t>117690996亿</t>
  </si>
  <si>
    <t>791707230亿</t>
  </si>
  <si>
    <t>482.69万</t>
  </si>
  <si>
    <t>2257820亿</t>
  </si>
  <si>
    <t>2595631亿</t>
  </si>
  <si>
    <t>128967219亿</t>
  </si>
  <si>
    <t>806923940亿</t>
  </si>
  <si>
    <t>4755.39万</t>
  </si>
  <si>
    <t>3963.77万</t>
  </si>
  <si>
    <t>449623亿</t>
  </si>
  <si>
    <t>3778373亿</t>
  </si>
  <si>
    <t>189697740亿</t>
  </si>
  <si>
    <t>604766680亿</t>
  </si>
  <si>
    <t>4006.06万</t>
  </si>
  <si>
    <t>12.17亿</t>
  </si>
  <si>
    <t>13808亿</t>
  </si>
  <si>
    <t>5749629亿</t>
  </si>
  <si>
    <t>329926040亿</t>
  </si>
  <si>
    <t>1471939100亿</t>
  </si>
  <si>
    <t>10派4.06元(含税)</t>
  </si>
  <si>
    <t>-3295.59万</t>
  </si>
  <si>
    <t>-2275176亿</t>
  </si>
  <si>
    <t>402635180亿</t>
  </si>
  <si>
    <t>1197353980亿</t>
  </si>
  <si>
    <t>8.23亿</t>
  </si>
  <si>
    <t>9016.44万</t>
  </si>
  <si>
    <t>957180亿</t>
  </si>
  <si>
    <t>15480677亿</t>
  </si>
  <si>
    <t>226619540亿</t>
  </si>
  <si>
    <t>1389071200亿</t>
  </si>
  <si>
    <t>8780.20万</t>
  </si>
  <si>
    <t>10派1.34元(含税)</t>
  </si>
  <si>
    <t>4240.95万</t>
  </si>
  <si>
    <t>545880亿</t>
  </si>
  <si>
    <t>2476283亿</t>
  </si>
  <si>
    <t>598128510亿</t>
  </si>
  <si>
    <t>1515495800亿</t>
  </si>
  <si>
    <t>9884.10万</t>
  </si>
  <si>
    <t>1816242亿</t>
  </si>
  <si>
    <t>10948951亿</t>
  </si>
  <si>
    <t>168062790亿</t>
  </si>
  <si>
    <t>1656059200亿</t>
  </si>
  <si>
    <t>8046.97万</t>
  </si>
  <si>
    <t>28548266亿</t>
  </si>
  <si>
    <t>90120559亿</t>
  </si>
  <si>
    <t>1133642500亿</t>
  </si>
  <si>
    <t>5000.34万</t>
  </si>
  <si>
    <t>4906.96万</t>
  </si>
  <si>
    <t>4241.82万</t>
  </si>
  <si>
    <t>5693.28万</t>
  </si>
  <si>
    <t>92.56亿</t>
  </si>
  <si>
    <t>44.23亿</t>
  </si>
  <si>
    <t>165.86亿</t>
  </si>
  <si>
    <t>9825201亿</t>
  </si>
  <si>
    <t>385974910亿</t>
  </si>
  <si>
    <t>5710633400亿</t>
  </si>
  <si>
    <t>13957674000亿</t>
  </si>
  <si>
    <t>8674.58万</t>
  </si>
  <si>
    <t>794125亿</t>
  </si>
  <si>
    <t>23618088亿</t>
  </si>
  <si>
    <t>320425610亿</t>
  </si>
  <si>
    <t>1565930200亿</t>
  </si>
  <si>
    <t>-3.74亿</t>
  </si>
  <si>
    <t>7395.27万</t>
  </si>
  <si>
    <t>38.80亿</t>
  </si>
  <si>
    <t>10.24亿</t>
  </si>
  <si>
    <t>9964302亿</t>
  </si>
  <si>
    <t>203175580亿</t>
  </si>
  <si>
    <t>1200191650亿</t>
  </si>
  <si>
    <t>3738919300亿</t>
  </si>
  <si>
    <t>10派20元(含税)</t>
  </si>
  <si>
    <t>18.36亿</t>
  </si>
  <si>
    <t>7.69亿</t>
  </si>
  <si>
    <t>31.49亿</t>
  </si>
  <si>
    <t>679335亿</t>
  </si>
  <si>
    <t>45593615亿</t>
  </si>
  <si>
    <t>773258340亿</t>
  </si>
  <si>
    <t>2492296000亿</t>
  </si>
  <si>
    <t>42.26亿</t>
  </si>
  <si>
    <t>33.62亿</t>
  </si>
  <si>
    <t>-989767亿</t>
  </si>
  <si>
    <t>633760亿</t>
  </si>
  <si>
    <t>1342017200亿</t>
  </si>
  <si>
    <t>2859559200亿</t>
  </si>
  <si>
    <t>10.63亿</t>
  </si>
  <si>
    <t>82.61亿</t>
  </si>
  <si>
    <t>107.57亿</t>
  </si>
  <si>
    <t>9.36亿</t>
  </si>
  <si>
    <t>-1705133亿</t>
  </si>
  <si>
    <t>281267290亿</t>
  </si>
  <si>
    <t>3401275500亿</t>
  </si>
  <si>
    <t>8826864400亿</t>
  </si>
  <si>
    <t>31.77亿</t>
  </si>
  <si>
    <t>10397961亿</t>
  </si>
  <si>
    <t>98512464亿</t>
  </si>
  <si>
    <t>1020863880亿</t>
  </si>
  <si>
    <t>2410590100亿</t>
  </si>
  <si>
    <t>10派1.94元(含税)</t>
  </si>
  <si>
    <t>24.27亿</t>
  </si>
  <si>
    <t>6855.47万</t>
  </si>
  <si>
    <t>-19405223亿</t>
  </si>
  <si>
    <t>528871320亿</t>
  </si>
  <si>
    <t>1140648240亿</t>
  </si>
  <si>
    <t>10派0.86元(含税)</t>
  </si>
  <si>
    <t>-534027亿</t>
  </si>
  <si>
    <t>19445217亿</t>
  </si>
  <si>
    <t>197756150亿</t>
  </si>
  <si>
    <t>1032127430亿</t>
  </si>
  <si>
    <t>10派0.81元(含税)</t>
  </si>
  <si>
    <t>45.19亿</t>
  </si>
  <si>
    <t>1240498亿</t>
  </si>
  <si>
    <t>108465228亿</t>
  </si>
  <si>
    <t>1274746200亿</t>
  </si>
  <si>
    <t>5768719200亿</t>
  </si>
  <si>
    <t>7100.00万</t>
  </si>
  <si>
    <t>-2.94亿</t>
  </si>
  <si>
    <t>34.07亿</t>
  </si>
  <si>
    <t>7.19亿</t>
  </si>
  <si>
    <t>29.13亿</t>
  </si>
  <si>
    <t>-5.66亿</t>
  </si>
  <si>
    <t>418182亿</t>
  </si>
  <si>
    <t>11863293亿</t>
  </si>
  <si>
    <t>1150847890亿</t>
  </si>
  <si>
    <t>3309028000亿</t>
  </si>
  <si>
    <t>28.98亿</t>
  </si>
  <si>
    <t>8093.85万</t>
  </si>
  <si>
    <t>19.66亿</t>
  </si>
  <si>
    <t>33.79亿</t>
  </si>
  <si>
    <t>3201658亿</t>
  </si>
  <si>
    <t>22210121亿</t>
  </si>
  <si>
    <t>1126073370亿</t>
  </si>
  <si>
    <t>3812772300亿</t>
  </si>
  <si>
    <t>10派2.65元(含税)</t>
  </si>
  <si>
    <t>1086819亿</t>
  </si>
  <si>
    <t>28050780亿</t>
  </si>
  <si>
    <t>302967820亿</t>
  </si>
  <si>
    <t>1683365200亿</t>
  </si>
  <si>
    <t>3732.16万</t>
  </si>
  <si>
    <t>736210亿</t>
  </si>
  <si>
    <t>10951506亿</t>
  </si>
  <si>
    <t>262725640亿</t>
  </si>
  <si>
    <t>857964070亿</t>
  </si>
  <si>
    <t>4.51亿</t>
  </si>
  <si>
    <t>7.43亿</t>
  </si>
  <si>
    <t>23.57亿</t>
  </si>
  <si>
    <t>32.73亿</t>
  </si>
  <si>
    <t>-2499.36万</t>
  </si>
  <si>
    <t>24269037亿</t>
  </si>
  <si>
    <t>1038136600亿</t>
  </si>
  <si>
    <t>2162513900亿</t>
  </si>
  <si>
    <t>20.47亿</t>
  </si>
  <si>
    <t>29.83亿</t>
  </si>
  <si>
    <t>982.8亿</t>
  </si>
  <si>
    <t>8292200亿</t>
  </si>
  <si>
    <t>1006576280亿</t>
  </si>
  <si>
    <t>2628419600亿</t>
  </si>
  <si>
    <t>4497.00万</t>
  </si>
  <si>
    <t>1346.97万</t>
  </si>
  <si>
    <t>298226亿</t>
  </si>
  <si>
    <t>-3169828亿</t>
  </si>
  <si>
    <t>124022112亿</t>
  </si>
  <si>
    <t>420852230亿</t>
  </si>
  <si>
    <t>4153.36万</t>
  </si>
  <si>
    <t>4651.44万</t>
  </si>
  <si>
    <t>*ST超华</t>
  </si>
  <si>
    <t>2-1</t>
  </si>
  <si>
    <t>1-1</t>
  </si>
  <si>
    <t>协和电子</t>
  </si>
  <si>
    <t>1105.11万</t>
  </si>
  <si>
    <t>元件</t>
  </si>
  <si>
    <t>121.23亿</t>
  </si>
  <si>
    <t>7291.50万</t>
  </si>
  <si>
    <t>9.95亿</t>
  </si>
  <si>
    <t>8.80亿</t>
  </si>
  <si>
    <t>1927.56万</t>
  </si>
  <si>
    <t>7167.31万</t>
  </si>
  <si>
    <t>8.19万</t>
  </si>
  <si>
    <t>43.14亿</t>
  </si>
  <si>
    <t>4.42亿</t>
  </si>
  <si>
    <t>100.07万</t>
  </si>
  <si>
    <t>6.85亿</t>
  </si>
  <si>
    <t>26.39亿</t>
  </si>
  <si>
    <t>8583.62万</t>
  </si>
  <si>
    <t>-2541.47万</t>
  </si>
  <si>
    <t>-3821.66万</t>
  </si>
  <si>
    <t>8506.77万</t>
  </si>
  <si>
    <t>7075.84万</t>
  </si>
  <si>
    <t>072915000</t>
  </si>
  <si>
    <t>0218745000</t>
  </si>
  <si>
    <t>0437490000</t>
  </si>
  <si>
    <t>0729150000</t>
  </si>
  <si>
    <t>01458300000</t>
  </si>
  <si>
    <t>1497.20万</t>
  </si>
  <si>
    <t>52.02亿</t>
  </si>
  <si>
    <t>1724.29万</t>
  </si>
  <si>
    <t>12.47亿</t>
  </si>
  <si>
    <t>3196.49万</t>
  </si>
  <si>
    <t>7403.51万</t>
  </si>
  <si>
    <t>140.10万</t>
  </si>
  <si>
    <t>17.11亿</t>
  </si>
  <si>
    <t>7.68亿</t>
  </si>
  <si>
    <t>17.47亿</t>
  </si>
  <si>
    <t>5.66亿</t>
  </si>
  <si>
    <t>-3.17亿</t>
  </si>
  <si>
    <t>-6012.69万</t>
  </si>
  <si>
    <t>6827.31万</t>
  </si>
  <si>
    <t>8566.48万</t>
  </si>
  <si>
    <t>5.77亿</t>
  </si>
  <si>
    <t>017242900</t>
  </si>
  <si>
    <t>051728700</t>
  </si>
  <si>
    <t>0103457400</t>
  </si>
  <si>
    <t>0172429000</t>
  </si>
  <si>
    <t>0344858000</t>
  </si>
  <si>
    <t>446.65万</t>
  </si>
  <si>
    <t>26.30亿</t>
  </si>
  <si>
    <t>5.94亿</t>
  </si>
  <si>
    <t>5.14亿</t>
  </si>
  <si>
    <t>2145.56万</t>
  </si>
  <si>
    <t>2953.04万</t>
  </si>
  <si>
    <t>3475.87万</t>
  </si>
  <si>
    <t>4400.00万</t>
  </si>
  <si>
    <t>3.42亿</t>
  </si>
  <si>
    <t>6.80亿</t>
  </si>
  <si>
    <t>2.85亿</t>
  </si>
  <si>
    <t>-1.36亿</t>
  </si>
  <si>
    <t>7.17亿</t>
  </si>
  <si>
    <t>11.72亿</t>
  </si>
  <si>
    <t>1.58亿</t>
  </si>
  <si>
    <t>2304.37万</t>
  </si>
  <si>
    <t>1.65亿</t>
  </si>
  <si>
    <t>18-1</t>
  </si>
  <si>
    <t>1638.33万</t>
  </si>
  <si>
    <t>7.45亿</t>
  </si>
  <si>
    <t>996.82万</t>
  </si>
  <si>
    <t>2.33亿</t>
  </si>
  <si>
    <t>599.26万</t>
  </si>
  <si>
    <t>1333.94万</t>
  </si>
  <si>
    <t>5800.29万</t>
  </si>
  <si>
    <t>734.07万</t>
  </si>
  <si>
    <t>2831.24万</t>
  </si>
  <si>
    <t>9388.67万</t>
  </si>
  <si>
    <t>-2301.22万</t>
  </si>
  <si>
    <t>-9320.48万</t>
  </si>
  <si>
    <t>2665.55万</t>
  </si>
  <si>
    <t>1620.14万</t>
  </si>
  <si>
    <t>4.84亿</t>
  </si>
  <si>
    <t>09968200</t>
  </si>
  <si>
    <t>029904600</t>
  </si>
  <si>
    <t>059809200</t>
  </si>
  <si>
    <t>099682000</t>
  </si>
  <si>
    <t>0199364000</t>
  </si>
  <si>
    <t>1346.99万</t>
  </si>
  <si>
    <t>64.73亿</t>
  </si>
  <si>
    <t>10.38亿</t>
  </si>
  <si>
    <t>7.94亿</t>
  </si>
  <si>
    <t>2571.78万</t>
  </si>
  <si>
    <t>6968.09万</t>
  </si>
  <si>
    <t>3.76万</t>
  </si>
  <si>
    <t>6395.72万</t>
  </si>
  <si>
    <t>9.07亿</t>
  </si>
  <si>
    <t>8.78亿</t>
  </si>
  <si>
    <t>2.58亿</t>
  </si>
  <si>
    <t>29.68亿</t>
  </si>
  <si>
    <t>25.21亿</t>
  </si>
  <si>
    <t>-2.34亿</t>
  </si>
  <si>
    <t>-1.90亿</t>
  </si>
  <si>
    <t>23.32亿</t>
  </si>
  <si>
    <t>7107.66万</t>
  </si>
  <si>
    <t>0170000000</t>
  </si>
  <si>
    <t>0510000000</t>
  </si>
  <si>
    <t>01020000000</t>
  </si>
  <si>
    <t>01700000000</t>
  </si>
  <si>
    <t>03400000000</t>
  </si>
  <si>
    <t>2065.98万</t>
  </si>
  <si>
    <t>2.84亿</t>
  </si>
  <si>
    <t>-1776.30万</t>
  </si>
  <si>
    <t>5368.88万</t>
  </si>
  <si>
    <t>4173.00万</t>
  </si>
  <si>
    <t>101.73万</t>
  </si>
  <si>
    <t>732.69万</t>
  </si>
  <si>
    <t>5503.70万</t>
  </si>
  <si>
    <t>1321.17万</t>
  </si>
  <si>
    <t>1503.75万</t>
  </si>
  <si>
    <t>4003.94万</t>
  </si>
  <si>
    <t>7233.82万</t>
  </si>
  <si>
    <t>5278.00万</t>
  </si>
  <si>
    <t>205.02万</t>
  </si>
  <si>
    <t>-8.21万</t>
  </si>
  <si>
    <t>-360.54万</t>
  </si>
  <si>
    <t>8721.12万</t>
  </si>
  <si>
    <t>-2545.88万</t>
  </si>
  <si>
    <t>7.55亿</t>
  </si>
  <si>
    <t>-2235.09万</t>
  </si>
  <si>
    <t>7768.78万</t>
  </si>
  <si>
    <t>132.64万</t>
  </si>
  <si>
    <t>1159.53万</t>
  </si>
  <si>
    <t>6.31万</t>
  </si>
  <si>
    <t>2232.71万</t>
  </si>
  <si>
    <t>494.14万</t>
  </si>
  <si>
    <t>5621.77万</t>
  </si>
  <si>
    <t>14.86亿</t>
  </si>
  <si>
    <t>787.59万</t>
  </si>
  <si>
    <t>-262.23万</t>
  </si>
  <si>
    <t>6.35亿</t>
  </si>
  <si>
    <t>922.76万</t>
  </si>
  <si>
    <t>1239.65万</t>
  </si>
  <si>
    <t>-10-1</t>
  </si>
  <si>
    <t>9026.77万</t>
  </si>
  <si>
    <t>184.21亿</t>
  </si>
  <si>
    <t>2.89亿</t>
  </si>
  <si>
    <t>73.12亿</t>
  </si>
  <si>
    <t>66.91亿</t>
  </si>
  <si>
    <t>7462.84万</t>
  </si>
  <si>
    <t>2.63亿</t>
  </si>
  <si>
    <t>193.78万</t>
  </si>
  <si>
    <t>95.77亿</t>
  </si>
  <si>
    <t>2521.04万</t>
  </si>
  <si>
    <t>17.76亿</t>
  </si>
  <si>
    <t>62.65亿</t>
  </si>
  <si>
    <t>10.14亿</t>
  </si>
  <si>
    <t>72.86亿</t>
  </si>
  <si>
    <t>183.47亿</t>
  </si>
  <si>
    <t>51.86亿</t>
  </si>
  <si>
    <t>15.58亿</t>
  </si>
  <si>
    <t>-10.76亿</t>
  </si>
  <si>
    <t>14.77亿</t>
  </si>
  <si>
    <t>136.67亿</t>
  </si>
  <si>
    <t>8.25亿</t>
  </si>
  <si>
    <t>21.88亿</t>
  </si>
  <si>
    <t>0289000000</t>
  </si>
  <si>
    <t>0867000000</t>
  </si>
  <si>
    <t>01734000000</t>
  </si>
  <si>
    <t>02890000000</t>
  </si>
  <si>
    <t>05780000000</t>
  </si>
  <si>
    <t>2561.89万</t>
  </si>
  <si>
    <t>61.71亿</t>
  </si>
  <si>
    <t>2482.27万</t>
  </si>
  <si>
    <t>11.51亿</t>
  </si>
  <si>
    <t>4530.57万</t>
  </si>
  <si>
    <t>113.71万</t>
  </si>
  <si>
    <t>16.92亿</t>
  </si>
  <si>
    <t>16.79亿</t>
  </si>
  <si>
    <t>2.90亿</t>
  </si>
  <si>
    <t>3.06亿</t>
  </si>
  <si>
    <t>14.70亿</t>
  </si>
  <si>
    <t>34.37亿</t>
  </si>
  <si>
    <t>33.34亿</t>
  </si>
  <si>
    <t>7361.36万</t>
  </si>
  <si>
    <t>-3.62亿</t>
  </si>
  <si>
    <t>-2.04亿</t>
  </si>
  <si>
    <t>25.66亿</t>
  </si>
  <si>
    <t>1805.79万</t>
  </si>
  <si>
    <t>024822700</t>
  </si>
  <si>
    <t>074468100</t>
  </si>
  <si>
    <t>0148936200</t>
  </si>
  <si>
    <t>0248227000</t>
  </si>
  <si>
    <t>0496454000</t>
  </si>
  <si>
    <t>3518.81万</t>
  </si>
  <si>
    <t>103.99亿</t>
  </si>
  <si>
    <t>5.15亿</t>
  </si>
  <si>
    <t>19.79亿</t>
  </si>
  <si>
    <t>17.09亿</t>
  </si>
  <si>
    <t>8771.61万</t>
  </si>
  <si>
    <t>5695.07万</t>
  </si>
  <si>
    <t>41.97万</t>
  </si>
  <si>
    <t>38.27亿</t>
  </si>
  <si>
    <t>39.51万</t>
  </si>
  <si>
    <t>6.18亿</t>
  </si>
  <si>
    <t>22.47亿</t>
  </si>
  <si>
    <t>64.00亿</t>
  </si>
  <si>
    <t>-3629.16万</t>
  </si>
  <si>
    <t>8.40亿</t>
  </si>
  <si>
    <t>37.63亿</t>
  </si>
  <si>
    <t>4.93亿</t>
  </si>
  <si>
    <t>11.48亿</t>
  </si>
  <si>
    <t>0515000000</t>
  </si>
  <si>
    <t>01545000000</t>
  </si>
  <si>
    <t>03090000000</t>
  </si>
  <si>
    <t>05150000000</t>
  </si>
  <si>
    <t>010300000000</t>
  </si>
  <si>
    <t>733.64万</t>
  </si>
  <si>
    <t>56.47亿</t>
  </si>
  <si>
    <t>1.37亿</t>
  </si>
  <si>
    <t>1927.27万</t>
  </si>
  <si>
    <t>3841.65万</t>
  </si>
  <si>
    <t>38.50万</t>
  </si>
  <si>
    <t>10.30亿</t>
  </si>
  <si>
    <t>3.64亿</t>
  </si>
  <si>
    <t>2.57亿</t>
  </si>
  <si>
    <t>8.77亿</t>
  </si>
  <si>
    <t>14.61亿</t>
  </si>
  <si>
    <t>-5656.21万</t>
  </si>
  <si>
    <t>-3746.89万</t>
  </si>
  <si>
    <t>24.73亿</t>
  </si>
  <si>
    <t>5061.96万</t>
  </si>
  <si>
    <t>1514.00万</t>
  </si>
  <si>
    <t>21.77亿</t>
  </si>
  <si>
    <t>8247.17万</t>
  </si>
  <si>
    <t>542.30万</t>
  </si>
  <si>
    <t>3606.82万</t>
  </si>
  <si>
    <t>83.30万</t>
  </si>
  <si>
    <t>7.25亿</t>
  </si>
  <si>
    <t>3.61亿</t>
  </si>
  <si>
    <t>8790.26万</t>
  </si>
  <si>
    <t>10.92亿</t>
  </si>
  <si>
    <t>3.25亿</t>
  </si>
  <si>
    <t>21.90亿</t>
  </si>
  <si>
    <t>4.86亿</t>
  </si>
  <si>
    <t>12.56亿</t>
  </si>
  <si>
    <t>6724.91万</t>
  </si>
  <si>
    <t>5821.75万</t>
  </si>
  <si>
    <t>1453.21万</t>
  </si>
  <si>
    <t>26.48亿</t>
  </si>
  <si>
    <t>-4852.64万</t>
  </si>
  <si>
    <t>7.11亿</t>
  </si>
  <si>
    <t>6.00亿</t>
  </si>
  <si>
    <t>1489.84万</t>
  </si>
  <si>
    <t>3636.32万</t>
  </si>
  <si>
    <t>5.28万</t>
  </si>
  <si>
    <t>6.93亿</t>
  </si>
  <si>
    <t>6.51亿</t>
  </si>
  <si>
    <t>7.29亿</t>
  </si>
  <si>
    <t>24.79亿</t>
  </si>
  <si>
    <t>11.04亿</t>
  </si>
  <si>
    <t>4082.51万</t>
  </si>
  <si>
    <t>-3603.43万</t>
  </si>
  <si>
    <t>-7321.80万</t>
  </si>
  <si>
    <t>12.89亿</t>
  </si>
  <si>
    <t>-8918.32万</t>
  </si>
  <si>
    <t>7451.70万</t>
  </si>
  <si>
    <t>581.23万</t>
  </si>
  <si>
    <t>35.32亿</t>
  </si>
  <si>
    <t>-2081.98万</t>
  </si>
  <si>
    <t>7.73亿</t>
  </si>
  <si>
    <t>2608.77万</t>
  </si>
  <si>
    <t>3207.23万</t>
  </si>
  <si>
    <t>6.13万</t>
  </si>
  <si>
    <t>11.43亿</t>
  </si>
  <si>
    <t>1768.29万</t>
  </si>
  <si>
    <t>4073.21万</t>
  </si>
  <si>
    <t>4500.00万</t>
  </si>
  <si>
    <t>14.76亿</t>
  </si>
  <si>
    <t>6.20亿</t>
  </si>
  <si>
    <t>-4578.03万</t>
  </si>
  <si>
    <t>4466.79万</t>
  </si>
  <si>
    <t>17.16亿</t>
  </si>
  <si>
    <t>1134.60万</t>
  </si>
  <si>
    <t>3333.53万</t>
  </si>
  <si>
    <t>2941.58万</t>
  </si>
  <si>
    <t>76.77亿</t>
  </si>
  <si>
    <t>12.58亿</t>
  </si>
  <si>
    <t>10.39亿</t>
  </si>
  <si>
    <t>4089.24万</t>
  </si>
  <si>
    <t>8630.09万</t>
  </si>
  <si>
    <t>232.46万</t>
  </si>
  <si>
    <t>12.21亿</t>
  </si>
  <si>
    <t>25.68亿</t>
  </si>
  <si>
    <t>3.82亿</t>
  </si>
  <si>
    <t>604.93万</t>
  </si>
  <si>
    <t>28.80亿</t>
  </si>
  <si>
    <t>0119000000</t>
  </si>
  <si>
    <t>0357000000</t>
  </si>
  <si>
    <t>0714000000</t>
  </si>
  <si>
    <t>01190000000</t>
  </si>
  <si>
    <t>02380000000</t>
  </si>
  <si>
    <t>796.64万</t>
  </si>
  <si>
    <t>42.23亿</t>
  </si>
  <si>
    <t>8.54亿</t>
  </si>
  <si>
    <t>2773.15万</t>
  </si>
  <si>
    <t>5135.70万</t>
  </si>
  <si>
    <t>305.45万</t>
  </si>
  <si>
    <t>6.15亿</t>
  </si>
  <si>
    <t>22.74亿</t>
  </si>
  <si>
    <t>7480.21万</t>
  </si>
  <si>
    <t>-1.13亿</t>
  </si>
  <si>
    <t>6305.22万</t>
  </si>
  <si>
    <t>20.42亿</t>
  </si>
  <si>
    <t>4188.03万</t>
  </si>
  <si>
    <t>408.56万</t>
  </si>
  <si>
    <t>135.66亿</t>
  </si>
  <si>
    <t>35.31亿</t>
  </si>
  <si>
    <t>29.63亿</t>
  </si>
  <si>
    <t>6900.99万</t>
  </si>
  <si>
    <t>27.77万</t>
  </si>
  <si>
    <t>21.93亿</t>
  </si>
  <si>
    <t>119.05万</t>
  </si>
  <si>
    <t>66.55亿</t>
  </si>
  <si>
    <t>25.00亿</t>
  </si>
  <si>
    <t>5.63亿</t>
  </si>
  <si>
    <t>-6.53亿</t>
  </si>
  <si>
    <t>8185.18万</t>
  </si>
  <si>
    <t>60.34亿</t>
  </si>
  <si>
    <t>4.74亿</t>
  </si>
  <si>
    <t>1952.99万</t>
  </si>
  <si>
    <t>0380000000</t>
  </si>
  <si>
    <t>01140000000</t>
  </si>
  <si>
    <t>02280000000</t>
  </si>
  <si>
    <t>03800000000</t>
  </si>
  <si>
    <t>07600000000</t>
  </si>
  <si>
    <t>1947.01万</t>
  </si>
  <si>
    <t>301.30亿</t>
  </si>
  <si>
    <t>4.97亿</t>
  </si>
  <si>
    <t>60.49亿</t>
  </si>
  <si>
    <t>53.24亿</t>
  </si>
  <si>
    <t>4171.13万</t>
  </si>
  <si>
    <t>62.49万</t>
  </si>
  <si>
    <t>117.93亿</t>
  </si>
  <si>
    <t>3365.06万</t>
  </si>
  <si>
    <t>23.48亿</t>
  </si>
  <si>
    <t>32.83亿</t>
  </si>
  <si>
    <t>34.69亿</t>
  </si>
  <si>
    <t>92.45亿</t>
  </si>
  <si>
    <t>19.91亿</t>
  </si>
  <si>
    <t>-8.53亿</t>
  </si>
  <si>
    <t>-6.45亿</t>
  </si>
  <si>
    <t>115.35亿</t>
  </si>
  <si>
    <t>8.12亿</t>
  </si>
  <si>
    <t>7.49亿</t>
  </si>
  <si>
    <t>0497000000</t>
  </si>
  <si>
    <t>01491000000</t>
  </si>
  <si>
    <t>02982000000</t>
  </si>
  <si>
    <t>04970000000</t>
  </si>
  <si>
    <t>09940000000</t>
  </si>
  <si>
    <t>6787.40万</t>
  </si>
  <si>
    <t>43.67亿</t>
  </si>
  <si>
    <t>6204.53万</t>
  </si>
  <si>
    <t>6.07亿</t>
  </si>
  <si>
    <t>5.49亿</t>
  </si>
  <si>
    <t>827.68万</t>
  </si>
  <si>
    <t>2330.21万</t>
  </si>
  <si>
    <t>24.96万</t>
  </si>
  <si>
    <t>5.20亿</t>
  </si>
  <si>
    <t>9963.15万</t>
  </si>
  <si>
    <t>8503.42万</t>
  </si>
  <si>
    <t>4.32亿</t>
  </si>
  <si>
    <t>118.52万</t>
  </si>
  <si>
    <t>1513.02万</t>
  </si>
  <si>
    <t>-2947.85万</t>
  </si>
  <si>
    <t>3002.24万</t>
  </si>
  <si>
    <t>14.09亿</t>
  </si>
  <si>
    <t>10派0.937485元(含税)</t>
  </si>
  <si>
    <t>3.36亿</t>
  </si>
  <si>
    <t>13.59亿</t>
  </si>
  <si>
    <t>062045300</t>
  </si>
  <si>
    <t>0186135900</t>
  </si>
  <si>
    <t>0372271800</t>
  </si>
  <si>
    <t>0620453000</t>
  </si>
  <si>
    <t>01240906000</t>
  </si>
  <si>
    <t>665.58万</t>
  </si>
  <si>
    <t>186.44亿</t>
  </si>
  <si>
    <t>11.34亿</t>
  </si>
  <si>
    <t>1659.16万</t>
  </si>
  <si>
    <t>7998.94万</t>
  </si>
  <si>
    <t>250.39万</t>
  </si>
  <si>
    <t>51.25亿</t>
  </si>
  <si>
    <t>9.65亿</t>
  </si>
  <si>
    <t>8.79亿</t>
  </si>
  <si>
    <t>7.63亿</t>
  </si>
  <si>
    <t>23.65亿</t>
  </si>
  <si>
    <t>15.29亿</t>
  </si>
  <si>
    <t>7.31亿</t>
  </si>
  <si>
    <t>3977.31万</t>
  </si>
  <si>
    <t>0433000000</t>
  </si>
  <si>
    <t>01299000000</t>
  </si>
  <si>
    <t>02598000000</t>
  </si>
  <si>
    <t>04330000000</t>
  </si>
  <si>
    <t>08660000000</t>
  </si>
  <si>
    <t>664.80万</t>
  </si>
  <si>
    <t>8.81亿</t>
  </si>
  <si>
    <t>-919.66万</t>
  </si>
  <si>
    <t>521.67万</t>
  </si>
  <si>
    <t>1398.08万</t>
  </si>
  <si>
    <t>2.03万</t>
  </si>
  <si>
    <t>5956.54万</t>
  </si>
  <si>
    <t>966.29万</t>
  </si>
  <si>
    <t>3791.44万</t>
  </si>
  <si>
    <t>6389.00万</t>
  </si>
  <si>
    <t>567.73万</t>
  </si>
  <si>
    <t>-1298.72万</t>
  </si>
  <si>
    <t>-1106.37万</t>
  </si>
  <si>
    <t>-3344.57万</t>
  </si>
  <si>
    <t>4583.11万</t>
  </si>
  <si>
    <t>4.65亿</t>
  </si>
  <si>
    <t>-6-1</t>
  </si>
  <si>
    <t>3272.97万</t>
  </si>
  <si>
    <t>77.77亿</t>
  </si>
  <si>
    <t>21.85亿</t>
  </si>
  <si>
    <t>19.25亿</t>
  </si>
  <si>
    <t>4421.54万</t>
  </si>
  <si>
    <t>9637.82万</t>
  </si>
  <si>
    <t>63.83万</t>
  </si>
  <si>
    <t>18.25亿</t>
  </si>
  <si>
    <t>24.56亿</t>
  </si>
  <si>
    <t>19.84亿</t>
  </si>
  <si>
    <t>17.49亿</t>
  </si>
  <si>
    <t>71.03亿</t>
  </si>
  <si>
    <t>17.71亿</t>
  </si>
  <si>
    <t>-2.03亿</t>
  </si>
  <si>
    <t>-8366.26万</t>
  </si>
  <si>
    <t>36.70亿</t>
  </si>
  <si>
    <t>10.79亿</t>
  </si>
  <si>
    <t>5-1</t>
  </si>
  <si>
    <t>819.39万</t>
  </si>
  <si>
    <t>16.25亿</t>
  </si>
  <si>
    <t>2810.16万</t>
  </si>
  <si>
    <t>14.56亿</t>
  </si>
  <si>
    <t>1348.68万</t>
  </si>
  <si>
    <t>3332.79万</t>
  </si>
  <si>
    <t>25.98万</t>
  </si>
  <si>
    <t>6.53亿</t>
  </si>
  <si>
    <t>235.69万</t>
  </si>
  <si>
    <t>5245.79万</t>
  </si>
  <si>
    <t>3.23亿</t>
  </si>
  <si>
    <t>16.29亿</t>
  </si>
  <si>
    <t>32.90亿</t>
  </si>
  <si>
    <t>-1.55亿</t>
  </si>
  <si>
    <t>-2026.63万</t>
  </si>
  <si>
    <t>-5175.44万</t>
  </si>
  <si>
    <t>14.79亿</t>
  </si>
  <si>
    <t>-1.81亿</t>
  </si>
  <si>
    <t>3647.77万</t>
  </si>
  <si>
    <t>028101600</t>
  </si>
  <si>
    <t>084304800</t>
  </si>
  <si>
    <t>0168609600</t>
  </si>
  <si>
    <t>0281016000</t>
  </si>
  <si>
    <t>0562032000</t>
  </si>
  <si>
    <t>1126.60万</t>
  </si>
  <si>
    <t>19.21亿</t>
  </si>
  <si>
    <t>879.12万</t>
  </si>
  <si>
    <t>3.58亿</t>
  </si>
  <si>
    <t>2.87亿</t>
  </si>
  <si>
    <t>1508.13万</t>
  </si>
  <si>
    <t>2811.65万</t>
  </si>
  <si>
    <t>16.83万</t>
  </si>
  <si>
    <t>30.00万</t>
  </si>
  <si>
    <t>4.78亿</t>
  </si>
  <si>
    <t>5381.28万</t>
  </si>
  <si>
    <t>4.53亿</t>
  </si>
  <si>
    <t>4587.92万</t>
  </si>
  <si>
    <t>1209.71万</t>
  </si>
  <si>
    <t>-311.54万</t>
  </si>
  <si>
    <t>8.28亿</t>
  </si>
  <si>
    <t>5984.43万</t>
  </si>
  <si>
    <t>6496.56万</t>
  </si>
  <si>
    <t>08791200</t>
  </si>
  <si>
    <t>026373600</t>
  </si>
  <si>
    <t>052747200</t>
  </si>
  <si>
    <t>087912000</t>
  </si>
  <si>
    <t>0175824000</t>
  </si>
  <si>
    <t>408.57万</t>
  </si>
  <si>
    <t>11.71亿</t>
  </si>
  <si>
    <t>1140.20万</t>
  </si>
  <si>
    <t>505.76万</t>
  </si>
  <si>
    <t>868.30万</t>
  </si>
  <si>
    <t>2.21亿</t>
  </si>
  <si>
    <t>5603.59万</t>
  </si>
  <si>
    <t>6530.72万</t>
  </si>
  <si>
    <t>5.30亿</t>
  </si>
  <si>
    <t>2516.74万</t>
  </si>
  <si>
    <t>-736.46万</t>
  </si>
  <si>
    <t>-2341.17万</t>
  </si>
  <si>
    <t>2353.60万</t>
  </si>
  <si>
    <t>10派1.12999元(含税)</t>
  </si>
  <si>
    <t>2787.03万</t>
  </si>
  <si>
    <t>2.67亿</t>
  </si>
  <si>
    <t>011402000</t>
  </si>
  <si>
    <t>034206000</t>
  </si>
  <si>
    <t>068412000</t>
  </si>
  <si>
    <t>0114020000</t>
  </si>
  <si>
    <t>0228040000</t>
  </si>
  <si>
    <t>676.52万</t>
  </si>
  <si>
    <t>15.49亿</t>
  </si>
  <si>
    <t>4633.83万</t>
  </si>
  <si>
    <t>743.83万</t>
  </si>
  <si>
    <t>832.85万</t>
  </si>
  <si>
    <t>54.22万</t>
  </si>
  <si>
    <t>3.75亿</t>
  </si>
  <si>
    <t>3701.52万</t>
  </si>
  <si>
    <t>8988.87万</t>
  </si>
  <si>
    <t>854.00万</t>
  </si>
  <si>
    <t>6157.57万</t>
  </si>
  <si>
    <t>-1249.34万</t>
  </si>
  <si>
    <t>-687.31万</t>
  </si>
  <si>
    <t>9939.25万</t>
  </si>
  <si>
    <t>3542.51万</t>
  </si>
  <si>
    <t>2401.28万</t>
  </si>
  <si>
    <t>21.60亿</t>
  </si>
  <si>
    <t>-6899.94万</t>
  </si>
  <si>
    <t>7.30亿</t>
  </si>
  <si>
    <t>1453.51万</t>
  </si>
  <si>
    <t>3979.67万</t>
  </si>
  <si>
    <t>1.03万</t>
  </si>
  <si>
    <t>5.50亿</t>
  </si>
  <si>
    <t>6846.71万</t>
  </si>
  <si>
    <t>4.21亿</t>
  </si>
  <si>
    <t>8.94亿</t>
  </si>
  <si>
    <t>38.68亿</t>
  </si>
  <si>
    <t>-2770.57万</t>
  </si>
  <si>
    <t>13.96亿</t>
  </si>
  <si>
    <t>-4663.54万</t>
  </si>
  <si>
    <t>13.58亿</t>
  </si>
  <si>
    <t>706.61万</t>
  </si>
  <si>
    <t>797.50万</t>
  </si>
  <si>
    <t>5329.75万</t>
  </si>
  <si>
    <t>4163.35万</t>
  </si>
  <si>
    <t>103.94万</t>
  </si>
  <si>
    <t>656.07万</t>
  </si>
  <si>
    <t>1648.61万</t>
  </si>
  <si>
    <t>1302.53万</t>
  </si>
  <si>
    <t>217.25万</t>
  </si>
  <si>
    <t>2495.17万</t>
  </si>
  <si>
    <t>3682.27万</t>
  </si>
  <si>
    <t>1922.42万</t>
  </si>
  <si>
    <t>-1.48亿</t>
  </si>
  <si>
    <t>1674.82万</t>
  </si>
  <si>
    <t>4643.79万</t>
  </si>
  <si>
    <t>1.98亿</t>
  </si>
  <si>
    <t>07975000</t>
  </si>
  <si>
    <t>023925000</t>
  </si>
  <si>
    <t>047850000</t>
  </si>
  <si>
    <t>079750000</t>
  </si>
  <si>
    <t>0159500000</t>
  </si>
  <si>
    <t>401.61万</t>
  </si>
  <si>
    <t>10.02亿</t>
  </si>
  <si>
    <t>719.62万</t>
  </si>
  <si>
    <t>9872.55万</t>
  </si>
  <si>
    <t>686.59万</t>
  </si>
  <si>
    <t>675.88万</t>
  </si>
  <si>
    <t>2443.49万</t>
  </si>
  <si>
    <t>4738.91万</t>
  </si>
  <si>
    <t>2001.39万</t>
  </si>
  <si>
    <t>8795.59万</t>
  </si>
  <si>
    <t>1082.87万</t>
  </si>
  <si>
    <t>-2638.24万</t>
  </si>
  <si>
    <t>-838.06万</t>
  </si>
  <si>
    <t>1283.47万</t>
  </si>
  <si>
    <t>2768.48万</t>
  </si>
  <si>
    <t>07196200</t>
  </si>
  <si>
    <t>021588600</t>
  </si>
  <si>
    <t>043177200</t>
  </si>
  <si>
    <t>071962000</t>
  </si>
  <si>
    <t>0143924000</t>
  </si>
  <si>
    <t>737.71万</t>
  </si>
  <si>
    <t>6.75亿</t>
  </si>
  <si>
    <t>582.90万</t>
  </si>
  <si>
    <t>884.67万</t>
  </si>
  <si>
    <t>1346.96万</t>
  </si>
  <si>
    <t>4.59万</t>
  </si>
  <si>
    <t>4072.45万</t>
  </si>
  <si>
    <t>497.24万</t>
  </si>
  <si>
    <t>204.70万</t>
  </si>
  <si>
    <t>539.03万</t>
  </si>
  <si>
    <t>-2263.99万</t>
  </si>
  <si>
    <t>-98.96万</t>
  </si>
  <si>
    <t>1877.53万</t>
  </si>
  <si>
    <t>5610.02万</t>
  </si>
  <si>
    <t>05829000</t>
  </si>
  <si>
    <t>017487000</t>
  </si>
  <si>
    <t>034974000</t>
  </si>
  <si>
    <t>058290000</t>
  </si>
  <si>
    <t>0116580000</t>
  </si>
  <si>
    <t>1678.45万</t>
  </si>
  <si>
    <t>17.18亿</t>
  </si>
  <si>
    <t>681.27万</t>
  </si>
  <si>
    <t>535.36万</t>
  </si>
  <si>
    <t>1863.87万</t>
  </si>
  <si>
    <t>2.08万</t>
  </si>
  <si>
    <t>1964.73万</t>
  </si>
  <si>
    <t>7005.48万</t>
  </si>
  <si>
    <t>2.53亿</t>
  </si>
  <si>
    <t>5.52亿</t>
  </si>
  <si>
    <t>3540.58万</t>
  </si>
  <si>
    <t>-4813.33万</t>
  </si>
  <si>
    <t>1860.46万</t>
  </si>
  <si>
    <t>4995.73万</t>
  </si>
  <si>
    <t>06812700</t>
  </si>
  <si>
    <t>020438100</t>
  </si>
  <si>
    <t>040876200</t>
  </si>
  <si>
    <t>068127000</t>
  </si>
  <si>
    <t>0136254000</t>
  </si>
  <si>
    <t>707.70万</t>
  </si>
  <si>
    <t>15.78亿</t>
  </si>
  <si>
    <t>-182.25万</t>
  </si>
  <si>
    <t>3.16亿</t>
  </si>
  <si>
    <t>187.30万</t>
  </si>
  <si>
    <t>396.15万</t>
  </si>
  <si>
    <t>6.30万</t>
  </si>
  <si>
    <t>1.91亿</t>
  </si>
  <si>
    <t>9921.33万</t>
  </si>
  <si>
    <t>-4604.90万</t>
  </si>
  <si>
    <t>-7563.31万</t>
  </si>
  <si>
    <t>6611.90万</t>
  </si>
  <si>
    <t>-1110.10万</t>
  </si>
  <si>
    <t>5646.41万</t>
  </si>
  <si>
    <t>4.67亿</t>
  </si>
  <si>
    <t>398.15万</t>
  </si>
  <si>
    <t>14.48亿</t>
  </si>
  <si>
    <t>2088.10万</t>
  </si>
  <si>
    <t>515.04万</t>
  </si>
  <si>
    <t>1398.40万</t>
  </si>
  <si>
    <t>14.29万</t>
  </si>
  <si>
    <t>3366.22万</t>
  </si>
  <si>
    <t>1.74亿</t>
  </si>
  <si>
    <t>2.49亿</t>
  </si>
  <si>
    <t>5.83亿</t>
  </si>
  <si>
    <t>5690.41万</t>
  </si>
  <si>
    <t>-1.94亿</t>
  </si>
  <si>
    <t>8439.65万</t>
  </si>
  <si>
    <t>5155.29万</t>
  </si>
  <si>
    <t>2552.87万</t>
  </si>
  <si>
    <t>2.96亿</t>
  </si>
  <si>
    <t>1139.90万</t>
  </si>
  <si>
    <t>16.71亿</t>
  </si>
  <si>
    <t>1296.28万</t>
  </si>
  <si>
    <t>2.98亿</t>
  </si>
  <si>
    <t>627.31万</t>
  </si>
  <si>
    <t>1336.12万</t>
  </si>
  <si>
    <t>1917.15万</t>
  </si>
  <si>
    <t>8.43亿</t>
  </si>
  <si>
    <t>-539.13万</t>
  </si>
  <si>
    <t>-1947.03万</t>
  </si>
  <si>
    <t>-6573.01万</t>
  </si>
  <si>
    <t>6.19亿</t>
  </si>
  <si>
    <t>2874.53万</t>
  </si>
  <si>
    <t>7426.39万</t>
  </si>
  <si>
    <t>3.97亿</t>
  </si>
  <si>
    <t>326.80万</t>
  </si>
  <si>
    <t>22.55亿</t>
  </si>
  <si>
    <t>1648.95万</t>
  </si>
  <si>
    <t>1106.64万</t>
  </si>
  <si>
    <t>1411.07万</t>
  </si>
  <si>
    <t>260.20万</t>
  </si>
  <si>
    <t>6706.00万</t>
  </si>
  <si>
    <t>1509.62万</t>
  </si>
  <si>
    <t>3.47亿</t>
  </si>
  <si>
    <t>1121.61万</t>
  </si>
  <si>
    <t>-6.14亿</t>
  </si>
  <si>
    <t>-1.12亿</t>
  </si>
  <si>
    <t>3.83亿</t>
  </si>
  <si>
    <t>5330.04万</t>
  </si>
  <si>
    <t>2248.68万</t>
  </si>
  <si>
    <t>437.99万</t>
  </si>
  <si>
    <t>12.88亿</t>
  </si>
  <si>
    <t>2929.62万</t>
  </si>
  <si>
    <t>4839.99万</t>
  </si>
  <si>
    <t>3431.85万</t>
  </si>
  <si>
    <t>504.84万</t>
  </si>
  <si>
    <t>699.70万</t>
  </si>
  <si>
    <t>9.15亿</t>
  </si>
  <si>
    <t>2603.89万</t>
  </si>
  <si>
    <t>188.31万</t>
  </si>
  <si>
    <t>1845.44万</t>
  </si>
  <si>
    <t>8295.93万</t>
  </si>
  <si>
    <t>347.80万</t>
  </si>
  <si>
    <t>-272.68万</t>
  </si>
  <si>
    <t>-3564.81万</t>
  </si>
  <si>
    <t>8376.46万</t>
  </si>
  <si>
    <t>1905.19万</t>
  </si>
  <si>
    <t>n/a</t>
  </si>
  <si>
    <t>7-1</t>
  </si>
  <si>
    <t>2529.46万</t>
  </si>
  <si>
    <t>161.19亿</t>
  </si>
  <si>
    <t>33.95万</t>
  </si>
  <si>
    <t>20.48亿</t>
  </si>
  <si>
    <t>14.17亿</t>
  </si>
  <si>
    <t>26.75亿</t>
  </si>
  <si>
    <t>-5.06亿</t>
  </si>
  <si>
    <t>78.81亿</t>
  </si>
  <si>
    <t>0392000000</t>
  </si>
  <si>
    <t>01176000000</t>
  </si>
  <si>
    <t>02352000000</t>
  </si>
  <si>
    <t>03920000000</t>
  </si>
  <si>
    <t>07840000000</t>
  </si>
  <si>
    <t>1024.30万</t>
  </si>
  <si>
    <t>18.06亿</t>
  </si>
  <si>
    <t>2418.22万</t>
  </si>
  <si>
    <t>73.25万</t>
  </si>
  <si>
    <t>2772.69万</t>
  </si>
  <si>
    <t>-2136.09万</t>
  </si>
  <si>
    <t>-6369.94万</t>
  </si>
  <si>
    <t>446.96万</t>
  </si>
  <si>
    <t>5.37亿</t>
  </si>
  <si>
    <t>4275.22万</t>
  </si>
  <si>
    <t>5927.60万</t>
  </si>
  <si>
    <t>024182200</t>
  </si>
  <si>
    <t>072546600</t>
  </si>
  <si>
    <t>0145093200</t>
  </si>
  <si>
    <t>0241822000</t>
  </si>
  <si>
    <t>0483644000</t>
  </si>
  <si>
    <t>160.50万</t>
  </si>
  <si>
    <t>49.71亿</t>
  </si>
  <si>
    <t>7.52亿</t>
  </si>
  <si>
    <t>1491.84万</t>
  </si>
  <si>
    <t>3630.85万</t>
  </si>
  <si>
    <t>164.28万</t>
  </si>
  <si>
    <t>1.42亿</t>
  </si>
  <si>
    <t>1152.84万</t>
  </si>
  <si>
    <t>13.73亿</t>
  </si>
  <si>
    <t>-6.80万</t>
  </si>
  <si>
    <t>-2.00亿</t>
  </si>
  <si>
    <t>-8.34万</t>
  </si>
  <si>
    <t>19.72亿</t>
  </si>
  <si>
    <t>805.31万</t>
  </si>
  <si>
    <t>6541.52万</t>
  </si>
  <si>
    <t>39.24亿</t>
  </si>
  <si>
    <t>7690.94万</t>
  </si>
  <si>
    <t>7.23亿</t>
  </si>
  <si>
    <t>6.22亿</t>
  </si>
  <si>
    <t>1701.71万</t>
  </si>
  <si>
    <t>4015.25万</t>
  </si>
  <si>
    <t>70.90万</t>
  </si>
  <si>
    <t>8.65亿</t>
  </si>
  <si>
    <t>2491.57万</t>
  </si>
  <si>
    <t>5777.61万</t>
  </si>
  <si>
    <t>263.95万</t>
  </si>
  <si>
    <t>13.39亿</t>
  </si>
  <si>
    <t>-2.23亿</t>
  </si>
  <si>
    <t>4804.69万</t>
  </si>
  <si>
    <t>6.32亿</t>
  </si>
  <si>
    <t>28.47亿</t>
  </si>
  <si>
    <t>076909400</t>
  </si>
  <si>
    <t>0230728200</t>
  </si>
  <si>
    <t>0461456400</t>
  </si>
  <si>
    <t>0769094000</t>
  </si>
  <si>
    <t>01538188000</t>
  </si>
  <si>
    <t>142.65万</t>
  </si>
  <si>
    <t>15.95亿</t>
  </si>
  <si>
    <t>-99.27万</t>
  </si>
  <si>
    <t>8.76亿</t>
  </si>
  <si>
    <t>2068.96万</t>
  </si>
  <si>
    <t>2675.94万</t>
  </si>
  <si>
    <t>51.38万</t>
  </si>
  <si>
    <t>5.89亿</t>
  </si>
  <si>
    <t>5274.53万</t>
  </si>
  <si>
    <t>9.44亿</t>
  </si>
  <si>
    <t>31.16亿</t>
  </si>
  <si>
    <t>6.67亿</t>
  </si>
  <si>
    <t>-6721.80万</t>
  </si>
  <si>
    <t>-1.04亿</t>
  </si>
  <si>
    <t>-1127.00万</t>
  </si>
  <si>
    <t>983.76万</t>
  </si>
  <si>
    <t>景旺电子</t>
  </si>
  <si>
    <t>2590.08万</t>
  </si>
  <si>
    <t>92.87亿</t>
  </si>
  <si>
    <t>24.38亿</t>
  </si>
  <si>
    <t>20.68亿</t>
  </si>
  <si>
    <t>4702.40万</t>
  </si>
  <si>
    <t>89.82万</t>
  </si>
  <si>
    <t>22.89亿</t>
  </si>
  <si>
    <t>3.01亿</t>
  </si>
  <si>
    <t>5003.97万</t>
  </si>
  <si>
    <t>12.79亿</t>
  </si>
  <si>
    <t>26.46亿</t>
  </si>
  <si>
    <t>47.22亿</t>
  </si>
  <si>
    <t>-4.15亿</t>
  </si>
  <si>
    <t>9255.80万</t>
  </si>
  <si>
    <t>49.61亿</t>
  </si>
  <si>
    <t>4.04亿</t>
  </si>
  <si>
    <t>5.69亿</t>
  </si>
  <si>
    <t>4162.21万</t>
  </si>
  <si>
    <t>38.90亿</t>
  </si>
  <si>
    <t>6.38亿</t>
  </si>
  <si>
    <t>1846.50万</t>
  </si>
  <si>
    <t>2285.59万</t>
  </si>
  <si>
    <t>1.85万</t>
  </si>
  <si>
    <t>2474.33万</t>
  </si>
  <si>
    <t>25.00万</t>
  </si>
  <si>
    <t>16.01亿</t>
  </si>
  <si>
    <t>7.87亿</t>
  </si>
  <si>
    <t>0105000000</t>
  </si>
  <si>
    <t>0315000000</t>
  </si>
  <si>
    <t>0630000000</t>
  </si>
  <si>
    <t>01050000000</t>
  </si>
  <si>
    <t>02100000000</t>
  </si>
  <si>
    <t>1522.51万</t>
  </si>
  <si>
    <t>-1596.90万</t>
  </si>
  <si>
    <t>4.16亿</t>
  </si>
  <si>
    <t>1855.93万</t>
  </si>
  <si>
    <t>4327.11万</t>
  </si>
  <si>
    <t>11.26万</t>
  </si>
  <si>
    <t>7235.17万</t>
  </si>
  <si>
    <t>3648.30万</t>
  </si>
  <si>
    <t>770.69万</t>
  </si>
  <si>
    <t>4.76亿</t>
  </si>
  <si>
    <t>15.57亿</t>
  </si>
  <si>
    <t>9155.26万</t>
  </si>
  <si>
    <t>-4179.40万</t>
  </si>
  <si>
    <t>-4201.24万</t>
  </si>
  <si>
    <t>12.45亿</t>
  </si>
  <si>
    <t>4830.58万</t>
  </si>
  <si>
    <t>5.00亿</t>
  </si>
  <si>
    <t>796.84万</t>
  </si>
  <si>
    <t>17.62亿</t>
  </si>
  <si>
    <t>3050.56万</t>
  </si>
  <si>
    <t>384.05万</t>
  </si>
  <si>
    <t>1067.07万</t>
  </si>
  <si>
    <t>49.96万</t>
  </si>
  <si>
    <t>5368.11万</t>
  </si>
  <si>
    <t>7173.19万</t>
  </si>
  <si>
    <t>2679.26万</t>
  </si>
  <si>
    <t>-1821.37万</t>
  </si>
  <si>
    <t>-3976.20万</t>
  </si>
  <si>
    <t>4708.66万</t>
  </si>
  <si>
    <t>3542.02万</t>
  </si>
  <si>
    <t>030505600</t>
  </si>
  <si>
    <t>091516800</t>
  </si>
  <si>
    <t>0183033600</t>
  </si>
  <si>
    <t>0305056000</t>
  </si>
  <si>
    <t>0610112000</t>
  </si>
  <si>
    <t>5223.42万</t>
  </si>
  <si>
    <t>54.45亿</t>
  </si>
  <si>
    <t>9.70亿</t>
  </si>
  <si>
    <t>1821.12万</t>
  </si>
  <si>
    <t>5256.74万</t>
  </si>
  <si>
    <t>36.64亿</t>
  </si>
  <si>
    <t>1319.91万</t>
  </si>
  <si>
    <t>15.34亿</t>
  </si>
  <si>
    <t>-2.57亿</t>
  </si>
  <si>
    <t>17.99亿</t>
  </si>
  <si>
    <t>21.51亿</t>
  </si>
  <si>
    <t>4045.61万</t>
  </si>
  <si>
    <t>45.14亿</t>
  </si>
  <si>
    <t>2614.20万</t>
  </si>
  <si>
    <t>7.06亿</t>
  </si>
  <si>
    <t>1077.24万</t>
  </si>
  <si>
    <t>2192.07万</t>
  </si>
  <si>
    <t>48.88万</t>
  </si>
  <si>
    <t>6494.14万</t>
  </si>
  <si>
    <t>10.59亿</t>
  </si>
  <si>
    <t>26.26亿</t>
  </si>
  <si>
    <t>9.19亿</t>
  </si>
  <si>
    <t>2.88亿</t>
  </si>
  <si>
    <t>7206.31万</t>
  </si>
  <si>
    <t>2.77亿</t>
  </si>
  <si>
    <t>9.87亿</t>
  </si>
  <si>
    <t>026142000</t>
  </si>
  <si>
    <t>078426000</t>
  </si>
  <si>
    <t>0156852000</t>
  </si>
  <si>
    <t>0261420000</t>
  </si>
  <si>
    <t>0522840000</t>
  </si>
  <si>
    <t>-6-0</t>
  </si>
  <si>
    <t>306.60万</t>
  </si>
  <si>
    <t>3516.66万</t>
  </si>
  <si>
    <t>3619.02万</t>
  </si>
  <si>
    <t>4135.32万</t>
  </si>
  <si>
    <t>16.93万</t>
  </si>
  <si>
    <t>-8489.54万</t>
  </si>
  <si>
    <t>15.61亿</t>
  </si>
  <si>
    <t>1737.37万</t>
  </si>
  <si>
    <t>035166600</t>
  </si>
  <si>
    <t>0105499800</t>
  </si>
  <si>
    <t>0210999600</t>
  </si>
  <si>
    <t>0351666000</t>
  </si>
  <si>
    <t>0703332000</t>
  </si>
  <si>
    <t>251.79万</t>
  </si>
  <si>
    <t>16.51亿</t>
  </si>
  <si>
    <t>3123.08万</t>
  </si>
  <si>
    <t>591.88万</t>
  </si>
  <si>
    <t>1531.73万</t>
  </si>
  <si>
    <t>4940.90万</t>
  </si>
  <si>
    <t>439.78万</t>
  </si>
  <si>
    <t>2.81亿</t>
  </si>
  <si>
    <t>8785.63万</t>
  </si>
  <si>
    <t>-620.77万</t>
  </si>
  <si>
    <t>76.62万</t>
  </si>
  <si>
    <t>7499.14万</t>
  </si>
  <si>
    <t>1541.46万</t>
  </si>
  <si>
    <t>031230800</t>
  </si>
  <si>
    <t>093692400</t>
  </si>
  <si>
    <t>0187384800</t>
  </si>
  <si>
    <t>0312308000</t>
  </si>
  <si>
    <t>0624616000</t>
  </si>
  <si>
    <t>439.70万</t>
  </si>
  <si>
    <t>1329.45万</t>
  </si>
  <si>
    <t>569.63万</t>
  </si>
  <si>
    <t>1181.11万</t>
  </si>
  <si>
    <t>22.18万</t>
  </si>
  <si>
    <t>2706.21万</t>
  </si>
  <si>
    <t>2945.84万</t>
  </si>
  <si>
    <t>2951.98万</t>
  </si>
  <si>
    <t>4474.60万</t>
  </si>
  <si>
    <t>-146.48万</t>
  </si>
  <si>
    <t>-1.60亿</t>
  </si>
  <si>
    <t>-2030.59万</t>
  </si>
  <si>
    <t>3.30亿</t>
  </si>
  <si>
    <t>1987.09万</t>
  </si>
  <si>
    <t>3111.41万</t>
  </si>
  <si>
    <t>2.60亿</t>
  </si>
  <si>
    <t>013294500</t>
  </si>
  <si>
    <t>039883500</t>
  </si>
  <si>
    <t>079767000</t>
  </si>
  <si>
    <t>0132945000</t>
  </si>
  <si>
    <t>0265890000</t>
  </si>
  <si>
    <t>948.07万</t>
  </si>
  <si>
    <t>39.50亿</t>
  </si>
  <si>
    <t>2644.87万</t>
  </si>
  <si>
    <t>7.18亿</t>
  </si>
  <si>
    <t>3027.60万</t>
  </si>
  <si>
    <t>3825.50万</t>
  </si>
  <si>
    <t>22.22万</t>
  </si>
  <si>
    <t>8.30亿</t>
  </si>
  <si>
    <t>20.15亿</t>
  </si>
  <si>
    <t>4571.09万</t>
  </si>
  <si>
    <t>-1.42亿</t>
  </si>
  <si>
    <t>-2138.29万</t>
  </si>
  <si>
    <t>15.83亿</t>
  </si>
  <si>
    <t>957.13万</t>
  </si>
  <si>
    <t>4994.44万</t>
  </si>
  <si>
    <t>026448700</t>
  </si>
  <si>
    <t>079346100</t>
  </si>
  <si>
    <t>0158692200</t>
  </si>
  <si>
    <t>0264487000</t>
  </si>
  <si>
    <t>0528974000</t>
  </si>
  <si>
    <t>98.50万</t>
  </si>
  <si>
    <t>24.32亿</t>
  </si>
  <si>
    <t>1010.35万</t>
  </si>
  <si>
    <t>6.02亿</t>
  </si>
  <si>
    <t>974.63万</t>
  </si>
  <si>
    <t>1454.24万</t>
  </si>
  <si>
    <t>8.65万</t>
  </si>
  <si>
    <t>17.69亿</t>
  </si>
  <si>
    <t>588.30万</t>
  </si>
  <si>
    <t>-656.45万</t>
  </si>
  <si>
    <t>4249.66万</t>
  </si>
  <si>
    <t>14.74亿</t>
  </si>
  <si>
    <t>-3661.58万</t>
  </si>
  <si>
    <t>563.04万</t>
  </si>
  <si>
    <t>4732.22万</t>
  </si>
  <si>
    <t>4-1</t>
  </si>
  <si>
    <t>286.48万</t>
  </si>
  <si>
    <t>-125.94万</t>
  </si>
  <si>
    <t>8331.81万</t>
  </si>
  <si>
    <t>486.35万</t>
  </si>
  <si>
    <t>807.49万</t>
  </si>
  <si>
    <t>8.85万</t>
  </si>
  <si>
    <t>3554.49万</t>
  </si>
  <si>
    <t>1566.62万</t>
  </si>
  <si>
    <t>6031.00万</t>
  </si>
  <si>
    <t>531.70万</t>
  </si>
  <si>
    <t>3548.98万</t>
  </si>
  <si>
    <t>2814.13万</t>
  </si>
  <si>
    <t>886.61万</t>
  </si>
  <si>
    <t>2447.06万</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</si>
</sst>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sz val="11"/>
      <color rgb="FF000000"/>
      <name val="宋体"/>
      <family val="3"/>
      <charset val="134"/>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0" fillId="35" borderId="0" xfId="0" applyFill="1">
      <alignment vertical="center"/>
    </xf>
    <xf numFmtId="0" fontId="0" fillId="36" borderId="0" xfId="0" applyFill="1">
      <alignment vertical="center"/>
    </xf>
    <xf numFmtId="0" fontId="23" fillId="0" borderId="0" xfId="0" applyFont="1">
      <alignment vertical="center"/>
    </xf>
    <xf numFmtId="0" fontId="16" fillId="0" borderId="0" xfId="0" applyFont="1">
      <alignment vertical="center"/>
    </xf>
    <xf numFmtId="14" fontId="0" fillId="0" borderId="0" xfId="0" applyNumberFormat="1">
      <alignment vertical="center"/>
    </xf>
    <xf numFmtId="0" fontId="0" fillId="0" borderId="0" xfId="0" applyNumberFormat="1">
      <alignment vertical="center"/>
    </xf>
    <xf numFmtId="0" fontId="23" fillId="0" borderId="0" xfId="0" applyFont="1" applyFill="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330200</xdr:colOff>
          <xdr:row>0</xdr:row>
          <xdr:rowOff>50800</xdr:rowOff>
        </xdr:from>
        <xdr:to>
          <xdr:col>147</xdr:col>
          <xdr:colOff>1517650</xdr:colOff>
          <xdr:row>0</xdr:row>
          <xdr:rowOff>438150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54"/>
  <sheetViews>
    <sheetView tabSelected="1" zoomScale="85" zoomScaleNormal="85" workbookViewId="0">
      <pane xSplit="5" ySplit="1" topLeftCell="F2" activePane="bottomRight" state="frozen"/>
      <selection pane="topRight" activeCell="F1" sqref="F1"/>
      <selection pane="bottomLeft" activeCell="A2" sqref="A2"/>
      <selection pane="bottomRight" activeCell="D54" sqref="D54:EP54"/>
    </sheetView>
  </sheetViews>
  <sheetFormatPr defaultColWidth="8.81640625" defaultRowHeight="14" x14ac:dyDescent="0.25"/>
  <cols>
    <col min="1" max="1" width="34.08984375" style="6" customWidth="1"/>
    <col min="2" max="2" width="37.36328125" style="6" customWidth="1"/>
    <col min="3" max="3" width="47.1796875" style="6"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453125" style="3" customWidth="1"/>
    <col min="149" max="16384" width="8.81640625" style="3"/>
  </cols>
  <sheetData>
    <row r="1" spans="1:146" ht="38.5" customHeight="1" x14ac:dyDescent="0.25">
      <c r="A1" s="5" t="s">
        <v>188</v>
      </c>
      <c r="B1" s="7" t="s">
        <v>189</v>
      </c>
      <c r="C1" s="5" t="s">
        <v>187</v>
      </c>
      <c r="D1" s="3" t="s">
        <v>534</v>
      </c>
      <c r="E1" s="3" t="s">
        <v>601</v>
      </c>
      <c r="F1" s="3" t="s">
        <v>73</v>
      </c>
      <c r="G1" s="3" t="s">
        <v>535</v>
      </c>
      <c r="H1" s="3" t="s">
        <v>718</v>
      </c>
      <c r="I1" s="3" t="s">
        <v>36</v>
      </c>
      <c r="J1" s="3" t="s">
        <v>37</v>
      </c>
      <c r="K1" s="3" t="s">
        <v>1</v>
      </c>
      <c r="L1" s="3" t="s">
        <v>72</v>
      </c>
      <c r="M1" s="3" t="s">
        <v>76</v>
      </c>
      <c r="N1" s="3" t="s">
        <v>77</v>
      </c>
      <c r="O1" s="3" t="s">
        <v>97</v>
      </c>
      <c r="P1" s="3" t="s">
        <v>719</v>
      </c>
      <c r="Q1" s="3" t="s">
        <v>720</v>
      </c>
      <c r="R1" s="3" t="s">
        <v>602</v>
      </c>
      <c r="S1" s="3" t="s">
        <v>78</v>
      </c>
      <c r="T1" s="3" t="s">
        <v>721</v>
      </c>
      <c r="U1" s="3" t="s">
        <v>536</v>
      </c>
      <c r="V1" s="3" t="s">
        <v>79</v>
      </c>
      <c r="W1" s="3" t="s">
        <v>722</v>
      </c>
      <c r="X1" s="3" t="s">
        <v>723</v>
      </c>
      <c r="Y1" s="3" t="s">
        <v>724</v>
      </c>
      <c r="Z1" s="3" t="s">
        <v>725</v>
      </c>
      <c r="AA1" s="3" t="s">
        <v>726</v>
      </c>
      <c r="AB1" s="3" t="s">
        <v>727</v>
      </c>
      <c r="AC1" s="3" t="s">
        <v>728</v>
      </c>
      <c r="AD1" s="3" t="s">
        <v>729</v>
      </c>
      <c r="AE1" s="3" t="s">
        <v>80</v>
      </c>
      <c r="AF1" s="3" t="s">
        <v>81</v>
      </c>
      <c r="AG1" s="3" t="s">
        <v>730</v>
      </c>
      <c r="AH1" s="3" t="s">
        <v>731</v>
      </c>
      <c r="AI1" s="3" t="s">
        <v>732</v>
      </c>
      <c r="AJ1" s="3" t="s">
        <v>82</v>
      </c>
      <c r="AK1" s="3" t="s">
        <v>733</v>
      </c>
      <c r="AL1" s="3" t="s">
        <v>290</v>
      </c>
      <c r="AM1" s="3" t="s">
        <v>734</v>
      </c>
      <c r="AN1" s="3" t="s">
        <v>735</v>
      </c>
      <c r="AO1" s="3" t="s">
        <v>736</v>
      </c>
      <c r="AP1" s="3" t="s">
        <v>737</v>
      </c>
      <c r="AQ1" s="3" t="s">
        <v>738</v>
      </c>
      <c r="AR1" s="3" t="s">
        <v>739</v>
      </c>
      <c r="AS1" s="3" t="s">
        <v>740</v>
      </c>
      <c r="AT1" s="3" t="s">
        <v>741</v>
      </c>
      <c r="AU1" s="3" t="s">
        <v>742</v>
      </c>
      <c r="AV1" s="3" t="s">
        <v>743</v>
      </c>
      <c r="AW1" s="3" t="s">
        <v>744</v>
      </c>
      <c r="AX1" s="3" t="s">
        <v>745</v>
      </c>
      <c r="AY1" s="3" t="s">
        <v>746</v>
      </c>
      <c r="AZ1" s="3" t="s">
        <v>291</v>
      </c>
      <c r="BA1" s="3" t="s">
        <v>292</v>
      </c>
      <c r="BB1" s="3" t="s">
        <v>293</v>
      </c>
      <c r="BC1" s="3" t="s">
        <v>747</v>
      </c>
      <c r="BD1" s="3" t="s">
        <v>537</v>
      </c>
      <c r="BE1" s="3" t="s">
        <v>294</v>
      </c>
      <c r="BF1" s="3" t="s">
        <v>295</v>
      </c>
      <c r="BG1" s="3" t="s">
        <v>296</v>
      </c>
      <c r="BH1" s="3" t="s">
        <v>748</v>
      </c>
      <c r="BI1" s="3" t="s">
        <v>749</v>
      </c>
      <c r="BJ1" s="3" t="s">
        <v>750</v>
      </c>
      <c r="BK1" s="3" t="s">
        <v>751</v>
      </c>
      <c r="BL1" s="3" t="s">
        <v>752</v>
      </c>
      <c r="BM1" s="3" t="s">
        <v>753</v>
      </c>
      <c r="BN1" s="3" t="s">
        <v>754</v>
      </c>
      <c r="BO1" s="3" t="s">
        <v>603</v>
      </c>
      <c r="BP1" s="3" t="s">
        <v>538</v>
      </c>
      <c r="BQ1" s="3" t="s">
        <v>755</v>
      </c>
      <c r="BR1" s="3" t="s">
        <v>604</v>
      </c>
      <c r="BS1" s="3" t="s">
        <v>539</v>
      </c>
      <c r="BT1" s="3" t="s">
        <v>756</v>
      </c>
      <c r="BU1" s="3" t="s">
        <v>649</v>
      </c>
      <c r="BV1" s="3" t="s">
        <v>757</v>
      </c>
      <c r="BW1" s="3" t="s">
        <v>758</v>
      </c>
      <c r="BX1" s="3" t="s">
        <v>525</v>
      </c>
      <c r="BY1" s="3" t="s">
        <v>759</v>
      </c>
      <c r="BZ1" s="3" t="s">
        <v>760</v>
      </c>
      <c r="CA1" s="3" t="s">
        <v>526</v>
      </c>
      <c r="CB1" s="3" t="s">
        <v>761</v>
      </c>
      <c r="CC1" s="3" t="s">
        <v>762</v>
      </c>
      <c r="CD1" s="3" t="s">
        <v>763</v>
      </c>
      <c r="CE1" s="3" t="s">
        <v>764</v>
      </c>
      <c r="CF1" s="1" t="s">
        <v>605</v>
      </c>
      <c r="CG1" s="1" t="s">
        <v>606</v>
      </c>
      <c r="CH1" s="1" t="s">
        <v>468</v>
      </c>
      <c r="CI1" s="1" t="s">
        <v>469</v>
      </c>
      <c r="CJ1" s="1" t="s">
        <v>470</v>
      </c>
      <c r="CK1" s="1" t="s">
        <v>471</v>
      </c>
      <c r="CL1" s="1" t="s">
        <v>472</v>
      </c>
      <c r="CM1" s="1" t="s">
        <v>473</v>
      </c>
      <c r="CN1" s="1" t="s">
        <v>474</v>
      </c>
      <c r="CO1" s="1" t="s">
        <v>475</v>
      </c>
      <c r="CP1" s="1" t="s">
        <v>476</v>
      </c>
      <c r="CQ1" s="1" t="s">
        <v>477</v>
      </c>
      <c r="CR1" s="1" t="s">
        <v>765</v>
      </c>
      <c r="CS1" s="1" t="s">
        <v>766</v>
      </c>
      <c r="CT1" s="1" t="s">
        <v>767</v>
      </c>
      <c r="CU1" s="1" t="s">
        <v>768</v>
      </c>
      <c r="CV1" s="1" t="s">
        <v>769</v>
      </c>
      <c r="CW1" s="1" t="s">
        <v>770</v>
      </c>
      <c r="CX1" s="3">
        <v>1</v>
      </c>
      <c r="CY1" s="3" t="s">
        <v>771</v>
      </c>
      <c r="CZ1" s="3" t="s">
        <v>772</v>
      </c>
      <c r="DA1" s="3">
        <v>3</v>
      </c>
      <c r="DB1" s="3" t="s">
        <v>773</v>
      </c>
      <c r="DC1" s="3" t="s">
        <v>699</v>
      </c>
      <c r="DD1" s="3">
        <v>6</v>
      </c>
      <c r="DE1" s="3" t="s">
        <v>774</v>
      </c>
      <c r="DF1" s="3" t="s">
        <v>775</v>
      </c>
      <c r="DG1" s="3">
        <v>10</v>
      </c>
      <c r="DH1" s="3" t="s">
        <v>776</v>
      </c>
      <c r="DI1" s="3" t="s">
        <v>777</v>
      </c>
      <c r="DJ1" s="3">
        <v>20</v>
      </c>
      <c r="DK1" s="3" t="s">
        <v>778</v>
      </c>
      <c r="DL1" s="3" t="s">
        <v>478</v>
      </c>
      <c r="DM1" s="3" t="s">
        <v>479</v>
      </c>
      <c r="DN1" s="2" t="s">
        <v>480</v>
      </c>
      <c r="DO1" s="3" t="s">
        <v>779</v>
      </c>
      <c r="DP1" s="3" t="s">
        <v>780</v>
      </c>
      <c r="DQ1" s="14" t="s">
        <v>781</v>
      </c>
      <c r="DR1" s="1" t="s">
        <v>782</v>
      </c>
      <c r="DS1" s="1" t="s">
        <v>783</v>
      </c>
      <c r="DT1" s="3" t="s">
        <v>784</v>
      </c>
      <c r="DU1" s="3" t="s">
        <v>785</v>
      </c>
      <c r="DV1" s="3" t="s">
        <v>786</v>
      </c>
      <c r="DW1" s="3" t="s">
        <v>787</v>
      </c>
      <c r="DX1" s="3" t="s">
        <v>788</v>
      </c>
      <c r="DY1" s="3" t="s">
        <v>789</v>
      </c>
      <c r="DZ1" s="3" t="s">
        <v>790</v>
      </c>
      <c r="EA1" s="3" t="s">
        <v>791</v>
      </c>
      <c r="EB1" s="3" t="s">
        <v>792</v>
      </c>
      <c r="EC1" s="3" t="s">
        <v>793</v>
      </c>
      <c r="ED1" s="3" t="s">
        <v>794</v>
      </c>
      <c r="EE1" s="3" t="s">
        <v>795</v>
      </c>
      <c r="EF1" s="3" t="s">
        <v>796</v>
      </c>
      <c r="EG1" s="3" t="s">
        <v>797</v>
      </c>
      <c r="EH1" s="3" t="s">
        <v>798</v>
      </c>
      <c r="EI1" s="3" t="s">
        <v>799</v>
      </c>
      <c r="EK1" s="12" t="s">
        <v>800</v>
      </c>
      <c r="EL1" s="3" t="s">
        <v>801</v>
      </c>
      <c r="EM1" s="3" t="s">
        <v>802</v>
      </c>
      <c r="EN1" s="3" t="s">
        <v>803</v>
      </c>
      <c r="EO1" s="3" t="s">
        <v>804</v>
      </c>
      <c r="EP1" s="3" t="s">
        <v>805</v>
      </c>
    </row>
    <row r="2" spans="1:146" ht="96" x14ac:dyDescent="0.25">
      <c r="C2" s="6" t="str">
        <f>""&amp;CHAR(10)&amp;Basic_Fundamental_Information_Constructure(F2)&amp;CHAR(10)&amp;Basic_Fundamental_Information_Concatenate("")</f>
        <v xml:space="preserve">
市值142.19692亿, 利润7291.50万; PE75.6; 平均PE27.9; 平均PEG1.84, PB1.19; ROIC4.7233%; ROE6.2433%; 股利率.4068%; 毛利21.41%; 净利10.62%; 上一年度营收增-72.69%, 利润增-77.7%; 当季营收增-49.04%, 利润增-14.29%; 过往5年营收增-15.18%, 利润增-8.22%
Income profile:
</v>
      </c>
      <c r="D2" s="3" t="s">
        <v>66</v>
      </c>
      <c r="E2" s="3" t="s">
        <v>27</v>
      </c>
      <c r="F2" s="3">
        <v>12.29</v>
      </c>
      <c r="G2" s="3">
        <v>-0.24</v>
      </c>
      <c r="H2" s="3" t="s">
        <v>1309</v>
      </c>
      <c r="I2" s="3">
        <v>14219692000</v>
      </c>
      <c r="J2" s="3">
        <v>75.599999999999994</v>
      </c>
      <c r="K2" s="3">
        <v>1.19</v>
      </c>
      <c r="L2" s="3" t="s">
        <v>1310</v>
      </c>
      <c r="M2" s="3" t="s">
        <v>955</v>
      </c>
      <c r="N2" s="3" t="s">
        <v>1311</v>
      </c>
      <c r="O2" s="3" t="s">
        <v>828</v>
      </c>
      <c r="P2" s="3">
        <v>13.28</v>
      </c>
      <c r="Q2" s="3" t="s">
        <v>828</v>
      </c>
      <c r="R2" s="3">
        <v>72915036</v>
      </c>
      <c r="S2" s="4">
        <v>0.2505</v>
      </c>
      <c r="T2" s="3" t="s">
        <v>1312</v>
      </c>
      <c r="U2" s="3">
        <v>1157010290</v>
      </c>
      <c r="V2" s="3">
        <v>1157013210</v>
      </c>
      <c r="W2" s="3">
        <v>1.28</v>
      </c>
      <c r="X2" s="3">
        <v>7.0000000000000007E-2</v>
      </c>
      <c r="Y2" s="3">
        <v>6.9</v>
      </c>
      <c r="Z2" s="3" t="s">
        <v>1313</v>
      </c>
      <c r="AA2" s="3" t="s">
        <v>1314</v>
      </c>
      <c r="AB2" s="3" t="s">
        <v>1315</v>
      </c>
      <c r="AC2" s="3" t="s">
        <v>1316</v>
      </c>
      <c r="AD2" s="3" t="s">
        <v>30</v>
      </c>
      <c r="AE2" s="3">
        <v>-31012644</v>
      </c>
      <c r="AF2" s="3" t="s">
        <v>956</v>
      </c>
      <c r="AG2" s="3" t="s">
        <v>1317</v>
      </c>
      <c r="AH2" s="3" t="s">
        <v>957</v>
      </c>
      <c r="AI2" s="3" t="s">
        <v>1318</v>
      </c>
      <c r="AJ2" s="3" t="s">
        <v>958</v>
      </c>
      <c r="AK2" s="3" t="s">
        <v>1319</v>
      </c>
      <c r="AL2" s="3" t="s">
        <v>959</v>
      </c>
      <c r="AM2" s="3" t="s">
        <v>30</v>
      </c>
      <c r="AN2" s="3" t="s">
        <v>1284</v>
      </c>
      <c r="AO2" s="3" t="s">
        <v>1320</v>
      </c>
      <c r="AP2" s="3" t="s">
        <v>1321</v>
      </c>
      <c r="AQ2" s="3" t="s">
        <v>902</v>
      </c>
      <c r="AR2" s="3" t="s">
        <v>30</v>
      </c>
      <c r="AS2" s="3" t="s">
        <v>1322</v>
      </c>
      <c r="AT2" s="3" t="s">
        <v>146</v>
      </c>
      <c r="AU2" s="3" t="s">
        <v>1323</v>
      </c>
      <c r="AV2" s="3" t="s">
        <v>1324</v>
      </c>
      <c r="AW2" s="3" t="s">
        <v>1325</v>
      </c>
      <c r="AX2" s="3" t="s">
        <v>806</v>
      </c>
      <c r="AY2" s="3" t="s">
        <v>540</v>
      </c>
      <c r="AZ2" s="3" t="s">
        <v>297</v>
      </c>
      <c r="BA2" s="3" t="s">
        <v>190</v>
      </c>
      <c r="BB2" s="3" t="s">
        <v>299</v>
      </c>
      <c r="BC2" s="3" t="s">
        <v>648</v>
      </c>
      <c r="BD2" s="3" t="s">
        <v>541</v>
      </c>
      <c r="BE2" s="3" t="s">
        <v>298</v>
      </c>
      <c r="BF2" s="3" t="s">
        <v>159</v>
      </c>
      <c r="BG2" s="3" t="s">
        <v>33</v>
      </c>
      <c r="BH2" s="3" t="s">
        <v>927</v>
      </c>
      <c r="BI2" s="3" t="s">
        <v>875</v>
      </c>
      <c r="BJ2" s="3" t="s">
        <v>806</v>
      </c>
      <c r="BK2" s="3" t="s">
        <v>251</v>
      </c>
      <c r="BL2" s="3" t="s">
        <v>1326</v>
      </c>
      <c r="BM2" s="3" t="s">
        <v>648</v>
      </c>
      <c r="BN2" s="3">
        <v>-0.02</v>
      </c>
      <c r="BO2" s="3">
        <v>2.02</v>
      </c>
      <c r="BP2" s="3">
        <v>12.17</v>
      </c>
      <c r="BQ2" s="3">
        <v>0.94</v>
      </c>
      <c r="BR2" s="3">
        <v>3.17</v>
      </c>
      <c r="BS2" s="3">
        <v>14.62</v>
      </c>
      <c r="BT2" s="3" t="s">
        <v>960</v>
      </c>
      <c r="BU2" s="3" t="s">
        <v>650</v>
      </c>
      <c r="BV2" s="3">
        <v>14.35</v>
      </c>
      <c r="BW2" s="3">
        <v>17.97</v>
      </c>
      <c r="BX2" s="3">
        <v>31.91</v>
      </c>
      <c r="BY2" s="3">
        <v>4.29</v>
      </c>
      <c r="BZ2" s="3">
        <v>8.76</v>
      </c>
      <c r="CA2" s="3">
        <v>18.809999999999999</v>
      </c>
      <c r="CB2" s="3">
        <v>-5.53</v>
      </c>
      <c r="CC2" s="3">
        <v>0.82</v>
      </c>
      <c r="CD2" s="3" t="s">
        <v>1327</v>
      </c>
      <c r="CE2" s="3" t="s">
        <v>652</v>
      </c>
      <c r="CF2" s="8">
        <v>-0.49036608863198466</v>
      </c>
      <c r="CG2" s="9">
        <v>-0.14285873486646519</v>
      </c>
      <c r="CH2" s="8">
        <v>-0.72689729928970337</v>
      </c>
      <c r="CI2" s="8">
        <v>-0.23363010585308075</v>
      </c>
      <c r="CJ2" s="8">
        <v>0.16689744591712952</v>
      </c>
      <c r="CK2" s="8">
        <v>0.31551787257194519</v>
      </c>
      <c r="CL2" s="8">
        <v>-0.28100433945655823</v>
      </c>
      <c r="CM2" s="9">
        <v>-0.77701830863952637</v>
      </c>
      <c r="CN2" s="9">
        <v>-0.65323436260223389</v>
      </c>
      <c r="CO2" s="9">
        <v>1.6267409324645996</v>
      </c>
      <c r="CP2" s="9">
        <v>5.8997049927711487E-2</v>
      </c>
      <c r="CQ2" s="9">
        <v>-0.66666668653488159</v>
      </c>
      <c r="CR2" s="3">
        <v>27.900759831453783</v>
      </c>
      <c r="CS2" s="3">
        <v>1.837712824527985</v>
      </c>
      <c r="CT2" s="3">
        <v>0.40683482506102525</v>
      </c>
      <c r="CU2" s="8">
        <v>-0.15182328522205352</v>
      </c>
      <c r="CV2" s="9">
        <v>-8.223627507686615E-2</v>
      </c>
      <c r="CW2" s="3">
        <v>0.06</v>
      </c>
      <c r="CX2" s="3">
        <v>76.646670781046424</v>
      </c>
      <c r="CY2" s="3" t="s">
        <v>1328</v>
      </c>
      <c r="CZ2" s="3">
        <v>-0.15182328522205352</v>
      </c>
      <c r="DA2" s="3">
        <v>25.548890260348809</v>
      </c>
      <c r="DB2" s="3" t="s">
        <v>1329</v>
      </c>
      <c r="DC2" s="3">
        <v>-0.14423212096095084</v>
      </c>
      <c r="DD2" s="3">
        <v>12.774445130174405</v>
      </c>
      <c r="DE2" s="3" t="s">
        <v>1330</v>
      </c>
      <c r="DF2" s="3">
        <v>-0.13360449099540708</v>
      </c>
      <c r="DG2" s="3">
        <v>7.6646670781046424</v>
      </c>
      <c r="DH2" s="3" t="s">
        <v>1331</v>
      </c>
      <c r="DI2" s="3">
        <v>-0.12145862817764282</v>
      </c>
      <c r="DJ2" s="3">
        <v>3.8323335390523212</v>
      </c>
      <c r="DK2" s="3" t="s">
        <v>1332</v>
      </c>
      <c r="DL2" s="3">
        <v>-0.10627629965543746</v>
      </c>
      <c r="DM2" s="3">
        <v>72915000</v>
      </c>
      <c r="DN2" s="3">
        <v>-0.15182328522205352</v>
      </c>
      <c r="DO2" s="3">
        <v>5588692000</v>
      </c>
      <c r="DP2" s="3">
        <v>4411225800</v>
      </c>
      <c r="DQ2" s="3">
        <v>192</v>
      </c>
      <c r="DR2" s="3">
        <v>-0.33854280340993115</v>
      </c>
      <c r="DS2" s="3">
        <v>-6.0622459789599042E-2</v>
      </c>
      <c r="DT2" s="10">
        <v>-0.77333333333333332</v>
      </c>
      <c r="DU2" s="3">
        <v>-0.56666666666666665</v>
      </c>
      <c r="DV2" s="3">
        <v>-1.3399999999999999</v>
      </c>
      <c r="DW2" s="3">
        <v>-4.1482820976491865</v>
      </c>
      <c r="DX2" s="3">
        <v>0.29932276559864973</v>
      </c>
      <c r="DY2" s="3">
        <v>-4.0176934299802705</v>
      </c>
      <c r="DZ2" s="3">
        <v>3394</v>
      </c>
      <c r="EA2" s="3">
        <v>-4.0059416684630422</v>
      </c>
      <c r="EB2" s="3">
        <v>4</v>
      </c>
      <c r="EC2" s="3">
        <v>6.1156086541138112E-2</v>
      </c>
      <c r="ED2" s="3">
        <v>0.51252655965786253</v>
      </c>
      <c r="EE2" s="11">
        <v>-1.0631999999999999</v>
      </c>
      <c r="EF2" s="3">
        <v>-1.0469999999999999</v>
      </c>
      <c r="EG2" s="3">
        <v>18.11932276559865</v>
      </c>
      <c r="EH2" s="3" t="s">
        <v>951</v>
      </c>
      <c r="EI2" s="3">
        <v>0</v>
      </c>
      <c r="EJ2" s="3">
        <v>0</v>
      </c>
      <c r="EK2" s="12">
        <v>45470</v>
      </c>
      <c r="EL2" s="13">
        <v>1.33</v>
      </c>
      <c r="EM2" s="13">
        <v>-2</v>
      </c>
      <c r="EN2" s="13">
        <v>-0.39</v>
      </c>
      <c r="EO2" s="13">
        <v>2.44</v>
      </c>
      <c r="EP2" s="13">
        <v>-1.62</v>
      </c>
    </row>
    <row r="3" spans="1:146" ht="96" x14ac:dyDescent="0.25">
      <c r="C3" s="6" t="str">
        <f>""&amp;CHAR(10)&amp;Basic_Fundamental_Information_Constructure(F3)&amp;CHAR(10)&amp;Basic_Fundamental_Information_Concatenate("")</f>
        <v xml:space="preserve">
市值43.388789亿, 利润1724.29万; PE21.86; 平均PE15.37; 平均PEG1.64, PB.962; ROIC6.2333%; ROE7.28%; 股利率1.2376%; 毛利19.1467%; 净利6.0633%; 上一年度营收增-81.03%, 利润增-95.87%; 当季营收增-51.75%, 利润增-74.74%; 过往5年营收增-9.38%, 利润增-9.83%
Income profile:
</v>
      </c>
      <c r="D3" s="3" t="s">
        <v>64</v>
      </c>
      <c r="E3" s="3" t="s">
        <v>23</v>
      </c>
      <c r="F3" s="3">
        <v>8.08</v>
      </c>
      <c r="G3" s="3">
        <v>-1.46</v>
      </c>
      <c r="H3" s="3" t="s">
        <v>1333</v>
      </c>
      <c r="I3" s="3">
        <v>4338878900</v>
      </c>
      <c r="J3" s="3">
        <v>21.86</v>
      </c>
      <c r="K3" s="3">
        <v>0.96199999999999997</v>
      </c>
      <c r="L3" s="3" t="s">
        <v>1310</v>
      </c>
      <c r="M3" s="3" t="s">
        <v>961</v>
      </c>
      <c r="N3" s="3" t="s">
        <v>1334</v>
      </c>
      <c r="O3" s="3" t="s">
        <v>962</v>
      </c>
      <c r="P3" s="3">
        <v>-0.33</v>
      </c>
      <c r="Q3" s="3" t="s">
        <v>962</v>
      </c>
      <c r="R3" s="3">
        <v>17242856</v>
      </c>
      <c r="S3" s="4">
        <v>0.17169999999999999</v>
      </c>
      <c r="T3" s="3" t="s">
        <v>1335</v>
      </c>
      <c r="U3" s="3">
        <v>536944470</v>
      </c>
      <c r="V3" s="3">
        <v>536989960</v>
      </c>
      <c r="W3" s="3">
        <v>1.58</v>
      </c>
      <c r="X3" s="3">
        <v>0.15</v>
      </c>
      <c r="Y3" s="3">
        <v>1.55</v>
      </c>
      <c r="Z3" s="3" t="s">
        <v>1336</v>
      </c>
      <c r="AA3" s="3" t="s">
        <v>658</v>
      </c>
      <c r="AB3" s="3" t="s">
        <v>1337</v>
      </c>
      <c r="AC3" s="3" t="s">
        <v>1338</v>
      </c>
      <c r="AD3" s="3" t="s">
        <v>30</v>
      </c>
      <c r="AE3" s="3">
        <v>-4072640</v>
      </c>
      <c r="AF3" s="3" t="s">
        <v>964</v>
      </c>
      <c r="AG3" s="3" t="s">
        <v>1339</v>
      </c>
      <c r="AH3" s="3" t="s">
        <v>965</v>
      </c>
      <c r="AI3" s="3" t="s">
        <v>1340</v>
      </c>
      <c r="AJ3" s="3" t="s">
        <v>966</v>
      </c>
      <c r="AK3" s="3" t="s">
        <v>143</v>
      </c>
      <c r="AL3" s="3" t="s">
        <v>967</v>
      </c>
      <c r="AM3" s="3" t="s">
        <v>30</v>
      </c>
      <c r="AN3" s="3" t="s">
        <v>191</v>
      </c>
      <c r="AO3" s="3" t="s">
        <v>135</v>
      </c>
      <c r="AP3" s="3" t="s">
        <v>127</v>
      </c>
      <c r="AQ3" s="3" t="s">
        <v>1341</v>
      </c>
      <c r="AR3" s="3" t="s">
        <v>30</v>
      </c>
      <c r="AS3" s="3" t="s">
        <v>1342</v>
      </c>
      <c r="AT3" s="3" t="s">
        <v>1343</v>
      </c>
      <c r="AU3" s="3" t="s">
        <v>202</v>
      </c>
      <c r="AV3" s="3" t="s">
        <v>1344</v>
      </c>
      <c r="AW3" s="3" t="s">
        <v>1345</v>
      </c>
      <c r="AX3" s="3" t="s">
        <v>808</v>
      </c>
      <c r="AY3" s="3" t="s">
        <v>542</v>
      </c>
      <c r="AZ3" s="3" t="s">
        <v>305</v>
      </c>
      <c r="BA3" s="3" t="s">
        <v>186</v>
      </c>
      <c r="BB3" s="3" t="s">
        <v>307</v>
      </c>
      <c r="BC3" s="3" t="s">
        <v>809</v>
      </c>
      <c r="BD3" s="3" t="s">
        <v>353</v>
      </c>
      <c r="BE3" s="3" t="s">
        <v>158</v>
      </c>
      <c r="BF3" s="3" t="s">
        <v>136</v>
      </c>
      <c r="BG3" s="3" t="s">
        <v>256</v>
      </c>
      <c r="BH3" s="3" t="s">
        <v>963</v>
      </c>
      <c r="BI3" s="3" t="s">
        <v>876</v>
      </c>
      <c r="BJ3" s="3" t="s">
        <v>808</v>
      </c>
      <c r="BK3" s="3" t="s">
        <v>555</v>
      </c>
      <c r="BL3" s="3" t="s">
        <v>1346</v>
      </c>
      <c r="BM3" s="3" t="s">
        <v>809</v>
      </c>
      <c r="BN3" s="3">
        <v>2.35</v>
      </c>
      <c r="BO3" s="3">
        <v>8.2100000000000009</v>
      </c>
      <c r="BP3" s="3">
        <v>8.14</v>
      </c>
      <c r="BQ3" s="3">
        <v>2.85</v>
      </c>
      <c r="BR3" s="3">
        <v>9.64</v>
      </c>
      <c r="BS3" s="3">
        <v>9.35</v>
      </c>
      <c r="BT3" s="3" t="s">
        <v>701</v>
      </c>
      <c r="BU3" s="3" t="s">
        <v>651</v>
      </c>
      <c r="BV3" s="3">
        <v>18.2</v>
      </c>
      <c r="BW3" s="3">
        <v>19.66</v>
      </c>
      <c r="BX3" s="3">
        <v>19.579999999999998</v>
      </c>
      <c r="BY3" s="3">
        <v>4.1900000000000004</v>
      </c>
      <c r="BZ3" s="3">
        <v>7.44</v>
      </c>
      <c r="CA3" s="3">
        <v>6.56</v>
      </c>
      <c r="CB3" s="3">
        <v>-5.05</v>
      </c>
      <c r="CC3" s="3">
        <v>2.02</v>
      </c>
      <c r="CD3" s="3" t="s">
        <v>1347</v>
      </c>
      <c r="CE3" s="3" t="s">
        <v>1348</v>
      </c>
      <c r="CF3" s="8">
        <v>-0.51753048780487809</v>
      </c>
      <c r="CG3" s="9">
        <v>-0.74744290210932274</v>
      </c>
      <c r="CH3" s="8">
        <v>-0.81028026342391968</v>
      </c>
      <c r="CI3" s="8">
        <v>-8.6168283596634865E-3</v>
      </c>
      <c r="CJ3" s="8">
        <v>0.30218610167503357</v>
      </c>
      <c r="CK3" s="8">
        <v>6.7534089088439941E-2</v>
      </c>
      <c r="CL3" s="8">
        <v>-2.0036494359374046E-2</v>
      </c>
      <c r="CM3" s="9">
        <v>-0.95865011215209961</v>
      </c>
      <c r="CN3" s="9">
        <v>0.10904255509376526</v>
      </c>
      <c r="CO3" s="9">
        <v>0.21290323138237</v>
      </c>
      <c r="CP3" s="9">
        <v>2.3102309554815292E-2</v>
      </c>
      <c r="CQ3" s="9">
        <v>0.12222222238779068</v>
      </c>
      <c r="CR3" s="3">
        <v>15.374801453471324</v>
      </c>
      <c r="CS3" s="3">
        <v>1.638359177814682</v>
      </c>
      <c r="CT3" s="3">
        <v>1.2376237623762376</v>
      </c>
      <c r="CU3" s="8">
        <v>-9.3842679075896746E-2</v>
      </c>
      <c r="CV3" s="9">
        <v>-9.8275958746671679E-2</v>
      </c>
      <c r="CW3" s="3">
        <v>0.06</v>
      </c>
      <c r="CX3" s="3">
        <v>139.64465954102849</v>
      </c>
      <c r="CY3" s="3" t="s">
        <v>1349</v>
      </c>
      <c r="CZ3" s="3">
        <v>-9.3842679075896746E-2</v>
      </c>
      <c r="DA3" s="3">
        <v>46.548219847009491</v>
      </c>
      <c r="DB3" s="3" t="s">
        <v>1350</v>
      </c>
      <c r="DC3" s="3">
        <v>-8.915054512210191E-2</v>
      </c>
      <c r="DD3" s="3">
        <v>23.274109923504746</v>
      </c>
      <c r="DE3" s="3" t="s">
        <v>1351</v>
      </c>
      <c r="DF3" s="3">
        <v>-8.2581557586789131E-2</v>
      </c>
      <c r="DG3" s="3">
        <v>13.964465954102849</v>
      </c>
      <c r="DH3" s="3" t="s">
        <v>1352</v>
      </c>
      <c r="DI3" s="3">
        <v>-7.5074143260717402E-2</v>
      </c>
      <c r="DJ3" s="3">
        <v>6.9822329770514244</v>
      </c>
      <c r="DK3" s="3" t="s">
        <v>1353</v>
      </c>
      <c r="DL3" s="3">
        <v>-6.5689875353127716E-2</v>
      </c>
      <c r="DM3" s="3">
        <v>17242900</v>
      </c>
      <c r="DN3" s="3">
        <v>-9.3842679075896746E-2</v>
      </c>
      <c r="DO3" s="3">
        <v>2407878900</v>
      </c>
      <c r="DP3" s="3">
        <v>2947432800</v>
      </c>
      <c r="DQ3" s="3">
        <v>310</v>
      </c>
      <c r="DR3" s="3">
        <v>-0.42368780872898137</v>
      </c>
      <c r="DS3" s="3">
        <v>-0.64916694336265102</v>
      </c>
      <c r="DT3" s="10">
        <v>-0.64</v>
      </c>
      <c r="DU3" s="3">
        <v>-0.64</v>
      </c>
      <c r="DV3" s="3">
        <v>-1.28</v>
      </c>
      <c r="DW3" s="3">
        <v>-4.4000000000000004</v>
      </c>
      <c r="DX3" s="3">
        <v>0.3584658578856148</v>
      </c>
      <c r="DY3" s="3">
        <v>-4.0593863431542463</v>
      </c>
      <c r="DZ3" s="3">
        <v>2879</v>
      </c>
      <c r="EA3" s="3">
        <v>-4.0259277752597109</v>
      </c>
      <c r="EB3" s="3">
        <v>4</v>
      </c>
      <c r="EC3" s="3">
        <v>0.15952774982981061</v>
      </c>
      <c r="ED3" s="3">
        <v>1.0745079852144721</v>
      </c>
      <c r="EE3" s="11">
        <v>-4.0252100000000004</v>
      </c>
      <c r="EF3" s="3">
        <v>-4.0455100000000002</v>
      </c>
      <c r="EG3" s="3">
        <v>21.148465857885615</v>
      </c>
      <c r="EH3" s="3" t="s">
        <v>935</v>
      </c>
      <c r="EI3" s="3">
        <v>0</v>
      </c>
      <c r="EJ3" s="3">
        <v>0</v>
      </c>
      <c r="EK3" s="12">
        <v>45470</v>
      </c>
      <c r="EL3" s="13">
        <v>1.71</v>
      </c>
      <c r="EM3" s="13">
        <v>-2.04</v>
      </c>
      <c r="EN3" s="13">
        <v>-2.57</v>
      </c>
      <c r="EO3" s="13">
        <v>5.15</v>
      </c>
      <c r="EP3" s="13">
        <v>-2.0299999999999998</v>
      </c>
    </row>
    <row r="4" spans="1:146" ht="96" x14ac:dyDescent="0.25">
      <c r="A4" s="3"/>
      <c r="B4" s="3"/>
      <c r="C4" s="6" t="str">
        <f>""&amp;CHAR(10)&amp;Basic_Fundamental_Information_Constructure(F4)&amp;CHAR(10)&amp;Basic_Fundamental_Information_Concatenate("")</f>
        <v xml:space="preserve">
市值185.13632亿, 利润1.45亿; PE37.18; 平均PE130.2; 平均PEG23.48, PB6.33; ROIC13.795%; ROE0%; 股利率.5703%; 毛利26.2167%; 净利10.6467%; 上一年度营收增-67.5%, 利润增-48.21%; 当季营收增-33.11%, 利润增96.2%; 过往5年营收增5.55%, 利润增40.19%
Income profile:
</v>
      </c>
      <c r="D4" s="3" t="s">
        <v>952</v>
      </c>
      <c r="E4" s="3" t="s">
        <v>953</v>
      </c>
      <c r="F4" s="3">
        <v>43.84</v>
      </c>
      <c r="G4" s="3">
        <v>-1.02</v>
      </c>
      <c r="H4" s="3" t="s">
        <v>1354</v>
      </c>
      <c r="I4" s="3">
        <v>18513632000</v>
      </c>
      <c r="J4" s="3">
        <v>37.18</v>
      </c>
      <c r="K4" s="3">
        <v>6.33</v>
      </c>
      <c r="L4" s="3" t="s">
        <v>1310</v>
      </c>
      <c r="M4" s="3" t="s">
        <v>968</v>
      </c>
      <c r="N4" s="3" t="s">
        <v>1355</v>
      </c>
      <c r="O4" s="3" t="s">
        <v>303</v>
      </c>
      <c r="P4" s="4">
        <v>49.53</v>
      </c>
      <c r="Q4" s="3" t="s">
        <v>303</v>
      </c>
      <c r="R4" s="3">
        <v>310000000</v>
      </c>
      <c r="S4" s="3">
        <v>1.3440000000000001</v>
      </c>
      <c r="T4" s="3" t="s">
        <v>117</v>
      </c>
      <c r="U4" s="3">
        <v>36926173</v>
      </c>
      <c r="V4" s="3">
        <v>422300000</v>
      </c>
      <c r="W4" s="3">
        <v>1.71</v>
      </c>
      <c r="X4" s="3">
        <v>0.19</v>
      </c>
      <c r="Y4" s="3">
        <v>18.5</v>
      </c>
      <c r="Z4" s="3" t="s">
        <v>1356</v>
      </c>
      <c r="AA4" s="3" t="s">
        <v>1357</v>
      </c>
      <c r="AB4" s="3" t="s">
        <v>1358</v>
      </c>
      <c r="AC4" s="3" t="s">
        <v>1359</v>
      </c>
      <c r="AD4" s="3" t="s">
        <v>30</v>
      </c>
      <c r="AE4" s="3">
        <v>-8579438</v>
      </c>
      <c r="AF4" s="3" t="s">
        <v>86</v>
      </c>
      <c r="AG4" s="3">
        <v>4511.12</v>
      </c>
      <c r="AH4" s="3" t="s">
        <v>969</v>
      </c>
      <c r="AI4" s="3" t="s">
        <v>1113</v>
      </c>
      <c r="AJ4" s="3" t="s">
        <v>970</v>
      </c>
      <c r="AK4" s="3" t="s">
        <v>1360</v>
      </c>
      <c r="AL4" s="3" t="s">
        <v>971</v>
      </c>
      <c r="AM4" s="3" t="s">
        <v>30</v>
      </c>
      <c r="AN4" s="3" t="s">
        <v>220</v>
      </c>
      <c r="AO4" s="3" t="s">
        <v>1361</v>
      </c>
      <c r="AP4" s="3" t="s">
        <v>1362</v>
      </c>
      <c r="AQ4" s="3" t="s">
        <v>1363</v>
      </c>
      <c r="AR4" s="3" t="s">
        <v>30</v>
      </c>
      <c r="AS4" s="3" t="s">
        <v>923</v>
      </c>
      <c r="AT4" s="3" t="s">
        <v>1364</v>
      </c>
      <c r="AU4" s="3" t="s">
        <v>555</v>
      </c>
      <c r="AV4" s="3" t="s">
        <v>1365</v>
      </c>
      <c r="AW4" s="3" t="s">
        <v>1366</v>
      </c>
      <c r="AX4" s="3" t="s">
        <v>915</v>
      </c>
      <c r="AY4" s="3" t="s">
        <v>875</v>
      </c>
      <c r="AZ4" s="3" t="s">
        <v>931</v>
      </c>
      <c r="BA4" s="3" t="s">
        <v>923</v>
      </c>
      <c r="BB4" s="3" t="s">
        <v>880</v>
      </c>
      <c r="BC4" s="3" t="s">
        <v>275</v>
      </c>
      <c r="BD4" s="3" t="s">
        <v>191</v>
      </c>
      <c r="BE4" s="3" t="s">
        <v>85</v>
      </c>
      <c r="BF4" s="3" t="s">
        <v>89</v>
      </c>
      <c r="BG4" s="3" t="s">
        <v>972</v>
      </c>
      <c r="BH4" s="3" t="s">
        <v>925</v>
      </c>
      <c r="BI4" s="3" t="s">
        <v>1367</v>
      </c>
      <c r="BJ4" s="3" t="s">
        <v>915</v>
      </c>
      <c r="BK4" s="3" t="s">
        <v>818</v>
      </c>
      <c r="BL4" s="3" t="s">
        <v>1368</v>
      </c>
      <c r="BM4" s="3" t="s">
        <v>275</v>
      </c>
      <c r="BN4" s="3" t="s">
        <v>30</v>
      </c>
      <c r="BO4" s="3">
        <v>18.559999999999999</v>
      </c>
      <c r="BP4" s="3">
        <v>9.0299999999999994</v>
      </c>
      <c r="BQ4" s="3" t="s">
        <v>30</v>
      </c>
      <c r="BR4" s="3" t="s">
        <v>30</v>
      </c>
      <c r="BS4" s="3" t="s">
        <v>30</v>
      </c>
      <c r="BT4" s="3" t="s">
        <v>707</v>
      </c>
      <c r="BU4" s="3" t="s">
        <v>651</v>
      </c>
      <c r="BV4" s="3">
        <v>33.299999999999997</v>
      </c>
      <c r="BW4" s="3">
        <v>26.06</v>
      </c>
      <c r="BX4" s="3">
        <v>19.29</v>
      </c>
      <c r="BY4" s="3">
        <v>15.48</v>
      </c>
      <c r="BZ4" s="3">
        <v>11.59</v>
      </c>
      <c r="CA4" s="3">
        <v>4.87</v>
      </c>
      <c r="CB4" s="3">
        <v>-1.53</v>
      </c>
      <c r="CC4" s="8">
        <v>-10.44</v>
      </c>
      <c r="CD4" s="9" t="s">
        <v>1369</v>
      </c>
      <c r="CE4" s="8" t="s">
        <v>1370</v>
      </c>
      <c r="CF4" s="8">
        <v>-0.33105802047781568</v>
      </c>
      <c r="CG4" s="8">
        <v>0.96202531645569622</v>
      </c>
      <c r="CH4" s="8">
        <v>-0.67495852708816528</v>
      </c>
      <c r="CI4" s="8">
        <v>0.16184970736503601</v>
      </c>
      <c r="CJ4" s="9">
        <v>0.29184812307357788</v>
      </c>
      <c r="CK4" s="9">
        <v>0.2046477198600769</v>
      </c>
      <c r="CL4" s="9">
        <v>0.29388943314552307</v>
      </c>
      <c r="CM4" s="9">
        <v>-0.4821428656578064</v>
      </c>
      <c r="CN4" s="9">
        <v>1.7722772359848022</v>
      </c>
      <c r="CO4" s="3">
        <v>-0.35256409645080566</v>
      </c>
      <c r="CP4" s="3">
        <v>0.48571428656578064</v>
      </c>
      <c r="CQ4" s="3">
        <v>0.58631837368011475</v>
      </c>
      <c r="CR4" s="8">
        <v>130.19569123443637</v>
      </c>
      <c r="CS4" s="9">
        <v>23.477595780301858</v>
      </c>
      <c r="CT4" s="3">
        <v>0.57025547445255464</v>
      </c>
      <c r="CU4" s="3">
        <v>5.5455291271209718E-2</v>
      </c>
      <c r="CV4" s="3">
        <v>0.40192058682441711</v>
      </c>
      <c r="CW4" s="3">
        <v>0.06</v>
      </c>
      <c r="CX4" s="3">
        <v>123.74179329325914</v>
      </c>
      <c r="CY4" s="3">
        <v>144378318.14558998</v>
      </c>
      <c r="CZ4" s="3">
        <v>5.5455291271209718E-2</v>
      </c>
      <c r="DA4" s="3">
        <v>41.642719394480579</v>
      </c>
      <c r="DB4" s="3">
        <v>429021741.61008209</v>
      </c>
      <c r="DC4" s="3">
        <v>5.2682526707649231E-2</v>
      </c>
      <c r="DD4" s="3">
        <v>21.309481482617453</v>
      </c>
      <c r="DE4" s="3">
        <v>838388865.28390348</v>
      </c>
      <c r="DF4" s="3">
        <v>4.8800656318664551E-2</v>
      </c>
      <c r="DG4" s="3">
        <v>13.358298620465179</v>
      </c>
      <c r="DH4" s="3">
        <v>1337418222.7540188</v>
      </c>
      <c r="DI4" s="3">
        <v>4.4364233016967777E-2</v>
      </c>
      <c r="DJ4" s="3">
        <v>7.5635700472763441</v>
      </c>
      <c r="DK4" s="3">
        <v>2362063402.3788075</v>
      </c>
      <c r="DL4" s="3">
        <v>3.8818703889846803E-2</v>
      </c>
      <c r="DM4" s="3">
        <v>145000000</v>
      </c>
      <c r="DN4" s="3">
        <v>5.5455291271209718E-2</v>
      </c>
      <c r="DO4" s="3">
        <v>17865632000</v>
      </c>
      <c r="DP4" s="3">
        <v>1186886100</v>
      </c>
      <c r="DQ4" s="10">
        <v>515</v>
      </c>
      <c r="DR4" s="3">
        <v>-0.38651331174902542</v>
      </c>
      <c r="DS4" s="3">
        <v>0.56010472963127911</v>
      </c>
      <c r="DT4" s="3">
        <v>-0.27333333333333343</v>
      </c>
      <c r="DU4" s="3">
        <v>0.81666666666666654</v>
      </c>
      <c r="DV4" s="3">
        <v>0.54333333333333311</v>
      </c>
      <c r="DW4" s="3">
        <v>-2.1044</v>
      </c>
      <c r="DX4" s="3">
        <v>0.37965878787878693</v>
      </c>
      <c r="DY4" s="3">
        <v>-2.0145803774545454</v>
      </c>
      <c r="DZ4" s="3">
        <v>318</v>
      </c>
      <c r="EA4" s="3">
        <v>-2.0136730271550256</v>
      </c>
      <c r="EB4" s="11">
        <v>2</v>
      </c>
      <c r="EC4" s="11">
        <v>5.4567132370352829E-2</v>
      </c>
      <c r="ED4" s="3">
        <v>0.39071749940800377</v>
      </c>
      <c r="EE4" s="3">
        <v>18.0002</v>
      </c>
      <c r="EF4" s="3">
        <v>18.041309999999999</v>
      </c>
      <c r="EG4" s="3">
        <v>24.139658787878787</v>
      </c>
      <c r="EH4" s="12" t="s">
        <v>1371</v>
      </c>
      <c r="EI4" s="3">
        <v>0</v>
      </c>
      <c r="EJ4" s="3">
        <v>1</v>
      </c>
      <c r="EK4" s="3">
        <v>45470</v>
      </c>
      <c r="EL4" s="3">
        <v>-1.31</v>
      </c>
      <c r="EM4" s="3">
        <v>-1.74</v>
      </c>
      <c r="EN4" s="13">
        <v>-3.61</v>
      </c>
      <c r="EO4" s="13">
        <v>3.15</v>
      </c>
      <c r="EP4" s="13">
        <v>-4.1500000000000004</v>
      </c>
    </row>
    <row r="5" spans="1:146" ht="96" x14ac:dyDescent="0.25">
      <c r="C5" s="6" t="str">
        <f>""&amp;CHAR(10)&amp;Basic_Fundamental_Information_Constructure(F5)&amp;CHAR(10)&amp;Basic_Fundamental_Information_Concatenate("")</f>
        <v xml:space="preserve">
市值21.880629亿, 利润996.82万; PE74.48; 平均PE1007.64; 平均PEG925.01, PB4.74; ROIC4.8733%; ROE5.1067%; 股利率0%; 毛利17.7833%; 净利3.5667%; 上一年度营收增-57.49%, 利润增-37.93%; 当季营收增-18.48%, 利润增-38.47%; 过往5年营收增-1.09%, 利润增62.14%
Income profile:
</v>
      </c>
      <c r="D5" s="3" t="s">
        <v>69</v>
      </c>
      <c r="E5" s="3" t="s">
        <v>29</v>
      </c>
      <c r="F5" s="3">
        <v>8.9</v>
      </c>
      <c r="G5" s="3">
        <v>-5.52</v>
      </c>
      <c r="H5" s="3" t="s">
        <v>1372</v>
      </c>
      <c r="I5" s="3">
        <v>2188062900</v>
      </c>
      <c r="J5" s="3">
        <v>74.48</v>
      </c>
      <c r="K5" s="3">
        <v>4.74</v>
      </c>
      <c r="L5" s="3" t="s">
        <v>1310</v>
      </c>
      <c r="M5" s="3" t="s">
        <v>687</v>
      </c>
      <c r="N5" s="3" t="s">
        <v>1373</v>
      </c>
      <c r="O5" s="3" t="s">
        <v>300</v>
      </c>
      <c r="P5" s="3">
        <v>70.42</v>
      </c>
      <c r="Q5" s="3" t="s">
        <v>300</v>
      </c>
      <c r="R5" s="3">
        <v>9968228</v>
      </c>
      <c r="S5" s="4">
        <v>0.42070000000000002</v>
      </c>
      <c r="T5" s="3" t="s">
        <v>1374</v>
      </c>
      <c r="U5" s="3">
        <v>245849770</v>
      </c>
      <c r="V5" s="3">
        <v>245849770</v>
      </c>
      <c r="W5" s="3">
        <v>2.08</v>
      </c>
      <c r="X5" s="3">
        <v>0.16</v>
      </c>
      <c r="Y5" s="3">
        <v>5.42</v>
      </c>
      <c r="Z5" s="3" t="s">
        <v>1375</v>
      </c>
      <c r="AA5" s="3" t="s">
        <v>304</v>
      </c>
      <c r="AB5" s="3" t="s">
        <v>1376</v>
      </c>
      <c r="AC5" s="3" t="s">
        <v>1377</v>
      </c>
      <c r="AD5" s="3" t="s">
        <v>30</v>
      </c>
      <c r="AE5" s="3">
        <v>679592</v>
      </c>
      <c r="AF5" s="3" t="s">
        <v>975</v>
      </c>
      <c r="AG5" s="3">
        <v>4540.76</v>
      </c>
      <c r="AH5" s="3" t="s">
        <v>976</v>
      </c>
      <c r="AI5" s="3" t="s">
        <v>1378</v>
      </c>
      <c r="AJ5" s="3" t="s">
        <v>977</v>
      </c>
      <c r="AK5" s="3" t="s">
        <v>1379</v>
      </c>
      <c r="AL5" s="3" t="s">
        <v>978</v>
      </c>
      <c r="AM5" s="3" t="s">
        <v>30</v>
      </c>
      <c r="AN5" s="3" t="s">
        <v>392</v>
      </c>
      <c r="AO5" s="3" t="s">
        <v>1380</v>
      </c>
      <c r="AP5" s="3" t="s">
        <v>1381</v>
      </c>
      <c r="AQ5" s="3" t="s">
        <v>83</v>
      </c>
      <c r="AR5" s="3" t="s">
        <v>30</v>
      </c>
      <c r="AS5" s="3" t="s">
        <v>884</v>
      </c>
      <c r="AT5" s="3" t="s">
        <v>308</v>
      </c>
      <c r="AU5" s="3" t="s">
        <v>1382</v>
      </c>
      <c r="AV5" s="3" t="s">
        <v>1383</v>
      </c>
      <c r="AW5" s="3" t="s">
        <v>1384</v>
      </c>
      <c r="AX5" s="3" t="s">
        <v>346</v>
      </c>
      <c r="AY5" s="3" t="s">
        <v>519</v>
      </c>
      <c r="AZ5" s="3" t="s">
        <v>157</v>
      </c>
      <c r="BA5" s="3" t="s">
        <v>163</v>
      </c>
      <c r="BB5" s="3" t="s">
        <v>257</v>
      </c>
      <c r="BC5" s="3" t="s">
        <v>810</v>
      </c>
      <c r="BD5" s="3" t="s">
        <v>811</v>
      </c>
      <c r="BE5" s="3" t="s">
        <v>313</v>
      </c>
      <c r="BF5" s="3" t="s">
        <v>216</v>
      </c>
      <c r="BG5" s="3" t="s">
        <v>314</v>
      </c>
      <c r="BH5" s="3" t="s">
        <v>627</v>
      </c>
      <c r="BI5" s="3" t="s">
        <v>136</v>
      </c>
      <c r="BJ5" s="3" t="s">
        <v>346</v>
      </c>
      <c r="BK5" s="3" t="s">
        <v>974</v>
      </c>
      <c r="BL5" s="3" t="s">
        <v>1385</v>
      </c>
      <c r="BM5" s="3" t="s">
        <v>810</v>
      </c>
      <c r="BN5" s="3">
        <v>4.96</v>
      </c>
      <c r="BO5" s="3">
        <v>3.42</v>
      </c>
      <c r="BP5" s="3">
        <v>6.24</v>
      </c>
      <c r="BQ5" s="3">
        <v>5.09</v>
      </c>
      <c r="BR5" s="3">
        <v>3.7</v>
      </c>
      <c r="BS5" s="3">
        <v>6.53</v>
      </c>
      <c r="BT5" s="3" t="s">
        <v>700</v>
      </c>
      <c r="BU5" s="3" t="s">
        <v>651</v>
      </c>
      <c r="BV5" s="3">
        <v>22.21</v>
      </c>
      <c r="BW5" s="3">
        <v>15.73</v>
      </c>
      <c r="BX5" s="3">
        <v>15.41</v>
      </c>
      <c r="BY5" s="3">
        <v>4.0599999999999996</v>
      </c>
      <c r="BZ5" s="3">
        <v>2.77</v>
      </c>
      <c r="CA5" s="3">
        <v>3.87</v>
      </c>
      <c r="CB5" s="3">
        <v>-4.6100000000000003</v>
      </c>
      <c r="CC5" s="3">
        <v>9.34</v>
      </c>
      <c r="CD5" s="3" t="s">
        <v>204</v>
      </c>
      <c r="CE5" s="3" t="s">
        <v>1386</v>
      </c>
      <c r="CF5" s="8">
        <v>-0.18481848184818472</v>
      </c>
      <c r="CG5" s="9">
        <v>-0.38473045539274392</v>
      </c>
      <c r="CH5" s="8">
        <v>-0.57487088441848755</v>
      </c>
      <c r="CI5" s="8">
        <v>-0.17000000178813934</v>
      </c>
      <c r="CJ5" s="8">
        <v>0.52838426828384399</v>
      </c>
      <c r="CK5" s="8">
        <v>9.5693781971931458E-2</v>
      </c>
      <c r="CL5" s="8">
        <v>6.6326528787612915E-2</v>
      </c>
      <c r="CM5" s="9">
        <v>-0.37927255034446716</v>
      </c>
      <c r="CN5" s="9">
        <v>-0.40711656212806702</v>
      </c>
      <c r="CO5" s="9">
        <v>3.1662590503692627</v>
      </c>
      <c r="CP5" s="9">
        <v>-0.48693525791168213</v>
      </c>
      <c r="CQ5" s="9">
        <v>1.213839054107666</v>
      </c>
      <c r="CR5" s="3">
        <v>1007.6428681075771</v>
      </c>
      <c r="CS5" s="3">
        <v>925.0148583486814</v>
      </c>
      <c r="CT5" s="3">
        <v>0</v>
      </c>
      <c r="CU5" s="8">
        <v>-1.0893261432647705E-2</v>
      </c>
      <c r="CV5" s="9">
        <v>0.62135474681854252</v>
      </c>
      <c r="CW5" s="3">
        <v>0.06</v>
      </c>
      <c r="CX5" s="3">
        <v>222.11260809373809</v>
      </c>
      <c r="CY5" s="3" t="s">
        <v>1387</v>
      </c>
      <c r="CZ5" s="3">
        <v>-1.0893261432647705E-2</v>
      </c>
      <c r="DA5" s="3">
        <v>74.037536031246034</v>
      </c>
      <c r="DB5" s="3" t="s">
        <v>1388</v>
      </c>
      <c r="DC5" s="3">
        <v>-1.0348598361015319E-2</v>
      </c>
      <c r="DD5" s="3">
        <v>37.018768015623017</v>
      </c>
      <c r="DE5" s="3" t="s">
        <v>1389</v>
      </c>
      <c r="DF5" s="3">
        <v>-9.5860700607299804E-3</v>
      </c>
      <c r="DG5" s="3">
        <v>22.211260809373808</v>
      </c>
      <c r="DH5" s="3" t="s">
        <v>1390</v>
      </c>
      <c r="DI5" s="3">
        <v>-8.7146091461181643E-3</v>
      </c>
      <c r="DJ5" s="3">
        <v>11.105630404686904</v>
      </c>
      <c r="DK5" s="3" t="s">
        <v>1391</v>
      </c>
      <c r="DL5" s="3">
        <v>-7.6252830028533929E-3</v>
      </c>
      <c r="DM5" s="3">
        <v>9968200</v>
      </c>
      <c r="DN5" s="3">
        <v>-1.0893261432647705E-2</v>
      </c>
      <c r="DO5" s="3">
        <v>2214062900</v>
      </c>
      <c r="DP5" s="3">
        <v>-30931460</v>
      </c>
      <c r="DQ5" s="3">
        <v>646</v>
      </c>
      <c r="DR5" s="3">
        <v>-0.17392522041553701</v>
      </c>
      <c r="DS5" s="3">
        <v>-1.0060852022112865</v>
      </c>
      <c r="DT5" s="10">
        <v>-0.62333333333333341</v>
      </c>
      <c r="DU5" s="3">
        <v>-8.5000000000000006E-2</v>
      </c>
      <c r="DV5" s="3">
        <v>-0.70833333333333337</v>
      </c>
      <c r="DW5" s="3">
        <v>-6.3304659498207885</v>
      </c>
      <c r="DX5" s="3">
        <v>0.39760330578512526</v>
      </c>
      <c r="DY5" s="3">
        <v>-6.0785198021268405</v>
      </c>
      <c r="DZ5" s="3">
        <v>782</v>
      </c>
      <c r="EA5" s="3">
        <v>-6.0665036601966662</v>
      </c>
      <c r="EB5" s="3">
        <v>6</v>
      </c>
      <c r="EC5" s="3">
        <v>0.46776533490350625</v>
      </c>
      <c r="ED5" s="3">
        <v>1.9686819312460613</v>
      </c>
      <c r="EE5" s="11">
        <v>-1.0196000000000001</v>
      </c>
      <c r="EF5" s="3">
        <v>-1.0401100000000001</v>
      </c>
      <c r="EG5" s="3">
        <v>16.237603305785125</v>
      </c>
      <c r="EH5" s="3" t="s">
        <v>711</v>
      </c>
      <c r="EI5" s="3">
        <v>0</v>
      </c>
      <c r="EJ5" s="3">
        <v>1</v>
      </c>
      <c r="EK5" s="12">
        <v>45470</v>
      </c>
      <c r="EL5" s="13">
        <v>2.88</v>
      </c>
      <c r="EM5" s="13">
        <v>10.02</v>
      </c>
      <c r="EN5" s="13">
        <v>-4.7699999999999996</v>
      </c>
      <c r="EO5" s="13">
        <v>10.01</v>
      </c>
      <c r="EP5" s="13">
        <v>-5.97</v>
      </c>
    </row>
    <row r="6" spans="1:146" ht="96" x14ac:dyDescent="0.25">
      <c r="C6" s="6" t="str">
        <f>""&amp;CHAR(10)&amp;Basic_Fundamental_Information_Constructure(F6)&amp;CHAR(10)&amp;Basic_Fundamental_Information_Concatenate("")</f>
        <v xml:space="preserve">
市值199.96695亿, 利润1.70亿; PE27.39; 平均PE42; 平均PEG71.5, PB3.42; ROIC8.6733%; ROE10.4933%; 股利率1.2097%; 毛利34.4667%; 净利15.2133%; 上一年度营收增-70.29%, 利润增-60.74%; 当季营收增-46.01%, 利润增-33.53%; 过往5年营收增-.59%, 利润增-8.38%
Income profile:
</v>
      </c>
      <c r="D6" s="3" t="s">
        <v>48</v>
      </c>
      <c r="E6" s="3" t="s">
        <v>13</v>
      </c>
      <c r="F6" s="3">
        <v>24.8</v>
      </c>
      <c r="G6" s="3">
        <v>-1.39</v>
      </c>
      <c r="H6" s="3" t="s">
        <v>1392</v>
      </c>
      <c r="I6" s="3">
        <v>19996695000</v>
      </c>
      <c r="J6" s="3">
        <v>27.39</v>
      </c>
      <c r="K6" s="3">
        <v>3.42</v>
      </c>
      <c r="L6" s="3" t="s">
        <v>1310</v>
      </c>
      <c r="M6" s="3" t="s">
        <v>979</v>
      </c>
      <c r="N6" s="3" t="s">
        <v>1393</v>
      </c>
      <c r="O6" s="3" t="s">
        <v>980</v>
      </c>
      <c r="P6" s="3">
        <v>22.86</v>
      </c>
      <c r="Q6" s="3" t="s">
        <v>980</v>
      </c>
      <c r="R6" s="3">
        <v>170164150</v>
      </c>
      <c r="S6" s="4">
        <v>1.113</v>
      </c>
      <c r="T6" s="3" t="s">
        <v>374</v>
      </c>
      <c r="U6" s="3">
        <v>756508620</v>
      </c>
      <c r="V6" s="3">
        <v>806318350</v>
      </c>
      <c r="W6" s="3">
        <v>1.93</v>
      </c>
      <c r="X6" s="3">
        <v>0.1</v>
      </c>
      <c r="Y6" s="3">
        <v>15.65</v>
      </c>
      <c r="Z6" s="3" t="s">
        <v>1394</v>
      </c>
      <c r="AA6" s="3" t="s">
        <v>1395</v>
      </c>
      <c r="AB6" s="3" t="s">
        <v>1396</v>
      </c>
      <c r="AC6" s="3" t="s">
        <v>1397</v>
      </c>
      <c r="AD6" s="3" t="s">
        <v>30</v>
      </c>
      <c r="AE6" s="3">
        <v>23551483</v>
      </c>
      <c r="AF6" s="3" t="s">
        <v>981</v>
      </c>
      <c r="AG6" s="3" t="s">
        <v>1398</v>
      </c>
      <c r="AH6" s="3" t="s">
        <v>982</v>
      </c>
      <c r="AI6" s="3" t="s">
        <v>253</v>
      </c>
      <c r="AJ6" s="3" t="s">
        <v>983</v>
      </c>
      <c r="AK6" s="3" t="s">
        <v>1399</v>
      </c>
      <c r="AL6" s="3" t="s">
        <v>984</v>
      </c>
      <c r="AM6" s="3" t="s">
        <v>30</v>
      </c>
      <c r="AN6" s="3" t="s">
        <v>1400</v>
      </c>
      <c r="AO6" s="3" t="s">
        <v>1401</v>
      </c>
      <c r="AP6" s="3" t="s">
        <v>1402</v>
      </c>
      <c r="AQ6" s="3" t="s">
        <v>877</v>
      </c>
      <c r="AR6" s="3" t="s">
        <v>30</v>
      </c>
      <c r="AS6" s="3" t="s">
        <v>1403</v>
      </c>
      <c r="AT6" s="3" t="s">
        <v>1404</v>
      </c>
      <c r="AU6" s="3" t="s">
        <v>196</v>
      </c>
      <c r="AV6" s="3" t="s">
        <v>1405</v>
      </c>
      <c r="AW6" s="3" t="s">
        <v>1406</v>
      </c>
      <c r="AX6" s="3" t="s">
        <v>812</v>
      </c>
      <c r="AY6" s="3" t="s">
        <v>543</v>
      </c>
      <c r="AZ6" s="3" t="s">
        <v>315</v>
      </c>
      <c r="BA6" s="3" t="s">
        <v>177</v>
      </c>
      <c r="BB6" s="3" t="s">
        <v>317</v>
      </c>
      <c r="BC6" s="3" t="s">
        <v>656</v>
      </c>
      <c r="BD6" s="3" t="s">
        <v>544</v>
      </c>
      <c r="BE6" s="3" t="s">
        <v>316</v>
      </c>
      <c r="BF6" s="3" t="s">
        <v>87</v>
      </c>
      <c r="BG6" s="3" t="s">
        <v>134</v>
      </c>
      <c r="BH6" s="3" t="s">
        <v>524</v>
      </c>
      <c r="BI6" s="3" t="s">
        <v>1407</v>
      </c>
      <c r="BJ6" s="3" t="s">
        <v>812</v>
      </c>
      <c r="BK6" s="3" t="s">
        <v>489</v>
      </c>
      <c r="BL6" s="3" t="s">
        <v>230</v>
      </c>
      <c r="BM6" s="3" t="s">
        <v>656</v>
      </c>
      <c r="BN6" s="3">
        <v>6.15</v>
      </c>
      <c r="BO6" s="3">
        <v>7.06</v>
      </c>
      <c r="BP6" s="3">
        <v>12.81</v>
      </c>
      <c r="BQ6" s="3">
        <v>8.42</v>
      </c>
      <c r="BR6" s="3">
        <v>7.89</v>
      </c>
      <c r="BS6" s="3">
        <v>15.17</v>
      </c>
      <c r="BT6" s="3" t="s">
        <v>702</v>
      </c>
      <c r="BU6" s="3" t="s">
        <v>650</v>
      </c>
      <c r="BV6" s="3">
        <v>35.35</v>
      </c>
      <c r="BW6" s="3">
        <v>33</v>
      </c>
      <c r="BX6" s="3">
        <v>35.049999999999997</v>
      </c>
      <c r="BY6" s="3">
        <v>14.68</v>
      </c>
      <c r="BZ6" s="3">
        <v>12.39</v>
      </c>
      <c r="CA6" s="3">
        <v>18.57</v>
      </c>
      <c r="CB6" s="3">
        <v>-9.69</v>
      </c>
      <c r="CC6" s="3">
        <v>-0.72</v>
      </c>
      <c r="CD6" s="3" t="s">
        <v>1408</v>
      </c>
      <c r="CE6" s="3" t="s">
        <v>836</v>
      </c>
      <c r="CF6" s="8">
        <v>-0.46012006861063465</v>
      </c>
      <c r="CG6" s="9">
        <v>-0.33529628906249997</v>
      </c>
      <c r="CH6" s="8">
        <v>-0.7029259204864502</v>
      </c>
      <c r="CI6" s="8">
        <v>-7.4065938591957092E-2</v>
      </c>
      <c r="CJ6" s="8">
        <v>0.31636467576026917</v>
      </c>
      <c r="CK6" s="8">
        <v>0.29112514853477478</v>
      </c>
      <c r="CL6" s="8">
        <v>0.1401355117559433</v>
      </c>
      <c r="CM6" s="9">
        <v>-0.60739028453826904</v>
      </c>
      <c r="CN6" s="9">
        <v>-0.44840764999389648</v>
      </c>
      <c r="CO6" s="9">
        <v>0.33503401279449463</v>
      </c>
      <c r="CP6" s="9">
        <v>0.46268656849861145</v>
      </c>
      <c r="CQ6" s="9">
        <v>-0.16075156629085541</v>
      </c>
      <c r="CR6" s="3">
        <v>41.995159257962897</v>
      </c>
      <c r="CS6" s="3">
        <v>71.501755959926328</v>
      </c>
      <c r="CT6" s="3">
        <v>1.2096774193548387</v>
      </c>
      <c r="CU6" s="8">
        <v>-5.8733046054840086E-3</v>
      </c>
      <c r="CV6" s="9">
        <v>-8.3765783905982966E-2</v>
      </c>
      <c r="CW6" s="3">
        <v>0.06</v>
      </c>
      <c r="CX6" s="3">
        <v>115.01585294117648</v>
      </c>
      <c r="CY6" s="3" t="s">
        <v>1409</v>
      </c>
      <c r="CZ6" s="3">
        <v>-5.8733046054840086E-3</v>
      </c>
      <c r="DA6" s="3">
        <v>38.338617647058825</v>
      </c>
      <c r="DB6" s="3" t="s">
        <v>1410</v>
      </c>
      <c r="DC6" s="3">
        <v>-5.5796393752098076E-3</v>
      </c>
      <c r="DD6" s="3">
        <v>19.169308823529413</v>
      </c>
      <c r="DE6" s="3" t="s">
        <v>1411</v>
      </c>
      <c r="DF6" s="3">
        <v>-5.1685080528259273E-3</v>
      </c>
      <c r="DG6" s="3">
        <v>11.501585294117646</v>
      </c>
      <c r="DH6" s="3" t="s">
        <v>1412</v>
      </c>
      <c r="DI6" s="3">
        <v>-4.6986436843872072E-3</v>
      </c>
      <c r="DJ6" s="3">
        <v>5.7507926470588231</v>
      </c>
      <c r="DK6" s="3" t="s">
        <v>1413</v>
      </c>
      <c r="DL6" s="3">
        <v>-4.1113132238388061E-3</v>
      </c>
      <c r="DM6" s="3">
        <v>170000000</v>
      </c>
      <c r="DN6" s="3">
        <v>-5.8733046054840086E-3</v>
      </c>
      <c r="DO6" s="3">
        <v>19552695000</v>
      </c>
      <c r="DP6" s="3">
        <v>1561615900</v>
      </c>
      <c r="DQ6" s="3">
        <v>650</v>
      </c>
      <c r="DR6" s="3">
        <v>-0.45424676400515063</v>
      </c>
      <c r="DS6" s="3">
        <v>-0.25153050515651698</v>
      </c>
      <c r="DT6" s="10">
        <v>-0.52333333333333332</v>
      </c>
      <c r="DU6" s="3">
        <v>-0.55333333333333334</v>
      </c>
      <c r="DV6" s="3">
        <v>-1.0766666666666667</v>
      </c>
      <c r="DW6" s="3">
        <v>-5.0743034055727554</v>
      </c>
      <c r="DX6" s="3">
        <v>0.39963389021479712</v>
      </c>
      <c r="DY6" s="3">
        <v>-5.0126043757435141</v>
      </c>
      <c r="DZ6" s="3">
        <v>1378</v>
      </c>
      <c r="EA6" s="3">
        <v>-5.0092053875293141</v>
      </c>
      <c r="EB6" s="3">
        <v>5</v>
      </c>
      <c r="EC6" s="3">
        <v>8.8149550360598891E-2</v>
      </c>
      <c r="ED6" s="3">
        <v>0.51964586940133517</v>
      </c>
      <c r="EE6" s="11">
        <v>2.6109999999999998E-2</v>
      </c>
      <c r="EF6" s="3">
        <v>3.3110000000000007E-2</v>
      </c>
      <c r="EG6" s="3">
        <v>23.169633890214797</v>
      </c>
      <c r="EH6" s="3">
        <v>-1</v>
      </c>
      <c r="EI6" s="3">
        <v>0</v>
      </c>
      <c r="EJ6" s="3">
        <v>1</v>
      </c>
      <c r="EK6" s="12">
        <v>45470</v>
      </c>
      <c r="EL6" s="13">
        <v>-7.0000000000000007E-2</v>
      </c>
      <c r="EM6" s="13">
        <v>-0.48</v>
      </c>
      <c r="EN6" s="13">
        <v>-1.84</v>
      </c>
      <c r="EO6" s="13">
        <v>1.58</v>
      </c>
      <c r="EP6" s="13">
        <v>-0.7</v>
      </c>
    </row>
    <row r="7" spans="1:146" ht="144" x14ac:dyDescent="0.25">
      <c r="A7" s="6" t="s">
        <v>484</v>
      </c>
      <c r="B7" s="6" t="s">
        <v>698</v>
      </c>
      <c r="C7" s="6" t="str">
        <f>"公司专业从事石英晶体元器件的研发、生产和销售，主要经营产品包括谐振器、振荡器等石英晶体元器件。公司产品有谐振器、振荡器、电容、供应链服务。"&amp;CHAR(10)&amp;Basic_Fundamental_Information_Constructure(F7)&amp;CHAR(10)&amp;Basic_Fundamental_Information_Concatenate("电路板 4.81亿 37.63%（毛利9.29%）
铜箔 4.76亿 37.28%（毛利32.01%）
覆铜板 2.74亿 21.44%（毛利14.31%）")</f>
        <v>公司专业从事石英晶体元器件的研发、生产和销售，主要经营产品包括谐振器、振荡器等石英晶体元器件。公司产品有谐振器、振荡器、电容、供应链服务。
市值14.460476亿, 利润-1776.30万; PE; 平均PE-77.61; 平均PEG-6.81, PB5.09; ROIC0%; ROE-7.52%; 股利率0%; 毛利12.32%; 净利-22.2233%; 上一年度营收增-75.97%, 利润增74.3%; 当季营收增-50.13%, 利润增30.23%; 过往5年营收增-11.4%, 利润增22.31%
Income profile:
电路板 4.81亿 37.63%（毛利9.29%）
铜箔 4.76亿 37.28%（毛利32.01%）
覆铜板 2.74亿 21.44%（毛利14.31%）</v>
      </c>
      <c r="D7" s="3" t="s">
        <v>70</v>
      </c>
      <c r="E7" s="3" t="s">
        <v>28</v>
      </c>
      <c r="F7" s="3">
        <v>5.94</v>
      </c>
      <c r="G7" s="3">
        <v>0.51</v>
      </c>
      <c r="H7" s="3" t="s">
        <v>1414</v>
      </c>
      <c r="I7" s="3">
        <v>1446047600</v>
      </c>
      <c r="K7" s="3">
        <v>5.09</v>
      </c>
      <c r="L7" s="3" t="s">
        <v>1310</v>
      </c>
      <c r="M7" s="3" t="s">
        <v>321</v>
      </c>
      <c r="N7" s="3" t="s">
        <v>1415</v>
      </c>
      <c r="O7" s="3" t="s">
        <v>985</v>
      </c>
      <c r="P7" s="3">
        <v>12.31</v>
      </c>
      <c r="Q7" s="3" t="s">
        <v>985</v>
      </c>
      <c r="R7" s="3">
        <v>-17763012</v>
      </c>
      <c r="S7" s="4">
        <v>-0.2757</v>
      </c>
      <c r="T7" s="3" t="s">
        <v>1416</v>
      </c>
      <c r="U7" s="3">
        <v>243442360</v>
      </c>
      <c r="V7" s="3">
        <v>243442360</v>
      </c>
      <c r="W7" s="3">
        <v>1.78</v>
      </c>
      <c r="X7" s="3">
        <v>0.09</v>
      </c>
      <c r="Y7" s="3">
        <v>-40.840000000000003</v>
      </c>
      <c r="Z7" s="3" t="s">
        <v>1417</v>
      </c>
      <c r="AA7" s="3" t="s">
        <v>1418</v>
      </c>
      <c r="AB7" s="3" t="s">
        <v>1419</v>
      </c>
      <c r="AC7" s="3" t="s">
        <v>1420</v>
      </c>
      <c r="AD7" s="3" t="s">
        <v>30</v>
      </c>
      <c r="AE7" s="3">
        <v>894923</v>
      </c>
      <c r="AF7" s="3" t="s">
        <v>987</v>
      </c>
      <c r="AG7" s="3">
        <v>960</v>
      </c>
      <c r="AH7" s="3" t="s">
        <v>988</v>
      </c>
      <c r="AI7" s="3" t="s">
        <v>1421</v>
      </c>
      <c r="AJ7" s="3" t="s">
        <v>989</v>
      </c>
      <c r="AK7" s="3" t="s">
        <v>1422</v>
      </c>
      <c r="AL7" s="3" t="s">
        <v>990</v>
      </c>
      <c r="AM7" s="3" t="s">
        <v>30</v>
      </c>
      <c r="AN7" s="3" t="s">
        <v>1423</v>
      </c>
      <c r="AO7" s="3" t="s">
        <v>1424</v>
      </c>
      <c r="AP7" s="3" t="s">
        <v>30</v>
      </c>
      <c r="AQ7" s="3" t="s">
        <v>1425</v>
      </c>
      <c r="AR7" s="3" t="s">
        <v>30</v>
      </c>
      <c r="AS7" s="3" t="s">
        <v>137</v>
      </c>
      <c r="AT7" s="3" t="s">
        <v>1426</v>
      </c>
      <c r="AU7" s="3" t="s">
        <v>1427</v>
      </c>
      <c r="AV7" s="3" t="s">
        <v>1428</v>
      </c>
      <c r="AW7" s="3" t="s">
        <v>1429</v>
      </c>
      <c r="AX7" s="3" t="s">
        <v>154</v>
      </c>
      <c r="AY7" s="3" t="s">
        <v>115</v>
      </c>
      <c r="AZ7" s="3" t="s">
        <v>260</v>
      </c>
      <c r="BA7" s="3" t="s">
        <v>108</v>
      </c>
      <c r="BB7" s="3" t="s">
        <v>103</v>
      </c>
      <c r="BC7" s="3" t="s">
        <v>813</v>
      </c>
      <c r="BD7" s="3" t="s">
        <v>546</v>
      </c>
      <c r="BE7" s="3" t="s">
        <v>323</v>
      </c>
      <c r="BF7" s="3" t="s">
        <v>219</v>
      </c>
      <c r="BG7" s="3" t="s">
        <v>324</v>
      </c>
      <c r="BH7" s="3" t="s">
        <v>251</v>
      </c>
      <c r="BI7" s="3" t="s">
        <v>1430</v>
      </c>
      <c r="BJ7" s="3" t="s">
        <v>154</v>
      </c>
      <c r="BK7" s="3" t="s">
        <v>986</v>
      </c>
      <c r="BL7" s="3" t="s">
        <v>1431</v>
      </c>
      <c r="BM7" s="3" t="s">
        <v>813</v>
      </c>
      <c r="BN7" s="3" t="s">
        <v>30</v>
      </c>
      <c r="BO7" s="3" t="s">
        <v>30</v>
      </c>
      <c r="BP7" s="3" t="s">
        <v>30</v>
      </c>
      <c r="BQ7" s="3">
        <v>-12.69</v>
      </c>
      <c r="BR7" s="3">
        <v>-17.239999999999998</v>
      </c>
      <c r="BS7" s="3">
        <v>7.37</v>
      </c>
      <c r="BT7" s="3" t="s">
        <v>700</v>
      </c>
      <c r="BU7" s="3" t="s">
        <v>650</v>
      </c>
      <c r="BV7" s="3">
        <v>6.01</v>
      </c>
      <c r="BW7" s="3">
        <v>9.14</v>
      </c>
      <c r="BX7" s="3">
        <v>21.81</v>
      </c>
      <c r="BY7" s="3">
        <v>-38.47</v>
      </c>
      <c r="BZ7" s="3">
        <v>-38.33</v>
      </c>
      <c r="CA7" s="3">
        <v>10.130000000000001</v>
      </c>
      <c r="CB7" s="3">
        <v>-10.54</v>
      </c>
      <c r="CC7" s="3">
        <v>5.88</v>
      </c>
      <c r="CD7" s="3" t="s">
        <v>117</v>
      </c>
      <c r="CE7" s="3" t="s">
        <v>451</v>
      </c>
      <c r="CF7" s="8">
        <v>-0.50130946483937855</v>
      </c>
      <c r="CG7" s="9">
        <v>0.30228400395933824</v>
      </c>
      <c r="CH7" s="8">
        <v>-0.75971609354019165</v>
      </c>
      <c r="CI7" s="8">
        <v>-0.40460526943206787</v>
      </c>
      <c r="CJ7" s="8">
        <v>0.16030533611774445</v>
      </c>
      <c r="CK7" s="8">
        <v>0.24761904776096344</v>
      </c>
      <c r="CL7" s="8">
        <v>0.18644067645072937</v>
      </c>
      <c r="CM7" s="9">
        <v>0.74296903610229492</v>
      </c>
      <c r="CN7" s="9">
        <v>-3.2337346076965332</v>
      </c>
      <c r="CO7" s="9">
        <v>2.879192590713501</v>
      </c>
      <c r="CP7" s="9">
        <v>-0.46087443828582764</v>
      </c>
      <c r="CQ7" s="9">
        <v>1.1881422996520996</v>
      </c>
      <c r="CR7" s="3">
        <v>-77.610414982002425</v>
      </c>
      <c r="CS7" s="3">
        <v>-6.8084530886080037</v>
      </c>
      <c r="CT7" s="3">
        <v>0</v>
      </c>
      <c r="CU7" s="8">
        <v>-0.11399126052856445</v>
      </c>
      <c r="CV7" s="9">
        <v>0.22313897609710692</v>
      </c>
      <c r="CW7" s="3">
        <v>0.06</v>
      </c>
      <c r="CX7" s="3" t="e">
        <v>#VALUE!</v>
      </c>
      <c r="CY7" s="3" t="s">
        <v>612</v>
      </c>
      <c r="CZ7" s="3">
        <v>-0.11399126052856445</v>
      </c>
      <c r="DA7" s="3" t="e">
        <v>#VALUE!</v>
      </c>
      <c r="DB7" s="3" t="s">
        <v>613</v>
      </c>
      <c r="DC7" s="3">
        <v>-0.10829169750213623</v>
      </c>
      <c r="DD7" s="3" t="e">
        <v>#VALUE!</v>
      </c>
      <c r="DE7" s="3" t="s">
        <v>613</v>
      </c>
      <c r="DF7" s="3">
        <v>-0.10031230926513672</v>
      </c>
      <c r="DG7" s="3" t="e">
        <v>#VALUE!</v>
      </c>
      <c r="DH7" s="3" t="s">
        <v>613</v>
      </c>
      <c r="DI7" s="3">
        <v>-9.1193008422851565E-2</v>
      </c>
      <c r="DJ7" s="3" t="e">
        <v>#VALUE!</v>
      </c>
      <c r="DK7" s="3" t="s">
        <v>613</v>
      </c>
      <c r="DL7" s="3">
        <v>-7.9793882369995114E-2</v>
      </c>
      <c r="DM7" s="3">
        <v>-17763000</v>
      </c>
      <c r="DN7" s="3">
        <v>-0.11399126052856445</v>
      </c>
      <c r="DO7" s="3">
        <v>1378047600</v>
      </c>
      <c r="DP7" s="3">
        <v>52297990</v>
      </c>
      <c r="DQ7" s="3">
        <v>709</v>
      </c>
      <c r="DR7" s="3">
        <v>-0.3873182043108141</v>
      </c>
      <c r="DS7" s="3">
        <v>7.9145027862231321E-2</v>
      </c>
      <c r="DT7" s="10">
        <v>-0.57333333333333336</v>
      </c>
      <c r="DU7" s="3">
        <v>-0.63500000000000001</v>
      </c>
      <c r="DV7" s="3">
        <v>-1.2083333333333335</v>
      </c>
      <c r="DW7" s="3">
        <v>-5.5578747628083489</v>
      </c>
      <c r="DX7" s="3">
        <v>0.33448856799037319</v>
      </c>
      <c r="DY7" s="3">
        <v>-5.0973427684803978</v>
      </c>
      <c r="DZ7" s="3">
        <v>4164</v>
      </c>
      <c r="EA7" s="3">
        <v>-5.0180207943214201</v>
      </c>
      <c r="EB7" s="3">
        <v>5</v>
      </c>
      <c r="EC7" s="3">
        <v>0.59562353897653642</v>
      </c>
      <c r="ED7" s="3">
        <v>3.4135390406172532</v>
      </c>
      <c r="EE7" s="11">
        <v>-2.0154999999999998</v>
      </c>
      <c r="EF7" s="3">
        <v>-2.0516100000000002</v>
      </c>
      <c r="EG7" s="3">
        <v>16.174488567990373</v>
      </c>
      <c r="EH7" s="3" t="s">
        <v>714</v>
      </c>
      <c r="EI7" s="3">
        <v>0</v>
      </c>
      <c r="EJ7" s="3">
        <v>0</v>
      </c>
      <c r="EK7" s="12">
        <v>45470</v>
      </c>
      <c r="EL7" s="13">
        <v>-9.98</v>
      </c>
      <c r="EM7" s="13">
        <v>-10</v>
      </c>
      <c r="EN7" s="13">
        <v>-9.77</v>
      </c>
      <c r="EO7" s="13">
        <v>3.86</v>
      </c>
      <c r="EP7" s="13">
        <v>-6.71</v>
      </c>
    </row>
    <row r="8" spans="1:146" ht="168" x14ac:dyDescent="0.25">
      <c r="A8" s="6" t="s">
        <v>624</v>
      </c>
      <c r="B8" s="6" t="s">
        <v>625</v>
      </c>
      <c r="C8" s="6" t="str">
        <f>"公司主要从事高精度电子铜箔、各类覆铜板等电子基材和印制电路板（PCB）的研发、生产和销售。主要产品有高精度电子铜箔、覆铜板、印制电路板。"&amp;CHAR(10)&amp;Basic_Fundamental_Information_Constructure(F8)&amp;CHAR(10)&amp;Basic_Fundamental_Information_Concatenate("铜箔 15.39亿 62.23% 85.08% 22.55%
印制电路板 5.28亿 21.35% 8.34% 6.45%
覆铜箔板 3.43亿 13.88% 6.58% 7.82%
其他 4501.60万 1.82%
半固化片 1778.43万 0.72%")</f>
        <v>公司主要从事高精度电子铜箔、各类覆铜板等电子基材和印制电路板（PCB）的研发、生产和销售。主要产品有高精度电子铜箔、覆铜板、印制电路板。
市值3.4470819亿, 利润-2235.09万; PE; 平均PE-9.76; 平均PEG-1.17, PB.45; ROIC5.26%; ROE-5.96%; 股利率0%; 毛利3.0667%; 净利-32.6433%; 上一年度营收增-96.68%, 利润增93.35%; 当季营收增-90.98%, 利润增-342.22%; 过往5年营收增-8.36%, 利润增-53.92%
Income profile:
铜箔 15.39亿 62.23% 85.08% 22.55%
印制电路板 5.28亿 21.35% 8.34% 6.45%
覆铜箔板 3.43亿 13.88% 6.58% 7.82%
其他 4501.60万 1.82%
半固化片 1778.43万 0.72%</v>
      </c>
      <c r="D8" s="3" t="s">
        <v>39</v>
      </c>
      <c r="E8" s="3" t="s">
        <v>1305</v>
      </c>
      <c r="F8" s="3" t="s">
        <v>30</v>
      </c>
      <c r="G8" s="3" t="s">
        <v>30</v>
      </c>
      <c r="H8" s="3" t="s">
        <v>30</v>
      </c>
      <c r="I8" s="3">
        <v>344708190</v>
      </c>
      <c r="K8" s="3">
        <v>0.45</v>
      </c>
      <c r="L8" s="3" t="s">
        <v>1310</v>
      </c>
      <c r="M8" s="3" t="s">
        <v>991</v>
      </c>
      <c r="N8" s="3" t="s">
        <v>1432</v>
      </c>
      <c r="O8" s="3" t="s">
        <v>992</v>
      </c>
      <c r="P8" s="3">
        <v>-75.540000000000006</v>
      </c>
      <c r="Q8" s="3" t="s">
        <v>992</v>
      </c>
      <c r="R8" s="3">
        <v>-22350920</v>
      </c>
      <c r="S8" s="4">
        <v>-9.6500000000000002E-2</v>
      </c>
      <c r="T8" s="3" t="s">
        <v>1433</v>
      </c>
      <c r="U8" s="3">
        <v>804247550</v>
      </c>
      <c r="V8" s="3">
        <v>931643740</v>
      </c>
      <c r="W8" s="3">
        <v>3.36</v>
      </c>
      <c r="X8" s="3">
        <v>0.02</v>
      </c>
      <c r="Y8" s="3">
        <v>-41.04</v>
      </c>
      <c r="Z8" s="3" t="s">
        <v>335</v>
      </c>
      <c r="AA8" s="3" t="s">
        <v>1434</v>
      </c>
      <c r="AB8" s="3" t="s">
        <v>1435</v>
      </c>
      <c r="AC8" s="3" t="s">
        <v>1436</v>
      </c>
      <c r="AD8" s="3" t="s">
        <v>30</v>
      </c>
      <c r="AE8" s="3">
        <v>14859691</v>
      </c>
      <c r="AF8" s="3" t="s">
        <v>86</v>
      </c>
      <c r="AG8" s="3" t="s">
        <v>1437</v>
      </c>
      <c r="AH8" s="3" t="s">
        <v>994</v>
      </c>
      <c r="AI8" s="3" t="s">
        <v>1438</v>
      </c>
      <c r="AJ8" s="3" t="s">
        <v>995</v>
      </c>
      <c r="AK8" s="3" t="s">
        <v>1439</v>
      </c>
      <c r="AL8" s="3" t="s">
        <v>996</v>
      </c>
      <c r="AM8" s="3" t="s">
        <v>30</v>
      </c>
      <c r="AN8" s="3" t="s">
        <v>88</v>
      </c>
      <c r="AO8" s="3" t="s">
        <v>1213</v>
      </c>
      <c r="AP8" s="3" t="s">
        <v>1440</v>
      </c>
      <c r="AQ8" s="3" t="s">
        <v>151</v>
      </c>
      <c r="AR8" s="3" t="s">
        <v>30</v>
      </c>
      <c r="AS8" s="3" t="s">
        <v>1441</v>
      </c>
      <c r="AT8" s="3" t="s">
        <v>997</v>
      </c>
      <c r="AU8" s="3" t="s">
        <v>1442</v>
      </c>
      <c r="AV8" s="3" t="s">
        <v>30</v>
      </c>
      <c r="AW8" s="3" t="s">
        <v>1443</v>
      </c>
      <c r="AX8" s="3" t="s">
        <v>678</v>
      </c>
      <c r="AY8" s="3" t="s">
        <v>547</v>
      </c>
      <c r="AZ8" s="3" t="s">
        <v>325</v>
      </c>
      <c r="BA8" s="3" t="s">
        <v>193</v>
      </c>
      <c r="BB8" s="3" t="s">
        <v>328</v>
      </c>
      <c r="BC8" s="3" t="s">
        <v>814</v>
      </c>
      <c r="BD8" s="3" t="s">
        <v>548</v>
      </c>
      <c r="BE8" s="3" t="s">
        <v>326</v>
      </c>
      <c r="BF8" s="3" t="s">
        <v>221</v>
      </c>
      <c r="BG8" s="3" t="s">
        <v>330</v>
      </c>
      <c r="BH8" s="3" t="s">
        <v>507</v>
      </c>
      <c r="BI8" s="3" t="s">
        <v>1444</v>
      </c>
      <c r="BJ8" s="3" t="s">
        <v>678</v>
      </c>
      <c r="BK8" s="3" t="s">
        <v>993</v>
      </c>
      <c r="BL8" s="3" t="s">
        <v>1445</v>
      </c>
      <c r="BM8" s="3" t="s">
        <v>814</v>
      </c>
      <c r="BN8" s="3" t="s">
        <v>30</v>
      </c>
      <c r="BO8" s="3" t="s">
        <v>30</v>
      </c>
      <c r="BP8" s="3">
        <v>5.26</v>
      </c>
      <c r="BQ8" s="3">
        <v>0.26</v>
      </c>
      <c r="BR8" s="3">
        <v>-22.58</v>
      </c>
      <c r="BS8" s="3">
        <v>4.4400000000000004</v>
      </c>
      <c r="BT8" s="3" t="s">
        <v>700</v>
      </c>
      <c r="BU8" s="3" t="s">
        <v>651</v>
      </c>
      <c r="BV8" s="3">
        <v>-15.34</v>
      </c>
      <c r="BW8" s="3">
        <v>6.42</v>
      </c>
      <c r="BX8" s="3">
        <v>18.12</v>
      </c>
      <c r="BY8" s="3">
        <v>-81.22</v>
      </c>
      <c r="BZ8" s="3">
        <v>-19.59</v>
      </c>
      <c r="CA8" s="3">
        <v>2.88</v>
      </c>
      <c r="CB8" s="3">
        <v>0</v>
      </c>
      <c r="CC8" s="3">
        <v>-68.91</v>
      </c>
      <c r="CD8" s="3" t="s">
        <v>30</v>
      </c>
      <c r="CE8" s="3" t="s">
        <v>1446</v>
      </c>
      <c r="CF8" s="8">
        <v>-0.90984173228346454</v>
      </c>
      <c r="CG8" s="9">
        <v>-3.4221812822402358</v>
      </c>
      <c r="CH8" s="8">
        <v>-0.966849684715271</v>
      </c>
      <c r="CI8" s="8">
        <v>-0.30137538909912109</v>
      </c>
      <c r="CJ8" s="8">
        <v>0.93427228927612305</v>
      </c>
      <c r="CK8" s="8">
        <v>-3.2551050186157227E-2</v>
      </c>
      <c r="CL8" s="8">
        <v>-5.1687009632587433E-2</v>
      </c>
      <c r="CM8" s="9">
        <v>0.9334794282913208</v>
      </c>
      <c r="CN8" s="9">
        <v>-5.6740732192993164</v>
      </c>
      <c r="CO8" s="9">
        <v>2.3483738899230957</v>
      </c>
      <c r="CP8" s="9">
        <v>0.16029919683933258</v>
      </c>
      <c r="CQ8" s="9">
        <v>-0.4639124870300293</v>
      </c>
      <c r="CR8" s="3">
        <v>-9.7568816648858263</v>
      </c>
      <c r="CS8" s="3">
        <v>-1.1665584979374009</v>
      </c>
      <c r="CT8" s="3">
        <v>0</v>
      </c>
      <c r="CU8" s="8">
        <v>-8.363816887140274E-2</v>
      </c>
      <c r="CV8" s="9">
        <v>-0.53916663825511935</v>
      </c>
      <c r="CW8" s="3">
        <v>0.06</v>
      </c>
      <c r="CX8" s="3" t="e">
        <v>#VALUE!</v>
      </c>
      <c r="CY8" s="3" t="s">
        <v>612</v>
      </c>
      <c r="CZ8" s="3">
        <v>-8.363816887140274E-2</v>
      </c>
      <c r="DA8" s="3" t="e">
        <v>#VALUE!</v>
      </c>
      <c r="DB8" s="3" t="s">
        <v>613</v>
      </c>
      <c r="DC8" s="3">
        <v>-7.9456260427832603E-2</v>
      </c>
      <c r="DD8" s="3" t="e">
        <v>#VALUE!</v>
      </c>
      <c r="DE8" s="3" t="s">
        <v>613</v>
      </c>
      <c r="DF8" s="3">
        <v>-7.3601588606834412E-2</v>
      </c>
      <c r="DG8" s="3" t="e">
        <v>#VALUE!</v>
      </c>
      <c r="DH8" s="3" t="s">
        <v>613</v>
      </c>
      <c r="DI8" s="3">
        <v>-6.6910535097122192E-2</v>
      </c>
      <c r="DJ8" s="3" t="e">
        <v>#VALUE!</v>
      </c>
      <c r="DK8" s="3" t="s">
        <v>613</v>
      </c>
      <c r="DL8" s="3">
        <v>-5.8546718209981911E-2</v>
      </c>
      <c r="DM8" s="3">
        <v>-22350900</v>
      </c>
      <c r="DN8" s="3">
        <v>-8.363816887140274E-2</v>
      </c>
      <c r="DO8" s="3">
        <v>1315708190.0000002</v>
      </c>
      <c r="DP8" s="3">
        <v>-523918140</v>
      </c>
      <c r="DQ8" s="3">
        <v>795</v>
      </c>
      <c r="DR8" s="3">
        <v>-0.8262035634120618</v>
      </c>
      <c r="DS8" s="3">
        <v>-2.8830146439851165</v>
      </c>
      <c r="DT8" s="10">
        <v>-0.65666666666666662</v>
      </c>
      <c r="DU8" s="3">
        <v>-1.3616666666666666</v>
      </c>
      <c r="DV8" s="3">
        <v>-2.0183333333333331</v>
      </c>
      <c r="DW8" s="3">
        <v>-3.5983869047619046</v>
      </c>
      <c r="DX8" s="3" t="e">
        <v>#VALUE!</v>
      </c>
      <c r="DY8" s="3">
        <v>-3</v>
      </c>
      <c r="DZ8" s="3">
        <v>4809</v>
      </c>
      <c r="EA8" s="3">
        <v>-3</v>
      </c>
      <c r="EB8" s="3">
        <v>3</v>
      </c>
      <c r="EC8" s="3">
        <v>0</v>
      </c>
      <c r="ED8" s="3">
        <v>1.3306051946423212E-2</v>
      </c>
      <c r="EE8" s="11">
        <v>-10.14551</v>
      </c>
      <c r="EF8" s="3">
        <v>-10.14551</v>
      </c>
      <c r="EG8" s="3" t="e">
        <v>#VALUE!</v>
      </c>
      <c r="EH8" s="3" t="s">
        <v>1447</v>
      </c>
      <c r="EI8" s="3">
        <v>0</v>
      </c>
      <c r="EJ8" s="3">
        <v>0</v>
      </c>
      <c r="EK8" s="12">
        <v>45470</v>
      </c>
      <c r="EL8" s="13">
        <v>-4.4400000000000004</v>
      </c>
      <c r="EM8" s="13">
        <v>-4.6500000000000004</v>
      </c>
      <c r="EN8" s="13">
        <v>-4.88</v>
      </c>
      <c r="EO8" s="13">
        <v>-5.13</v>
      </c>
      <c r="EP8" s="13">
        <v>0</v>
      </c>
    </row>
    <row r="9" spans="1:146" ht="192" x14ac:dyDescent="0.25">
      <c r="A9" s="6" t="s">
        <v>637</v>
      </c>
      <c r="C9" s="6" t="str">
        <f>"公司主营业务为电子电路、光电显示和精密制造。公司主要产品包括电子电路产品、触控面板及液晶显示模组、LED显示器件、精密组件产品。"&amp;CHAR(10)&amp;Basic_Fundamental_Information_Constructure(F9)&amp;CHAR(10)&amp;Basic_Fundamental_Information_Concatenate("电子电路产品 204.95亿 64.46% 68.08% 15.50%
触控面板及液晶显示模组 51.56亿 16.22% 9.02% 8.16%
精密组件产品 34.27亿 10.78% 11.34% 15.43%
LED显示器件 26.04亿 8.19% 10.22% 18.31%
其他 1.10亿 0.35% 1.34% 56.55%")</f>
        <v>公司主营业务为电子电路、光电显示和精密制造。公司主要产品包括电子电路产品、触控面板及液晶显示模组、LED显示器件、精密组件产品。
市值360.95299亿, 利润2.89亿; PE20.25; 平均PE28.64; 平均PEG5.75, PB1.96; ROIC7.22%; ROE12.23%; 股利率1.1843%; 毛利15.8167%; 净利6.3967%; 上一年度营收增-75.47%, 利润增-87.8%; 当季营收增-43.33%, 利润增-64.93%; 过往5年营收增-4.98%, 利润增13.08%
Income profile:
电子电路产品 204.95亿 64.46% 68.08% 15.50%
触控面板及液晶显示模组 51.56亿 16.22% 9.02% 8.16%
精密组件产品 34.27亿 10.78% 11.34% 15.43%
LED显示器件 26.04亿 8.19% 10.22% 18.31%
其他 1.10亿 0.35% 1.34% 56.55%</v>
      </c>
      <c r="D9" s="3" t="s">
        <v>51</v>
      </c>
      <c r="E9" s="3" t="s">
        <v>52</v>
      </c>
      <c r="F9" s="3">
        <v>21.11</v>
      </c>
      <c r="G9" s="3">
        <v>-2.4900000000000002</v>
      </c>
      <c r="H9" s="3" t="s">
        <v>1448</v>
      </c>
      <c r="I9" s="3">
        <v>36095299000</v>
      </c>
      <c r="J9" s="3">
        <v>20.25</v>
      </c>
      <c r="K9" s="3">
        <v>1.96</v>
      </c>
      <c r="L9" s="3" t="s">
        <v>1310</v>
      </c>
      <c r="M9" s="3" t="s">
        <v>998</v>
      </c>
      <c r="N9" s="3" t="s">
        <v>1449</v>
      </c>
      <c r="O9" s="3" t="s">
        <v>999</v>
      </c>
      <c r="P9" s="3">
        <v>18.940000000000001</v>
      </c>
      <c r="Q9" s="3" t="s">
        <v>999</v>
      </c>
      <c r="R9" s="3">
        <v>289348490</v>
      </c>
      <c r="S9" s="4">
        <v>-0.38650000000000001</v>
      </c>
      <c r="T9" s="3" t="s">
        <v>1450</v>
      </c>
      <c r="U9" s="3">
        <v>1390275300</v>
      </c>
      <c r="V9" s="3">
        <v>1709867300</v>
      </c>
      <c r="W9" s="3">
        <v>2.4700000000000002</v>
      </c>
      <c r="X9" s="3">
        <v>0.17</v>
      </c>
      <c r="Y9" s="3">
        <v>3.73</v>
      </c>
      <c r="Z9" s="3" t="s">
        <v>1451</v>
      </c>
      <c r="AA9" s="3" t="s">
        <v>1452</v>
      </c>
      <c r="AB9" s="3" t="s">
        <v>1453</v>
      </c>
      <c r="AC9" s="3" t="s">
        <v>1454</v>
      </c>
      <c r="AD9" s="3" t="s">
        <v>30</v>
      </c>
      <c r="AE9" s="3">
        <v>-5009091</v>
      </c>
      <c r="AF9" s="3" t="s">
        <v>1002</v>
      </c>
      <c r="AG9" s="3" t="s">
        <v>1455</v>
      </c>
      <c r="AH9" s="3" t="s">
        <v>1003</v>
      </c>
      <c r="AI9" s="3" t="s">
        <v>1456</v>
      </c>
      <c r="AJ9" s="3" t="s">
        <v>1004</v>
      </c>
      <c r="AK9" s="3" t="s">
        <v>1457</v>
      </c>
      <c r="AL9" s="3" t="s">
        <v>1005</v>
      </c>
      <c r="AM9" s="3" t="s">
        <v>30</v>
      </c>
      <c r="AN9" s="3" t="s">
        <v>1458</v>
      </c>
      <c r="AO9" s="3" t="s">
        <v>1459</v>
      </c>
      <c r="AP9" s="3" t="s">
        <v>1460</v>
      </c>
      <c r="AQ9" s="3" t="s">
        <v>1461</v>
      </c>
      <c r="AR9" s="3" t="s">
        <v>30</v>
      </c>
      <c r="AS9" s="3" t="s">
        <v>1462</v>
      </c>
      <c r="AT9" s="3" t="s">
        <v>1463</v>
      </c>
      <c r="AU9" s="3" t="s">
        <v>1464</v>
      </c>
      <c r="AV9" s="3" t="s">
        <v>1465</v>
      </c>
      <c r="AW9" s="3" t="s">
        <v>1466</v>
      </c>
      <c r="AX9" s="3" t="s">
        <v>815</v>
      </c>
      <c r="AY9" s="3" t="s">
        <v>549</v>
      </c>
      <c r="AZ9" s="3" t="s">
        <v>331</v>
      </c>
      <c r="BA9" s="3" t="s">
        <v>194</v>
      </c>
      <c r="BB9" s="3" t="s">
        <v>333</v>
      </c>
      <c r="BC9" s="3" t="s">
        <v>816</v>
      </c>
      <c r="BD9" s="3" t="s">
        <v>550</v>
      </c>
      <c r="BE9" s="3" t="s">
        <v>332</v>
      </c>
      <c r="BF9" s="3" t="s">
        <v>128</v>
      </c>
      <c r="BG9" s="3" t="s">
        <v>334</v>
      </c>
      <c r="BH9" s="3" t="s">
        <v>1000</v>
      </c>
      <c r="BI9" s="3" t="s">
        <v>1467</v>
      </c>
      <c r="BJ9" s="3" t="s">
        <v>815</v>
      </c>
      <c r="BK9" s="3" t="s">
        <v>1001</v>
      </c>
      <c r="BL9" s="3" t="s">
        <v>1468</v>
      </c>
      <c r="BM9" s="3" t="s">
        <v>816</v>
      </c>
      <c r="BN9" s="3">
        <v>4.51</v>
      </c>
      <c r="BO9" s="3">
        <v>9.39</v>
      </c>
      <c r="BP9" s="3">
        <v>7.76</v>
      </c>
      <c r="BQ9" s="3">
        <v>7.9</v>
      </c>
      <c r="BR9" s="3">
        <v>15.33</v>
      </c>
      <c r="BS9" s="3">
        <v>13.46</v>
      </c>
      <c r="BT9" s="3" t="s">
        <v>707</v>
      </c>
      <c r="BU9" s="3" t="s">
        <v>651</v>
      </c>
      <c r="BV9" s="3">
        <v>15.18</v>
      </c>
      <c r="BW9" s="3">
        <v>17.600000000000001</v>
      </c>
      <c r="BX9" s="3">
        <v>14.67</v>
      </c>
      <c r="BY9" s="3">
        <v>5.84</v>
      </c>
      <c r="BZ9" s="3">
        <v>7.5</v>
      </c>
      <c r="CA9" s="3">
        <v>5.85</v>
      </c>
      <c r="CB9" s="3">
        <v>1.98</v>
      </c>
      <c r="CC9" s="3">
        <v>33.86</v>
      </c>
      <c r="CD9" s="3" t="s">
        <v>881</v>
      </c>
      <c r="CE9" s="3" t="s">
        <v>1469</v>
      </c>
      <c r="CF9" s="8">
        <v>-0.43330650471939702</v>
      </c>
      <c r="CG9" s="9">
        <v>-0.64927455757575758</v>
      </c>
      <c r="CH9" s="8">
        <v>-0.7547498345375061</v>
      </c>
      <c r="CI9" s="8">
        <v>-6.6995937377214432E-3</v>
      </c>
      <c r="CJ9" s="8">
        <v>0.13170543313026428</v>
      </c>
      <c r="CK9" s="8">
        <v>0.1927567720413208</v>
      </c>
      <c r="CL9" s="8">
        <v>0.18804533779621124</v>
      </c>
      <c r="CM9" s="9">
        <v>-0.8779560923576355</v>
      </c>
      <c r="CN9" s="9">
        <v>0.271750807762146</v>
      </c>
      <c r="CO9" s="9">
        <v>0.21699346601963043</v>
      </c>
      <c r="CP9" s="9">
        <v>1.1763869524002075</v>
      </c>
      <c r="CQ9" s="9">
        <v>-0.13316892087459564</v>
      </c>
      <c r="CR9" s="3">
        <v>28.635699325664419</v>
      </c>
      <c r="CS9" s="3">
        <v>5.7514827788623659</v>
      </c>
      <c r="CT9" s="3">
        <v>1.1842728564661298</v>
      </c>
      <c r="CU9" s="8">
        <v>-4.9788377061486241E-2</v>
      </c>
      <c r="CV9" s="9">
        <v>0.13080124258995057</v>
      </c>
      <c r="CW9" s="3">
        <v>0.06</v>
      </c>
      <c r="CX9" s="3">
        <v>151.74843944636677</v>
      </c>
      <c r="CY9" s="3" t="s">
        <v>1470</v>
      </c>
      <c r="CZ9" s="3">
        <v>-4.9788377061486241E-2</v>
      </c>
      <c r="DA9" s="3">
        <v>50.582813148788929</v>
      </c>
      <c r="DB9" s="3" t="s">
        <v>1471</v>
      </c>
      <c r="DC9" s="3">
        <v>-4.7298958208411929E-2</v>
      </c>
      <c r="DD9" s="3">
        <v>25.291406574394465</v>
      </c>
      <c r="DE9" s="3" t="s">
        <v>1472</v>
      </c>
      <c r="DF9" s="3">
        <v>-4.3813771814107894E-2</v>
      </c>
      <c r="DG9" s="3">
        <v>15.174843944636677</v>
      </c>
      <c r="DH9" s="3" t="s">
        <v>1473</v>
      </c>
      <c r="DI9" s="3">
        <v>-3.9830701649188997E-2</v>
      </c>
      <c r="DJ9" s="3">
        <v>7.5874219723183387</v>
      </c>
      <c r="DK9" s="3" t="s">
        <v>1474</v>
      </c>
      <c r="DL9" s="3">
        <v>-3.4851863943040365E-2</v>
      </c>
      <c r="DM9" s="3">
        <v>289000000</v>
      </c>
      <c r="DN9" s="3">
        <v>-4.9788377061486241E-2</v>
      </c>
      <c r="DO9" s="3">
        <v>43855299000</v>
      </c>
      <c r="DP9" s="3">
        <v>4787073000</v>
      </c>
      <c r="DQ9" s="3">
        <v>890</v>
      </c>
      <c r="DR9" s="3">
        <v>-0.38351812765791077</v>
      </c>
      <c r="DS9" s="3">
        <v>-0.78007580016570821</v>
      </c>
      <c r="DT9" s="10">
        <v>-0.55666666666666675</v>
      </c>
      <c r="DU9" s="3">
        <v>-0.25666666666666665</v>
      </c>
      <c r="DV9" s="3">
        <v>-0.81333333333333346</v>
      </c>
      <c r="DW9" s="3">
        <v>3.2019880952380952</v>
      </c>
      <c r="DX9" s="3">
        <v>0.44749542961608824</v>
      </c>
      <c r="DY9" s="3">
        <v>3.0419116065987639</v>
      </c>
      <c r="DZ9" s="3">
        <v>1932</v>
      </c>
      <c r="EA9" s="3">
        <v>3.0260655745148477</v>
      </c>
      <c r="EB9" s="3">
        <v>3</v>
      </c>
      <c r="EC9" s="3">
        <v>0.26551768081651717</v>
      </c>
      <c r="ED9" s="3">
        <v>1.2796314661377524</v>
      </c>
      <c r="EE9" s="11">
        <v>3.08311</v>
      </c>
      <c r="EF9" s="3">
        <v>3.0404100000000001</v>
      </c>
      <c r="EG9" s="3">
        <v>24.207495429616088</v>
      </c>
      <c r="EH9" s="3" t="s">
        <v>715</v>
      </c>
      <c r="EI9" s="3">
        <v>0</v>
      </c>
      <c r="EJ9" s="3">
        <v>0</v>
      </c>
      <c r="EK9" s="12">
        <v>45470</v>
      </c>
      <c r="EL9" s="13">
        <v>1.72</v>
      </c>
      <c r="EM9" s="13">
        <v>0.05</v>
      </c>
      <c r="EN9" s="13">
        <v>-1.58</v>
      </c>
      <c r="EO9" s="13">
        <v>2.84</v>
      </c>
      <c r="EP9" s="13">
        <v>4.2699999999999996</v>
      </c>
    </row>
    <row r="10" spans="1:146" ht="156" x14ac:dyDescent="0.25">
      <c r="A10" s="6" t="s">
        <v>933</v>
      </c>
      <c r="B10" s="6" t="s">
        <v>932</v>
      </c>
      <c r="C10" s="6" t="str">
        <f>"公司的主营业务是专注于线路板产业链，围绕PCB,半导体两大主线开展。公司的主要产品是PCB印制电路板、半导体测试板、IC封装基板。"&amp;CHAR(10)&amp;Basic_Fundamental_Information_Constructure(F10)&amp;CHAR(10)&amp;Basic_Fundamental_Information_Concatenate("PCB印制电路板 37.94亿 75.28% 77.53% 33.13%
IC封装基板 6.67亿 13.22% 10.83% 26.35%
半导体测试板 4.17亿 8.27% 5.23% 20.34%
其他 1.62亿 3.22% 6.41% 64.07%")</f>
        <v>公司的主营业务是专注于线路板产业链，围绕PCB,半导体两大主线开展。公司的主要产品是PCB印制电路板、半导体测试板、IC封装基板。
市值162.20127亿, 利润2482.27万; PE70.98; 平均PE44.22; 平均PEG8.09, PB3.11; ROIC6.8%; ROE10.4633%; 股利率.5208%; 毛利28.05%; 净利7.8567%; 上一年度营收增-74.08%, 利润增-95.28%; 当季营收增-45.91%, 利润增37.46%; 过往5年营收增-5.47%, 利润增4.59%
Income profile:
PCB印制电路板 37.94亿 75.28% 77.53% 33.13%
IC封装基板 6.67亿 13.22% 10.83% 26.35%
半导体测试板 4.17亿 8.27% 5.23% 20.34%
其他 1.62亿 3.22% 6.41% 64.07%</v>
      </c>
      <c r="D10" s="3" t="s">
        <v>46</v>
      </c>
      <c r="E10" s="3" t="s">
        <v>12</v>
      </c>
      <c r="F10" s="3">
        <v>9.6</v>
      </c>
      <c r="G10" s="3">
        <v>-0.72</v>
      </c>
      <c r="H10" s="3" t="s">
        <v>1475</v>
      </c>
      <c r="I10" s="3">
        <v>16220127000</v>
      </c>
      <c r="J10" s="3">
        <v>70.98</v>
      </c>
      <c r="K10" s="3">
        <v>3.11</v>
      </c>
      <c r="L10" s="3" t="s">
        <v>1310</v>
      </c>
      <c r="M10" s="3" t="s">
        <v>1006</v>
      </c>
      <c r="N10" s="3" t="s">
        <v>1476</v>
      </c>
      <c r="O10" s="3" t="s">
        <v>930</v>
      </c>
      <c r="P10" s="3">
        <v>10.92</v>
      </c>
      <c r="Q10" s="3" t="s">
        <v>930</v>
      </c>
      <c r="R10" s="3">
        <v>24822701</v>
      </c>
      <c r="S10" s="4">
        <v>2.3079999999999998</v>
      </c>
      <c r="T10" s="3" t="s">
        <v>1477</v>
      </c>
      <c r="U10" s="3">
        <v>1500412200</v>
      </c>
      <c r="V10" s="3">
        <v>1689596500</v>
      </c>
      <c r="W10" s="3">
        <v>2.38</v>
      </c>
      <c r="X10" s="3">
        <v>0.09</v>
      </c>
      <c r="Y10" s="3">
        <v>-1.97</v>
      </c>
      <c r="Z10" s="3" t="s">
        <v>265</v>
      </c>
      <c r="AA10" s="3" t="s">
        <v>1478</v>
      </c>
      <c r="AB10" s="3" t="s">
        <v>1479</v>
      </c>
      <c r="AC10" s="3" t="s">
        <v>119</v>
      </c>
      <c r="AD10" s="3" t="s">
        <v>30</v>
      </c>
      <c r="AE10" s="3">
        <v>24078715</v>
      </c>
      <c r="AF10" s="3" t="s">
        <v>1008</v>
      </c>
      <c r="AG10" s="3" t="s">
        <v>1480</v>
      </c>
      <c r="AH10" s="3" t="s">
        <v>1009</v>
      </c>
      <c r="AI10" s="3" t="s">
        <v>1481</v>
      </c>
      <c r="AJ10" s="3" t="s">
        <v>1010</v>
      </c>
      <c r="AK10" s="3" t="s">
        <v>113</v>
      </c>
      <c r="AL10" s="3" t="s">
        <v>1011</v>
      </c>
      <c r="AM10" s="3" t="s">
        <v>30</v>
      </c>
      <c r="AN10" s="3" t="s">
        <v>1482</v>
      </c>
      <c r="AO10" s="3" t="s">
        <v>1483</v>
      </c>
      <c r="AP10" s="3" t="s">
        <v>1484</v>
      </c>
      <c r="AQ10" s="3" t="s">
        <v>1485</v>
      </c>
      <c r="AR10" s="3" t="s">
        <v>30</v>
      </c>
      <c r="AS10" s="3" t="s">
        <v>1486</v>
      </c>
      <c r="AT10" s="3" t="s">
        <v>1487</v>
      </c>
      <c r="AU10" s="3" t="s">
        <v>1488</v>
      </c>
      <c r="AV10" s="3" t="s">
        <v>1489</v>
      </c>
      <c r="AW10" s="3" t="s">
        <v>1490</v>
      </c>
      <c r="AX10" s="3" t="s">
        <v>817</v>
      </c>
      <c r="AY10" s="3" t="s">
        <v>524</v>
      </c>
      <c r="AZ10" s="3" t="s">
        <v>338</v>
      </c>
      <c r="BA10" s="3" t="s">
        <v>195</v>
      </c>
      <c r="BB10" s="3" t="s">
        <v>340</v>
      </c>
      <c r="BC10" s="3" t="s">
        <v>232</v>
      </c>
      <c r="BD10" s="3" t="s">
        <v>111</v>
      </c>
      <c r="BE10" s="3" t="s">
        <v>118</v>
      </c>
      <c r="BF10" s="3" t="s">
        <v>226</v>
      </c>
      <c r="BG10" s="3" t="s">
        <v>215</v>
      </c>
      <c r="BH10" s="3" t="s">
        <v>1007</v>
      </c>
      <c r="BI10" s="3" t="s">
        <v>1491</v>
      </c>
      <c r="BJ10" s="3" t="s">
        <v>817</v>
      </c>
      <c r="BK10" s="3" t="s">
        <v>35</v>
      </c>
      <c r="BL10" s="3" t="s">
        <v>1492</v>
      </c>
      <c r="BM10" s="3" t="s">
        <v>232</v>
      </c>
      <c r="BN10" s="3">
        <v>2.3199999999999998</v>
      </c>
      <c r="BO10" s="3">
        <v>6.92</v>
      </c>
      <c r="BP10" s="3">
        <v>11.16</v>
      </c>
      <c r="BQ10" s="3">
        <v>2.88</v>
      </c>
      <c r="BR10" s="3">
        <v>10.78</v>
      </c>
      <c r="BS10" s="3">
        <v>17.73</v>
      </c>
      <c r="BT10" s="3" t="s">
        <v>960</v>
      </c>
      <c r="BU10" s="3" t="s">
        <v>651</v>
      </c>
      <c r="BV10" s="3">
        <v>23.32</v>
      </c>
      <c r="BW10" s="3">
        <v>28.66</v>
      </c>
      <c r="BX10" s="3">
        <v>32.17</v>
      </c>
      <c r="BY10" s="3">
        <v>2.31</v>
      </c>
      <c r="BZ10" s="3">
        <v>9.1</v>
      </c>
      <c r="CA10" s="3">
        <v>12.16</v>
      </c>
      <c r="CB10" s="3">
        <v>-6.98</v>
      </c>
      <c r="CC10" s="3">
        <v>-15.72</v>
      </c>
      <c r="CD10" s="3" t="s">
        <v>114</v>
      </c>
      <c r="CE10" s="3" t="s">
        <v>329</v>
      </c>
      <c r="CF10" s="8">
        <v>-0.45908028059236167</v>
      </c>
      <c r="CG10" s="9">
        <v>0.37461725892822534</v>
      </c>
      <c r="CH10" s="8">
        <v>-0.74075454473495483</v>
      </c>
      <c r="CI10" s="8">
        <v>6.2301561236381531E-2</v>
      </c>
      <c r="CJ10" s="8">
        <v>0.24907061457633972</v>
      </c>
      <c r="CK10" s="8">
        <v>6.0725569725036621E-2</v>
      </c>
      <c r="CL10" s="8">
        <v>9.5306672155857086E-2</v>
      </c>
      <c r="CM10" s="9">
        <v>-0.95280855894088745</v>
      </c>
      <c r="CN10" s="9">
        <v>-0.15297906100749969</v>
      </c>
      <c r="CO10" s="9">
        <v>0.18965516984462738</v>
      </c>
      <c r="CP10" s="9">
        <v>0.78767120838165283</v>
      </c>
      <c r="CQ10" s="9">
        <v>0.35813954472541809</v>
      </c>
      <c r="CR10" s="3">
        <v>44.220173665057168</v>
      </c>
      <c r="CS10" s="3">
        <v>8.088559193969127</v>
      </c>
      <c r="CT10" s="3">
        <v>0.52083333333333337</v>
      </c>
      <c r="CU10" s="8">
        <v>-5.4670025408267972E-2</v>
      </c>
      <c r="CV10" s="9">
        <v>4.5935660600662231E-2</v>
      </c>
      <c r="CW10" s="3">
        <v>0.06</v>
      </c>
      <c r="CX10" s="3">
        <v>752.42125151574965</v>
      </c>
      <c r="CY10" s="3" t="s">
        <v>1493</v>
      </c>
      <c r="CZ10" s="3">
        <v>-5.4670025408267972E-2</v>
      </c>
      <c r="DA10" s="3">
        <v>250.80708383858322</v>
      </c>
      <c r="DB10" s="3" t="s">
        <v>1494</v>
      </c>
      <c r="DC10" s="3">
        <v>-5.1936524137854573E-2</v>
      </c>
      <c r="DD10" s="3">
        <v>125.40354191929161</v>
      </c>
      <c r="DE10" s="3" t="s">
        <v>1495</v>
      </c>
      <c r="DF10" s="3">
        <v>-4.8109622359275815E-2</v>
      </c>
      <c r="DG10" s="3">
        <v>75.242125151574967</v>
      </c>
      <c r="DH10" s="3" t="s">
        <v>1496</v>
      </c>
      <c r="DI10" s="3">
        <v>-4.3736020326614382E-2</v>
      </c>
      <c r="DJ10" s="3">
        <v>37.621062575787484</v>
      </c>
      <c r="DK10" s="3" t="s">
        <v>1497</v>
      </c>
      <c r="DL10" s="3">
        <v>-3.8269017785787576E-2</v>
      </c>
      <c r="DM10" s="3">
        <v>24822700</v>
      </c>
      <c r="DN10" s="3">
        <v>-5.4670025408267972E-2</v>
      </c>
      <c r="DO10" s="3">
        <v>18677127000</v>
      </c>
      <c r="DP10" s="3">
        <v>1982154300.0000005</v>
      </c>
      <c r="DQ10" s="3">
        <v>939</v>
      </c>
      <c r="DR10" s="3">
        <v>-0.40441025518409368</v>
      </c>
      <c r="DS10" s="3">
        <v>0.32868159832756311</v>
      </c>
      <c r="DT10" s="10">
        <v>-0.64</v>
      </c>
      <c r="DU10" s="3">
        <v>-1.666666666666668E-2</v>
      </c>
      <c r="DV10" s="3">
        <v>-0.65666666666666673</v>
      </c>
      <c r="DW10" s="3">
        <v>-9.4440203562340965</v>
      </c>
      <c r="DX10" s="3">
        <v>0.32312021823509651</v>
      </c>
      <c r="DY10" s="3">
        <v>-9.0413472724733452</v>
      </c>
      <c r="DZ10" s="3">
        <v>2091</v>
      </c>
      <c r="EA10" s="3">
        <v>-9.0244280656745648</v>
      </c>
      <c r="EB10" s="3">
        <v>9</v>
      </c>
      <c r="EC10" s="3">
        <v>7.9308876409249204E-2</v>
      </c>
      <c r="ED10" s="3">
        <v>0.85168263546947454</v>
      </c>
      <c r="EE10" s="11">
        <v>3.1609999999999999E-2</v>
      </c>
      <c r="EF10" s="3">
        <v>5.1310000000000001E-2</v>
      </c>
      <c r="EG10" s="3">
        <v>23.093120218235097</v>
      </c>
      <c r="EH10" s="3">
        <v>-1</v>
      </c>
      <c r="EI10" s="3">
        <v>0</v>
      </c>
      <c r="EJ10" s="3">
        <v>0</v>
      </c>
      <c r="EK10" s="12">
        <v>45470</v>
      </c>
      <c r="EL10" s="13">
        <v>1.52</v>
      </c>
      <c r="EM10" s="13">
        <v>-4.68</v>
      </c>
      <c r="EN10" s="13">
        <v>-3.83</v>
      </c>
      <c r="EO10" s="13">
        <v>3.47</v>
      </c>
      <c r="EP10" s="13">
        <v>-1.97</v>
      </c>
    </row>
    <row r="11" spans="1:146" ht="216" x14ac:dyDescent="0.25">
      <c r="C11" s="6" t="str">
        <f>"公司主营业务为各类印制电路板的生产、销售及相关售后服务。公司PCB产品以通信通讯设备、数据中心基础设施、汽车电子为核心应用领域，辅以工业设备、半导体芯片测试等应用领域。公司是国内规模最大、技术实力最强的PCB制造商之一,拥有160万平方米印制电路板的生产能力；"&amp;CHAR(10)&amp;Basic_Fundamental_Information_Constructure(F11)&amp;CHAR(10)&amp;Basic_Fundamental_Information_Concatenate("企业通讯市场板 48.23亿 65.01% 70.23% 29.36%
汽车板 16.82亿 22.67% 21.29% 25.52%
办公及工业设备板 5.21亿 7.03% 7.87% 30.42%
其他业务收入 3.58亿 4.82% 0.18% 1.00%
消费电子板 2254.48万 0.30% 0.26% 23.61%
其他 990.01万 0.13% 0.12% 24.34%
房屋销售收入 172.48万 0.02% 0.05% 54.28%")</f>
        <v>公司主营业务为各类印制电路板的生产、销售及相关售后服务。公司PCB产品以通信通讯设备、数据中心基础设施、汽车电子为核心应用领域，辅以工业设备、半导体芯片测试等应用领域。公司是国内规模最大、技术实力最强的PCB制造商之一,拥有160万平方米印制电路板的生产能力；
市值729.04876亿, 利润5.15亿; PE39.9; 平均PE72.18; 平均PEG15.79, PB7.04; ROIC11.45%; ROE14.8667%; 股利率1.3123%; 毛利29.5433%; 净利15.7767%; 上一年度营收增-69%, 利润增-62.19%; 当季营收增-31.33%, 利润增4.42%; 过往5年营收增-4.57%, 利润增13.6%
Income profile:
企业通讯市场板 48.23亿 65.01% 70.23% 29.36%
汽车板 16.82亿 22.67% 21.29% 25.52%
办公及工业设备板 5.21亿 7.03% 7.87% 30.42%
其他业务收入 3.58亿 4.82% 0.18% 1.00%
消费电子板 2254.48万 0.30% 0.26% 23.61%
其他 990.01万 0.13% 0.12% 24.34%
房屋销售收入 172.48万 0.02% 0.05% 54.28%</v>
      </c>
      <c r="D11" s="3" t="s">
        <v>45</v>
      </c>
      <c r="E11" s="3" t="s">
        <v>9</v>
      </c>
      <c r="F11" s="3">
        <v>38.1</v>
      </c>
      <c r="G11" s="3">
        <v>2.12</v>
      </c>
      <c r="H11" s="3" t="s">
        <v>1498</v>
      </c>
      <c r="I11" s="3">
        <v>72904876000</v>
      </c>
      <c r="J11" s="3">
        <v>39.9</v>
      </c>
      <c r="K11" s="3">
        <v>7.04</v>
      </c>
      <c r="L11" s="3" t="s">
        <v>1310</v>
      </c>
      <c r="M11" s="3" t="s">
        <v>1012</v>
      </c>
      <c r="N11" s="3" t="s">
        <v>1499</v>
      </c>
      <c r="O11" s="3" t="s">
        <v>586</v>
      </c>
      <c r="P11" s="3">
        <v>38.340000000000003</v>
      </c>
      <c r="Q11" s="3" t="s">
        <v>586</v>
      </c>
      <c r="R11" s="3">
        <v>514812000</v>
      </c>
      <c r="S11" s="4">
        <v>1.57</v>
      </c>
      <c r="T11" s="3" t="s">
        <v>1500</v>
      </c>
      <c r="U11" s="3">
        <v>1912312300</v>
      </c>
      <c r="V11" s="3">
        <v>1913513800</v>
      </c>
      <c r="W11" s="3">
        <v>1.71</v>
      </c>
      <c r="X11" s="3">
        <v>0.15</v>
      </c>
      <c r="Y11" s="3">
        <v>19.66</v>
      </c>
      <c r="Z11" s="3" t="s">
        <v>1501</v>
      </c>
      <c r="AA11" s="3" t="s">
        <v>1502</v>
      </c>
      <c r="AB11" s="3" t="s">
        <v>1503</v>
      </c>
      <c r="AC11" s="3" t="s">
        <v>1504</v>
      </c>
      <c r="AD11" s="3" t="s">
        <v>30</v>
      </c>
      <c r="AE11" s="3">
        <v>-82149165</v>
      </c>
      <c r="AF11" s="3" t="s">
        <v>1014</v>
      </c>
      <c r="AG11" s="3" t="s">
        <v>1505</v>
      </c>
      <c r="AH11" s="3" t="s">
        <v>1015</v>
      </c>
      <c r="AI11" s="3" t="s">
        <v>1506</v>
      </c>
      <c r="AJ11" s="3" t="s">
        <v>1016</v>
      </c>
      <c r="AK11" s="3" t="s">
        <v>1507</v>
      </c>
      <c r="AL11" s="3" t="s">
        <v>1017</v>
      </c>
      <c r="AM11" s="3" t="s">
        <v>30</v>
      </c>
      <c r="AN11" s="3" t="s">
        <v>1508</v>
      </c>
      <c r="AO11" s="3" t="s">
        <v>1509</v>
      </c>
      <c r="AP11" s="3" t="s">
        <v>1356</v>
      </c>
      <c r="AQ11" s="3" t="s">
        <v>421</v>
      </c>
      <c r="AR11" s="3" t="s">
        <v>30</v>
      </c>
      <c r="AS11" s="3" t="s">
        <v>1510</v>
      </c>
      <c r="AT11" s="3" t="s">
        <v>669</v>
      </c>
      <c r="AU11" s="3" t="s">
        <v>894</v>
      </c>
      <c r="AV11" s="3" t="s">
        <v>1511</v>
      </c>
      <c r="AW11" s="3" t="s">
        <v>1512</v>
      </c>
      <c r="AX11" s="3" t="s">
        <v>819</v>
      </c>
      <c r="AY11" s="3" t="s">
        <v>551</v>
      </c>
      <c r="AZ11" s="3" t="s">
        <v>341</v>
      </c>
      <c r="BA11" s="3" t="s">
        <v>173</v>
      </c>
      <c r="BB11" s="3" t="s">
        <v>343</v>
      </c>
      <c r="BC11" s="3" t="s">
        <v>820</v>
      </c>
      <c r="BD11" s="3" t="s">
        <v>496</v>
      </c>
      <c r="BE11" s="3" t="s">
        <v>342</v>
      </c>
      <c r="BF11" s="3" t="s">
        <v>228</v>
      </c>
      <c r="BG11" s="3" t="s">
        <v>222</v>
      </c>
      <c r="BH11" s="3" t="s">
        <v>1013</v>
      </c>
      <c r="BI11" s="3" t="s">
        <v>1513</v>
      </c>
      <c r="BJ11" s="3" t="s">
        <v>819</v>
      </c>
      <c r="BK11" s="3" t="s">
        <v>423</v>
      </c>
      <c r="BL11" s="3" t="s">
        <v>1514</v>
      </c>
      <c r="BM11" s="3" t="s">
        <v>820</v>
      </c>
      <c r="BN11" s="3">
        <v>8.2899999999999991</v>
      </c>
      <c r="BO11" s="3">
        <v>13.74</v>
      </c>
      <c r="BP11" s="3">
        <v>12.32</v>
      </c>
      <c r="BQ11" s="3">
        <v>11.05</v>
      </c>
      <c r="BR11" s="3">
        <v>17.7</v>
      </c>
      <c r="BS11" s="3">
        <v>15.85</v>
      </c>
      <c r="BT11" s="3" t="s">
        <v>703</v>
      </c>
      <c r="BU11" s="3" t="s">
        <v>651</v>
      </c>
      <c r="BV11" s="3">
        <v>31.17</v>
      </c>
      <c r="BW11" s="3">
        <v>30.28</v>
      </c>
      <c r="BX11" s="3">
        <v>27.18</v>
      </c>
      <c r="BY11" s="3">
        <v>16.66</v>
      </c>
      <c r="BZ11" s="3">
        <v>16.329999999999998</v>
      </c>
      <c r="CA11" s="3">
        <v>14.34</v>
      </c>
      <c r="CB11" s="3">
        <v>4.38</v>
      </c>
      <c r="CC11" s="3">
        <v>18.510000000000002</v>
      </c>
      <c r="CD11" s="3" t="s">
        <v>125</v>
      </c>
      <c r="CE11" s="3" t="s">
        <v>1515</v>
      </c>
      <c r="CF11" s="8">
        <v>-0.31331384533616802</v>
      </c>
      <c r="CG11" s="9">
        <v>4.4243407707910749E-2</v>
      </c>
      <c r="CH11" s="8">
        <v>-0.69001919031143188</v>
      </c>
      <c r="CI11" s="8">
        <v>0.12360159307718277</v>
      </c>
      <c r="CJ11" s="8">
        <v>-5.4959701374173164E-3</v>
      </c>
      <c r="CK11" s="8">
        <v>4.6430047601461411E-2</v>
      </c>
      <c r="CL11" s="8">
        <v>0.29688921570777893</v>
      </c>
      <c r="CM11" s="9">
        <v>-0.62187957763671875</v>
      </c>
      <c r="CN11" s="9">
        <v>0.28007519245147705</v>
      </c>
      <c r="CO11" s="9">
        <v>-0.20774389803409576</v>
      </c>
      <c r="CP11" s="9">
        <v>0.11359872668981552</v>
      </c>
      <c r="CQ11" s="9">
        <v>1.115789532661438</v>
      </c>
      <c r="CR11" s="3">
        <v>72.18304554455446</v>
      </c>
      <c r="CS11" s="3">
        <v>15.788461099372411</v>
      </c>
      <c r="CT11" s="3">
        <v>1.3123359580052494</v>
      </c>
      <c r="CU11" s="8">
        <v>-4.5718860812485218E-2</v>
      </c>
      <c r="CV11" s="9">
        <v>0.1359679952263832</v>
      </c>
      <c r="CW11" s="3">
        <v>0.06</v>
      </c>
      <c r="CX11" s="3">
        <v>133.40558446601941</v>
      </c>
      <c r="CY11" s="3" t="s">
        <v>1516</v>
      </c>
      <c r="CZ11" s="3">
        <v>-4.5718860812485218E-2</v>
      </c>
      <c r="DA11" s="3">
        <v>44.468528155339804</v>
      </c>
      <c r="DB11" s="3" t="s">
        <v>1517</v>
      </c>
      <c r="DC11" s="3">
        <v>-4.3432917771860959E-2</v>
      </c>
      <c r="DD11" s="3">
        <v>22.234264077669902</v>
      </c>
      <c r="DE11" s="3" t="s">
        <v>1518</v>
      </c>
      <c r="DF11" s="3">
        <v>-4.0232597514986992E-2</v>
      </c>
      <c r="DG11" s="3">
        <v>13.340558446601941</v>
      </c>
      <c r="DH11" s="3" t="s">
        <v>1519</v>
      </c>
      <c r="DI11" s="3">
        <v>-3.6575088649988173E-2</v>
      </c>
      <c r="DJ11" s="3">
        <v>6.6702792233009705</v>
      </c>
      <c r="DK11" s="3" t="s">
        <v>1520</v>
      </c>
      <c r="DL11" s="3">
        <v>-3.2003202568739654E-2</v>
      </c>
      <c r="DM11" s="3">
        <v>515000000.00000006</v>
      </c>
      <c r="DN11" s="3">
        <v>-4.5718860812485218E-2</v>
      </c>
      <c r="DO11" s="3">
        <v>68703876000</v>
      </c>
      <c r="DP11" s="3">
        <v>3174621800</v>
      </c>
      <c r="DQ11" s="3">
        <v>964</v>
      </c>
      <c r="DR11" s="3">
        <v>-0.2675949845236828</v>
      </c>
      <c r="DS11" s="3">
        <v>-9.1724587518472456E-2</v>
      </c>
      <c r="DT11" s="10">
        <v>-0.67333333333333334</v>
      </c>
      <c r="DU11" s="3">
        <v>-0.1166666666666667</v>
      </c>
      <c r="DV11" s="3">
        <v>-0.79</v>
      </c>
      <c r="DW11" s="3">
        <v>8.2366288492706641</v>
      </c>
      <c r="DX11" s="3">
        <v>0.4315331010452958</v>
      </c>
      <c r="DY11" s="3">
        <v>8.0311245263413511</v>
      </c>
      <c r="DZ11" s="3">
        <v>1488</v>
      </c>
      <c r="EA11" s="3">
        <v>8.0220612591797202</v>
      </c>
      <c r="EB11" s="3">
        <v>8</v>
      </c>
      <c r="EC11" s="3">
        <v>7.8912417563960086E-2</v>
      </c>
      <c r="ED11" s="3">
        <v>0.59994341300282239</v>
      </c>
      <c r="EE11" s="11">
        <v>3.0079099999999999</v>
      </c>
      <c r="EF11" s="3">
        <v>3.0283099999999998</v>
      </c>
      <c r="EG11" s="3">
        <v>30.131533101045296</v>
      </c>
      <c r="EH11" s="3" t="s">
        <v>715</v>
      </c>
      <c r="EI11" s="3">
        <v>0</v>
      </c>
      <c r="EJ11" s="3">
        <v>1</v>
      </c>
      <c r="EK11" s="12">
        <v>45470</v>
      </c>
      <c r="EL11" s="13">
        <v>-0.13</v>
      </c>
      <c r="EM11" s="13">
        <v>-0.51</v>
      </c>
      <c r="EN11" s="13">
        <v>-3.63</v>
      </c>
      <c r="EO11" s="13">
        <v>3.46</v>
      </c>
      <c r="EP11" s="13">
        <v>-2.04</v>
      </c>
    </row>
    <row r="12" spans="1:146" ht="96" x14ac:dyDescent="0.25">
      <c r="C12" s="6" t="str">
        <f>""&amp;CHAR(10)&amp;Basic_Fundamental_Information_Constructure(F12)&amp;CHAR(10)&amp;Basic_Fundamental_Information_Concatenate("")</f>
        <v xml:space="preserve">
市值103.733543亿, 利润1.37亿; PE15.04; 平均PE29.77; 平均PEG8.4, PB1.85; ROIC11.1467%; ROE11.7567%; 股利率2.1311%; 毛利26.1267%; 净利13.8867%; 上一年度营收增-76.76%, 利润增-79.27%; 当季营收增-57.5%, 利润增-62.18%; 过往5年营收增3.54%, 利润增8.57%
Income profile:
</v>
      </c>
      <c r="D12" s="3" t="s">
        <v>62</v>
      </c>
      <c r="E12" s="3" t="s">
        <v>21</v>
      </c>
      <c r="F12" s="3">
        <v>12.2</v>
      </c>
      <c r="G12" s="3">
        <v>0.66</v>
      </c>
      <c r="H12" s="3" t="s">
        <v>1521</v>
      </c>
      <c r="I12" s="3">
        <v>10373354300</v>
      </c>
      <c r="J12" s="3">
        <v>15.04</v>
      </c>
      <c r="K12" s="3">
        <v>1.85</v>
      </c>
      <c r="L12" s="3" t="s">
        <v>1310</v>
      </c>
      <c r="M12" s="3" t="s">
        <v>1018</v>
      </c>
      <c r="N12" s="3" t="s">
        <v>1522</v>
      </c>
      <c r="O12" s="3" t="s">
        <v>1019</v>
      </c>
      <c r="P12" s="3">
        <v>-11.12</v>
      </c>
      <c r="Q12" s="3" t="s">
        <v>1019</v>
      </c>
      <c r="R12" s="3">
        <v>136908050</v>
      </c>
      <c r="S12" s="4">
        <v>-0.1132</v>
      </c>
      <c r="T12" s="3" t="s">
        <v>1523</v>
      </c>
      <c r="U12" s="3">
        <v>820227020</v>
      </c>
      <c r="V12" s="3">
        <v>850274940</v>
      </c>
      <c r="W12" s="3">
        <v>1.3</v>
      </c>
      <c r="X12" s="3">
        <v>0.14000000000000001</v>
      </c>
      <c r="Y12" s="3">
        <v>13.18</v>
      </c>
      <c r="Z12" s="3" t="s">
        <v>486</v>
      </c>
      <c r="AA12" s="3" t="s">
        <v>427</v>
      </c>
      <c r="AB12" s="3" t="s">
        <v>1524</v>
      </c>
      <c r="AC12" s="3" t="s">
        <v>1525</v>
      </c>
      <c r="AD12" s="3" t="s">
        <v>30</v>
      </c>
      <c r="AE12" s="3">
        <v>-2815702</v>
      </c>
      <c r="AF12" s="3" t="s">
        <v>1022</v>
      </c>
      <c r="AG12" s="3" t="s">
        <v>1526</v>
      </c>
      <c r="AH12" s="3" t="s">
        <v>1023</v>
      </c>
      <c r="AI12" s="3" t="s">
        <v>1527</v>
      </c>
      <c r="AJ12" s="3" t="s">
        <v>1024</v>
      </c>
      <c r="AK12" s="3" t="s">
        <v>1528</v>
      </c>
      <c r="AL12" s="3" t="s">
        <v>1025</v>
      </c>
      <c r="AM12" s="3" t="s">
        <v>30</v>
      </c>
      <c r="AN12" s="3" t="s">
        <v>165</v>
      </c>
      <c r="AO12" s="3" t="s">
        <v>252</v>
      </c>
      <c r="AP12" s="3" t="s">
        <v>1529</v>
      </c>
      <c r="AQ12" s="3" t="s">
        <v>1530</v>
      </c>
      <c r="AR12" s="3" t="s">
        <v>30</v>
      </c>
      <c r="AS12" s="3" t="s">
        <v>1531</v>
      </c>
      <c r="AT12" s="3" t="s">
        <v>120</v>
      </c>
      <c r="AU12" s="3" t="s">
        <v>179</v>
      </c>
      <c r="AV12" s="3" t="s">
        <v>1532</v>
      </c>
      <c r="AW12" s="3" t="s">
        <v>1533</v>
      </c>
      <c r="AX12" s="3" t="s">
        <v>821</v>
      </c>
      <c r="AY12" s="3" t="s">
        <v>552</v>
      </c>
      <c r="AZ12" s="3" t="s">
        <v>344</v>
      </c>
      <c r="BA12" s="3" t="s">
        <v>197</v>
      </c>
      <c r="BB12" s="3" t="s">
        <v>311</v>
      </c>
      <c r="BC12" s="3" t="s">
        <v>822</v>
      </c>
      <c r="BD12" s="3" t="s">
        <v>146</v>
      </c>
      <c r="BE12" s="3" t="s">
        <v>301</v>
      </c>
      <c r="BF12" s="3" t="s">
        <v>229</v>
      </c>
      <c r="BG12" s="3" t="s">
        <v>113</v>
      </c>
      <c r="BH12" s="3" t="s">
        <v>1020</v>
      </c>
      <c r="BI12" s="3" t="s">
        <v>1534</v>
      </c>
      <c r="BJ12" s="3" t="s">
        <v>821</v>
      </c>
      <c r="BK12" s="3" t="s">
        <v>1021</v>
      </c>
      <c r="BL12" s="3" t="s">
        <v>655</v>
      </c>
      <c r="BM12" s="3" t="s">
        <v>822</v>
      </c>
      <c r="BN12" s="3">
        <v>9.74</v>
      </c>
      <c r="BO12" s="3">
        <v>13.62</v>
      </c>
      <c r="BP12" s="3">
        <v>10.08</v>
      </c>
      <c r="BQ12" s="3">
        <v>10.27</v>
      </c>
      <c r="BR12" s="3">
        <v>14.39</v>
      </c>
      <c r="BS12" s="3">
        <v>10.61</v>
      </c>
      <c r="BT12" s="3" t="s">
        <v>859</v>
      </c>
      <c r="BU12" s="3" t="s">
        <v>650</v>
      </c>
      <c r="BV12" s="3">
        <v>26.08</v>
      </c>
      <c r="BW12" s="3">
        <v>26.37</v>
      </c>
      <c r="BX12" s="3">
        <v>25.93</v>
      </c>
      <c r="BY12" s="3">
        <v>14.66</v>
      </c>
      <c r="BZ12" s="3">
        <v>14.65</v>
      </c>
      <c r="CA12" s="3">
        <v>12.35</v>
      </c>
      <c r="CB12" s="3">
        <v>-7.92</v>
      </c>
      <c r="CC12" s="3">
        <v>-16.09</v>
      </c>
      <c r="CD12" s="3" t="s">
        <v>1535</v>
      </c>
      <c r="CE12" s="3" t="s">
        <v>104</v>
      </c>
      <c r="CF12" s="8">
        <v>-0.57501010917913464</v>
      </c>
      <c r="CG12" s="9">
        <v>-0.62180096685082875</v>
      </c>
      <c r="CH12" s="8">
        <v>-0.76758068799972534</v>
      </c>
      <c r="CI12" s="8">
        <v>0.27380272746086121</v>
      </c>
      <c r="CJ12" s="8">
        <v>0.34724858403205872</v>
      </c>
      <c r="CK12" s="8">
        <v>0.24116815626621246</v>
      </c>
      <c r="CL12" s="8">
        <v>8.2610979676246643E-2</v>
      </c>
      <c r="CM12" s="9">
        <v>-0.79273825883865356</v>
      </c>
      <c r="CN12" s="9">
        <v>0.51954025030136108</v>
      </c>
      <c r="CO12" s="9">
        <v>0.16621984541416168</v>
      </c>
      <c r="CP12" s="9">
        <v>0.5477178692817688</v>
      </c>
      <c r="CQ12" s="9">
        <v>-1.2295082211494446E-2</v>
      </c>
      <c r="CR12" s="3">
        <v>29.765722525107606</v>
      </c>
      <c r="CS12" s="3">
        <v>8.3965480742763283</v>
      </c>
      <c r="CT12" s="3">
        <v>2.1311475409836067</v>
      </c>
      <c r="CU12" s="8">
        <v>3.5449951887130737E-2</v>
      </c>
      <c r="CV12" s="9">
        <v>8.5688924789428716E-2</v>
      </c>
      <c r="CW12" s="3">
        <v>0.06</v>
      </c>
      <c r="CX12" s="3">
        <v>48.09457910512932</v>
      </c>
      <c r="CY12" s="3">
        <v>133827022.08352539</v>
      </c>
      <c r="CZ12" s="3">
        <v>3.5449951887130737E-2</v>
      </c>
      <c r="DA12" s="3">
        <v>16.464487983018792</v>
      </c>
      <c r="DB12" s="3">
        <v>390923441.20499539</v>
      </c>
      <c r="DC12" s="3">
        <v>3.3677454292774196E-2</v>
      </c>
      <c r="DD12" s="3">
        <v>8.6131866778759996</v>
      </c>
      <c r="DE12" s="3">
        <v>747267479.58830917</v>
      </c>
      <c r="DF12" s="3">
        <v>3.1195957660675049E-2</v>
      </c>
      <c r="DG12" s="3">
        <v>5.5291631640424725</v>
      </c>
      <c r="DH12" s="3">
        <v>1164073858.7454278</v>
      </c>
      <c r="DI12" s="3">
        <v>2.8359961509704591E-2</v>
      </c>
      <c r="DJ12" s="3">
        <v>3.2856948040169223</v>
      </c>
      <c r="DK12" s="3">
        <v>1958902053.8764715</v>
      </c>
      <c r="DL12" s="3">
        <v>2.4814966320991515E-2</v>
      </c>
      <c r="DM12" s="3">
        <v>137000000</v>
      </c>
      <c r="DN12" s="3">
        <v>3.5449951887130737E-2</v>
      </c>
      <c r="DO12" s="3">
        <v>6436354300</v>
      </c>
      <c r="DP12" s="3">
        <v>2976528600</v>
      </c>
      <c r="DQ12" s="3">
        <v>982</v>
      </c>
      <c r="DR12" s="3">
        <v>-0.61046006106626538</v>
      </c>
      <c r="DS12" s="3">
        <v>-0.70748989164025744</v>
      </c>
      <c r="DT12" s="10">
        <v>-0.37333333333333335</v>
      </c>
      <c r="DU12" s="3">
        <v>-0.37333333333333335</v>
      </c>
      <c r="DV12" s="3">
        <v>-0.7466666666666667</v>
      </c>
      <c r="DW12" s="3">
        <v>-9.4922311995027968</v>
      </c>
      <c r="DX12" s="3">
        <v>0.37913246753246799</v>
      </c>
      <c r="DY12" s="3">
        <v>-9.1078638373435137</v>
      </c>
      <c r="DZ12" s="3">
        <v>939</v>
      </c>
      <c r="EA12" s="3">
        <v>-9.0880430656672786</v>
      </c>
      <c r="EB12" s="3">
        <v>9</v>
      </c>
      <c r="EC12" s="3">
        <v>5.9533214044859423E-2</v>
      </c>
      <c r="ED12" s="3">
        <v>0.2716768296146656</v>
      </c>
      <c r="EE12" s="11">
        <v>-2.0914099999999998</v>
      </c>
      <c r="EF12" s="3">
        <v>-2.1200100000000002</v>
      </c>
      <c r="EG12" s="3">
        <v>16.219132467532468</v>
      </c>
      <c r="EH12" s="3" t="s">
        <v>714</v>
      </c>
      <c r="EI12" s="3">
        <v>0</v>
      </c>
      <c r="EJ12" s="3">
        <v>1</v>
      </c>
      <c r="EK12" s="12">
        <v>45470</v>
      </c>
      <c r="EL12" s="13">
        <v>-2.58</v>
      </c>
      <c r="EM12" s="13">
        <v>-1.76</v>
      </c>
      <c r="EN12" s="13">
        <v>-1.2</v>
      </c>
      <c r="EO12" s="13">
        <v>3.1</v>
      </c>
      <c r="EP12" s="13">
        <v>-2.86</v>
      </c>
    </row>
    <row r="13" spans="1:146" ht="96" x14ac:dyDescent="0.25">
      <c r="A13" s="3"/>
      <c r="B13" s="3"/>
      <c r="C13" s="6" t="str">
        <f>""&amp;CHAR(10)&amp;Basic_Fundamental_Information_Constructure(F13)&amp;CHAR(10)&amp;Basic_Fundamental_Information_Concatenate("")</f>
        <v xml:space="preserve">
市值57.645282亿, 利润8247.17万; PE20.2; 平均PE137.22; 平均PEG1.91, PB3.2; ROIC1.555%; ROE.3133%; 股利率0%; 毛利11.3967%; 净利1.5633%; 上一年度营收增-61.7%, 利润增16.35%; 当季营收增-45.38%, 利润增22.64%; 过往5年营收增71.82%, 利润增204.51%
Income profile:
</v>
      </c>
      <c r="D13" s="3" t="s">
        <v>672</v>
      </c>
      <c r="E13" s="3" t="s">
        <v>673</v>
      </c>
      <c r="F13" s="3">
        <v>14.11</v>
      </c>
      <c r="G13" s="3">
        <v>-2.08</v>
      </c>
      <c r="H13" s="3" t="s">
        <v>1536</v>
      </c>
      <c r="I13" s="3">
        <v>5764528200</v>
      </c>
      <c r="J13" s="3">
        <v>20.2</v>
      </c>
      <c r="K13" s="3">
        <v>3.2</v>
      </c>
      <c r="L13" s="3" t="s">
        <v>1310</v>
      </c>
      <c r="M13" s="3" t="s">
        <v>1026</v>
      </c>
      <c r="N13" s="3" t="s">
        <v>1537</v>
      </c>
      <c r="O13" s="3" t="s">
        <v>375</v>
      </c>
      <c r="P13" s="4">
        <v>2.1</v>
      </c>
      <c r="Q13" s="3" t="s">
        <v>375</v>
      </c>
      <c r="R13" s="3">
        <v>82471738</v>
      </c>
      <c r="S13" s="3">
        <v>5.6509999999999998</v>
      </c>
      <c r="T13" s="3" t="s">
        <v>1538</v>
      </c>
      <c r="U13" s="3">
        <v>315602480</v>
      </c>
      <c r="V13" s="3">
        <v>408542040</v>
      </c>
      <c r="W13" s="3">
        <v>2.29</v>
      </c>
      <c r="X13" s="3">
        <v>0.13</v>
      </c>
      <c r="Y13" s="3">
        <v>11.81</v>
      </c>
      <c r="Z13" s="3" t="s">
        <v>866</v>
      </c>
      <c r="AA13" s="3" t="s">
        <v>1136</v>
      </c>
      <c r="AB13" s="3" t="s">
        <v>1539</v>
      </c>
      <c r="AC13" s="3" t="s">
        <v>1540</v>
      </c>
      <c r="AD13" s="3" t="s">
        <v>30</v>
      </c>
      <c r="AE13" s="3">
        <v>15665845</v>
      </c>
      <c r="AF13" s="3" t="s">
        <v>1028</v>
      </c>
      <c r="AG13" s="3" t="s">
        <v>1541</v>
      </c>
      <c r="AH13" s="3" t="s">
        <v>1029</v>
      </c>
      <c r="AI13" s="3" t="s">
        <v>1542</v>
      </c>
      <c r="AJ13" s="3" t="s">
        <v>1030</v>
      </c>
      <c r="AK13" s="3" t="s">
        <v>1543</v>
      </c>
      <c r="AL13" s="3" t="s">
        <v>1031</v>
      </c>
      <c r="AM13" s="3" t="s">
        <v>30</v>
      </c>
      <c r="AN13" s="3" t="s">
        <v>1544</v>
      </c>
      <c r="AO13" s="3" t="s">
        <v>1545</v>
      </c>
      <c r="AP13" s="3" t="s">
        <v>301</v>
      </c>
      <c r="AQ13" s="3" t="s">
        <v>1546</v>
      </c>
      <c r="AR13" s="3" t="s">
        <v>30</v>
      </c>
      <c r="AS13" s="3" t="s">
        <v>1547</v>
      </c>
      <c r="AT13" s="3" t="s">
        <v>1548</v>
      </c>
      <c r="AU13" s="3" t="s">
        <v>132</v>
      </c>
      <c r="AV13" s="3" t="s">
        <v>122</v>
      </c>
      <c r="AW13" s="3" t="s">
        <v>904</v>
      </c>
      <c r="AX13" s="3" t="s">
        <v>1033</v>
      </c>
      <c r="AY13" s="3" t="s">
        <v>499</v>
      </c>
      <c r="AZ13" s="3" t="s">
        <v>225</v>
      </c>
      <c r="BA13" s="3" t="s">
        <v>571</v>
      </c>
      <c r="BB13" s="3" t="s">
        <v>258</v>
      </c>
      <c r="BC13" s="3" t="s">
        <v>1034</v>
      </c>
      <c r="BD13" s="3" t="s">
        <v>674</v>
      </c>
      <c r="BE13" s="3" t="s">
        <v>675</v>
      </c>
      <c r="BF13" s="3" t="s">
        <v>676</v>
      </c>
      <c r="BG13" s="3" t="s">
        <v>677</v>
      </c>
      <c r="BH13" s="3" t="s">
        <v>1027</v>
      </c>
      <c r="BI13" s="3" t="s">
        <v>1549</v>
      </c>
      <c r="BJ13" s="3" t="s">
        <v>1033</v>
      </c>
      <c r="BK13" s="3" t="s">
        <v>270</v>
      </c>
      <c r="BL13" s="3" t="s">
        <v>1550</v>
      </c>
      <c r="BM13" s="3" t="s">
        <v>1034</v>
      </c>
      <c r="BN13" s="3">
        <v>2.2799999999999998</v>
      </c>
      <c r="BO13" s="3" t="s">
        <v>30</v>
      </c>
      <c r="BP13" s="3">
        <v>0.83</v>
      </c>
      <c r="BQ13" s="3">
        <v>3.34</v>
      </c>
      <c r="BR13" s="3">
        <v>-3.35</v>
      </c>
      <c r="BS13" s="3">
        <v>0.95</v>
      </c>
      <c r="BT13" s="3" t="s">
        <v>700</v>
      </c>
      <c r="BU13" s="3" t="s">
        <v>651</v>
      </c>
      <c r="BV13" s="3">
        <v>12.03</v>
      </c>
      <c r="BW13" s="3">
        <v>8.94</v>
      </c>
      <c r="BX13" s="3">
        <v>13.22</v>
      </c>
      <c r="BY13" s="3">
        <v>6.12</v>
      </c>
      <c r="BZ13" s="3">
        <v>-3.23</v>
      </c>
      <c r="CA13" s="3">
        <v>1.8</v>
      </c>
      <c r="CB13" s="3">
        <v>8.3699999999999992</v>
      </c>
      <c r="CC13" s="8">
        <v>2.17</v>
      </c>
      <c r="CD13" s="9" t="s">
        <v>1551</v>
      </c>
      <c r="CE13" s="8" t="s">
        <v>483</v>
      </c>
      <c r="CF13" s="8">
        <v>-0.45382165605095542</v>
      </c>
      <c r="CG13" s="8">
        <v>0.22636195874740331</v>
      </c>
      <c r="CH13" s="8">
        <v>-0.61697375774383545</v>
      </c>
      <c r="CI13" s="8">
        <v>4.0736546516418457</v>
      </c>
      <c r="CJ13" s="9">
        <v>-3.8147140294313431E-2</v>
      </c>
      <c r="CK13" s="9">
        <v>7.9411767423152924E-2</v>
      </c>
      <c r="CL13" s="9">
        <v>9.3247584998607635E-2</v>
      </c>
      <c r="CM13" s="9">
        <v>0.16349218785762787</v>
      </c>
      <c r="CN13" s="9">
        <v>10.132681846618652</v>
      </c>
      <c r="CO13" s="3">
        <v>-0.16030120849609375</v>
      </c>
      <c r="CP13" s="3">
        <v>-0.86475968360900879</v>
      </c>
      <c r="CQ13" s="3">
        <v>0.9542081356048584</v>
      </c>
      <c r="CR13" s="8">
        <v>137.21658508640314</v>
      </c>
      <c r="CS13" s="9">
        <v>1.9104595747883244</v>
      </c>
      <c r="CT13" s="3">
        <v>0</v>
      </c>
      <c r="CU13" s="3">
        <v>0.71823862120509152</v>
      </c>
      <c r="CV13" s="3">
        <v>2.0450642555952072</v>
      </c>
      <c r="CW13" s="3">
        <v>0.06</v>
      </c>
      <c r="CX13" s="3">
        <v>50.802484291078393</v>
      </c>
      <c r="CY13" s="3">
        <v>133684962.35513201</v>
      </c>
      <c r="CZ13" s="3">
        <v>0.71823862120509152</v>
      </c>
      <c r="DA13" s="3">
        <v>10.161976961474403</v>
      </c>
      <c r="DB13" s="3">
        <v>668327454.95760465</v>
      </c>
      <c r="DC13" s="3">
        <v>0.68232669014483693</v>
      </c>
      <c r="DD13" s="3">
        <v>2.3425349498351795</v>
      </c>
      <c r="DE13" s="3">
        <v>2899221717.2588401</v>
      </c>
      <c r="DF13" s="3">
        <v>0.63204998666048051</v>
      </c>
      <c r="DG13" s="3">
        <v>0.52446952304282013</v>
      </c>
      <c r="DH13" s="3">
        <v>12949328610.359516</v>
      </c>
      <c r="DI13" s="3">
        <v>0.57459089696407328</v>
      </c>
      <c r="DJ13" s="3">
        <v>2.2575334257269371E-2</v>
      </c>
      <c r="DK13" s="3">
        <v>300838433779.25153</v>
      </c>
      <c r="DL13" s="3">
        <v>0.502767034843564</v>
      </c>
      <c r="DM13" s="3">
        <v>82471700</v>
      </c>
      <c r="DN13" s="3">
        <v>0.71823862120509152</v>
      </c>
      <c r="DO13" s="3">
        <v>6791528200</v>
      </c>
      <c r="DP13" s="3">
        <v>523842100</v>
      </c>
      <c r="DQ13" s="10">
        <v>1045</v>
      </c>
      <c r="DR13" s="3">
        <v>-1.1720602772560469</v>
      </c>
      <c r="DS13" s="3">
        <v>-1.8187022968478039</v>
      </c>
      <c r="DT13" s="3">
        <v>-0.45666666666666678</v>
      </c>
      <c r="DU13" s="3">
        <v>0.58666666666666667</v>
      </c>
      <c r="DV13" s="3">
        <v>0.12999999999999989</v>
      </c>
      <c r="DW13" s="3">
        <v>5.2592592592592595</v>
      </c>
      <c r="DX13" s="3">
        <v>0.75711538461538763</v>
      </c>
      <c r="DY13" s="3">
        <v>5.1055484330484333</v>
      </c>
      <c r="DZ13" s="3">
        <v>68</v>
      </c>
      <c r="EA13" s="3">
        <v>5.1041438746438752</v>
      </c>
      <c r="EB13" s="11">
        <v>5</v>
      </c>
      <c r="EC13" s="3">
        <v>0.14250063469600338</v>
      </c>
      <c r="ED13" s="3">
        <v>0.35002517733548305</v>
      </c>
      <c r="EE13" s="3">
        <v>-3.05491</v>
      </c>
      <c r="EF13" s="3">
        <v>-3.0866099999999999</v>
      </c>
      <c r="EG13" s="3">
        <v>35.407115384615388</v>
      </c>
      <c r="EH13" s="12" t="s">
        <v>910</v>
      </c>
      <c r="EI13" s="13">
        <v>1</v>
      </c>
      <c r="EJ13" s="13">
        <v>1</v>
      </c>
      <c r="EK13" s="13">
        <v>45470</v>
      </c>
      <c r="EL13" s="13">
        <v>1.1499999999999999</v>
      </c>
      <c r="EM13" s="13">
        <v>-2.0499999999999998</v>
      </c>
      <c r="EN13" s="13">
        <v>-0.08</v>
      </c>
      <c r="EO13" s="13">
        <v>2.87</v>
      </c>
      <c r="EP13" s="13">
        <v>-3.17</v>
      </c>
    </row>
    <row r="14" spans="1:146" ht="120" x14ac:dyDescent="0.25">
      <c r="C14" s="6" t="s">
        <v>636</v>
      </c>
      <c r="D14" s="3" t="s">
        <v>47</v>
      </c>
      <c r="E14" s="3" t="s">
        <v>4</v>
      </c>
      <c r="F14" s="3">
        <v>6.69</v>
      </c>
      <c r="G14" s="3">
        <v>-2.0499999999999998</v>
      </c>
      <c r="H14" s="3" t="s">
        <v>1552</v>
      </c>
      <c r="I14" s="3">
        <v>4098418600</v>
      </c>
      <c r="K14" s="3">
        <v>1.68</v>
      </c>
      <c r="L14" s="3" t="s">
        <v>1310</v>
      </c>
      <c r="M14" s="3" t="s">
        <v>1035</v>
      </c>
      <c r="N14" s="3" t="s">
        <v>1553</v>
      </c>
      <c r="O14" s="3" t="s">
        <v>939</v>
      </c>
      <c r="P14" s="3">
        <v>8.9499999999999993</v>
      </c>
      <c r="Q14" s="3" t="s">
        <v>939</v>
      </c>
      <c r="R14" s="3">
        <v>-48526366</v>
      </c>
      <c r="S14" s="4">
        <v>0.21829999999999999</v>
      </c>
      <c r="T14" s="3" t="s">
        <v>1554</v>
      </c>
      <c r="U14" s="3">
        <v>582358140</v>
      </c>
      <c r="V14" s="3">
        <v>612618620</v>
      </c>
      <c r="W14" s="3">
        <v>2.41</v>
      </c>
      <c r="X14" s="3">
        <v>0.1</v>
      </c>
      <c r="Y14" s="3">
        <v>-7.32</v>
      </c>
      <c r="Z14" s="3" t="s">
        <v>1555</v>
      </c>
      <c r="AA14" s="3" t="s">
        <v>1556</v>
      </c>
      <c r="AB14" s="3" t="s">
        <v>1557</v>
      </c>
      <c r="AC14" s="3" t="s">
        <v>1558</v>
      </c>
      <c r="AD14" s="3" t="s">
        <v>30</v>
      </c>
      <c r="AE14" s="3">
        <v>18506308</v>
      </c>
      <c r="AF14" s="3" t="s">
        <v>1037</v>
      </c>
      <c r="AG14" s="3" t="s">
        <v>1559</v>
      </c>
      <c r="AH14" s="3" t="s">
        <v>1038</v>
      </c>
      <c r="AI14" s="3" t="s">
        <v>1319</v>
      </c>
      <c r="AJ14" s="3" t="s">
        <v>1039</v>
      </c>
      <c r="AK14" s="3" t="s">
        <v>30</v>
      </c>
      <c r="AL14" s="3" t="s">
        <v>1040</v>
      </c>
      <c r="AM14" s="3" t="s">
        <v>30</v>
      </c>
      <c r="AN14" s="3" t="s">
        <v>1560</v>
      </c>
      <c r="AO14" s="3" t="s">
        <v>485</v>
      </c>
      <c r="AP14" s="3" t="s">
        <v>1561</v>
      </c>
      <c r="AQ14" s="3" t="s">
        <v>1562</v>
      </c>
      <c r="AR14" s="3" t="s">
        <v>30</v>
      </c>
      <c r="AS14" s="3" t="s">
        <v>1563</v>
      </c>
      <c r="AT14" s="3" t="s">
        <v>1564</v>
      </c>
      <c r="AU14" s="3" t="s">
        <v>1565</v>
      </c>
      <c r="AV14" s="3" t="s">
        <v>1566</v>
      </c>
      <c r="AW14" s="3" t="s">
        <v>1567</v>
      </c>
      <c r="AX14" s="3" t="s">
        <v>350</v>
      </c>
      <c r="AY14" s="3" t="s">
        <v>553</v>
      </c>
      <c r="AZ14" s="3" t="s">
        <v>345</v>
      </c>
      <c r="BA14" s="3" t="s">
        <v>198</v>
      </c>
      <c r="BB14" s="3" t="s">
        <v>347</v>
      </c>
      <c r="BC14" s="3" t="s">
        <v>615</v>
      </c>
      <c r="BD14" s="3" t="s">
        <v>130</v>
      </c>
      <c r="BE14" s="3" t="s">
        <v>327</v>
      </c>
      <c r="BF14" s="3" t="s">
        <v>137</v>
      </c>
      <c r="BG14" s="3" t="s">
        <v>348</v>
      </c>
      <c r="BH14" s="3" t="s">
        <v>876</v>
      </c>
      <c r="BI14" s="3" t="s">
        <v>1568</v>
      </c>
      <c r="BJ14" s="3" t="s">
        <v>350</v>
      </c>
      <c r="BK14" s="3" t="s">
        <v>1036</v>
      </c>
      <c r="BL14" s="3" t="s">
        <v>1569</v>
      </c>
      <c r="BM14" s="3" t="s">
        <v>615</v>
      </c>
      <c r="BN14" s="3" t="s">
        <v>30</v>
      </c>
      <c r="BO14" s="3" t="s">
        <v>30</v>
      </c>
      <c r="BP14" s="3">
        <v>4.1900000000000004</v>
      </c>
      <c r="BQ14" s="3">
        <v>-4.22</v>
      </c>
      <c r="BR14" s="3">
        <v>-6.54</v>
      </c>
      <c r="BS14" s="3">
        <v>5.36</v>
      </c>
      <c r="BT14" s="3" t="s">
        <v>700</v>
      </c>
      <c r="BU14" s="3" t="s">
        <v>651</v>
      </c>
      <c r="BV14" s="3">
        <v>11.08</v>
      </c>
      <c r="BW14" s="3">
        <v>8.75</v>
      </c>
      <c r="BX14" s="3">
        <v>18.03</v>
      </c>
      <c r="BY14" s="3">
        <v>-5.16</v>
      </c>
      <c r="BZ14" s="3">
        <v>-5.86</v>
      </c>
      <c r="CA14" s="3">
        <v>5.03</v>
      </c>
      <c r="CB14" s="3">
        <v>-8.36</v>
      </c>
      <c r="CC14" s="3">
        <v>-6.43</v>
      </c>
      <c r="CD14" s="3" t="s">
        <v>1570</v>
      </c>
      <c r="CE14" s="3" t="s">
        <v>880</v>
      </c>
      <c r="CF14" s="8">
        <v>-0.48642358417377812</v>
      </c>
      <c r="CG14" s="9">
        <v>0.45587996393939667</v>
      </c>
      <c r="CH14" s="8">
        <v>-0.78323507308959961</v>
      </c>
      <c r="CI14" s="8">
        <v>3.7011951208114624E-2</v>
      </c>
      <c r="CJ14" s="8">
        <v>0.25854697823524475</v>
      </c>
      <c r="CK14" s="8">
        <v>0.11481661349534988</v>
      </c>
      <c r="CL14" s="8">
        <v>0.19193640351295471</v>
      </c>
      <c r="CM14" s="9">
        <v>0.72890281677246094</v>
      </c>
      <c r="CN14" s="9">
        <v>-2.2094595432281494</v>
      </c>
      <c r="CO14" s="9">
        <v>-8.6419753730297089E-2</v>
      </c>
      <c r="CP14" s="9">
        <v>8.7248325347900391E-2</v>
      </c>
      <c r="CQ14" s="9">
        <v>0.82692074775695801</v>
      </c>
      <c r="CR14" s="3">
        <v>78.55600393059359</v>
      </c>
      <c r="CS14" s="3">
        <v>21.70977403231603</v>
      </c>
      <c r="CT14" s="3">
        <v>0</v>
      </c>
      <c r="CU14" s="8">
        <v>-3.6184625327587129E-2</v>
      </c>
      <c r="CV14" s="9">
        <v>-0.13056148141622542</v>
      </c>
      <c r="CW14" s="3">
        <v>0.06</v>
      </c>
      <c r="CX14" s="3" t="e">
        <v>#VALUE!</v>
      </c>
      <c r="CY14" s="3" t="s">
        <v>612</v>
      </c>
      <c r="CZ14" s="3">
        <v>-3.6184625327587129E-2</v>
      </c>
      <c r="DA14" s="3" t="e">
        <v>#VALUE!</v>
      </c>
      <c r="DB14" s="3" t="s">
        <v>613</v>
      </c>
      <c r="DC14" s="3">
        <v>-3.4375394061207772E-2</v>
      </c>
      <c r="DD14" s="3" t="e">
        <v>#VALUE!</v>
      </c>
      <c r="DE14" s="3" t="s">
        <v>613</v>
      </c>
      <c r="DF14" s="3">
        <v>-3.1842470288276671E-2</v>
      </c>
      <c r="DG14" s="3" t="e">
        <v>#VALUE!</v>
      </c>
      <c r="DH14" s="3" t="s">
        <v>613</v>
      </c>
      <c r="DI14" s="3">
        <v>-2.8947700262069706E-2</v>
      </c>
      <c r="DJ14" s="3" t="e">
        <v>#VALUE!</v>
      </c>
      <c r="DK14" s="3" t="s">
        <v>613</v>
      </c>
      <c r="DL14" s="3">
        <v>-2.5329237729310988E-2</v>
      </c>
      <c r="DM14" s="3">
        <v>-48526400</v>
      </c>
      <c r="DN14" s="3">
        <v>-3.6184625327587129E-2</v>
      </c>
      <c r="DO14" s="3">
        <v>5274418600</v>
      </c>
      <c r="DP14" s="3">
        <v>-572426600</v>
      </c>
      <c r="DQ14" s="3">
        <v>1072</v>
      </c>
      <c r="DR14" s="3">
        <v>-0.45023895884619097</v>
      </c>
      <c r="DS14" s="3">
        <v>0.58644144535562215</v>
      </c>
      <c r="DT14" s="10">
        <v>-0.54</v>
      </c>
      <c r="DU14" s="3">
        <v>-1.0583333333333333</v>
      </c>
      <c r="DV14" s="3">
        <v>-1.5983333333333334</v>
      </c>
      <c r="DW14" s="3">
        <v>-5.7691387559808609</v>
      </c>
      <c r="DX14" s="3">
        <v>0.312276430649854</v>
      </c>
      <c r="DY14" s="3">
        <v>-5.055590603956766</v>
      </c>
      <c r="DZ14" s="3">
        <v>4139</v>
      </c>
      <c r="EA14" s="3">
        <v>-5.0105633026305325</v>
      </c>
      <c r="EB14" s="3">
        <v>5</v>
      </c>
      <c r="EC14" s="3">
        <v>0.12163685132521763</v>
      </c>
      <c r="ED14" s="3">
        <v>1.6829393791523999</v>
      </c>
      <c r="EE14" s="11">
        <v>-3.02481</v>
      </c>
      <c r="EF14" s="3">
        <v>-3.0510100000000002</v>
      </c>
      <c r="EG14" s="3">
        <v>24.072276430649854</v>
      </c>
      <c r="EH14" s="3" t="s">
        <v>910</v>
      </c>
      <c r="EI14" s="3">
        <v>0</v>
      </c>
      <c r="EJ14" s="3">
        <v>0</v>
      </c>
      <c r="EK14" s="12">
        <v>45470</v>
      </c>
      <c r="EL14" s="13">
        <v>-3.46</v>
      </c>
      <c r="EM14" s="13">
        <v>-3.72</v>
      </c>
      <c r="EN14" s="13">
        <v>-2.9</v>
      </c>
      <c r="EO14" s="13">
        <v>2.84</v>
      </c>
      <c r="EP14" s="13">
        <v>-2.62</v>
      </c>
    </row>
    <row r="15" spans="1:146" ht="168" x14ac:dyDescent="0.25">
      <c r="C15" s="6" t="str">
        <f>"公司是一家从事电子行业基础材料覆铜板的研发、生产和销售的高新技术企业。公司的主要产品包括各种通用FR-5、FR-4、CEM-3等系列覆铜板及铝基覆铜板、半固化片等产品和特殊指标要求的无卤环保、高阻燃、耐CAF、高TG、高CTI等系列覆铜板产品"&amp;CHAR(10)&amp;Basic_Fundamental_Information_Constructure(F15)&amp;CHAR(10)&amp;Basic_Fundamental_Information_Concatenate("覆铜板及相关产品 16.48亿 87.40% 89.25% 7.48%
PCB 1.08亿 5.75%
医药 8137.58万 4.32%
医疗器械 3086.85万 1.64%")</f>
        <v>公司是一家从事电子行业基础材料覆铜板的研发、生产和销售的高新技术企业。公司的主要产品包括各种通用FR-5、FR-4、CEM-3等系列覆铜板及铝基覆铜板、半固化片等产品和特殊指标要求的无卤环保、高阻燃、耐CAF、高TG、高CTI等系列覆铜板产品
市值42.4424亿, 利润-2081.98万; PE; 平均PE18.38; 平均PEG1.77, PB1.26; ROIC6.8%; ROE8.01%; 股利率1.0292%; 毛利14.35%; 净利4.11%; 上一年度营收增-77.77%, 利润增-123.9%; 当季营收增-51.28%, 利润增-283.5%; 过往5年营收增-10.37%, 利润增8.14%
Income profile:
覆铜板及相关产品 16.48亿 87.40% 89.25% 7.48%
PCB 1.08亿 5.75%
医药 8137.58万 4.32%
医疗器械 3086.85万 1.64%</v>
      </c>
      <c r="D15" s="3" t="s">
        <v>56</v>
      </c>
      <c r="E15" s="3" t="s">
        <v>24</v>
      </c>
      <c r="F15" s="3">
        <v>5.83</v>
      </c>
      <c r="G15" s="3">
        <v>0</v>
      </c>
      <c r="H15" s="3" t="s">
        <v>1571</v>
      </c>
      <c r="I15" s="3">
        <v>4244240000</v>
      </c>
      <c r="K15" s="3">
        <v>1.26</v>
      </c>
      <c r="L15" s="3" t="s">
        <v>1310</v>
      </c>
      <c r="M15" s="3" t="s">
        <v>922</v>
      </c>
      <c r="N15" s="3" t="s">
        <v>1572</v>
      </c>
      <c r="O15" s="3" t="s">
        <v>393</v>
      </c>
      <c r="P15" s="3">
        <v>-1.87</v>
      </c>
      <c r="Q15" s="3" t="s">
        <v>393</v>
      </c>
      <c r="R15" s="3">
        <v>-20819768</v>
      </c>
      <c r="S15" s="4">
        <v>-2.1800000000000002</v>
      </c>
      <c r="T15" s="3" t="s">
        <v>1573</v>
      </c>
      <c r="U15" s="3">
        <v>723107220</v>
      </c>
      <c r="V15" s="3">
        <v>728000000</v>
      </c>
      <c r="W15" s="3">
        <v>1.72</v>
      </c>
      <c r="X15" s="3">
        <v>0.14000000000000001</v>
      </c>
      <c r="Y15" s="3">
        <v>-2.5499999999999998</v>
      </c>
      <c r="Z15" s="3" t="s">
        <v>619</v>
      </c>
      <c r="AA15" s="3" t="s">
        <v>1574</v>
      </c>
      <c r="AB15" s="3" t="s">
        <v>1575</v>
      </c>
      <c r="AC15" s="3" t="s">
        <v>1576</v>
      </c>
      <c r="AD15" s="3" t="s">
        <v>30</v>
      </c>
      <c r="AE15" s="3">
        <v>-11995908</v>
      </c>
      <c r="AF15" s="3" t="s">
        <v>1043</v>
      </c>
      <c r="AG15" s="3" t="s">
        <v>1577</v>
      </c>
      <c r="AH15" s="3" t="s">
        <v>1044</v>
      </c>
      <c r="AI15" s="3" t="s">
        <v>1578</v>
      </c>
      <c r="AJ15" s="3" t="s">
        <v>1045</v>
      </c>
      <c r="AK15" s="3" t="s">
        <v>1579</v>
      </c>
      <c r="AL15" s="3" t="s">
        <v>1046</v>
      </c>
      <c r="AM15" s="3" t="s">
        <v>30</v>
      </c>
      <c r="AN15" s="3" t="s">
        <v>1580</v>
      </c>
      <c r="AO15" s="3" t="s">
        <v>1581</v>
      </c>
      <c r="AP15" s="3" t="s">
        <v>1582</v>
      </c>
      <c r="AQ15" s="3" t="s">
        <v>1583</v>
      </c>
      <c r="AR15" s="3" t="s">
        <v>30</v>
      </c>
      <c r="AS15" s="3" t="s">
        <v>838</v>
      </c>
      <c r="AT15" s="3" t="s">
        <v>30</v>
      </c>
      <c r="AU15" s="3" t="s">
        <v>1584</v>
      </c>
      <c r="AV15" s="3" t="s">
        <v>250</v>
      </c>
      <c r="AW15" s="3" t="s">
        <v>1585</v>
      </c>
      <c r="AX15" s="3" t="s">
        <v>680</v>
      </c>
      <c r="AY15" s="3" t="s">
        <v>556</v>
      </c>
      <c r="AZ15" s="3" t="s">
        <v>319</v>
      </c>
      <c r="BA15" s="3" t="s">
        <v>172</v>
      </c>
      <c r="BB15" s="3" t="s">
        <v>349</v>
      </c>
      <c r="BC15" s="3" t="s">
        <v>825</v>
      </c>
      <c r="BD15" s="3" t="s">
        <v>557</v>
      </c>
      <c r="BE15" s="3" t="s">
        <v>31</v>
      </c>
      <c r="BF15" s="3" t="s">
        <v>85</v>
      </c>
      <c r="BG15" s="3" t="s">
        <v>94</v>
      </c>
      <c r="BH15" s="3" t="s">
        <v>1041</v>
      </c>
      <c r="BI15" s="3" t="s">
        <v>1586</v>
      </c>
      <c r="BJ15" s="3" t="s">
        <v>680</v>
      </c>
      <c r="BK15" s="3" t="s">
        <v>1042</v>
      </c>
      <c r="BL15" s="3" t="s">
        <v>1587</v>
      </c>
      <c r="BM15" s="3" t="s">
        <v>825</v>
      </c>
      <c r="BN15" s="3">
        <v>-0.73</v>
      </c>
      <c r="BO15" s="3">
        <v>1.54</v>
      </c>
      <c r="BP15" s="3">
        <v>19.59</v>
      </c>
      <c r="BQ15" s="3">
        <v>0.09</v>
      </c>
      <c r="BR15" s="3">
        <v>2.44</v>
      </c>
      <c r="BS15" s="3">
        <v>21.5</v>
      </c>
      <c r="BT15" s="3" t="s">
        <v>1047</v>
      </c>
      <c r="BU15" s="3" t="s">
        <v>651</v>
      </c>
      <c r="BV15" s="3">
        <v>8.61</v>
      </c>
      <c r="BW15" s="3">
        <v>11.76</v>
      </c>
      <c r="BX15" s="3">
        <v>22.68</v>
      </c>
      <c r="BY15" s="3">
        <v>-2.14</v>
      </c>
      <c r="BZ15" s="3">
        <v>2.57</v>
      </c>
      <c r="CA15" s="3">
        <v>11.9</v>
      </c>
      <c r="CB15" s="3">
        <v>-8.19</v>
      </c>
      <c r="CC15" s="3">
        <v>-17.190000000000001</v>
      </c>
      <c r="CD15" s="3" t="s">
        <v>1588</v>
      </c>
      <c r="CE15" s="3" t="s">
        <v>152</v>
      </c>
      <c r="CF15" s="8">
        <v>-0.51282051282051277</v>
      </c>
      <c r="CG15" s="9">
        <v>-2.8349874845760619</v>
      </c>
      <c r="CH15" s="8">
        <v>-0.77765959501266479</v>
      </c>
      <c r="CI15" s="8">
        <v>-0.36173823475837708</v>
      </c>
      <c r="CJ15" s="8">
        <v>0.6332131028175354</v>
      </c>
      <c r="CK15" s="8">
        <v>8.5791751742362976E-2</v>
      </c>
      <c r="CL15" s="8">
        <v>-9.8017968237400055E-2</v>
      </c>
      <c r="CM15" s="9">
        <v>-1.2390201091766357</v>
      </c>
      <c r="CN15" s="9">
        <v>-0.87376117706298828</v>
      </c>
      <c r="CO15" s="9">
        <v>2.8333332538604736</v>
      </c>
      <c r="CP15" s="9">
        <v>0.15384615957736969</v>
      </c>
      <c r="CQ15" s="9">
        <v>-0.46757680177688599</v>
      </c>
      <c r="CR15" s="3">
        <v>18.382816532338111</v>
      </c>
      <c r="CS15" s="3">
        <v>1.7729965739200058</v>
      </c>
      <c r="CT15" s="3">
        <v>1.0291595197255574</v>
      </c>
      <c r="CU15" s="8">
        <v>-0.10368218868970872</v>
      </c>
      <c r="CV15" s="9">
        <v>8.1364265084266668E-2</v>
      </c>
      <c r="CW15" s="3">
        <v>0.06</v>
      </c>
      <c r="CX15" s="3" t="e">
        <v>#VALUE!</v>
      </c>
      <c r="CY15" s="3" t="s">
        <v>612</v>
      </c>
      <c r="CZ15" s="3">
        <v>-0.10368218868970872</v>
      </c>
      <c r="DA15" s="3" t="e">
        <v>#VALUE!</v>
      </c>
      <c r="DB15" s="3" t="s">
        <v>613</v>
      </c>
      <c r="DC15" s="3">
        <v>-9.8498079255223275E-2</v>
      </c>
      <c r="DD15" s="3" t="e">
        <v>#VALUE!</v>
      </c>
      <c r="DE15" s="3" t="s">
        <v>613</v>
      </c>
      <c r="DF15" s="3">
        <v>-9.1240326046943668E-2</v>
      </c>
      <c r="DG15" s="3" t="e">
        <v>#VALUE!</v>
      </c>
      <c r="DH15" s="3" t="s">
        <v>613</v>
      </c>
      <c r="DI15" s="3">
        <v>-8.2945750951766983E-2</v>
      </c>
      <c r="DJ15" s="3" t="e">
        <v>#VALUE!</v>
      </c>
      <c r="DK15" s="3" t="s">
        <v>613</v>
      </c>
      <c r="DL15" s="3">
        <v>-7.257753208279609E-2</v>
      </c>
      <c r="DM15" s="3">
        <v>-20819800</v>
      </c>
      <c r="DN15" s="3">
        <v>-0.10368218868970872</v>
      </c>
      <c r="DO15" s="3">
        <v>3312240000</v>
      </c>
      <c r="DP15" s="3">
        <v>634213900</v>
      </c>
      <c r="DQ15" s="3">
        <v>1126</v>
      </c>
      <c r="DR15" s="3">
        <v>-0.40913832413080409</v>
      </c>
      <c r="DS15" s="3">
        <v>-2.9163517496603286</v>
      </c>
      <c r="DT15" s="10">
        <v>-0.65666666666666662</v>
      </c>
      <c r="DU15" s="3">
        <v>-1.6366666666666667</v>
      </c>
      <c r="DV15" s="3">
        <v>-2.2933333333333334</v>
      </c>
      <c r="DW15" s="3">
        <v>-9.4764397905759168</v>
      </c>
      <c r="DX15" s="3">
        <v>0.3494782426778249</v>
      </c>
      <c r="DY15" s="3">
        <v>-9.0664529847313187</v>
      </c>
      <c r="DZ15" s="3">
        <v>4362</v>
      </c>
      <c r="EA15" s="3">
        <v>-9.0097273644968734</v>
      </c>
      <c r="EB15" s="3">
        <v>9</v>
      </c>
      <c r="EC15" s="3">
        <v>4.579024725274726E-2</v>
      </c>
      <c r="ED15" s="3">
        <v>0.3282967032967033</v>
      </c>
      <c r="EE15" s="11">
        <v>-1.0021100000000001</v>
      </c>
      <c r="EF15" s="3">
        <v>-1.0276099999999999</v>
      </c>
      <c r="EG15" s="3">
        <v>21.139478242677825</v>
      </c>
      <c r="EH15" s="3" t="s">
        <v>711</v>
      </c>
      <c r="EI15" s="3">
        <v>0</v>
      </c>
      <c r="EJ15" s="3">
        <v>0</v>
      </c>
      <c r="EK15" s="12">
        <v>45470</v>
      </c>
      <c r="EL15" s="13">
        <v>-0.16</v>
      </c>
      <c r="EM15" s="13">
        <v>-4.1900000000000004</v>
      </c>
      <c r="EN15" s="13">
        <v>-3.57</v>
      </c>
      <c r="EO15" s="13">
        <v>5.55</v>
      </c>
      <c r="EP15" s="13">
        <v>-2.5499999999999998</v>
      </c>
    </row>
    <row r="16" spans="1:146" ht="96" x14ac:dyDescent="0.25">
      <c r="C16" s="6" t="str">
        <f>""&amp;CHAR(10)&amp;Basic_Fundamental_Information_Constructure(F16)&amp;CHAR(10)&amp;Basic_Fundamental_Information_Concatenate("")</f>
        <v xml:space="preserve">
市值93.311841亿, 利润1.19亿; PE25.21; 平均PE19.73; 平均PEG4.52, PB1.34; ROIC8.89%; ROE10.79%; 股利率2.3175%; 毛利26.44%; 净利9.6667%; 上一年度营收增-76.14%, 利润增-81.32%; 当季营收增-51.35%, 利润增-61.34%; 过往5年营收增-4.36%, 利润增-12.62%
Income profile:
</v>
      </c>
      <c r="D16" s="3" t="s">
        <v>58</v>
      </c>
      <c r="E16" s="3" t="s">
        <v>22</v>
      </c>
      <c r="F16" s="3">
        <v>8.6300000000000008</v>
      </c>
      <c r="G16" s="3">
        <v>-4.22</v>
      </c>
      <c r="H16" s="3" t="s">
        <v>1589</v>
      </c>
      <c r="I16" s="3">
        <v>9331184100</v>
      </c>
      <c r="J16" s="3">
        <v>25.21</v>
      </c>
      <c r="K16" s="3">
        <v>1.34</v>
      </c>
      <c r="L16" s="3" t="s">
        <v>1310</v>
      </c>
      <c r="M16" s="3" t="s">
        <v>907</v>
      </c>
      <c r="N16" s="3" t="s">
        <v>1590</v>
      </c>
      <c r="O16" s="3" t="s">
        <v>1048</v>
      </c>
      <c r="P16" s="3">
        <v>-1.85</v>
      </c>
      <c r="Q16" s="3" t="s">
        <v>1048</v>
      </c>
      <c r="R16" s="3">
        <v>118678260</v>
      </c>
      <c r="S16" s="4">
        <v>-0.2442</v>
      </c>
      <c r="T16" s="3" t="s">
        <v>211</v>
      </c>
      <c r="U16" s="3">
        <v>640842740</v>
      </c>
      <c r="V16" s="3">
        <v>1081249610</v>
      </c>
      <c r="W16" s="3">
        <v>1.59</v>
      </c>
      <c r="X16" s="3">
        <v>0.12</v>
      </c>
      <c r="Y16" s="3">
        <v>9.0500000000000007</v>
      </c>
      <c r="Z16" s="3" t="s">
        <v>1591</v>
      </c>
      <c r="AA16" s="3" t="s">
        <v>1592</v>
      </c>
      <c r="AB16" s="3" t="s">
        <v>1593</v>
      </c>
      <c r="AC16" s="3" t="s">
        <v>1594</v>
      </c>
      <c r="AD16" s="3" t="s">
        <v>30</v>
      </c>
      <c r="AE16" s="3">
        <v>1039055</v>
      </c>
      <c r="AF16" s="3" t="s">
        <v>1050</v>
      </c>
      <c r="AG16" s="3" t="s">
        <v>1595</v>
      </c>
      <c r="AH16" s="3" t="s">
        <v>1051</v>
      </c>
      <c r="AI16" s="3" t="s">
        <v>328</v>
      </c>
      <c r="AJ16" s="3" t="s">
        <v>1052</v>
      </c>
      <c r="AK16" s="3" t="s">
        <v>255</v>
      </c>
      <c r="AL16" s="3" t="s">
        <v>1053</v>
      </c>
      <c r="AM16" s="3" t="s">
        <v>30</v>
      </c>
      <c r="AN16" s="3" t="s">
        <v>387</v>
      </c>
      <c r="AO16" s="3" t="s">
        <v>99</v>
      </c>
      <c r="AP16" s="3" t="s">
        <v>1283</v>
      </c>
      <c r="AQ16" s="3" t="s">
        <v>1596</v>
      </c>
      <c r="AR16" s="3" t="s">
        <v>30</v>
      </c>
      <c r="AS16" s="3" t="s">
        <v>1597</v>
      </c>
      <c r="AT16" s="3" t="s">
        <v>1598</v>
      </c>
      <c r="AU16" s="3" t="s">
        <v>114</v>
      </c>
      <c r="AV16" s="3" t="s">
        <v>1599</v>
      </c>
      <c r="AW16" s="3" t="s">
        <v>369</v>
      </c>
      <c r="AX16" s="3" t="s">
        <v>826</v>
      </c>
      <c r="AY16" s="3" t="s">
        <v>558</v>
      </c>
      <c r="AZ16" s="3" t="s">
        <v>351</v>
      </c>
      <c r="BA16" s="3" t="s">
        <v>199</v>
      </c>
      <c r="BB16" s="3" t="s">
        <v>352</v>
      </c>
      <c r="BC16" s="3" t="s">
        <v>378</v>
      </c>
      <c r="BD16" s="3" t="s">
        <v>559</v>
      </c>
      <c r="BE16" s="3" t="s">
        <v>129</v>
      </c>
      <c r="BF16" s="3" t="s">
        <v>232</v>
      </c>
      <c r="BG16" s="3" t="s">
        <v>267</v>
      </c>
      <c r="BH16" s="3" t="s">
        <v>1049</v>
      </c>
      <c r="BI16" s="3" t="s">
        <v>1600</v>
      </c>
      <c r="BJ16" s="3" t="s">
        <v>826</v>
      </c>
      <c r="BK16" s="3" t="s">
        <v>882</v>
      </c>
      <c r="BL16" s="3" t="s">
        <v>208</v>
      </c>
      <c r="BM16" s="3" t="s">
        <v>378</v>
      </c>
      <c r="BN16" s="3">
        <v>4.91</v>
      </c>
      <c r="BO16" s="3">
        <v>10.79</v>
      </c>
      <c r="BP16" s="3">
        <v>10.97</v>
      </c>
      <c r="BQ16" s="3">
        <v>6.23</v>
      </c>
      <c r="BR16" s="3">
        <v>13.42</v>
      </c>
      <c r="BS16" s="3">
        <v>12.72</v>
      </c>
      <c r="BT16" s="3" t="s">
        <v>706</v>
      </c>
      <c r="BU16" s="3" t="s">
        <v>651</v>
      </c>
      <c r="BV16" s="3">
        <v>25.94</v>
      </c>
      <c r="BW16" s="3">
        <v>27.42</v>
      </c>
      <c r="BX16" s="3">
        <v>25.96</v>
      </c>
      <c r="BY16" s="3">
        <v>7.3</v>
      </c>
      <c r="BZ16" s="3">
        <v>11.5</v>
      </c>
      <c r="CA16" s="3">
        <v>10.199999999999999</v>
      </c>
      <c r="CB16" s="3">
        <v>-8</v>
      </c>
      <c r="CC16" s="3">
        <v>1.77</v>
      </c>
      <c r="CD16" s="3" t="s">
        <v>137</v>
      </c>
      <c r="CE16" s="3" t="s">
        <v>1062</v>
      </c>
      <c r="CF16" s="8">
        <v>-0.51354166666666667</v>
      </c>
      <c r="CG16" s="9">
        <v>-0.6134258631921824</v>
      </c>
      <c r="CH16" s="8">
        <v>-0.76136946678161621</v>
      </c>
      <c r="CI16" s="8">
        <v>-2.0847262814640999E-2</v>
      </c>
      <c r="CJ16" s="8">
        <v>0.37271067500114441</v>
      </c>
      <c r="CK16" s="8">
        <v>0.17198817431926727</v>
      </c>
      <c r="CL16" s="8">
        <v>1.9420148804783821E-2</v>
      </c>
      <c r="CM16" s="9">
        <v>-0.81318682432174683</v>
      </c>
      <c r="CN16" s="9">
        <v>0.14981949329376221</v>
      </c>
      <c r="CO16" s="9">
        <v>0.25623583793640137</v>
      </c>
      <c r="CP16" s="9">
        <v>-0.16159695386886597</v>
      </c>
      <c r="CQ16" s="9">
        <v>-6.2388591468334198E-2</v>
      </c>
      <c r="CR16" s="3">
        <v>19.727661945031713</v>
      </c>
      <c r="CS16" s="3">
        <v>4.5226655527247601</v>
      </c>
      <c r="CT16" s="3">
        <v>2.3174971031286207</v>
      </c>
      <c r="CU16" s="8">
        <v>-4.3619546294212344E-2</v>
      </c>
      <c r="CV16" s="9">
        <v>-0.12622340768575668</v>
      </c>
      <c r="CW16" s="3">
        <v>0.06</v>
      </c>
      <c r="CX16" s="3">
        <v>50.690622689075632</v>
      </c>
      <c r="CY16" s="3" t="s">
        <v>1601</v>
      </c>
      <c r="CZ16" s="3">
        <v>-4.3619546294212344E-2</v>
      </c>
      <c r="DA16" s="3">
        <v>16.896874229691878</v>
      </c>
      <c r="DB16" s="3" t="s">
        <v>1602</v>
      </c>
      <c r="DC16" s="3">
        <v>-4.1438568979501725E-2</v>
      </c>
      <c r="DD16" s="3">
        <v>8.4484371148459392</v>
      </c>
      <c r="DE16" s="3" t="s">
        <v>1603</v>
      </c>
      <c r="DF16" s="3">
        <v>-3.8385200738906861E-2</v>
      </c>
      <c r="DG16" s="3">
        <v>5.0690622689075626</v>
      </c>
      <c r="DH16" s="3" t="s">
        <v>1604</v>
      </c>
      <c r="DI16" s="3">
        <v>-3.4895637035369874E-2</v>
      </c>
      <c r="DJ16" s="3">
        <v>2.5345311344537813</v>
      </c>
      <c r="DK16" s="3" t="s">
        <v>1605</v>
      </c>
      <c r="DL16" s="3">
        <v>-3.0533682405948639E-2</v>
      </c>
      <c r="DM16" s="3">
        <v>119000000</v>
      </c>
      <c r="DN16" s="3">
        <v>-4.3619546294212344E-2</v>
      </c>
      <c r="DO16" s="3">
        <v>6032184100</v>
      </c>
      <c r="DP16" s="3">
        <v>3431293700</v>
      </c>
      <c r="DQ16" s="3">
        <v>1286</v>
      </c>
      <c r="DR16" s="3">
        <v>-0.46992212037245434</v>
      </c>
      <c r="DS16" s="3">
        <v>-0.48720245550642571</v>
      </c>
      <c r="DT16" s="10">
        <v>-0.52333333333333332</v>
      </c>
      <c r="DU16" s="3">
        <v>-0.75666666666666671</v>
      </c>
      <c r="DV16" s="3">
        <v>-1.28</v>
      </c>
      <c r="DW16" s="3">
        <v>-5.2212500000000004</v>
      </c>
      <c r="DX16" s="3">
        <v>0.37315459470786805</v>
      </c>
      <c r="DY16" s="3">
        <v>-5.0294604540791159</v>
      </c>
      <c r="DZ16" s="3">
        <v>2970</v>
      </c>
      <c r="EA16" s="3">
        <v>-5.0123376461309803</v>
      </c>
      <c r="EB16" s="3">
        <v>5</v>
      </c>
      <c r="EC16" s="3">
        <v>0.13780351791294518</v>
      </c>
      <c r="ED16" s="3">
        <v>1.0349136680844675</v>
      </c>
      <c r="EE16" s="11">
        <v>-5.0329100000000002</v>
      </c>
      <c r="EF16" s="3">
        <v>-5.0450100000000004</v>
      </c>
      <c r="EG16" s="3">
        <v>24.133154594707868</v>
      </c>
      <c r="EH16" s="3" t="s">
        <v>940</v>
      </c>
      <c r="EI16" s="3">
        <v>0</v>
      </c>
      <c r="EJ16" s="3">
        <v>0</v>
      </c>
      <c r="EK16" s="12">
        <v>45470</v>
      </c>
      <c r="EL16" s="13">
        <v>0.22</v>
      </c>
      <c r="EM16" s="13">
        <v>-0.88</v>
      </c>
      <c r="EN16" s="13">
        <v>-3.55</v>
      </c>
      <c r="EO16" s="13">
        <v>4.71</v>
      </c>
      <c r="EP16" s="13">
        <v>-1.21</v>
      </c>
    </row>
    <row r="17" spans="1:146" ht="96" x14ac:dyDescent="0.25">
      <c r="C17" s="6" t="str">
        <f>""&amp;CHAR(10)&amp;Basic_Fundamental_Information_Constructure(F17)&amp;CHAR(10)&amp;Basic_Fundamental_Information_Concatenate("")</f>
        <v xml:space="preserve">
市值82.101162亿, 利润1.12亿; PE16.46; 平均PE27.91; 平均PEG21.61, PB1.94; ROIC8.98%; ROE11.49%; 股利率1.2176%; 毛利24.1467%; 净利9.9167%; 上一年度营收增-78.61%, 利润增-63.52%; 当季营收增-52.15%, 利润增-59.86%; 过往5年营收增1.29%, 利润增-3.62%
Income profile:
</v>
      </c>
      <c r="D17" s="3" t="s">
        <v>54</v>
      </c>
      <c r="E17" s="3" t="s">
        <v>15</v>
      </c>
      <c r="F17" s="3">
        <v>25.87</v>
      </c>
      <c r="G17" s="3">
        <v>0.74</v>
      </c>
      <c r="H17" s="3" t="s">
        <v>1606</v>
      </c>
      <c r="I17" s="3">
        <v>8210116200</v>
      </c>
      <c r="J17" s="3">
        <v>16.46</v>
      </c>
      <c r="K17" s="3">
        <v>1.94</v>
      </c>
      <c r="L17" s="3" t="s">
        <v>1310</v>
      </c>
      <c r="M17" s="3" t="s">
        <v>1055</v>
      </c>
      <c r="N17" s="3" t="s">
        <v>1607</v>
      </c>
      <c r="O17" s="3" t="s">
        <v>1056</v>
      </c>
      <c r="P17" s="3">
        <v>-2.92</v>
      </c>
      <c r="Q17" s="3" t="s">
        <v>1056</v>
      </c>
      <c r="R17" s="3">
        <v>111592429</v>
      </c>
      <c r="S17" s="4">
        <v>-0.15029999999999999</v>
      </c>
      <c r="T17" s="3" t="s">
        <v>32</v>
      </c>
      <c r="U17" s="3">
        <v>265893850</v>
      </c>
      <c r="V17" s="3">
        <v>317360500</v>
      </c>
      <c r="W17" s="3">
        <v>1.74</v>
      </c>
      <c r="X17" s="3">
        <v>0.13</v>
      </c>
      <c r="Y17" s="3">
        <v>11.42</v>
      </c>
      <c r="Z17" s="3" t="s">
        <v>1608</v>
      </c>
      <c r="AA17" s="3" t="s">
        <v>899</v>
      </c>
      <c r="AB17" s="3" t="s">
        <v>1609</v>
      </c>
      <c r="AC17" s="3" t="s">
        <v>1610</v>
      </c>
      <c r="AD17" s="3" t="s">
        <v>30</v>
      </c>
      <c r="AE17" s="3">
        <v>-8226834</v>
      </c>
      <c r="AF17" s="3" t="s">
        <v>1058</v>
      </c>
      <c r="AG17" s="3" t="s">
        <v>1611</v>
      </c>
      <c r="AH17" s="3" t="s">
        <v>1059</v>
      </c>
      <c r="AI17" s="3" t="s">
        <v>1612</v>
      </c>
      <c r="AJ17" s="3" t="s">
        <v>1060</v>
      </c>
      <c r="AK17" s="3" t="s">
        <v>618</v>
      </c>
      <c r="AL17" s="3" t="s">
        <v>1061</v>
      </c>
      <c r="AM17" s="3" t="s">
        <v>30</v>
      </c>
      <c r="AN17" s="3" t="s">
        <v>104</v>
      </c>
      <c r="AO17" s="3" t="s">
        <v>346</v>
      </c>
      <c r="AP17" s="3" t="s">
        <v>101</v>
      </c>
      <c r="AQ17" s="3" t="s">
        <v>854</v>
      </c>
      <c r="AR17" s="3" t="s">
        <v>30</v>
      </c>
      <c r="AS17" s="3" t="s">
        <v>1613</v>
      </c>
      <c r="AT17" s="3" t="s">
        <v>939</v>
      </c>
      <c r="AU17" s="3" t="s">
        <v>1614</v>
      </c>
      <c r="AV17" s="3" t="s">
        <v>1615</v>
      </c>
      <c r="AW17" s="3" t="s">
        <v>1616</v>
      </c>
      <c r="AX17" s="3" t="s">
        <v>827</v>
      </c>
      <c r="AY17" s="3" t="s">
        <v>560</v>
      </c>
      <c r="AZ17" s="3" t="s">
        <v>354</v>
      </c>
      <c r="BA17" s="3" t="s">
        <v>200</v>
      </c>
      <c r="BB17" s="3" t="s">
        <v>355</v>
      </c>
      <c r="BC17" s="3" t="s">
        <v>208</v>
      </c>
      <c r="BD17" s="3" t="s">
        <v>356</v>
      </c>
      <c r="BE17" s="3" t="s">
        <v>83</v>
      </c>
      <c r="BF17" s="3" t="s">
        <v>233</v>
      </c>
      <c r="BG17" s="3" t="s">
        <v>152</v>
      </c>
      <c r="BH17" s="3" t="s">
        <v>1057</v>
      </c>
      <c r="BI17" s="3" t="s">
        <v>1617</v>
      </c>
      <c r="BJ17" s="3" t="s">
        <v>827</v>
      </c>
      <c r="BK17" s="3" t="s">
        <v>99</v>
      </c>
      <c r="BL17" s="3" t="s">
        <v>679</v>
      </c>
      <c r="BM17" s="3" t="s">
        <v>208</v>
      </c>
      <c r="BN17" s="3">
        <v>7.07</v>
      </c>
      <c r="BO17" s="3">
        <v>6.54</v>
      </c>
      <c r="BP17" s="3">
        <v>13.33</v>
      </c>
      <c r="BQ17" s="3">
        <v>10.99</v>
      </c>
      <c r="BR17" s="3">
        <v>8.4499999999999993</v>
      </c>
      <c r="BS17" s="3">
        <v>15.03</v>
      </c>
      <c r="BT17" s="3" t="s">
        <v>1063</v>
      </c>
      <c r="BU17" s="3" t="s">
        <v>651</v>
      </c>
      <c r="BV17" s="3">
        <v>26.51</v>
      </c>
      <c r="BW17" s="3">
        <v>23.62</v>
      </c>
      <c r="BX17" s="3">
        <v>22.31</v>
      </c>
      <c r="BY17" s="3">
        <v>11.98</v>
      </c>
      <c r="BZ17" s="3">
        <v>6.72</v>
      </c>
      <c r="CA17" s="3">
        <v>11.05</v>
      </c>
      <c r="CB17" s="3">
        <v>-3.51</v>
      </c>
      <c r="CC17" s="3">
        <v>-2.29</v>
      </c>
      <c r="CD17" s="3" t="s">
        <v>1618</v>
      </c>
      <c r="CE17" s="3" t="s">
        <v>95</v>
      </c>
      <c r="CF17" s="8">
        <v>-0.52154750244857984</v>
      </c>
      <c r="CG17" s="9">
        <v>-0.59858838489208632</v>
      </c>
      <c r="CH17" s="8">
        <v>-0.78607404232025146</v>
      </c>
      <c r="CI17" s="8">
        <v>2.9763305559754372E-2</v>
      </c>
      <c r="CJ17" s="8">
        <v>0.52353131771087646</v>
      </c>
      <c r="CK17" s="8">
        <v>0.27899828553199768</v>
      </c>
      <c r="CL17" s="8">
        <v>1.8344489857554436E-2</v>
      </c>
      <c r="CM17" s="9">
        <v>-0.63517916202545166</v>
      </c>
      <c r="CN17" s="9">
        <v>-0.37346938252449036</v>
      </c>
      <c r="CO17" s="9">
        <v>0.40401145815849304</v>
      </c>
      <c r="CP17" s="9">
        <v>0.30223879218101501</v>
      </c>
      <c r="CQ17" s="9">
        <v>0.12133891135454178</v>
      </c>
      <c r="CR17" s="3">
        <v>27.909743456090649</v>
      </c>
      <c r="CS17" s="3">
        <v>21.614229059858278</v>
      </c>
      <c r="CT17" s="3">
        <v>1.2176265945110165</v>
      </c>
      <c r="CU17" s="8">
        <v>1.2912671267986297E-2</v>
      </c>
      <c r="CV17" s="9">
        <v>-3.6211876571178435E-2</v>
      </c>
      <c r="CW17" s="3">
        <v>0.06</v>
      </c>
      <c r="CX17" s="3">
        <v>67.602280863105776</v>
      </c>
      <c r="CY17" s="3">
        <v>107024735.07737215</v>
      </c>
      <c r="CZ17" s="3">
        <v>1.2912671267986297E-2</v>
      </c>
      <c r="DA17" s="3">
        <v>23.595027372579956</v>
      </c>
      <c r="DB17" s="3">
        <v>306637330.22018057</v>
      </c>
      <c r="DC17" s="3">
        <v>1.2267037704586982E-2</v>
      </c>
      <c r="DD17" s="3">
        <v>12.64956258664199</v>
      </c>
      <c r="DE17" s="3">
        <v>571965722.16973925</v>
      </c>
      <c r="DF17" s="3">
        <v>1.1363150715827941E-2</v>
      </c>
      <c r="DG17" s="3">
        <v>8.3318876626936103</v>
      </c>
      <c r="DH17" s="3">
        <v>868364588.30278611</v>
      </c>
      <c r="DI17" s="3">
        <v>1.0330137014389038E-2</v>
      </c>
      <c r="DJ17" s="3">
        <v>5.2058134552500395</v>
      </c>
      <c r="DK17" s="3">
        <v>1389814725.8241491</v>
      </c>
      <c r="DL17" s="3">
        <v>9.0388698875904071E-3</v>
      </c>
      <c r="DM17" s="3">
        <v>112000000.00000001</v>
      </c>
      <c r="DN17" s="3">
        <v>1.2912671267986297E-2</v>
      </c>
      <c r="DO17" s="3">
        <v>7235116200</v>
      </c>
      <c r="DP17" s="3">
        <v>854411100</v>
      </c>
      <c r="DQ17" s="3">
        <v>1378</v>
      </c>
      <c r="DR17" s="3">
        <v>-0.53446017371656618</v>
      </c>
      <c r="DS17" s="3">
        <v>-0.56237650832090791</v>
      </c>
      <c r="DT17" s="10">
        <v>-0.52333333333333332</v>
      </c>
      <c r="DU17" s="3">
        <v>-0.45333333333333331</v>
      </c>
      <c r="DV17" s="3">
        <v>-0.97666666666666657</v>
      </c>
      <c r="DW17" s="3">
        <v>-4.6524216524216522</v>
      </c>
      <c r="DX17" s="3">
        <v>0.43232028985507354</v>
      </c>
      <c r="DY17" s="3">
        <v>-4.1319981378256738</v>
      </c>
      <c r="DZ17" s="3">
        <v>1165</v>
      </c>
      <c r="EA17" s="3">
        <v>-4.1019046289084704</v>
      </c>
      <c r="EB17" s="3">
        <v>4</v>
      </c>
      <c r="EC17" s="3">
        <v>0.13196443791839249</v>
      </c>
      <c r="ED17" s="3">
        <v>0.65225508530519705</v>
      </c>
      <c r="EE17" s="11">
        <v>-2.0341100000000001</v>
      </c>
      <c r="EF17" s="3">
        <v>-2.0639099999999999</v>
      </c>
      <c r="EG17" s="3">
        <v>23.202320289855074</v>
      </c>
      <c r="EH17" s="3" t="s">
        <v>714</v>
      </c>
      <c r="EI17" s="3">
        <v>0</v>
      </c>
      <c r="EJ17" s="3">
        <v>1</v>
      </c>
      <c r="EK17" s="12">
        <v>45470</v>
      </c>
      <c r="EL17" s="13">
        <v>2.16</v>
      </c>
      <c r="EM17" s="13">
        <v>-3.52</v>
      </c>
      <c r="EN17" s="13">
        <v>-4.38</v>
      </c>
      <c r="EO17" s="13">
        <v>6.55</v>
      </c>
      <c r="EP17" s="13">
        <v>-2.98</v>
      </c>
    </row>
    <row r="18" spans="1:146" ht="180" x14ac:dyDescent="0.25">
      <c r="C18" s="6" t="str">
        <f>"公司从事高中端印制电路板的设计、研发及制造，产品应用以通信设备为核心，重点布局数据中心（含服务器）、汽车电子等领域，并持续深耕工控、医疗等领域。公司主要产品或服务为印制电路板、封装基板、电子装联。"&amp;CHAR(10)&amp;Basic_Fundamental_Information_Constructure(F18)&amp;CHAR(10)&amp;Basic_Fundamental_Information_Concatenate("印制电路板 87.37亿 62.66% 66.82% 25.28%
封装基板 24.15亿 17.32% 21.25% 29.09%
电子装联 19.40亿 13.91% 7.37% 12.56%
其他业务收入 5.23亿 3.75% 1.68% 10.61%
其他产品 3.28亿 2.35% 2.88% 29.00%")</f>
        <v>公司从事高中端印制电路板的设计、研发及制造，产品应用以通信设备为核心，重点布局数据中心（含服务器）、汽车电子等领域，并持续深耕工控、医疗等领域。公司主要产品或服务为印制电路板、封装基板、电子装联。
市值540.77807亿, 利润3.80亿; PE34.42; 平均PE47.28; 平均PEG95.34, PB3.99; ROIC11.2833%; ROE13.5667%; 股利率.8536%; 毛利24.22%; 净利10.89%; 上一年度营收增-71.69%, 利润增-76.84%; 当季营收增-34.36%, 利润增-19.92%; 过往5年营收增-.5%, 利润增6.08%
Income profile:
印制电路板 87.37亿 62.66% 66.82% 25.28%
封装基板 24.15亿 17.32% 21.25% 29.09%
电子装联 19.40亿 13.91% 7.37% 12.56%
其他业务收入 5.23亿 3.75% 1.68% 10.61%
其他产品 3.28亿 2.35% 2.88% 29.00%</v>
      </c>
      <c r="D18" s="3" t="s">
        <v>41</v>
      </c>
      <c r="E18" s="3" t="s">
        <v>5</v>
      </c>
      <c r="F18" s="3">
        <v>105.44</v>
      </c>
      <c r="G18" s="3">
        <v>0.37</v>
      </c>
      <c r="H18" s="3" t="s">
        <v>1619</v>
      </c>
      <c r="I18" s="3">
        <v>54077807000</v>
      </c>
      <c r="J18" s="3">
        <v>34.42</v>
      </c>
      <c r="K18" s="3">
        <v>3.99</v>
      </c>
      <c r="L18" s="3" t="s">
        <v>1310</v>
      </c>
      <c r="M18" s="3" t="s">
        <v>1064</v>
      </c>
      <c r="N18" s="3" t="s">
        <v>1620</v>
      </c>
      <c r="O18" s="3" t="s">
        <v>1065</v>
      </c>
      <c r="P18" s="3">
        <v>42.24</v>
      </c>
      <c r="Q18" s="3" t="s">
        <v>1065</v>
      </c>
      <c r="R18" s="3">
        <v>379571810</v>
      </c>
      <c r="S18" s="4">
        <v>0.83879999999999999</v>
      </c>
      <c r="T18" s="3" t="s">
        <v>370</v>
      </c>
      <c r="U18" s="3">
        <v>510834540</v>
      </c>
      <c r="V18" s="3">
        <v>512877540</v>
      </c>
      <c r="W18" s="3">
        <v>1.72</v>
      </c>
      <c r="X18" s="3">
        <v>0.17</v>
      </c>
      <c r="Y18" s="3">
        <v>9.58</v>
      </c>
      <c r="Z18" s="3" t="s">
        <v>1621</v>
      </c>
      <c r="AA18" s="3" t="s">
        <v>1622</v>
      </c>
      <c r="AB18" s="3" t="s">
        <v>1623</v>
      </c>
      <c r="AC18" s="3" t="s">
        <v>243</v>
      </c>
      <c r="AD18" s="3" t="s">
        <v>30</v>
      </c>
      <c r="AE18" s="3">
        <v>-12979051</v>
      </c>
      <c r="AF18" s="3" t="s">
        <v>1068</v>
      </c>
      <c r="AG18" s="3" t="s">
        <v>1624</v>
      </c>
      <c r="AH18" s="3" t="s">
        <v>1069</v>
      </c>
      <c r="AI18" s="3" t="s">
        <v>900</v>
      </c>
      <c r="AJ18" s="3" t="s">
        <v>1070</v>
      </c>
      <c r="AK18" s="3" t="s">
        <v>238</v>
      </c>
      <c r="AL18" s="3" t="s">
        <v>1071</v>
      </c>
      <c r="AM18" s="3" t="s">
        <v>30</v>
      </c>
      <c r="AN18" s="3" t="s">
        <v>1625</v>
      </c>
      <c r="AO18" s="3" t="s">
        <v>240</v>
      </c>
      <c r="AP18" s="3" t="s">
        <v>228</v>
      </c>
      <c r="AQ18" s="3" t="s">
        <v>317</v>
      </c>
      <c r="AR18" s="3" t="s">
        <v>1626</v>
      </c>
      <c r="AS18" s="3" t="s">
        <v>1627</v>
      </c>
      <c r="AT18" s="3" t="s">
        <v>1628</v>
      </c>
      <c r="AU18" s="3" t="s">
        <v>1629</v>
      </c>
      <c r="AV18" s="3" t="s">
        <v>1630</v>
      </c>
      <c r="AW18" s="3" t="s">
        <v>1631</v>
      </c>
      <c r="AX18" s="3" t="s">
        <v>829</v>
      </c>
      <c r="AY18" s="3" t="s">
        <v>561</v>
      </c>
      <c r="AZ18" s="3" t="s">
        <v>357</v>
      </c>
      <c r="BA18" s="3" t="s">
        <v>167</v>
      </c>
      <c r="BB18" s="3" t="s">
        <v>360</v>
      </c>
      <c r="BC18" s="3" t="s">
        <v>1072</v>
      </c>
      <c r="BD18" s="3" t="s">
        <v>562</v>
      </c>
      <c r="BE18" s="3" t="s">
        <v>358</v>
      </c>
      <c r="BF18" s="3" t="s">
        <v>236</v>
      </c>
      <c r="BG18" s="3" t="s">
        <v>279</v>
      </c>
      <c r="BH18" s="3" t="s">
        <v>1066</v>
      </c>
      <c r="BI18" s="3" t="s">
        <v>1632</v>
      </c>
      <c r="BJ18" s="3" t="s">
        <v>829</v>
      </c>
      <c r="BK18" s="3" t="s">
        <v>1067</v>
      </c>
      <c r="BL18" s="3" t="s">
        <v>1633</v>
      </c>
      <c r="BM18" s="3" t="s">
        <v>1072</v>
      </c>
      <c r="BN18" s="3">
        <v>5.95</v>
      </c>
      <c r="BO18" s="3">
        <v>12.97</v>
      </c>
      <c r="BP18" s="3">
        <v>14.93</v>
      </c>
      <c r="BQ18" s="3">
        <v>7.3</v>
      </c>
      <c r="BR18" s="3">
        <v>14.7</v>
      </c>
      <c r="BS18" s="3">
        <v>18.7</v>
      </c>
      <c r="BT18" s="3" t="s">
        <v>1073</v>
      </c>
      <c r="BU18" s="3" t="s">
        <v>651</v>
      </c>
      <c r="BV18" s="3">
        <v>23.43</v>
      </c>
      <c r="BW18" s="3">
        <v>25.52</v>
      </c>
      <c r="BX18" s="3">
        <v>23.71</v>
      </c>
      <c r="BY18" s="3">
        <v>10.33</v>
      </c>
      <c r="BZ18" s="3">
        <v>11.72</v>
      </c>
      <c r="CA18" s="3">
        <v>10.62</v>
      </c>
      <c r="CB18" s="3">
        <v>-0.31</v>
      </c>
      <c r="CC18" s="3">
        <v>12.87</v>
      </c>
      <c r="CD18" s="3" t="s">
        <v>1634</v>
      </c>
      <c r="CE18" s="3" t="s">
        <v>327</v>
      </c>
      <c r="CF18" s="8">
        <v>-0.3435531985415976</v>
      </c>
      <c r="CG18" s="9">
        <v>-0.19921559071729958</v>
      </c>
      <c r="CH18" s="8">
        <v>-0.71690964698791504</v>
      </c>
      <c r="CI18" s="8">
        <v>3.5142670385539532E-3</v>
      </c>
      <c r="CJ18" s="8">
        <v>0.2019827663898468</v>
      </c>
      <c r="CK18" s="8">
        <v>0.10224246978759766</v>
      </c>
      <c r="CL18" s="8">
        <v>0.38437259197235107</v>
      </c>
      <c r="CM18" s="9">
        <v>-0.76843386888504028</v>
      </c>
      <c r="CN18" s="9">
        <v>0.10803511738777161</v>
      </c>
      <c r="CO18" s="9">
        <v>3.5664290189743042E-2</v>
      </c>
      <c r="CP18" s="9">
        <v>0.15977297723293304</v>
      </c>
      <c r="CQ18" s="9">
        <v>0.76900994777679443</v>
      </c>
      <c r="CR18" s="3">
        <v>47.284587875255028</v>
      </c>
      <c r="CS18" s="3">
        <v>95.341242267479487</v>
      </c>
      <c r="CT18" s="3">
        <v>0.85356600910470415</v>
      </c>
      <c r="CU18" s="8">
        <v>-4.9595103599131109E-3</v>
      </c>
      <c r="CV18" s="9">
        <v>6.0809692740440367E-2</v>
      </c>
      <c r="CW18" s="3">
        <v>0.06</v>
      </c>
      <c r="CX18" s="3">
        <v>131.39949210526316</v>
      </c>
      <c r="CY18" s="3" t="s">
        <v>1635</v>
      </c>
      <c r="CZ18" s="3">
        <v>-4.9595103599131109E-3</v>
      </c>
      <c r="DA18" s="3">
        <v>43.799830701754388</v>
      </c>
      <c r="DB18" s="3" t="s">
        <v>1636</v>
      </c>
      <c r="DC18" s="3">
        <v>-4.7115348419174549E-3</v>
      </c>
      <c r="DD18" s="3">
        <v>21.899915350877194</v>
      </c>
      <c r="DE18" s="3" t="s">
        <v>1637</v>
      </c>
      <c r="DF18" s="3">
        <v>-4.3643691167235378E-3</v>
      </c>
      <c r="DG18" s="3">
        <v>13.139949210526316</v>
      </c>
      <c r="DH18" s="3" t="s">
        <v>1638</v>
      </c>
      <c r="DI18" s="3">
        <v>-3.9676082879304886E-3</v>
      </c>
      <c r="DJ18" s="3">
        <v>6.569974605263158</v>
      </c>
      <c r="DK18" s="3" t="s">
        <v>1639</v>
      </c>
      <c r="DL18" s="3">
        <v>-3.4716572519391774E-3</v>
      </c>
      <c r="DM18" s="3">
        <v>380000000</v>
      </c>
      <c r="DN18" s="3">
        <v>-4.9595103599131109E-3</v>
      </c>
      <c r="DO18" s="3">
        <v>49931807000</v>
      </c>
      <c r="DP18" s="3">
        <v>2484027600</v>
      </c>
      <c r="DQ18" s="3">
        <v>1380</v>
      </c>
      <c r="DR18" s="3">
        <v>-0.3385936881816845</v>
      </c>
      <c r="DS18" s="3">
        <v>-0.26002528345773995</v>
      </c>
      <c r="DT18" s="10">
        <v>-0.54</v>
      </c>
      <c r="DU18" s="3">
        <v>-0.23666666666666669</v>
      </c>
      <c r="DV18" s="3">
        <v>-0.77666666666666673</v>
      </c>
      <c r="DW18" s="3">
        <v>2.1286999999999998</v>
      </c>
      <c r="DX18" s="3">
        <v>0.38055493827160647</v>
      </c>
      <c r="DY18" s="3">
        <v>2.0155154205555554</v>
      </c>
      <c r="DZ18" s="3">
        <v>988</v>
      </c>
      <c r="EA18" s="3">
        <v>2.0125155701624267</v>
      </c>
      <c r="EB18" s="3">
        <v>2</v>
      </c>
      <c r="EC18" s="3">
        <v>3.8079070493123951E-2</v>
      </c>
      <c r="ED18" s="3">
        <v>0.31586487487831888</v>
      </c>
      <c r="EE18" s="11">
        <v>2.0194100000000001</v>
      </c>
      <c r="EF18" s="3">
        <v>2.0498099999999999</v>
      </c>
      <c r="EG18" s="3">
        <v>26.120554938271606</v>
      </c>
      <c r="EH18" s="3" t="s">
        <v>1306</v>
      </c>
      <c r="EI18" s="3">
        <v>1</v>
      </c>
      <c r="EJ18" s="3">
        <v>1</v>
      </c>
      <c r="EK18" s="12">
        <v>45470</v>
      </c>
      <c r="EL18" s="13">
        <v>0.85</v>
      </c>
      <c r="EM18" s="13">
        <v>-1.02</v>
      </c>
      <c r="EN18" s="13">
        <v>-1.46</v>
      </c>
      <c r="EO18" s="13">
        <v>1.69</v>
      </c>
      <c r="EP18" s="13">
        <v>-3.04</v>
      </c>
    </row>
    <row r="19" spans="1:146" ht="168" x14ac:dyDescent="0.25">
      <c r="A19" s="6" t="s">
        <v>717</v>
      </c>
      <c r="B19" s="6" t="s">
        <v>712</v>
      </c>
      <c r="C19" s="6" t="str">
        <f>"公司从事各类印制电路板的设计、研发、制造与销售业务。主要产品通讯用板、消费电子及计算机用板以及其他用板等，并广泛应用于手机、网络设备、平板电脑、可穿戴设备、笔记本电脑、服务器/储存器及汽车电子等下游产品。"&amp;CHAR(10)&amp;Basic_Fundamental_Information_Constructure(F19)&amp;CHAR(10)&amp;Basic_Fundamental_Information_Concatenate("（美国占比80.82%）
通讯用板 226.74亿 62.62% 57.53% 22.04%
消费电子及计算机用板 132.01亿 36.46% 41.78% 27.49%
汽车、服务器用板 3.14亿 0.87% 0.59% 16.33%")</f>
        <v>公司从事各类印制电路板的设计、研发、制造与销售业务。主要产品通讯用板、消费电子及计算机用板以及其他用板等，并广泛应用于手机、网络设备、平板电脑、可穿戴设备、笔记本电脑、服务器/储存器及汽车电子等下游产品。
市值880.5894亿, 利润4.97亿; PE26.16; 平均PE30.43; 平均PEG3.3, PB2.93; ROIC11.5233%; ROE13.5133%; 股利率1.3165%; 毛利21.91%; 净利11.3467%; 上一年度营收增-81.53%, 利润增-90.08%; 当季营收增-42.03%, 利润增-38.76%; 过往5年营收增-9.23%, 利润增-3.91%
Income profile:
（美国占比80.82%）
通讯用板 226.74亿 62.62% 57.53% 22.04%
消费电子及计算机用板 132.01亿 36.46% 41.78% 27.49%
汽车、服务器用板 3.14亿 0.87% 0.59% 16.33%</v>
      </c>
      <c r="D19" s="3" t="s">
        <v>55</v>
      </c>
      <c r="E19" s="3" t="s">
        <v>25</v>
      </c>
      <c r="F19" s="3">
        <v>37.979999999999997</v>
      </c>
      <c r="G19" s="3">
        <v>-0.84</v>
      </c>
      <c r="H19" s="3" t="s">
        <v>1640</v>
      </c>
      <c r="I19" s="3">
        <v>88058940000</v>
      </c>
      <c r="J19" s="3">
        <v>26.16</v>
      </c>
      <c r="K19" s="3">
        <v>2.93</v>
      </c>
      <c r="L19" s="3" t="s">
        <v>1310</v>
      </c>
      <c r="M19" s="3" t="s">
        <v>1074</v>
      </c>
      <c r="N19" s="3" t="s">
        <v>1641</v>
      </c>
      <c r="O19" s="3" t="s">
        <v>420</v>
      </c>
      <c r="P19" s="3">
        <v>0.28999999999999998</v>
      </c>
      <c r="Q19" s="3" t="s">
        <v>420</v>
      </c>
      <c r="R19" s="3">
        <v>497266040</v>
      </c>
      <c r="S19" s="4">
        <v>0.18809999999999999</v>
      </c>
      <c r="T19" s="3" t="s">
        <v>1642</v>
      </c>
      <c r="U19" s="3">
        <v>2315111100</v>
      </c>
      <c r="V19" s="3">
        <v>2318560800</v>
      </c>
      <c r="W19" s="3">
        <v>1.33</v>
      </c>
      <c r="X19" s="3">
        <v>0.16</v>
      </c>
      <c r="Y19" s="3">
        <v>7.44</v>
      </c>
      <c r="Z19" s="3" t="s">
        <v>1643</v>
      </c>
      <c r="AA19" s="3" t="s">
        <v>1644</v>
      </c>
      <c r="AB19" s="3" t="s">
        <v>1645</v>
      </c>
      <c r="AC19" s="3" t="s">
        <v>1450</v>
      </c>
      <c r="AD19" s="3" t="s">
        <v>30</v>
      </c>
      <c r="AE19" s="3">
        <v>-169565260</v>
      </c>
      <c r="AF19" s="3" t="s">
        <v>1077</v>
      </c>
      <c r="AG19" s="3" t="s">
        <v>1646</v>
      </c>
      <c r="AH19" s="3" t="s">
        <v>1078</v>
      </c>
      <c r="AI19" s="3" t="s">
        <v>1647</v>
      </c>
      <c r="AJ19" s="3" t="s">
        <v>1079</v>
      </c>
      <c r="AK19" s="3" t="s">
        <v>1648</v>
      </c>
      <c r="AL19" s="3" t="s">
        <v>1080</v>
      </c>
      <c r="AM19" s="3" t="s">
        <v>30</v>
      </c>
      <c r="AN19" s="3" t="s">
        <v>1649</v>
      </c>
      <c r="AO19" s="3" t="s">
        <v>1650</v>
      </c>
      <c r="AP19" s="3" t="s">
        <v>30</v>
      </c>
      <c r="AQ19" s="3" t="s">
        <v>1651</v>
      </c>
      <c r="AR19" s="3" t="s">
        <v>30</v>
      </c>
      <c r="AS19" s="3" t="s">
        <v>1652</v>
      </c>
      <c r="AT19" s="3" t="s">
        <v>30</v>
      </c>
      <c r="AU19" s="3" t="s">
        <v>1653</v>
      </c>
      <c r="AV19" s="3" t="s">
        <v>1654</v>
      </c>
      <c r="AW19" s="3" t="s">
        <v>1655</v>
      </c>
      <c r="AX19" s="3" t="s">
        <v>830</v>
      </c>
      <c r="AY19" s="3" t="s">
        <v>564</v>
      </c>
      <c r="AZ19" s="3" t="s">
        <v>361</v>
      </c>
      <c r="BA19" s="3" t="s">
        <v>175</v>
      </c>
      <c r="BB19" s="3" t="s">
        <v>364</v>
      </c>
      <c r="BC19" s="3" t="s">
        <v>831</v>
      </c>
      <c r="BD19" s="3" t="s">
        <v>565</v>
      </c>
      <c r="BE19" s="3" t="s">
        <v>362</v>
      </c>
      <c r="BF19" s="3" t="s">
        <v>237</v>
      </c>
      <c r="BG19" s="3" t="s">
        <v>365</v>
      </c>
      <c r="BH19" s="3" t="s">
        <v>1075</v>
      </c>
      <c r="BI19" s="3" t="s">
        <v>1656</v>
      </c>
      <c r="BJ19" s="3" t="s">
        <v>830</v>
      </c>
      <c r="BK19" s="3" t="s">
        <v>1076</v>
      </c>
      <c r="BL19" s="3" t="s">
        <v>1657</v>
      </c>
      <c r="BM19" s="3" t="s">
        <v>831</v>
      </c>
      <c r="BN19" s="3">
        <v>4.71</v>
      </c>
      <c r="BO19" s="3">
        <v>17</v>
      </c>
      <c r="BP19" s="3">
        <v>12.86</v>
      </c>
      <c r="BQ19" s="3">
        <v>6.49</v>
      </c>
      <c r="BR19" s="3">
        <v>19.37</v>
      </c>
      <c r="BS19" s="3">
        <v>14.68</v>
      </c>
      <c r="BT19" s="3" t="s">
        <v>703</v>
      </c>
      <c r="BU19" s="3" t="s">
        <v>651</v>
      </c>
      <c r="BV19" s="3">
        <v>21.34</v>
      </c>
      <c r="BW19" s="3">
        <v>24</v>
      </c>
      <c r="BX19" s="3">
        <v>20.39</v>
      </c>
      <c r="BY19" s="3">
        <v>10.25</v>
      </c>
      <c r="BZ19" s="3">
        <v>13.84</v>
      </c>
      <c r="CA19" s="3">
        <v>9.9499999999999993</v>
      </c>
      <c r="CB19" s="3">
        <v>-4.4800000000000004</v>
      </c>
      <c r="CC19" s="3">
        <v>34.299999999999997</v>
      </c>
      <c r="CD19" s="3" t="s">
        <v>116</v>
      </c>
      <c r="CE19" s="3" t="s">
        <v>1658</v>
      </c>
      <c r="CF19" s="8">
        <v>-0.42028608582574772</v>
      </c>
      <c r="CG19" s="9">
        <v>-0.38760339901477825</v>
      </c>
      <c r="CH19" s="8">
        <v>-0.81533235311508179</v>
      </c>
      <c r="CI19" s="8">
        <v>8.6927779018878937E-2</v>
      </c>
      <c r="CJ19" s="8">
        <v>0.11604299396276474</v>
      </c>
      <c r="CK19" s="8">
        <v>0.12158564478158951</v>
      </c>
      <c r="CL19" s="8">
        <v>2.9394641518592834E-2</v>
      </c>
      <c r="CM19" s="9">
        <v>-0.90083801746368408</v>
      </c>
      <c r="CN19" s="9">
        <v>0.51100385189056396</v>
      </c>
      <c r="CO19" s="9">
        <v>0.16754664480686188</v>
      </c>
      <c r="CP19" s="9">
        <v>-2.8717949986457825E-2</v>
      </c>
      <c r="CQ19" s="9">
        <v>5.5575557053089142E-2</v>
      </c>
      <c r="CR19" s="3">
        <v>30.429858895352183</v>
      </c>
      <c r="CS19" s="3">
        <v>3.2976910098082133</v>
      </c>
      <c r="CT19" s="3">
        <v>1.3164823591363877</v>
      </c>
      <c r="CU19" s="8">
        <v>-9.2276258766651159E-2</v>
      </c>
      <c r="CV19" s="9">
        <v>-3.9085982739925383E-2</v>
      </c>
      <c r="CW19" s="3">
        <v>0.06</v>
      </c>
      <c r="CX19" s="3">
        <v>141.9153722334004</v>
      </c>
      <c r="CY19" s="3" t="s">
        <v>1659</v>
      </c>
      <c r="CZ19" s="3">
        <v>-9.2276258766651159E-2</v>
      </c>
      <c r="DA19" s="3">
        <v>47.305124077800137</v>
      </c>
      <c r="DB19" s="3" t="s">
        <v>1660</v>
      </c>
      <c r="DC19" s="3">
        <v>-8.76624458283186E-2</v>
      </c>
      <c r="DD19" s="3">
        <v>23.652562038900069</v>
      </c>
      <c r="DE19" s="3" t="s">
        <v>1661</v>
      </c>
      <c r="DF19" s="3">
        <v>-8.1203107714653014E-2</v>
      </c>
      <c r="DG19" s="3">
        <v>14.19153722334004</v>
      </c>
      <c r="DH19" s="3" t="s">
        <v>1662</v>
      </c>
      <c r="DI19" s="3">
        <v>-7.3821007013320936E-2</v>
      </c>
      <c r="DJ19" s="3">
        <v>7.09576861167002</v>
      </c>
      <c r="DK19" s="3" t="s">
        <v>1663</v>
      </c>
      <c r="DL19" s="3">
        <v>-6.4593381136655803E-2</v>
      </c>
      <c r="DM19" s="3">
        <v>497000000</v>
      </c>
      <c r="DN19" s="3">
        <v>-9.2276258766651159E-2</v>
      </c>
      <c r="DO19" s="3">
        <v>70531940000</v>
      </c>
      <c r="DP19" s="3">
        <v>10034329000</v>
      </c>
      <c r="DQ19" s="3">
        <v>1400</v>
      </c>
      <c r="DR19" s="3">
        <v>-0.32800982705909654</v>
      </c>
      <c r="DS19" s="3">
        <v>-0.34851741627485289</v>
      </c>
      <c r="DT19" s="10">
        <v>-0.77333333333333332</v>
      </c>
      <c r="DU19" s="3">
        <v>-0.26999999999999996</v>
      </c>
      <c r="DV19" s="3">
        <v>-1.0433333333333332</v>
      </c>
      <c r="DW19" s="3">
        <v>-6.115523465703971</v>
      </c>
      <c r="DX19" s="3">
        <v>0.35086782376501874</v>
      </c>
      <c r="DY19" s="3">
        <v>-6.0174287738645509</v>
      </c>
      <c r="DZ19" s="3">
        <v>2501</v>
      </c>
      <c r="EA19" s="3">
        <v>-6.0088985657558931</v>
      </c>
      <c r="EB19" s="3">
        <v>6</v>
      </c>
      <c r="EC19" s="3">
        <v>4.8737130378465811E-2</v>
      </c>
      <c r="ED19" s="3">
        <v>0.32304522702186633</v>
      </c>
      <c r="EE19" s="11">
        <v>1.1066</v>
      </c>
      <c r="EF19" s="3">
        <v>1.0908</v>
      </c>
      <c r="EG19" s="3">
        <v>20.150867823765019</v>
      </c>
      <c r="EH19" s="3" t="s">
        <v>950</v>
      </c>
      <c r="EI19" s="3">
        <v>0</v>
      </c>
      <c r="EJ19" s="3">
        <v>0</v>
      </c>
      <c r="EK19" s="12">
        <v>45470</v>
      </c>
      <c r="EL19" s="13">
        <v>0.66</v>
      </c>
      <c r="EM19" s="13">
        <v>0.24</v>
      </c>
      <c r="EN19" s="13">
        <v>-2.08</v>
      </c>
      <c r="EO19" s="13">
        <v>8.7899999999999991</v>
      </c>
      <c r="EP19" s="13">
        <v>-1.58</v>
      </c>
    </row>
    <row r="20" spans="1:146" ht="108" x14ac:dyDescent="0.25">
      <c r="A20" s="6" t="s">
        <v>530</v>
      </c>
      <c r="B20" s="6" t="s">
        <v>532</v>
      </c>
      <c r="C20" s="6" t="s">
        <v>533</v>
      </c>
      <c r="D20" s="3" t="s">
        <v>490</v>
      </c>
      <c r="E20" s="3" t="s">
        <v>491</v>
      </c>
      <c r="F20" s="3">
        <v>9.2100000000000009</v>
      </c>
      <c r="G20" s="3">
        <v>5.86</v>
      </c>
      <c r="H20" s="3" t="s">
        <v>1664</v>
      </c>
      <c r="I20" s="3">
        <v>8004695300</v>
      </c>
      <c r="J20" s="3">
        <v>28.07</v>
      </c>
      <c r="K20" s="3">
        <v>1.89</v>
      </c>
      <c r="L20" s="3" t="s">
        <v>1310</v>
      </c>
      <c r="M20" s="3" t="s">
        <v>914</v>
      </c>
      <c r="N20" s="3" t="s">
        <v>1665</v>
      </c>
      <c r="O20" s="3" t="s">
        <v>691</v>
      </c>
      <c r="P20" s="3">
        <v>0.65</v>
      </c>
      <c r="Q20" s="3" t="s">
        <v>691</v>
      </c>
      <c r="R20" s="3">
        <v>62045344</v>
      </c>
      <c r="S20" s="4">
        <v>0.32479999999999998</v>
      </c>
      <c r="T20" s="3" t="s">
        <v>1666</v>
      </c>
      <c r="U20" s="3">
        <v>829707410</v>
      </c>
      <c r="V20" s="3">
        <v>869130870</v>
      </c>
      <c r="W20" s="3">
        <v>1.41</v>
      </c>
      <c r="X20" s="3">
        <v>0.11</v>
      </c>
      <c r="Y20" s="3">
        <v>9.41</v>
      </c>
      <c r="Z20" s="3" t="s">
        <v>1667</v>
      </c>
      <c r="AA20" s="3" t="s">
        <v>1668</v>
      </c>
      <c r="AB20" s="3" t="s">
        <v>1669</v>
      </c>
      <c r="AC20" s="3" t="s">
        <v>1670</v>
      </c>
      <c r="AD20" s="3" t="s">
        <v>30</v>
      </c>
      <c r="AE20" s="3">
        <v>-9741824</v>
      </c>
      <c r="AF20" s="3" t="s">
        <v>1081</v>
      </c>
      <c r="AG20" s="3" t="s">
        <v>1671</v>
      </c>
      <c r="AH20" s="3" t="s">
        <v>1082</v>
      </c>
      <c r="AI20" s="3" t="s">
        <v>1672</v>
      </c>
      <c r="AJ20" s="3" t="s">
        <v>1083</v>
      </c>
      <c r="AK20" s="3" t="s">
        <v>1673</v>
      </c>
      <c r="AL20" s="3" t="s">
        <v>1084</v>
      </c>
      <c r="AM20" s="3" t="s">
        <v>30</v>
      </c>
      <c r="AN20" s="3" t="s">
        <v>1484</v>
      </c>
      <c r="AO20" s="3" t="s">
        <v>1674</v>
      </c>
      <c r="AP20" s="3" t="s">
        <v>1675</v>
      </c>
      <c r="AQ20" s="3" t="s">
        <v>1560</v>
      </c>
      <c r="AR20" s="3" t="s">
        <v>1676</v>
      </c>
      <c r="AS20" s="3" t="s">
        <v>682</v>
      </c>
      <c r="AT20" s="3" t="s">
        <v>30</v>
      </c>
      <c r="AU20" s="3" t="s">
        <v>1677</v>
      </c>
      <c r="AV20" s="3" t="s">
        <v>1678</v>
      </c>
      <c r="AW20" s="3" t="s">
        <v>1679</v>
      </c>
      <c r="AX20" s="3" t="s">
        <v>833</v>
      </c>
      <c r="AY20" s="3" t="s">
        <v>566</v>
      </c>
      <c r="AZ20" s="3" t="s">
        <v>492</v>
      </c>
      <c r="BA20" s="3" t="s">
        <v>389</v>
      </c>
      <c r="BB20" s="3" t="s">
        <v>494</v>
      </c>
      <c r="BC20" s="3" t="s">
        <v>692</v>
      </c>
      <c r="BD20" s="3" t="s">
        <v>115</v>
      </c>
      <c r="BE20" s="3" t="s">
        <v>493</v>
      </c>
      <c r="BF20" s="3" t="s">
        <v>495</v>
      </c>
      <c r="BG20" s="3" t="s">
        <v>93</v>
      </c>
      <c r="BH20" s="3" t="s">
        <v>918</v>
      </c>
      <c r="BI20" s="3" t="s">
        <v>1680</v>
      </c>
      <c r="BJ20" s="3" t="s">
        <v>833</v>
      </c>
      <c r="BK20" s="3" t="s">
        <v>256</v>
      </c>
      <c r="BL20" s="3" t="s">
        <v>191</v>
      </c>
      <c r="BM20" s="3" t="s">
        <v>692</v>
      </c>
      <c r="BN20" s="3">
        <v>4.12</v>
      </c>
      <c r="BO20" s="3">
        <v>5.04</v>
      </c>
      <c r="BP20" s="3">
        <v>9.1199999999999992</v>
      </c>
      <c r="BQ20" s="3">
        <v>4.5599999999999996</v>
      </c>
      <c r="BR20" s="3">
        <v>5.16</v>
      </c>
      <c r="BS20" s="3">
        <v>10.45</v>
      </c>
      <c r="BT20" s="3" t="s">
        <v>1681</v>
      </c>
      <c r="BU20" s="3" t="s">
        <v>650</v>
      </c>
      <c r="BV20" s="3">
        <v>19.41</v>
      </c>
      <c r="BW20" s="3">
        <v>18.079999999999998</v>
      </c>
      <c r="BX20" s="3">
        <v>21.06</v>
      </c>
      <c r="BY20" s="3">
        <v>9.31</v>
      </c>
      <c r="BZ20" s="3">
        <v>6.94</v>
      </c>
      <c r="CA20" s="3">
        <v>9.52</v>
      </c>
      <c r="CB20" s="3">
        <v>-1.29</v>
      </c>
      <c r="CC20" s="3">
        <v>17.079999999999998</v>
      </c>
      <c r="CD20" s="3" t="s">
        <v>1682</v>
      </c>
      <c r="CE20" s="3" t="s">
        <v>1683</v>
      </c>
      <c r="CF20" s="8">
        <v>-0.52022711142654365</v>
      </c>
      <c r="CG20" s="9">
        <v>-0.38568966336633664</v>
      </c>
      <c r="CH20" s="8">
        <v>-0.78553301095962524</v>
      </c>
      <c r="CI20" s="8">
        <v>-5.0030175596475601E-2</v>
      </c>
      <c r="CJ20" s="8">
        <v>0.42464587092399597</v>
      </c>
      <c r="CK20" s="8">
        <v>0.28107807040214539</v>
      </c>
      <c r="CL20" s="8">
        <v>8.7320573627948761E-2</v>
      </c>
      <c r="CM20" s="9">
        <v>-0.68977349996566772</v>
      </c>
      <c r="CN20" s="9">
        <v>-0.34210526943206787</v>
      </c>
      <c r="CO20" s="9">
        <v>7.521111011505127</v>
      </c>
      <c r="CP20" s="9">
        <v>-0.20879776775836945</v>
      </c>
      <c r="CQ20" s="9">
        <v>-0.6584014892578125</v>
      </c>
      <c r="CR20" s="3">
        <v>61.668473434680799</v>
      </c>
      <c r="CS20" s="3">
        <v>72.51928518830357</v>
      </c>
      <c r="CT20" s="3">
        <v>1.017899022801303</v>
      </c>
      <c r="CU20" s="8">
        <v>-8.5037343204021447E-3</v>
      </c>
      <c r="CV20" s="9">
        <v>1.124406597018242</v>
      </c>
      <c r="CW20" s="3">
        <v>0.06</v>
      </c>
      <c r="CX20" s="3">
        <v>85.658306108601295</v>
      </c>
      <c r="CY20" s="3" t="s">
        <v>1684</v>
      </c>
      <c r="CZ20" s="3">
        <v>-8.5037343204021447E-3</v>
      </c>
      <c r="DA20" s="3">
        <v>28.552768702867098</v>
      </c>
      <c r="DB20" s="3" t="s">
        <v>1685</v>
      </c>
      <c r="DC20" s="3">
        <v>-8.0785476043820376E-3</v>
      </c>
      <c r="DD20" s="3">
        <v>14.276384351433549</v>
      </c>
      <c r="DE20" s="3" t="s">
        <v>1686</v>
      </c>
      <c r="DF20" s="3">
        <v>-7.4832862019538872E-3</v>
      </c>
      <c r="DG20" s="3">
        <v>8.5658306108601288</v>
      </c>
      <c r="DH20" s="3" t="s">
        <v>1687</v>
      </c>
      <c r="DI20" s="3">
        <v>-6.8029874563217164E-3</v>
      </c>
      <c r="DJ20" s="3">
        <v>4.2829153054300644</v>
      </c>
      <c r="DK20" s="3" t="s">
        <v>1688</v>
      </c>
      <c r="DL20" s="3">
        <v>-5.9526140242815006E-3</v>
      </c>
      <c r="DM20" s="3">
        <v>62045300</v>
      </c>
      <c r="DN20" s="3">
        <v>-8.5037343204021447E-3</v>
      </c>
      <c r="DO20" s="3">
        <v>5314695300</v>
      </c>
      <c r="DP20" s="3">
        <v>1531113100</v>
      </c>
      <c r="DQ20" s="3">
        <v>1800</v>
      </c>
      <c r="DR20" s="3">
        <v>-0.51172337710614146</v>
      </c>
      <c r="DS20" s="3">
        <v>-1.5100962603845787</v>
      </c>
      <c r="DT20" s="10">
        <v>-0.52333333333333332</v>
      </c>
      <c r="DU20" s="3">
        <v>-0.66833333333333333</v>
      </c>
      <c r="DV20" s="3">
        <v>-1.1916666666666667</v>
      </c>
      <c r="DW20" s="3">
        <v>3.0122142857142857</v>
      </c>
      <c r="DX20" s="3">
        <v>0.4972406064581314</v>
      </c>
      <c r="DY20" s="3">
        <v>3.0030198674074531</v>
      </c>
      <c r="DZ20" s="3">
        <v>1402</v>
      </c>
      <c r="EA20" s="3">
        <v>3.0021913245297136</v>
      </c>
      <c r="EB20" s="3">
        <v>3</v>
      </c>
      <c r="EC20" s="3">
        <v>0.38659310306168276</v>
      </c>
      <c r="ED20" s="3">
        <v>1.5636310329191276</v>
      </c>
      <c r="EE20" s="11">
        <v>0.10069999999999998</v>
      </c>
      <c r="EF20" s="3">
        <v>0.13469999999999999</v>
      </c>
      <c r="EG20" s="3">
        <v>25.247240606458131</v>
      </c>
      <c r="EH20" s="3" t="s">
        <v>607</v>
      </c>
      <c r="EI20" s="3">
        <v>0</v>
      </c>
      <c r="EJ20" s="3">
        <v>1</v>
      </c>
      <c r="EK20" s="12">
        <v>45470</v>
      </c>
      <c r="EL20" s="13">
        <v>0.35</v>
      </c>
      <c r="EM20" s="13">
        <v>-3.47</v>
      </c>
      <c r="EN20" s="13">
        <v>-0.6</v>
      </c>
      <c r="EO20" s="13">
        <v>6.27</v>
      </c>
      <c r="EP20" s="13">
        <v>3.4</v>
      </c>
    </row>
    <row r="21" spans="1:146" ht="96" x14ac:dyDescent="0.25">
      <c r="C21" s="6" t="str">
        <f>""&amp;CHAR(10)&amp;Basic_Fundamental_Information_Constructure(F21)&amp;CHAR(10)&amp;Basic_Fundamental_Information_Concatenate("")</f>
        <v xml:space="preserve">
市值542.17711亿, 利润4.33亿; PE32.01; 平均PE42.92; 平均PEG18, PB2.91; ROIC9.3633%; ROE10.8267%; 股利率.9897%; 毛利44.2267%; 净利29.76%; 上一年度营收增-69.63%, 利润增-71.23%; 当季营收增-40.51%, 利润增-40.77%; 过往5年营收增-2.39%, 利润增-5.08%
Income profile:
</v>
      </c>
      <c r="D21" s="3" t="s">
        <v>57</v>
      </c>
      <c r="E21" s="3" t="s">
        <v>14</v>
      </c>
      <c r="F21" s="3">
        <v>28.29</v>
      </c>
      <c r="G21" s="3">
        <v>0.5</v>
      </c>
      <c r="H21" s="3" t="s">
        <v>1689</v>
      </c>
      <c r="I21" s="3">
        <v>54217711000</v>
      </c>
      <c r="J21" s="3">
        <v>32.01</v>
      </c>
      <c r="K21" s="3">
        <v>2.91</v>
      </c>
      <c r="L21" s="3" t="s">
        <v>1310</v>
      </c>
      <c r="M21" s="3" t="s">
        <v>1085</v>
      </c>
      <c r="N21" s="3" t="s">
        <v>1690</v>
      </c>
      <c r="O21" s="3" t="s">
        <v>896</v>
      </c>
      <c r="P21" s="3">
        <v>31.49</v>
      </c>
      <c r="Q21" s="3" t="s">
        <v>896</v>
      </c>
      <c r="R21" s="3">
        <v>432978970</v>
      </c>
      <c r="S21" s="4">
        <v>0.35310000000000002</v>
      </c>
      <c r="T21" s="3" t="s">
        <v>656</v>
      </c>
      <c r="U21" s="3">
        <v>1869808200</v>
      </c>
      <c r="V21" s="3">
        <v>1916497400</v>
      </c>
      <c r="W21" s="3">
        <v>1.2</v>
      </c>
      <c r="X21" s="3">
        <v>7.0000000000000007E-2</v>
      </c>
      <c r="Y21" s="3">
        <v>27.73</v>
      </c>
      <c r="Z21" s="3" t="s">
        <v>1691</v>
      </c>
      <c r="AA21" s="3" t="s">
        <v>1228</v>
      </c>
      <c r="AB21" s="3" t="s">
        <v>1692</v>
      </c>
      <c r="AC21" s="3" t="s">
        <v>1693</v>
      </c>
      <c r="AD21" s="3" t="s">
        <v>30</v>
      </c>
      <c r="AE21" s="3">
        <v>-44978331</v>
      </c>
      <c r="AF21" s="3" t="s">
        <v>1086</v>
      </c>
      <c r="AG21" s="3" t="s">
        <v>1694</v>
      </c>
      <c r="AH21" s="3" t="s">
        <v>1087</v>
      </c>
      <c r="AI21" s="3" t="s">
        <v>1695</v>
      </c>
      <c r="AJ21" s="3" t="s">
        <v>1088</v>
      </c>
      <c r="AK21" s="3" t="s">
        <v>1548</v>
      </c>
      <c r="AL21" s="3" t="s">
        <v>1089</v>
      </c>
      <c r="AM21" s="3" t="s">
        <v>30</v>
      </c>
      <c r="AN21" s="3" t="s">
        <v>1696</v>
      </c>
      <c r="AO21" s="3" t="s">
        <v>1697</v>
      </c>
      <c r="AP21" s="3" t="s">
        <v>114</v>
      </c>
      <c r="AQ21" s="3" t="s">
        <v>1698</v>
      </c>
      <c r="AR21" s="3" t="s">
        <v>30</v>
      </c>
      <c r="AS21" s="3" t="s">
        <v>1699</v>
      </c>
      <c r="AT21" s="3" t="s">
        <v>30</v>
      </c>
      <c r="AU21" s="3" t="s">
        <v>270</v>
      </c>
      <c r="AV21" s="3" t="s">
        <v>1700</v>
      </c>
      <c r="AW21" s="3" t="s">
        <v>144</v>
      </c>
      <c r="AX21" s="3" t="s">
        <v>834</v>
      </c>
      <c r="AY21" s="3" t="s">
        <v>569</v>
      </c>
      <c r="AZ21" s="3" t="s">
        <v>376</v>
      </c>
      <c r="BA21" s="3" t="s">
        <v>203</v>
      </c>
      <c r="BB21" s="3" t="s">
        <v>379</v>
      </c>
      <c r="BC21" s="3" t="s">
        <v>382</v>
      </c>
      <c r="BD21" s="3" t="s">
        <v>497</v>
      </c>
      <c r="BE21" s="3" t="s">
        <v>377</v>
      </c>
      <c r="BF21" s="3" t="s">
        <v>244</v>
      </c>
      <c r="BG21" s="3" t="s">
        <v>318</v>
      </c>
      <c r="BH21" s="3" t="s">
        <v>926</v>
      </c>
      <c r="BI21" s="3" t="s">
        <v>879</v>
      </c>
      <c r="BJ21" s="3" t="s">
        <v>834</v>
      </c>
      <c r="BK21" s="3" t="s">
        <v>684</v>
      </c>
      <c r="BL21" s="3" t="s">
        <v>1701</v>
      </c>
      <c r="BM21" s="3" t="s">
        <v>382</v>
      </c>
      <c r="BN21" s="3">
        <v>5.68</v>
      </c>
      <c r="BO21" s="3">
        <v>8.19</v>
      </c>
      <c r="BP21" s="3">
        <v>14.22</v>
      </c>
      <c r="BQ21" s="3">
        <v>6.52</v>
      </c>
      <c r="BR21" s="3">
        <v>9.0399999999999991</v>
      </c>
      <c r="BS21" s="3">
        <v>16.920000000000002</v>
      </c>
      <c r="BT21" s="3" t="s">
        <v>1090</v>
      </c>
      <c r="BU21" s="3" t="s">
        <v>650</v>
      </c>
      <c r="BV21" s="3">
        <v>39.83</v>
      </c>
      <c r="BW21" s="3">
        <v>44.1</v>
      </c>
      <c r="BX21" s="3">
        <v>48.75</v>
      </c>
      <c r="BY21" s="3">
        <v>27.65</v>
      </c>
      <c r="BZ21" s="3">
        <v>29.25</v>
      </c>
      <c r="CA21" s="3">
        <v>32.380000000000003</v>
      </c>
      <c r="CB21" s="3">
        <v>-3.08</v>
      </c>
      <c r="CC21" s="3">
        <v>-1.01</v>
      </c>
      <c r="CD21" s="3" t="s">
        <v>1702</v>
      </c>
      <c r="CE21" s="3" t="s">
        <v>371</v>
      </c>
      <c r="CF21" s="8">
        <v>-0.40509699505515406</v>
      </c>
      <c r="CG21" s="9">
        <v>-0.40768950752393979</v>
      </c>
      <c r="CH21" s="8">
        <v>-0.69625169038772583</v>
      </c>
      <c r="CI21" s="8">
        <v>-0.17192018032073975</v>
      </c>
      <c r="CJ21" s="8">
        <v>0.55683529376983643</v>
      </c>
      <c r="CK21" s="8">
        <v>0.46515029668807983</v>
      </c>
      <c r="CL21" s="8">
        <v>-0.27306666970252991</v>
      </c>
      <c r="CM21" s="9">
        <v>-0.7122923731803894</v>
      </c>
      <c r="CN21" s="9">
        <v>-0.25161617994308472</v>
      </c>
      <c r="CO21" s="9">
        <v>0.39652782678604126</v>
      </c>
      <c r="CP21" s="9">
        <v>0.65327209234237671</v>
      </c>
      <c r="CQ21" s="9">
        <v>-0.33965128660202026</v>
      </c>
      <c r="CR21" s="3">
        <v>42.922056471830054</v>
      </c>
      <c r="CS21" s="3">
        <v>17.996224197689862</v>
      </c>
      <c r="CT21" s="3">
        <v>0.98974902792506181</v>
      </c>
      <c r="CU21" s="8">
        <v>-2.3850589990615845E-2</v>
      </c>
      <c r="CV21" s="9">
        <v>-5.0751984119415283E-2</v>
      </c>
      <c r="CW21" s="3">
        <v>0.06</v>
      </c>
      <c r="CX21" s="3">
        <v>90.442750577367207</v>
      </c>
      <c r="CY21" s="3" t="s">
        <v>1703</v>
      </c>
      <c r="CZ21" s="3">
        <v>-2.3850589990615845E-2</v>
      </c>
      <c r="DA21" s="3">
        <v>30.14758352578907</v>
      </c>
      <c r="DB21" s="3" t="s">
        <v>1704</v>
      </c>
      <c r="DC21" s="3">
        <v>-2.2658060491085052E-2</v>
      </c>
      <c r="DD21" s="3">
        <v>15.073791762894535</v>
      </c>
      <c r="DE21" s="3" t="s">
        <v>1705</v>
      </c>
      <c r="DF21" s="3">
        <v>-2.0988519191741942E-2</v>
      </c>
      <c r="DG21" s="3">
        <v>9.044275057736721</v>
      </c>
      <c r="DH21" s="3" t="s">
        <v>1706</v>
      </c>
      <c r="DI21" s="3">
        <v>-1.9080471992492676E-2</v>
      </c>
      <c r="DJ21" s="3">
        <v>4.5221375288683605</v>
      </c>
      <c r="DK21" s="3" t="s">
        <v>1707</v>
      </c>
      <c r="DL21" s="3">
        <v>-1.6695412993431091E-2</v>
      </c>
      <c r="DM21" s="3">
        <v>433000000</v>
      </c>
      <c r="DN21" s="3">
        <v>-2.3850589990615845E-2</v>
      </c>
      <c r="DO21" s="3">
        <v>39161711000</v>
      </c>
      <c r="DP21" s="3">
        <v>9223147900</v>
      </c>
      <c r="DQ21" s="3">
        <v>1880</v>
      </c>
      <c r="DR21" s="3">
        <v>-0.38124640506453822</v>
      </c>
      <c r="DS21" s="3">
        <v>-0.3569375234045245</v>
      </c>
      <c r="DT21" s="10">
        <v>-0.77333333333333332</v>
      </c>
      <c r="DU21" s="3">
        <v>-0.43666666666666659</v>
      </c>
      <c r="DV21" s="3">
        <v>-1.21</v>
      </c>
      <c r="DW21" s="3">
        <v>-4.3279220779220777</v>
      </c>
      <c r="DX21" s="3">
        <v>0.32626380952380957</v>
      </c>
      <c r="DY21" s="3">
        <v>-4.0414046907854049</v>
      </c>
      <c r="DZ21" s="3">
        <v>2502</v>
      </c>
      <c r="EA21" s="3">
        <v>-4.0211317873910639</v>
      </c>
      <c r="EB21" s="3">
        <v>4</v>
      </c>
      <c r="EC21" s="3">
        <v>2.0753015370644386E-2</v>
      </c>
      <c r="ED21" s="3">
        <v>0.16436234142556103</v>
      </c>
      <c r="EE21" s="11">
        <v>-3.0637099999999999</v>
      </c>
      <c r="EF21" s="3">
        <v>-3.0699100000000001</v>
      </c>
      <c r="EG21" s="3">
        <v>20.12626380952381</v>
      </c>
      <c r="EH21" s="3" t="s">
        <v>910</v>
      </c>
      <c r="EI21" s="3">
        <v>0</v>
      </c>
      <c r="EJ21" s="3">
        <v>0</v>
      </c>
      <c r="EK21" s="12">
        <v>45470</v>
      </c>
      <c r="EL21" s="13">
        <v>0.38</v>
      </c>
      <c r="EM21" s="13">
        <v>0.76</v>
      </c>
      <c r="EN21" s="13">
        <v>-2.73</v>
      </c>
      <c r="EO21" s="13">
        <v>1.26</v>
      </c>
      <c r="EP21" s="13">
        <v>-0.62</v>
      </c>
    </row>
    <row r="22" spans="1:146" ht="96" x14ac:dyDescent="0.25">
      <c r="C22" s="6" t="str">
        <f>""&amp;CHAR(10)&amp;Basic_Fundamental_Information_Constructure(F22)&amp;CHAR(10)&amp;Basic_Fundamental_Information_Concatenate("")</f>
        <v xml:space="preserve">
市值22.127375亿, 利润-919.66万; PE; 平均PE-81.81; 平均PEG-27.05, PB2.52; ROIC10.44%; ROE-.78%; 股利率0%; 毛利17.56%; 净利-19.1433%; 上一年度营收增-66.58%, 利润增93.19%; 当季营收增-27.07%, 利润增72.5%; 过往5年营收增-3.02%, 利润增-4.88%
Income profile:
</v>
      </c>
      <c r="D22" s="3" t="s">
        <v>71</v>
      </c>
      <c r="E22" s="3" t="s">
        <v>3</v>
      </c>
      <c r="F22" s="3">
        <v>7.88</v>
      </c>
      <c r="G22" s="3">
        <v>0.13</v>
      </c>
      <c r="H22" s="3" t="s">
        <v>1708</v>
      </c>
      <c r="I22" s="3">
        <v>2212737500</v>
      </c>
      <c r="K22" s="3">
        <v>2.52</v>
      </c>
      <c r="L22" s="3" t="s">
        <v>1310</v>
      </c>
      <c r="M22" s="3" t="s">
        <v>894</v>
      </c>
      <c r="N22" s="3" t="s">
        <v>1709</v>
      </c>
      <c r="O22" s="3" t="s">
        <v>93</v>
      </c>
      <c r="P22" s="3">
        <v>124.08</v>
      </c>
      <c r="Q22" s="3" t="s">
        <v>93</v>
      </c>
      <c r="R22" s="3">
        <v>-9196624</v>
      </c>
      <c r="S22" s="4">
        <v>0.77739999999999998</v>
      </c>
      <c r="T22" s="3" t="s">
        <v>1710</v>
      </c>
      <c r="U22" s="3">
        <v>280804250</v>
      </c>
      <c r="V22" s="3">
        <v>280804250</v>
      </c>
      <c r="W22" s="3">
        <v>2.04</v>
      </c>
      <c r="X22" s="3">
        <v>7.0000000000000007E-2</v>
      </c>
      <c r="Y22" s="3">
        <v>-7.12</v>
      </c>
      <c r="Z22" s="3" t="s">
        <v>117</v>
      </c>
      <c r="AA22" s="3" t="s">
        <v>149</v>
      </c>
      <c r="AB22" s="3" t="s">
        <v>1711</v>
      </c>
      <c r="AC22" s="3" t="s">
        <v>1712</v>
      </c>
      <c r="AD22" s="3" t="s">
        <v>30</v>
      </c>
      <c r="AE22" s="3">
        <v>6524534</v>
      </c>
      <c r="AF22" s="3" t="s">
        <v>1092</v>
      </c>
      <c r="AG22" s="3" t="s">
        <v>1713</v>
      </c>
      <c r="AH22" s="3" t="s">
        <v>1093</v>
      </c>
      <c r="AI22" s="3" t="s">
        <v>1714</v>
      </c>
      <c r="AJ22" s="3" t="s">
        <v>1094</v>
      </c>
      <c r="AK22" s="3" t="s">
        <v>1715</v>
      </c>
      <c r="AL22" s="3" t="s">
        <v>1095</v>
      </c>
      <c r="AM22" s="3" t="s">
        <v>30</v>
      </c>
      <c r="AN22" s="3" t="s">
        <v>1716</v>
      </c>
      <c r="AO22" s="3" t="s">
        <v>1529</v>
      </c>
      <c r="AP22" s="3" t="s">
        <v>1717</v>
      </c>
      <c r="AQ22" s="3" t="s">
        <v>211</v>
      </c>
      <c r="AR22" s="3" t="s">
        <v>30</v>
      </c>
      <c r="AS22" s="3" t="s">
        <v>594</v>
      </c>
      <c r="AT22" s="3" t="s">
        <v>205</v>
      </c>
      <c r="AU22" s="3" t="s">
        <v>1718</v>
      </c>
      <c r="AV22" s="3" t="s">
        <v>1719</v>
      </c>
      <c r="AW22" s="3" t="s">
        <v>1720</v>
      </c>
      <c r="AX22" s="3" t="s">
        <v>178</v>
      </c>
      <c r="AY22" s="3" t="s">
        <v>523</v>
      </c>
      <c r="AZ22" s="3" t="s">
        <v>366</v>
      </c>
      <c r="BA22" s="3" t="s">
        <v>158</v>
      </c>
      <c r="BB22" s="3" t="s">
        <v>223</v>
      </c>
      <c r="BC22" s="3" t="s">
        <v>654</v>
      </c>
      <c r="BD22" s="3" t="s">
        <v>310</v>
      </c>
      <c r="BE22" s="3" t="s">
        <v>383</v>
      </c>
      <c r="BF22" s="3" t="s">
        <v>247</v>
      </c>
      <c r="BG22" s="3" t="s">
        <v>385</v>
      </c>
      <c r="BH22" s="3" t="s">
        <v>874</v>
      </c>
      <c r="BI22" s="3" t="s">
        <v>154</v>
      </c>
      <c r="BJ22" s="3" t="s">
        <v>178</v>
      </c>
      <c r="BK22" s="3" t="s">
        <v>1091</v>
      </c>
      <c r="BL22" s="3" t="s">
        <v>1721</v>
      </c>
      <c r="BM22" s="3" t="s">
        <v>654</v>
      </c>
      <c r="BN22" s="3" t="s">
        <v>30</v>
      </c>
      <c r="BO22" s="3" t="s">
        <v>30</v>
      </c>
      <c r="BP22" s="3">
        <v>10.44</v>
      </c>
      <c r="BQ22" s="3">
        <v>-2.54</v>
      </c>
      <c r="BR22" s="3">
        <v>-11.83</v>
      </c>
      <c r="BS22" s="3">
        <v>12.03</v>
      </c>
      <c r="BT22" s="3" t="s">
        <v>700</v>
      </c>
      <c r="BU22" s="3" t="s">
        <v>650</v>
      </c>
      <c r="BV22" s="3">
        <v>2.35</v>
      </c>
      <c r="BW22" s="3">
        <v>3.58</v>
      </c>
      <c r="BX22" s="3">
        <v>46.75</v>
      </c>
      <c r="BY22" s="3">
        <v>-41.09</v>
      </c>
      <c r="BZ22" s="3">
        <v>-34.159999999999997</v>
      </c>
      <c r="CA22" s="3">
        <v>17.82</v>
      </c>
      <c r="CB22" s="3">
        <v>-7.62</v>
      </c>
      <c r="CC22" s="3">
        <v>-7.62</v>
      </c>
      <c r="CD22" s="3" t="s">
        <v>1722</v>
      </c>
      <c r="CE22" s="3" t="s">
        <v>1723</v>
      </c>
      <c r="CF22" s="8">
        <v>-0.27071823204419887</v>
      </c>
      <c r="CG22" s="9">
        <v>0.72502820990441219</v>
      </c>
      <c r="CH22" s="8">
        <v>-0.66582280397415161</v>
      </c>
      <c r="CI22" s="8">
        <v>-0.39694657921791077</v>
      </c>
      <c r="CJ22" s="8">
        <v>0.68814432621002197</v>
      </c>
      <c r="CK22" s="8">
        <v>0.25161290168762207</v>
      </c>
      <c r="CL22" s="8">
        <v>-2.8213165700435638E-2</v>
      </c>
      <c r="CM22" s="9">
        <v>0.9318770170211792</v>
      </c>
      <c r="CN22" s="9">
        <v>-2.153846263885498</v>
      </c>
      <c r="CO22" s="9">
        <v>4.7915921211242676</v>
      </c>
      <c r="CP22" s="9">
        <v>1.1518924236297607</v>
      </c>
      <c r="CQ22" s="9">
        <v>-4.9656238555908203</v>
      </c>
      <c r="CR22" s="3">
        <v>-81.807149331471635</v>
      </c>
      <c r="CS22" s="3">
        <v>-27.048099085951169</v>
      </c>
      <c r="CT22" s="3">
        <v>0</v>
      </c>
      <c r="CU22" s="8">
        <v>-3.0245064198970793E-2</v>
      </c>
      <c r="CV22" s="9">
        <v>-4.8821711540222169E-2</v>
      </c>
      <c r="CW22" s="3">
        <v>0.06</v>
      </c>
      <c r="CX22" s="3" t="e">
        <v>#VALUE!</v>
      </c>
      <c r="CY22" s="3" t="s">
        <v>612</v>
      </c>
      <c r="CZ22" s="3">
        <v>-3.0245064198970793E-2</v>
      </c>
      <c r="DA22" s="3" t="e">
        <v>#VALUE!</v>
      </c>
      <c r="DB22" s="3" t="s">
        <v>613</v>
      </c>
      <c r="DC22" s="3">
        <v>-2.8732810989022254E-2</v>
      </c>
      <c r="DD22" s="3" t="e">
        <v>#VALUE!</v>
      </c>
      <c r="DE22" s="3" t="s">
        <v>613</v>
      </c>
      <c r="DF22" s="3">
        <v>-2.6615656495094297E-2</v>
      </c>
      <c r="DG22" s="3" t="e">
        <v>#VALUE!</v>
      </c>
      <c r="DH22" s="3" t="s">
        <v>613</v>
      </c>
      <c r="DI22" s="3">
        <v>-2.4196051359176636E-2</v>
      </c>
      <c r="DJ22" s="3" t="e">
        <v>#VALUE!</v>
      </c>
      <c r="DK22" s="3" t="s">
        <v>613</v>
      </c>
      <c r="DL22" s="3">
        <v>-2.1171544939279554E-2</v>
      </c>
      <c r="DM22" s="3">
        <v>-9196600</v>
      </c>
      <c r="DN22" s="3">
        <v>-3.0245064198970793E-2</v>
      </c>
      <c r="DO22" s="3">
        <v>2223737500</v>
      </c>
      <c r="DP22" s="3">
        <v>106907730</v>
      </c>
      <c r="DQ22" s="3">
        <v>1931</v>
      </c>
      <c r="DR22" s="3">
        <v>-0.24047316784522807</v>
      </c>
      <c r="DS22" s="3">
        <v>0.77384992144463438</v>
      </c>
      <c r="DT22" s="10">
        <v>-0.54</v>
      </c>
      <c r="DU22" s="3">
        <v>-1.3216666666666668</v>
      </c>
      <c r="DV22" s="3">
        <v>-1.8616666666666668</v>
      </c>
      <c r="DW22" s="3">
        <v>-5.9999000000000002</v>
      </c>
      <c r="DX22" s="3">
        <v>0.25856150537634537</v>
      </c>
      <c r="DY22" s="3">
        <v>-5.0985516492258061</v>
      </c>
      <c r="DZ22" s="3">
        <v>4121</v>
      </c>
      <c r="EA22" s="3">
        <v>-5.0190738906231553</v>
      </c>
      <c r="EB22" s="3">
        <v>5</v>
      </c>
      <c r="EC22" s="3">
        <v>0.16321369779837733</v>
      </c>
      <c r="ED22" s="3">
        <v>1.6559578425184094</v>
      </c>
      <c r="EE22" s="11">
        <v>-6.0202099999999996</v>
      </c>
      <c r="EF22" s="3">
        <v>-6.0614100000000004</v>
      </c>
      <c r="EG22" s="3">
        <v>16.098561505376345</v>
      </c>
      <c r="EH22" s="3" t="s">
        <v>1724</v>
      </c>
      <c r="EI22" s="3">
        <v>0</v>
      </c>
      <c r="EJ22" s="3">
        <v>0</v>
      </c>
      <c r="EK22" s="12">
        <v>45470</v>
      </c>
      <c r="EL22" s="13">
        <v>-3.28</v>
      </c>
      <c r="EM22" s="13">
        <v>-5.42</v>
      </c>
      <c r="EN22" s="13">
        <v>-4.3</v>
      </c>
      <c r="EO22" s="13">
        <v>8.99</v>
      </c>
      <c r="EP22" s="13">
        <v>-4.12</v>
      </c>
    </row>
    <row r="23" spans="1:146" ht="144" x14ac:dyDescent="0.25">
      <c r="B23" s="6" t="s">
        <v>934</v>
      </c>
      <c r="C23" s="6" t="str">
        <f>"公司主要从事新型电子器件(印制电路板)的研究开发、生产和销售。主要产品为双面板、多层板（含HDI）等，产品广泛用于计算机及其周边、网络通讯、消费电子、汽车、LED、工业控制等下游领域。公司是全球印制电路板制造百强企业（排名36）"&amp;CHAR(10)&amp;Basic_Fundamental_Information_Constructure(F23)&amp;CHAR(10)&amp;Basic_Fundamental_Information_Concatenate("PCB制造 74.91亿 95.01% 72.57% 13.86%
其他 3.94亿 4.99% 27.43% 99.68%")</f>
        <v>公司主要从事新型电子器件(印制电路板)的研究开发、生产和销售。主要产品为双面板、多层板（含HDI）等，产品广泛用于计算机及其周边、网络通讯、消费电子、汽车、LED、工业控制等下游领域。公司是全球印制电路板制造百强企业（排名36）
市值290.55353亿, 利润2.10亿; PE38.43; 平均PE57.48; 平均PEG9.31, PB3.74; ROIC8.24%; ROE12.14%; 股利率.5641%; 毛利19.74%; 净利9.17%; 上一年度营收增-69.66%, 利润增-73.45%; 当季营收增-34.82%, 利润增-39.24%; 过往5年营收增6.17%, 利润增1.53%
Income profile:
PCB制造 74.91亿 95.01% 72.57% 13.86%
其他 3.94亿 4.99% 27.43% 99.68%</v>
      </c>
      <c r="D23" s="3" t="s">
        <v>59</v>
      </c>
      <c r="E23" s="3" t="s">
        <v>19</v>
      </c>
      <c r="F23" s="3">
        <v>33.68</v>
      </c>
      <c r="G23" s="3">
        <v>-1.2</v>
      </c>
      <c r="H23" s="3" t="s">
        <v>1725</v>
      </c>
      <c r="I23" s="3">
        <v>29055353000</v>
      </c>
      <c r="J23" s="3">
        <v>38.43</v>
      </c>
      <c r="K23" s="3">
        <v>3.74</v>
      </c>
      <c r="L23" s="3" t="s">
        <v>1310</v>
      </c>
      <c r="M23" s="3" t="s">
        <v>1096</v>
      </c>
      <c r="N23" s="3" t="s">
        <v>1726</v>
      </c>
      <c r="O23" s="3" t="s">
        <v>1097</v>
      </c>
      <c r="P23" s="3">
        <v>36.06</v>
      </c>
      <c r="Q23" s="3" t="s">
        <v>1097</v>
      </c>
      <c r="R23" s="3">
        <v>209607790</v>
      </c>
      <c r="S23" s="4">
        <v>0.67720000000000002</v>
      </c>
      <c r="T23" s="3" t="s">
        <v>108</v>
      </c>
      <c r="U23" s="3">
        <v>855208710</v>
      </c>
      <c r="V23" s="3">
        <v>862688640</v>
      </c>
      <c r="W23" s="3">
        <v>2.19</v>
      </c>
      <c r="X23" s="3">
        <v>0.14000000000000001</v>
      </c>
      <c r="Y23" s="3">
        <v>8.76</v>
      </c>
      <c r="Z23" s="3" t="s">
        <v>1727</v>
      </c>
      <c r="AA23" s="3" t="s">
        <v>1728</v>
      </c>
      <c r="AB23" s="3" t="s">
        <v>1729</v>
      </c>
      <c r="AC23" s="3" t="s">
        <v>1730</v>
      </c>
      <c r="AD23" s="3" t="s">
        <v>30</v>
      </c>
      <c r="AE23" s="3">
        <v>12060082</v>
      </c>
      <c r="AF23" s="3" t="s">
        <v>1099</v>
      </c>
      <c r="AG23" s="3" t="s">
        <v>1731</v>
      </c>
      <c r="AH23" s="3" t="s">
        <v>1100</v>
      </c>
      <c r="AI23" s="3" t="s">
        <v>1732</v>
      </c>
      <c r="AJ23" s="3" t="s">
        <v>1101</v>
      </c>
      <c r="AK23" s="3" t="s">
        <v>446</v>
      </c>
      <c r="AL23" s="3" t="s">
        <v>1102</v>
      </c>
      <c r="AM23" s="3" t="s">
        <v>30</v>
      </c>
      <c r="AN23" s="3" t="s">
        <v>428</v>
      </c>
      <c r="AO23" s="3" t="s">
        <v>1733</v>
      </c>
      <c r="AP23" s="3" t="s">
        <v>1734</v>
      </c>
      <c r="AQ23" s="3" t="s">
        <v>1735</v>
      </c>
      <c r="AR23" s="3" t="s">
        <v>30</v>
      </c>
      <c r="AS23" s="3" t="s">
        <v>1736</v>
      </c>
      <c r="AT23" s="3" t="s">
        <v>1737</v>
      </c>
      <c r="AU23" s="3" t="s">
        <v>154</v>
      </c>
      <c r="AV23" s="3" t="s">
        <v>1738</v>
      </c>
      <c r="AW23" s="3" t="s">
        <v>1739</v>
      </c>
      <c r="AX23" s="3" t="s">
        <v>689</v>
      </c>
      <c r="AY23" s="3" t="s">
        <v>570</v>
      </c>
      <c r="AZ23" s="3" t="s">
        <v>386</v>
      </c>
      <c r="BA23" s="3" t="s">
        <v>185</v>
      </c>
      <c r="BB23" s="3" t="s">
        <v>388</v>
      </c>
      <c r="BC23" s="3" t="s">
        <v>638</v>
      </c>
      <c r="BD23" s="3" t="s">
        <v>444</v>
      </c>
      <c r="BE23" s="3" t="s">
        <v>99</v>
      </c>
      <c r="BF23" s="3" t="s">
        <v>248</v>
      </c>
      <c r="BG23" s="3" t="s">
        <v>370</v>
      </c>
      <c r="BH23" s="3" t="s">
        <v>1098</v>
      </c>
      <c r="BI23" s="3" t="s">
        <v>1740</v>
      </c>
      <c r="BJ23" s="3" t="s">
        <v>689</v>
      </c>
      <c r="BK23" s="3" t="s">
        <v>824</v>
      </c>
      <c r="BL23" s="3" t="s">
        <v>911</v>
      </c>
      <c r="BM23" s="3" t="s">
        <v>638</v>
      </c>
      <c r="BN23" s="3">
        <v>5.5</v>
      </c>
      <c r="BO23" s="3">
        <v>8.99</v>
      </c>
      <c r="BP23" s="3">
        <v>10.23</v>
      </c>
      <c r="BQ23" s="3">
        <v>8.1199999999999992</v>
      </c>
      <c r="BR23" s="3">
        <v>12.14</v>
      </c>
      <c r="BS23" s="3">
        <v>16.16</v>
      </c>
      <c r="BT23" s="3" t="s">
        <v>704</v>
      </c>
      <c r="BU23" s="3" t="s">
        <v>651</v>
      </c>
      <c r="BV23" s="3">
        <v>20.7</v>
      </c>
      <c r="BW23" s="3">
        <v>18.149999999999999</v>
      </c>
      <c r="BX23" s="3">
        <v>20.37</v>
      </c>
      <c r="BY23" s="3">
        <v>8.4600000000000009</v>
      </c>
      <c r="BZ23" s="3">
        <v>10.029999999999999</v>
      </c>
      <c r="CA23" s="3">
        <v>9.02</v>
      </c>
      <c r="CB23" s="3">
        <v>4.4000000000000004</v>
      </c>
      <c r="CC23" s="3">
        <v>18.38</v>
      </c>
      <c r="CD23" s="3" t="s">
        <v>608</v>
      </c>
      <c r="CE23" s="3" t="s">
        <v>1741</v>
      </c>
      <c r="CF23" s="8">
        <v>-0.34822888283378756</v>
      </c>
      <c r="CG23" s="9">
        <v>-0.39244118840579711</v>
      </c>
      <c r="CH23" s="8">
        <v>-0.69663918018341064</v>
      </c>
      <c r="CI23" s="8">
        <v>6.0952663421630859E-2</v>
      </c>
      <c r="CJ23" s="8">
        <v>0.3271428644657135</v>
      </c>
      <c r="CK23" s="8">
        <v>0.44144147634506226</v>
      </c>
      <c r="CL23" s="8">
        <v>0.17584744095802307</v>
      </c>
      <c r="CM23" s="9">
        <v>-0.73451328277587891</v>
      </c>
      <c r="CN23" s="9">
        <v>0.18059702217578888</v>
      </c>
      <c r="CO23" s="9">
        <v>0.29094412922859192</v>
      </c>
      <c r="CP23" s="9">
        <v>0.12095032632350922</v>
      </c>
      <c r="CQ23" s="9">
        <v>0.21842105686664581</v>
      </c>
      <c r="CR23" s="3">
        <v>57.478443125618199</v>
      </c>
      <c r="CS23" s="3">
        <v>9.3083926524851286</v>
      </c>
      <c r="CT23" s="3">
        <v>0.56413301662707838</v>
      </c>
      <c r="CU23" s="8">
        <v>6.1749053001403806E-2</v>
      </c>
      <c r="CV23" s="9">
        <v>1.5279850363731385E-2</v>
      </c>
      <c r="CW23" s="3">
        <v>0.06</v>
      </c>
      <c r="CX23" s="3">
        <v>147.54869441943495</v>
      </c>
      <c r="CY23" s="3">
        <v>210346510.50027812</v>
      </c>
      <c r="CZ23" s="3">
        <v>6.1749053001403806E-2</v>
      </c>
      <c r="DA23" s="3">
        <v>49.388667760689032</v>
      </c>
      <c r="DB23" s="3">
        <v>628410410.87371504</v>
      </c>
      <c r="DC23" s="3">
        <v>5.8661600351333616E-2</v>
      </c>
      <c r="DD23" s="3">
        <v>25.096971429682458</v>
      </c>
      <c r="DE23" s="3">
        <v>1236657302.932296</v>
      </c>
      <c r="DF23" s="3">
        <v>5.4339166641235351E-2</v>
      </c>
      <c r="DG23" s="3">
        <v>15.61272021462543</v>
      </c>
      <c r="DH23" s="3">
        <v>1987888886.3278463</v>
      </c>
      <c r="DI23" s="3">
        <v>4.9399242401123047E-2</v>
      </c>
      <c r="DJ23" s="3">
        <v>8.700238233481338</v>
      </c>
      <c r="DK23" s="3">
        <v>3567299212.6309886</v>
      </c>
      <c r="DL23" s="3">
        <v>4.3224337100982661E-2</v>
      </c>
      <c r="DM23" s="3">
        <v>210000000</v>
      </c>
      <c r="DN23" s="3">
        <v>6.1749053001403806E-2</v>
      </c>
      <c r="DO23" s="3">
        <v>31036353000</v>
      </c>
      <c r="DP23" s="3">
        <v>-34579600</v>
      </c>
      <c r="DQ23" s="3">
        <v>1947</v>
      </c>
      <c r="DR23" s="3">
        <v>-0.40997793583519138</v>
      </c>
      <c r="DS23" s="3">
        <v>-0.40772103876952848</v>
      </c>
      <c r="DT23" s="10">
        <v>-0.42333333333333339</v>
      </c>
      <c r="DU23" s="3">
        <v>-0.17000000000000004</v>
      </c>
      <c r="DV23" s="3">
        <v>-0.59333333333333349</v>
      </c>
      <c r="DW23" s="3">
        <v>8.2393906420021761</v>
      </c>
      <c r="DX23" s="3">
        <v>0.37960147279472434</v>
      </c>
      <c r="DY23" s="3">
        <v>8.0406010054568426</v>
      </c>
      <c r="DZ23" s="3">
        <v>1428</v>
      </c>
      <c r="EA23" s="3">
        <v>8.0292549710552041</v>
      </c>
      <c r="EB23" s="3">
        <v>8</v>
      </c>
      <c r="EC23" s="3">
        <v>0.21212751798841353</v>
      </c>
      <c r="ED23" s="3">
        <v>1.250740939396165</v>
      </c>
      <c r="EE23" s="11">
        <v>5.0225</v>
      </c>
      <c r="EF23" s="3">
        <v>5.0060099999999998</v>
      </c>
      <c r="EG23" s="3">
        <v>21.169601472794724</v>
      </c>
      <c r="EH23" s="3" t="s">
        <v>1742</v>
      </c>
      <c r="EI23" s="3">
        <v>0</v>
      </c>
      <c r="EJ23" s="3">
        <v>1</v>
      </c>
      <c r="EK23" s="12">
        <v>45470</v>
      </c>
      <c r="EL23" s="13">
        <v>-0.31</v>
      </c>
      <c r="EM23" s="13">
        <v>-2.6</v>
      </c>
      <c r="EN23" s="13">
        <v>-4.08</v>
      </c>
      <c r="EO23" s="13">
        <v>7.04</v>
      </c>
      <c r="EP23" s="13">
        <v>-2.85</v>
      </c>
    </row>
    <row r="24" spans="1:146" ht="96" x14ac:dyDescent="0.25">
      <c r="C24" s="6" t="str">
        <f>""&amp;CHAR(10)&amp;Basic_Fundamental_Information_Constructure(F24)&amp;CHAR(10)&amp;Basic_Fundamental_Information_Concatenate("")</f>
        <v xml:space="preserve">
市值72.040483亿, 利润2810.16万; PE; 平均PE-247.86; 平均PEG-79.97, PB5.54; ROIC0%; ROE-16.84%; 股利率0%; 毛利3.7133%; 净利-11.5567%; 上一年度营收增-40.19%, 利润增109.12%; 当季营收增12.91%, 利润增115.53%; 过往5年营收增-3.1%, 利润增-71.44%
Income profile:
</v>
      </c>
      <c r="D24" s="3" t="s">
        <v>44</v>
      </c>
      <c r="E24" s="3" t="s">
        <v>8</v>
      </c>
      <c r="F24" s="3">
        <v>14.75</v>
      </c>
      <c r="G24" s="3">
        <v>1.65</v>
      </c>
      <c r="H24" s="3" t="s">
        <v>1743</v>
      </c>
      <c r="I24" s="3">
        <v>7204048300</v>
      </c>
      <c r="K24" s="3">
        <v>5.54</v>
      </c>
      <c r="L24" s="3" t="s">
        <v>1310</v>
      </c>
      <c r="M24" s="3" t="s">
        <v>1104</v>
      </c>
      <c r="N24" s="3" t="s">
        <v>1744</v>
      </c>
      <c r="O24" s="3" t="s">
        <v>688</v>
      </c>
      <c r="P24" s="3">
        <v>161.08000000000001</v>
      </c>
      <c r="Q24" s="3" t="s">
        <v>688</v>
      </c>
      <c r="R24" s="3">
        <v>28101611</v>
      </c>
      <c r="S24" s="4">
        <v>1.377</v>
      </c>
      <c r="T24" s="3" t="s">
        <v>1745</v>
      </c>
      <c r="U24" s="3">
        <v>463352110</v>
      </c>
      <c r="V24" s="3">
        <v>488410060</v>
      </c>
      <c r="W24" s="3">
        <v>3.29</v>
      </c>
      <c r="X24" s="3">
        <v>0.3</v>
      </c>
      <c r="Y24" s="3">
        <v>4.78</v>
      </c>
      <c r="Z24" s="3" t="s">
        <v>1464</v>
      </c>
      <c r="AA24" s="3" t="s">
        <v>1746</v>
      </c>
      <c r="AB24" s="3" t="s">
        <v>1747</v>
      </c>
      <c r="AC24" s="3" t="s">
        <v>1748</v>
      </c>
      <c r="AD24" s="3" t="s">
        <v>30</v>
      </c>
      <c r="AE24" s="3">
        <v>15238842</v>
      </c>
      <c r="AF24" s="3" t="s">
        <v>1107</v>
      </c>
      <c r="AG24" s="3" t="s">
        <v>1749</v>
      </c>
      <c r="AH24" s="3" t="s">
        <v>1108</v>
      </c>
      <c r="AI24" s="3" t="s">
        <v>1750</v>
      </c>
      <c r="AJ24" s="3" t="s">
        <v>1109</v>
      </c>
      <c r="AK24" s="3" t="s">
        <v>1751</v>
      </c>
      <c r="AL24" s="3" t="s">
        <v>1110</v>
      </c>
      <c r="AM24" s="3" t="s">
        <v>30</v>
      </c>
      <c r="AN24" s="3" t="s">
        <v>1752</v>
      </c>
      <c r="AO24" s="3" t="s">
        <v>898</v>
      </c>
      <c r="AP24" s="3" t="s">
        <v>1753</v>
      </c>
      <c r="AQ24" s="3" t="s">
        <v>1754</v>
      </c>
      <c r="AR24" s="3" t="s">
        <v>30</v>
      </c>
      <c r="AS24" s="3" t="s">
        <v>1755</v>
      </c>
      <c r="AT24" s="3" t="s">
        <v>131</v>
      </c>
      <c r="AU24" s="3" t="s">
        <v>1756</v>
      </c>
      <c r="AV24" s="3" t="s">
        <v>1757</v>
      </c>
      <c r="AW24" s="3" t="s">
        <v>1758</v>
      </c>
      <c r="AX24" s="3" t="s">
        <v>396</v>
      </c>
      <c r="AY24" s="3" t="s">
        <v>160</v>
      </c>
      <c r="AZ24" s="3" t="s">
        <v>837</v>
      </c>
      <c r="BA24" s="3" t="s">
        <v>838</v>
      </c>
      <c r="BB24" s="3" t="s">
        <v>690</v>
      </c>
      <c r="BC24" s="3" t="s">
        <v>521</v>
      </c>
      <c r="BD24" s="3" t="s">
        <v>693</v>
      </c>
      <c r="BE24" s="3" t="s">
        <v>839</v>
      </c>
      <c r="BF24" s="3" t="s">
        <v>520</v>
      </c>
      <c r="BG24" s="3" t="s">
        <v>109</v>
      </c>
      <c r="BH24" s="3" t="s">
        <v>1105</v>
      </c>
      <c r="BI24" s="3" t="s">
        <v>1759</v>
      </c>
      <c r="BJ24" s="3" t="s">
        <v>396</v>
      </c>
      <c r="BK24" s="3" t="s">
        <v>1106</v>
      </c>
      <c r="BL24" s="3" t="s">
        <v>1760</v>
      </c>
      <c r="BM24" s="3" t="s">
        <v>521</v>
      </c>
      <c r="BN24" s="3" t="s">
        <v>30</v>
      </c>
      <c r="BO24" s="3" t="s">
        <v>30</v>
      </c>
      <c r="BP24" s="3" t="s">
        <v>30</v>
      </c>
      <c r="BQ24" s="3">
        <v>-15.08</v>
      </c>
      <c r="BR24" s="3">
        <v>-18</v>
      </c>
      <c r="BS24" s="3">
        <v>-17.440000000000001</v>
      </c>
      <c r="BT24" s="3" t="s">
        <v>700</v>
      </c>
      <c r="BU24" s="3" t="s">
        <v>651</v>
      </c>
      <c r="BV24" s="3">
        <v>2.39</v>
      </c>
      <c r="BW24" s="3">
        <v>4.8</v>
      </c>
      <c r="BX24" s="3">
        <v>3.95</v>
      </c>
      <c r="BY24" s="3">
        <v>-14.17</v>
      </c>
      <c r="BZ24" s="3">
        <v>-11.54</v>
      </c>
      <c r="CA24" s="3">
        <v>-8.9600000000000009</v>
      </c>
      <c r="CB24" s="3">
        <v>-1.8</v>
      </c>
      <c r="CC24" s="3">
        <v>-11.46</v>
      </c>
      <c r="CD24" s="3" t="s">
        <v>1761</v>
      </c>
      <c r="CE24" s="3" t="s">
        <v>106</v>
      </c>
      <c r="CF24" s="8">
        <v>0.12914131169709264</v>
      </c>
      <c r="CG24" s="9">
        <v>1.1552575193370165</v>
      </c>
      <c r="CH24" s="8">
        <v>-0.40186247229576111</v>
      </c>
      <c r="CI24" s="8">
        <v>-0.1283172219991684</v>
      </c>
      <c r="CJ24" s="8">
        <v>0.2109641432762146</v>
      </c>
      <c r="CK24" s="8">
        <v>7.085011899471283E-2</v>
      </c>
      <c r="CL24" s="8">
        <v>9.3404188752174377E-2</v>
      </c>
      <c r="CM24" s="9">
        <v>1.0912389755249023</v>
      </c>
      <c r="CN24" s="9">
        <v>-0.1492537260055542</v>
      </c>
      <c r="CO24" s="9">
        <v>-4.4577250480651855</v>
      </c>
      <c r="CP24" s="9">
        <v>-0.564564049243927</v>
      </c>
      <c r="CQ24" s="9">
        <v>0.50847458839416504</v>
      </c>
      <c r="CR24" s="3">
        <v>-247.85877351328168</v>
      </c>
      <c r="CS24" s="3">
        <v>-79.974440150333692</v>
      </c>
      <c r="CT24" s="3">
        <v>0</v>
      </c>
      <c r="CU24" s="8">
        <v>-3.0992248654365541E-2</v>
      </c>
      <c r="CV24" s="9">
        <v>-0.71436585187911983</v>
      </c>
      <c r="CW24" s="3">
        <v>0.06</v>
      </c>
      <c r="CX24" s="3">
        <v>345.78274190793405</v>
      </c>
      <c r="CY24" s="3" t="s">
        <v>1762</v>
      </c>
      <c r="CZ24" s="3">
        <v>-3.0992248654365541E-2</v>
      </c>
      <c r="DA24" s="3">
        <v>115.26091396931136</v>
      </c>
      <c r="DB24" s="3" t="s">
        <v>1763</v>
      </c>
      <c r="DC24" s="3">
        <v>-2.9442636221647264E-2</v>
      </c>
      <c r="DD24" s="3">
        <v>57.63045698465568</v>
      </c>
      <c r="DE24" s="3" t="s">
        <v>1764</v>
      </c>
      <c r="DF24" s="3">
        <v>-2.7273178815841678E-2</v>
      </c>
      <c r="DG24" s="3">
        <v>34.578274190793408</v>
      </c>
      <c r="DH24" s="3" t="s">
        <v>1765</v>
      </c>
      <c r="DI24" s="3">
        <v>-2.4793798923492434E-2</v>
      </c>
      <c r="DJ24" s="3">
        <v>17.289137095396704</v>
      </c>
      <c r="DK24" s="3" t="s">
        <v>1766</v>
      </c>
      <c r="DL24" s="3">
        <v>-2.1694574058055877E-2</v>
      </c>
      <c r="DM24" s="3">
        <v>28101600</v>
      </c>
      <c r="DN24" s="3">
        <v>-3.0992248654365541E-2</v>
      </c>
      <c r="DO24" s="3">
        <v>9717048300</v>
      </c>
      <c r="DP24" s="3">
        <v>-243113200</v>
      </c>
      <c r="DQ24" s="3">
        <v>2123</v>
      </c>
      <c r="DR24" s="3">
        <v>0.16013356035145818</v>
      </c>
      <c r="DS24" s="3">
        <v>1.8696233712161363</v>
      </c>
      <c r="DT24" s="10">
        <v>-0.47333333333333333</v>
      </c>
      <c r="DU24" s="3">
        <v>-0.18333333333333338</v>
      </c>
      <c r="DV24" s="3">
        <v>-0.65666666666666673</v>
      </c>
      <c r="DW24" s="3">
        <v>-2.1145999999999998</v>
      </c>
      <c r="DX24" s="3">
        <v>0.41817310606060576</v>
      </c>
      <c r="DY24" s="3">
        <v>-2.0158346379545455</v>
      </c>
      <c r="DZ24" s="3">
        <v>3949</v>
      </c>
      <c r="EA24" s="3">
        <v>-2.0035976545333125</v>
      </c>
      <c r="EB24" s="3">
        <v>2</v>
      </c>
      <c r="EC24" s="3">
        <v>7.4686627052686014E-2</v>
      </c>
      <c r="ED24" s="3">
        <v>0.54052940678576522</v>
      </c>
      <c r="EE24" s="11">
        <v>-4.0042099999999996</v>
      </c>
      <c r="EF24" s="3">
        <v>-4.0421100000000001</v>
      </c>
      <c r="EG24" s="3">
        <v>28.138173106060606</v>
      </c>
      <c r="EH24" s="3" t="s">
        <v>935</v>
      </c>
      <c r="EI24" s="3">
        <v>0</v>
      </c>
      <c r="EJ24" s="3">
        <v>0</v>
      </c>
      <c r="EK24" s="12">
        <v>45470</v>
      </c>
      <c r="EL24" s="13">
        <v>-0.52</v>
      </c>
      <c r="EM24" s="13">
        <v>-4.1500000000000004</v>
      </c>
      <c r="EN24" s="13">
        <v>-4.13</v>
      </c>
      <c r="EO24" s="13">
        <v>7.9</v>
      </c>
      <c r="EP24" s="13">
        <v>-3.79</v>
      </c>
    </row>
    <row r="25" spans="1:146" ht="144" x14ac:dyDescent="0.25">
      <c r="A25" s="6" t="s">
        <v>635</v>
      </c>
      <c r="C25" s="6" t="str">
        <f>"公司主营业务为印制电路板（PCB）研发、生产和销售，拥有PCB全制程的生产能力，产品以小批量PCB为主。公司印制电路板产品类型覆盖HDI板、多层板、刚挠结合板、厚铜板、金属基板、高频板、挠性板等。"&amp;CHAR(10)&amp;Basic_Fundamental_Information_Constructure(C25)&amp;CHAR(10)&amp;Basic_Fundamental_Information_Concatenate("印制线路板 17.26亿 93.09% 70.05% 16.20%
其他业务收入 1.28亿 6.91% 29.95% 93.35%")</f>
        <v>公司主营业务为印制电路板（PCB）研发、生产和销售，拥有PCB全制程的生产能力，产品以小批量PCB为主。公司印制电路板产品类型覆盖HDI板、多层板、刚挠结合板、厚铜板、金属基板、高频板、挠性板等。
市值39.769514亿, 利润1.03亿; PE45.67; 平均PE30.51; 平均PEG3.32, PB2.15; ROIC5.5167%; ROE6.7433%; 股利率1.5026%; 毛利23.73%; 净利7.1633%; 上一年度营收增-17.78%, 利润增-43.41%; 当季营收增-12.76%, 利润增-63.96%; 过往5年营收增9.2%, 利润增2.93%
Income profile:
印制线路板 17.26亿 93.09% 70.05% 16.20%
其他业务收入 1.28亿 6.91% 29.95% 93.35%</v>
      </c>
      <c r="D25" s="3" t="s">
        <v>50</v>
      </c>
      <c r="E25" s="3" t="s">
        <v>11</v>
      </c>
      <c r="F25" s="3">
        <v>12.43</v>
      </c>
      <c r="G25" s="3">
        <v>-2.97</v>
      </c>
      <c r="H25" s="3" t="s">
        <v>1767</v>
      </c>
      <c r="I25" s="3">
        <v>3814660300</v>
      </c>
      <c r="J25" s="3">
        <v>43.8</v>
      </c>
      <c r="K25" s="3">
        <v>2.0099999999999998</v>
      </c>
      <c r="L25" s="3" t="s">
        <v>1310</v>
      </c>
      <c r="M25" s="3" t="s">
        <v>807</v>
      </c>
      <c r="N25" s="3" t="s">
        <v>1768</v>
      </c>
      <c r="O25" s="3" t="s">
        <v>353</v>
      </c>
      <c r="P25" s="3">
        <v>-12.7</v>
      </c>
      <c r="Q25" s="3" t="s">
        <v>353</v>
      </c>
      <c r="R25" s="3">
        <v>8791176</v>
      </c>
      <c r="S25" s="4">
        <v>-0.63959999999999995</v>
      </c>
      <c r="T25" s="3" t="s">
        <v>1769</v>
      </c>
      <c r="U25" s="3">
        <v>301611820</v>
      </c>
      <c r="V25" s="3">
        <v>306891420</v>
      </c>
      <c r="W25" s="3">
        <v>1.82</v>
      </c>
      <c r="X25" s="3">
        <v>0.11</v>
      </c>
      <c r="Y25" s="3">
        <v>2.27</v>
      </c>
      <c r="Z25" s="3" t="s">
        <v>1770</v>
      </c>
      <c r="AA25" s="3" t="s">
        <v>1771</v>
      </c>
      <c r="AB25" s="3" t="s">
        <v>1772</v>
      </c>
      <c r="AC25" s="3" t="s">
        <v>1773</v>
      </c>
      <c r="AD25" s="3" t="s">
        <v>30</v>
      </c>
      <c r="AE25" s="3">
        <v>6049671</v>
      </c>
      <c r="AF25" s="3" t="s">
        <v>1114</v>
      </c>
      <c r="AG25" s="3" t="s">
        <v>1774</v>
      </c>
      <c r="AH25" s="3" t="s">
        <v>1115</v>
      </c>
      <c r="AI25" s="3" t="s">
        <v>208</v>
      </c>
      <c r="AJ25" s="3" t="s">
        <v>1116</v>
      </c>
      <c r="AK25" s="3" t="s">
        <v>1775</v>
      </c>
      <c r="AL25" s="3" t="s">
        <v>1117</v>
      </c>
      <c r="AM25" s="3" t="s">
        <v>30</v>
      </c>
      <c r="AN25" s="3" t="s">
        <v>1776</v>
      </c>
      <c r="AO25" s="3" t="s">
        <v>30</v>
      </c>
      <c r="AP25" s="3" t="s">
        <v>1777</v>
      </c>
      <c r="AQ25" s="3" t="s">
        <v>1778</v>
      </c>
      <c r="AR25" s="3" t="s">
        <v>30</v>
      </c>
      <c r="AS25" s="3" t="s">
        <v>622</v>
      </c>
      <c r="AT25" s="3" t="s">
        <v>30</v>
      </c>
      <c r="AU25" s="3" t="s">
        <v>1779</v>
      </c>
      <c r="AV25" s="3" t="s">
        <v>1780</v>
      </c>
      <c r="AW25" s="3" t="s">
        <v>1781</v>
      </c>
      <c r="AX25" s="3" t="s">
        <v>840</v>
      </c>
      <c r="AY25" s="3" t="s">
        <v>572</v>
      </c>
      <c r="AZ25" s="3" t="s">
        <v>395</v>
      </c>
      <c r="BA25" s="3" t="s">
        <v>96</v>
      </c>
      <c r="BB25" s="3" t="s">
        <v>268</v>
      </c>
      <c r="BC25" s="3" t="s">
        <v>287</v>
      </c>
      <c r="BD25" s="3" t="s">
        <v>201</v>
      </c>
      <c r="BE25" s="3" t="s">
        <v>259</v>
      </c>
      <c r="BF25" s="3" t="s">
        <v>259</v>
      </c>
      <c r="BG25" s="3" t="s">
        <v>220</v>
      </c>
      <c r="BH25" s="3" t="s">
        <v>897</v>
      </c>
      <c r="BI25" s="3" t="s">
        <v>1782</v>
      </c>
      <c r="BJ25" s="3" t="s">
        <v>840</v>
      </c>
      <c r="BK25" s="3" t="s">
        <v>213</v>
      </c>
      <c r="BL25" s="3" t="s">
        <v>1783</v>
      </c>
      <c r="BM25" s="3" t="s">
        <v>287</v>
      </c>
      <c r="BN25" s="3">
        <v>3.33</v>
      </c>
      <c r="BO25" s="3">
        <v>8.41</v>
      </c>
      <c r="BP25" s="3">
        <v>5.4</v>
      </c>
      <c r="BQ25" s="3">
        <v>4.28</v>
      </c>
      <c r="BR25" s="3">
        <v>10.14</v>
      </c>
      <c r="BS25" s="3">
        <v>6.92</v>
      </c>
      <c r="BT25" s="3" t="s">
        <v>706</v>
      </c>
      <c r="BU25" s="3" t="s">
        <v>651</v>
      </c>
      <c r="BV25" s="3">
        <v>24.93</v>
      </c>
      <c r="BW25" s="3">
        <v>24.71</v>
      </c>
      <c r="BX25" s="3">
        <v>21.54</v>
      </c>
      <c r="BY25" s="3">
        <v>6.29</v>
      </c>
      <c r="BZ25" s="3">
        <v>9.26</v>
      </c>
      <c r="CA25" s="3">
        <v>5.78</v>
      </c>
      <c r="CB25" s="3">
        <v>-12.16</v>
      </c>
      <c r="CC25" s="3">
        <v>7.16</v>
      </c>
      <c r="CD25" s="3" t="s">
        <v>1784</v>
      </c>
      <c r="CE25" s="3" t="s">
        <v>917</v>
      </c>
      <c r="CF25" s="8">
        <v>-0.54589371980676327</v>
      </c>
      <c r="CG25" s="9">
        <v>-0.85309919240428911</v>
      </c>
      <c r="CH25" s="8">
        <v>-0.8090401291847229</v>
      </c>
      <c r="CI25" s="8">
        <v>6.2028080224990845E-2</v>
      </c>
      <c r="CJ25" s="8">
        <v>0.43609598278999329</v>
      </c>
      <c r="CK25" s="8">
        <v>0.12260875105857849</v>
      </c>
      <c r="CL25" s="8">
        <v>1.6799235716462135E-2</v>
      </c>
      <c r="CM25" s="9">
        <v>-0.95169669389724731</v>
      </c>
      <c r="CN25" s="9">
        <v>0.65454542636871338</v>
      </c>
      <c r="CO25" s="9">
        <v>-0.17293232679367065</v>
      </c>
      <c r="CP25" s="9">
        <v>0</v>
      </c>
      <c r="CQ25" s="9">
        <v>9.9173553287982941E-2</v>
      </c>
      <c r="CR25" s="3">
        <v>33.277485667161777</v>
      </c>
      <c r="CS25" s="3">
        <v>9.701433828834098</v>
      </c>
      <c r="CT25" s="3">
        <v>1.6090104585679808</v>
      </c>
      <c r="CU25" s="8">
        <v>-3.430161587893963E-2</v>
      </c>
      <c r="CV25" s="9">
        <v>-7.4182008206844327E-2</v>
      </c>
      <c r="CW25" s="3">
        <v>0.06</v>
      </c>
      <c r="CX25" s="3">
        <v>393.76425288925287</v>
      </c>
      <c r="CY25" s="3" t="s">
        <v>1785</v>
      </c>
      <c r="CZ25" s="3">
        <v>-3.430161587893963E-2</v>
      </c>
      <c r="DA25" s="3">
        <v>131.25475096308429</v>
      </c>
      <c r="DB25" s="3" t="s">
        <v>1786</v>
      </c>
      <c r="DC25" s="3">
        <v>-3.2586535084992645E-2</v>
      </c>
      <c r="DD25" s="3">
        <v>65.627375481542146</v>
      </c>
      <c r="DE25" s="3" t="s">
        <v>1787</v>
      </c>
      <c r="DF25" s="3">
        <v>-3.0185421973466874E-2</v>
      </c>
      <c r="DG25" s="3">
        <v>39.37642528892529</v>
      </c>
      <c r="DH25" s="3" t="s">
        <v>1788</v>
      </c>
      <c r="DI25" s="3">
        <v>-2.7441292703151706E-2</v>
      </c>
      <c r="DJ25" s="3">
        <v>19.688212644462645</v>
      </c>
      <c r="DK25" s="3" t="s">
        <v>1789</v>
      </c>
      <c r="DL25" s="3">
        <v>-2.4011131115257739E-2</v>
      </c>
      <c r="DM25" s="3">
        <v>8791200</v>
      </c>
      <c r="DN25" s="3">
        <v>-3.430161587893963E-2</v>
      </c>
      <c r="DO25" s="3">
        <v>3461660300</v>
      </c>
      <c r="DP25" s="3">
        <v>1023245900</v>
      </c>
      <c r="DQ25" s="3">
        <v>2201</v>
      </c>
      <c r="DR25" s="3">
        <v>-0.51159210392782362</v>
      </c>
      <c r="DS25" s="3">
        <v>-0.77891718419744482</v>
      </c>
      <c r="DT25" s="10">
        <v>-0.64</v>
      </c>
      <c r="DU25" s="3">
        <v>-0.60666666666666669</v>
      </c>
      <c r="DV25" s="3">
        <v>-1.2466666666666666</v>
      </c>
      <c r="DW25" s="3">
        <v>-5.5888157894736841</v>
      </c>
      <c r="DX25" s="3">
        <v>0.31437605633802762</v>
      </c>
      <c r="DY25" s="3">
        <v>-5.0673464279095626</v>
      </c>
      <c r="DZ25" s="3">
        <v>3474</v>
      </c>
      <c r="EA25" s="3">
        <v>-5.0215614004031401</v>
      </c>
      <c r="EB25" s="3">
        <v>5</v>
      </c>
      <c r="EC25" s="3">
        <v>0.2116892026502403</v>
      </c>
      <c r="ED25" s="3">
        <v>1.8508174650174318</v>
      </c>
      <c r="EE25" s="11">
        <v>-2.05341</v>
      </c>
      <c r="EF25" s="3">
        <v>-3.0152100000000002</v>
      </c>
      <c r="EG25" s="3">
        <v>20.114376056338028</v>
      </c>
      <c r="EH25" s="3" t="s">
        <v>910</v>
      </c>
      <c r="EI25" s="3">
        <v>0</v>
      </c>
      <c r="EJ25" s="3">
        <v>0</v>
      </c>
      <c r="EK25" s="12">
        <v>45470</v>
      </c>
      <c r="EL25" s="13">
        <v>-5.56</v>
      </c>
      <c r="EM25" s="13">
        <v>-1.29</v>
      </c>
      <c r="EN25" s="13">
        <v>4.25</v>
      </c>
      <c r="EO25" s="13">
        <v>2.96</v>
      </c>
      <c r="EP25" s="13">
        <v>-11.18</v>
      </c>
    </row>
    <row r="26" spans="1:146" ht="96" x14ac:dyDescent="0.25">
      <c r="C26" s="6" t="str">
        <f>""&amp;CHAR(10)&amp;Basic_Fundamental_Information_Constructure(F26)&amp;CHAR(10)&amp;Basic_Fundamental_Information_Concatenate("")</f>
        <v xml:space="preserve">
市值46.902779亿, 利润1140.20万; PE203; 平均PE57.83; 平均PEG18.9, PB4.12; ROIC7.25%; ROE7.8767%; 股利率.4235%; 毛利14.8167%; 净利5.03%; 上一年度营收增-80.68%, 利润增-88.43%; 当季营收增-53.15%, 利润增-51.56%; 过往5年营收增-3.06%, 利润增-14.22%
Income profile:
</v>
      </c>
      <c r="D26" s="3" t="s">
        <v>500</v>
      </c>
      <c r="E26" s="3" t="s">
        <v>501</v>
      </c>
      <c r="F26" s="3">
        <v>26.68</v>
      </c>
      <c r="G26" s="3">
        <v>-0.41</v>
      </c>
      <c r="H26" s="3" t="s">
        <v>1790</v>
      </c>
      <c r="I26" s="3">
        <v>4690277900</v>
      </c>
      <c r="J26" s="3">
        <v>203</v>
      </c>
      <c r="K26" s="3">
        <v>4.12</v>
      </c>
      <c r="L26" s="3" t="s">
        <v>1310</v>
      </c>
      <c r="M26" s="3" t="s">
        <v>1118</v>
      </c>
      <c r="N26" s="3" t="s">
        <v>1791</v>
      </c>
      <c r="O26" s="3" t="s">
        <v>368</v>
      </c>
      <c r="P26" s="3">
        <v>-5.18</v>
      </c>
      <c r="Q26" s="3" t="s">
        <v>368</v>
      </c>
      <c r="R26" s="3">
        <v>11402007</v>
      </c>
      <c r="S26" s="4">
        <v>-0.21729999999999999</v>
      </c>
      <c r="T26" s="3" t="s">
        <v>1792</v>
      </c>
      <c r="U26" s="3">
        <v>50797523</v>
      </c>
      <c r="V26" s="3">
        <v>175797520</v>
      </c>
      <c r="W26" s="3">
        <v>1.92</v>
      </c>
      <c r="X26" s="3">
        <v>0.13</v>
      </c>
      <c r="Y26" s="3">
        <v>3.82</v>
      </c>
      <c r="Z26" s="3" t="s">
        <v>482</v>
      </c>
      <c r="AA26" s="3" t="s">
        <v>239</v>
      </c>
      <c r="AB26" s="3" t="s">
        <v>1793</v>
      </c>
      <c r="AC26" s="3" t="s">
        <v>1794</v>
      </c>
      <c r="AD26" s="3" t="s">
        <v>30</v>
      </c>
      <c r="AE26" s="3">
        <v>3861075</v>
      </c>
      <c r="AF26" s="3" t="s">
        <v>1120</v>
      </c>
      <c r="AG26" s="3">
        <v>3865.54</v>
      </c>
      <c r="AH26" s="3" t="s">
        <v>1121</v>
      </c>
      <c r="AI26" s="3" t="s">
        <v>1795</v>
      </c>
      <c r="AJ26" s="3" t="s">
        <v>1122</v>
      </c>
      <c r="AK26" s="3" t="s">
        <v>1796</v>
      </c>
      <c r="AL26" s="3" t="s">
        <v>1123</v>
      </c>
      <c r="AM26" s="3" t="s">
        <v>30</v>
      </c>
      <c r="AN26" s="3" t="s">
        <v>531</v>
      </c>
      <c r="AO26" s="3" t="s">
        <v>145</v>
      </c>
      <c r="AP26" s="3" t="s">
        <v>1797</v>
      </c>
      <c r="AQ26" s="3" t="s">
        <v>1529</v>
      </c>
      <c r="AR26" s="3" t="s">
        <v>30</v>
      </c>
      <c r="AS26" s="3" t="s">
        <v>1798</v>
      </c>
      <c r="AT26" s="3" t="s">
        <v>30</v>
      </c>
      <c r="AU26" s="3" t="s">
        <v>1799</v>
      </c>
      <c r="AV26" s="3" t="s">
        <v>1800</v>
      </c>
      <c r="AW26" s="3" t="s">
        <v>1801</v>
      </c>
      <c r="AX26" s="3" t="s">
        <v>872</v>
      </c>
      <c r="AY26" s="3" t="s">
        <v>377</v>
      </c>
      <c r="AZ26" s="3" t="s">
        <v>502</v>
      </c>
      <c r="BA26" s="3" t="s">
        <v>503</v>
      </c>
      <c r="BB26" s="3" t="s">
        <v>504</v>
      </c>
      <c r="BC26" s="3" t="s">
        <v>1124</v>
      </c>
      <c r="BD26" s="3" t="s">
        <v>573</v>
      </c>
      <c r="BE26" s="3" t="s">
        <v>213</v>
      </c>
      <c r="BF26" s="3" t="s">
        <v>505</v>
      </c>
      <c r="BG26" s="3" t="s">
        <v>506</v>
      </c>
      <c r="BH26" s="3" t="s">
        <v>589</v>
      </c>
      <c r="BI26" s="3" t="s">
        <v>563</v>
      </c>
      <c r="BJ26" s="3" t="s">
        <v>872</v>
      </c>
      <c r="BK26" s="3" t="s">
        <v>1119</v>
      </c>
      <c r="BL26" s="3" t="s">
        <v>1802</v>
      </c>
      <c r="BM26" s="3" t="s">
        <v>1124</v>
      </c>
      <c r="BN26" s="3">
        <v>2.1</v>
      </c>
      <c r="BO26" s="3">
        <v>8.66</v>
      </c>
      <c r="BP26" s="3">
        <v>10.99</v>
      </c>
      <c r="BQ26" s="3">
        <v>2.5499999999999998</v>
      </c>
      <c r="BR26" s="3">
        <v>8.89</v>
      </c>
      <c r="BS26" s="3">
        <v>12.19</v>
      </c>
      <c r="BT26" s="3" t="s">
        <v>1803</v>
      </c>
      <c r="BU26" s="3" t="s">
        <v>651</v>
      </c>
      <c r="BV26" s="3">
        <v>12.09</v>
      </c>
      <c r="BW26" s="3">
        <v>14.65</v>
      </c>
      <c r="BX26" s="3">
        <v>17.71</v>
      </c>
      <c r="BY26" s="3">
        <v>2.11</v>
      </c>
      <c r="BZ26" s="3">
        <v>6.29</v>
      </c>
      <c r="CA26" s="3">
        <v>6.69</v>
      </c>
      <c r="CB26" s="3">
        <v>-17.37</v>
      </c>
      <c r="CC26" s="3">
        <v>-6.39</v>
      </c>
      <c r="CD26" s="3" t="s">
        <v>1804</v>
      </c>
      <c r="CE26" s="3" t="s">
        <v>1805</v>
      </c>
      <c r="CF26" s="8">
        <v>-0.53154574132492116</v>
      </c>
      <c r="CG26" s="9">
        <v>-0.51555034840244729</v>
      </c>
      <c r="CH26" s="8">
        <v>-0.80676645040512085</v>
      </c>
      <c r="CI26" s="8">
        <v>6.7361064255237579E-2</v>
      </c>
      <c r="CJ26" s="8">
        <v>0.33086875081062317</v>
      </c>
      <c r="CK26" s="8">
        <v>-3.133387491106987E-2</v>
      </c>
      <c r="CL26" s="8">
        <v>0.28686627745628357</v>
      </c>
      <c r="CM26" s="9">
        <v>-0.88434219360351563</v>
      </c>
      <c r="CN26" s="9">
        <v>2.3731434717774391E-2</v>
      </c>
      <c r="CO26" s="9">
        <v>-6.5062135457992554E-2</v>
      </c>
      <c r="CP26" s="9">
        <v>0.1034347265958786</v>
      </c>
      <c r="CQ26" s="9">
        <v>0.11143399775028229</v>
      </c>
      <c r="CR26" s="3">
        <v>57.831436078677328</v>
      </c>
      <c r="CS26" s="3">
        <v>18.898639280300888</v>
      </c>
      <c r="CT26" s="3">
        <v>0.42353448275862071</v>
      </c>
      <c r="CU26" s="8">
        <v>-3.0600846558809281E-2</v>
      </c>
      <c r="CV26" s="9">
        <v>-0.14216083399951457</v>
      </c>
      <c r="CW26" s="3">
        <v>0.06</v>
      </c>
      <c r="CX26" s="3">
        <v>405.1287405718295</v>
      </c>
      <c r="CY26" s="3" t="s">
        <v>1806</v>
      </c>
      <c r="CZ26" s="3">
        <v>-3.0600846558809281E-2</v>
      </c>
      <c r="DA26" s="3">
        <v>135.04291352394316</v>
      </c>
      <c r="DB26" s="3" t="s">
        <v>1807</v>
      </c>
      <c r="DC26" s="3">
        <v>-2.9070804230868816E-2</v>
      </c>
      <c r="DD26" s="3">
        <v>67.521456761971578</v>
      </c>
      <c r="DE26" s="3" t="s">
        <v>1808</v>
      </c>
      <c r="DF26" s="3">
        <v>-2.6928744971752166E-2</v>
      </c>
      <c r="DG26" s="3">
        <v>40.512874057182948</v>
      </c>
      <c r="DH26" s="3" t="s">
        <v>1809</v>
      </c>
      <c r="DI26" s="3">
        <v>-2.4480677247047427E-2</v>
      </c>
      <c r="DJ26" s="3">
        <v>20.256437028591474</v>
      </c>
      <c r="DK26" s="3" t="s">
        <v>1810</v>
      </c>
      <c r="DL26" s="3">
        <v>-2.1420592591166496E-2</v>
      </c>
      <c r="DM26" s="3">
        <v>11402000</v>
      </c>
      <c r="DN26" s="3">
        <v>-3.0600846558809281E-2</v>
      </c>
      <c r="DO26" s="3">
        <v>4619277900</v>
      </c>
      <c r="DP26" s="3">
        <v>883664900</v>
      </c>
      <c r="DQ26" s="3">
        <v>2271</v>
      </c>
      <c r="DR26" s="3">
        <v>-0.50094489476611193</v>
      </c>
      <c r="DS26" s="3">
        <v>-0.37338951440293272</v>
      </c>
      <c r="DT26" s="10">
        <v>-0.54</v>
      </c>
      <c r="DU26" s="3">
        <v>-0.55333333333333334</v>
      </c>
      <c r="DV26" s="3">
        <v>-1.0933333333333333</v>
      </c>
      <c r="DW26" s="3">
        <v>-5.3678756476683933</v>
      </c>
      <c r="DX26" s="3">
        <v>0.27438314606741632</v>
      </c>
      <c r="DY26" s="3">
        <v>-5.0384000174652153</v>
      </c>
      <c r="DZ26" s="3">
        <v>3338</v>
      </c>
      <c r="EA26" s="3">
        <v>-5.0133160138842197</v>
      </c>
      <c r="EB26" s="3">
        <v>5</v>
      </c>
      <c r="EC26" s="3">
        <v>0.15853636615579106</v>
      </c>
      <c r="ED26" s="3">
        <v>1.5187927565758608</v>
      </c>
      <c r="EE26" s="11">
        <v>-5.0325100000000003</v>
      </c>
      <c r="EF26" s="3">
        <v>-5.0545099999999996</v>
      </c>
      <c r="EG26" s="3">
        <v>17.104383146067416</v>
      </c>
      <c r="EH26" s="3" t="s">
        <v>940</v>
      </c>
      <c r="EI26" s="3">
        <v>0</v>
      </c>
      <c r="EJ26" s="3">
        <v>0</v>
      </c>
      <c r="EK26" s="12">
        <v>45470</v>
      </c>
      <c r="EL26" s="13">
        <v>-1.74</v>
      </c>
      <c r="EM26" s="13">
        <v>-5.42</v>
      </c>
      <c r="EN26" s="13">
        <v>0.48</v>
      </c>
      <c r="EO26" s="13">
        <v>3.78</v>
      </c>
      <c r="EP26" s="13">
        <v>-2.2000000000000002</v>
      </c>
    </row>
    <row r="27" spans="1:146" ht="132" x14ac:dyDescent="0.25">
      <c r="C27" s="6" t="str">
        <f>"公司的主营业务为印制电路板的研发、生产和销售，公司主要产品包括双面板、多层板、盖HDI板、厚铜板、金属基板、刚挠结合板、高频高速板等。"&amp;CHAR(10)&amp;Basic_Fundamental_Information_Constructure(F27)&amp;CHAR(10)&amp;Basic_Fundamental_Information_Concatenate("印制电路板 10.22亿 97.32% 91.13% 27.73%
其他 2812.66万 2.68% 8.87% 97.99%")</f>
        <v>公司的主营业务为印制电路板的研发、生产和销售，公司主要产品包括双面板、多层板、盖HDI板、厚铜板、金属基板、刚挠结合板、高频高速板等。
市值38.332649亿, 利润4633.83万; PE18.83; 平均PE31.62; 平均PEG2.28, PB2.67; ROIC16.1867%; ROE16.94%; 股利率1.1148%; 毛利28.5133%; 净利17.1967%; 上一年度营收增-73.58%, 利润增-79.5%; 当季营收增-48.73%, 利润增-53.38%; 过往5年营收增13.84%, 利润增14.41%
Income profile:
印制电路板 10.22亿 97.32% 91.13% 27.73%
其他 2812.66万 2.68% 8.87% 97.99%</v>
      </c>
      <c r="D27" s="3" t="s">
        <v>74</v>
      </c>
      <c r="E27" s="3" t="s">
        <v>75</v>
      </c>
      <c r="F27" s="3">
        <v>26.91</v>
      </c>
      <c r="G27" s="3">
        <v>-5.68</v>
      </c>
      <c r="H27" s="3" t="s">
        <v>1811</v>
      </c>
      <c r="I27" s="3">
        <v>3833264900</v>
      </c>
      <c r="J27" s="3">
        <v>18.829999999999998</v>
      </c>
      <c r="K27" s="3">
        <v>2.67</v>
      </c>
      <c r="L27" s="3" t="s">
        <v>1310</v>
      </c>
      <c r="M27" s="3" t="s">
        <v>367</v>
      </c>
      <c r="N27" s="3" t="s">
        <v>1812</v>
      </c>
      <c r="O27" s="3" t="s">
        <v>390</v>
      </c>
      <c r="P27" s="3">
        <v>2.17</v>
      </c>
      <c r="Q27" s="3" t="s">
        <v>390</v>
      </c>
      <c r="R27" s="3">
        <v>46338300</v>
      </c>
      <c r="S27" s="4">
        <v>-1.6899999999999998E-2</v>
      </c>
      <c r="T27" s="3" t="s">
        <v>1813</v>
      </c>
      <c r="U27" s="3">
        <v>136882750</v>
      </c>
      <c r="V27" s="3">
        <v>142447600</v>
      </c>
      <c r="W27" s="3">
        <v>1.56</v>
      </c>
      <c r="X27" s="3">
        <v>0.13</v>
      </c>
      <c r="Y27" s="3">
        <v>14.4</v>
      </c>
      <c r="Z27" s="3" t="s">
        <v>155</v>
      </c>
      <c r="AA27" s="3" t="s">
        <v>250</v>
      </c>
      <c r="AB27" s="3" t="s">
        <v>1814</v>
      </c>
      <c r="AC27" s="3" t="s">
        <v>1815</v>
      </c>
      <c r="AD27" s="3" t="s">
        <v>30</v>
      </c>
      <c r="AE27" s="3">
        <v>3731014</v>
      </c>
      <c r="AF27" s="3" t="s">
        <v>1125</v>
      </c>
      <c r="AG27" s="3" t="s">
        <v>1816</v>
      </c>
      <c r="AH27" s="3" t="s">
        <v>1126</v>
      </c>
      <c r="AI27" s="3" t="s">
        <v>1817</v>
      </c>
      <c r="AJ27" s="3" t="s">
        <v>1127</v>
      </c>
      <c r="AK27" s="3" t="s">
        <v>1818</v>
      </c>
      <c r="AL27" s="3" t="s">
        <v>1128</v>
      </c>
      <c r="AM27" s="3" t="s">
        <v>30</v>
      </c>
      <c r="AN27" s="3" t="s">
        <v>1819</v>
      </c>
      <c r="AO27" s="3" t="s">
        <v>30</v>
      </c>
      <c r="AP27" s="3" t="s">
        <v>1820</v>
      </c>
      <c r="AQ27" s="3" t="s">
        <v>170</v>
      </c>
      <c r="AR27" s="3" t="s">
        <v>30</v>
      </c>
      <c r="AS27" s="3" t="s">
        <v>274</v>
      </c>
      <c r="AT27" s="3" t="s">
        <v>30</v>
      </c>
      <c r="AU27" s="3" t="s">
        <v>1821</v>
      </c>
      <c r="AV27" s="3" t="s">
        <v>1822</v>
      </c>
      <c r="AW27" s="3" t="s">
        <v>1823</v>
      </c>
      <c r="AX27" s="3" t="s">
        <v>841</v>
      </c>
      <c r="AY27" s="3" t="s">
        <v>574</v>
      </c>
      <c r="AZ27" s="3" t="s">
        <v>266</v>
      </c>
      <c r="BA27" s="3" t="s">
        <v>134</v>
      </c>
      <c r="BB27" s="3" t="s">
        <v>384</v>
      </c>
      <c r="BC27" s="3" t="s">
        <v>302</v>
      </c>
      <c r="BD27" s="3" t="s">
        <v>249</v>
      </c>
      <c r="BE27" s="3" t="s">
        <v>119</v>
      </c>
      <c r="BF27" s="3" t="s">
        <v>262</v>
      </c>
      <c r="BG27" s="3" t="s">
        <v>399</v>
      </c>
      <c r="BH27" s="3" t="s">
        <v>716</v>
      </c>
      <c r="BI27" s="3" t="s">
        <v>488</v>
      </c>
      <c r="BJ27" s="3" t="s">
        <v>841</v>
      </c>
      <c r="BK27" s="3" t="s">
        <v>304</v>
      </c>
      <c r="BL27" s="3" t="s">
        <v>1824</v>
      </c>
      <c r="BM27" s="3" t="s">
        <v>302</v>
      </c>
      <c r="BN27" s="3">
        <v>9.77</v>
      </c>
      <c r="BO27" s="3">
        <v>19.829999999999998</v>
      </c>
      <c r="BP27" s="3">
        <v>18.96</v>
      </c>
      <c r="BQ27" s="3">
        <v>12.16</v>
      </c>
      <c r="BR27" s="3">
        <v>19.96</v>
      </c>
      <c r="BS27" s="3">
        <v>18.7</v>
      </c>
      <c r="BT27" s="3" t="s">
        <v>870</v>
      </c>
      <c r="BU27" s="3" t="s">
        <v>651</v>
      </c>
      <c r="BV27" s="3">
        <v>27.11</v>
      </c>
      <c r="BW27" s="3">
        <v>28.82</v>
      </c>
      <c r="BX27" s="3">
        <v>29.61</v>
      </c>
      <c r="BY27" s="3">
        <v>15.54</v>
      </c>
      <c r="BZ27" s="3">
        <v>18.5</v>
      </c>
      <c r="CA27" s="3">
        <v>17.55</v>
      </c>
      <c r="CB27" s="3">
        <v>-7.59</v>
      </c>
      <c r="CC27" s="3">
        <v>12.83</v>
      </c>
      <c r="CD27" s="3" t="s">
        <v>1825</v>
      </c>
      <c r="CE27" s="3" t="s">
        <v>692</v>
      </c>
      <c r="CF27" s="8">
        <v>-0.48726114649681529</v>
      </c>
      <c r="CG27" s="9">
        <v>-0.53378474230953044</v>
      </c>
      <c r="CH27" s="8">
        <v>-0.73584908246994019</v>
      </c>
      <c r="CI27" s="8">
        <v>0.16095244884490967</v>
      </c>
      <c r="CJ27" s="8">
        <v>0.61538463830947876</v>
      </c>
      <c r="CK27" s="8">
        <v>0.35699373483657837</v>
      </c>
      <c r="CL27" s="8">
        <v>0.29459458589553833</v>
      </c>
      <c r="CM27" s="9">
        <v>-0.79496324062347412</v>
      </c>
      <c r="CN27" s="9">
        <v>0.22826087474822998</v>
      </c>
      <c r="CO27" s="9">
        <v>0.53333336114883423</v>
      </c>
      <c r="CP27" s="9">
        <v>0.3667503297328949</v>
      </c>
      <c r="CQ27" s="9">
        <v>0.38705113530158997</v>
      </c>
      <c r="CR27" s="3">
        <v>31.617285175957459</v>
      </c>
      <c r="CS27" s="3">
        <v>2.2842339793177313</v>
      </c>
      <c r="CT27" s="3">
        <v>1.1148272017837235</v>
      </c>
      <c r="CU27" s="8">
        <v>0.13841526508331298</v>
      </c>
      <c r="CV27" s="9">
        <v>0.144086492061615</v>
      </c>
      <c r="CW27" s="3">
        <v>0.06</v>
      </c>
      <c r="CX27" s="3">
        <v>63.38160331456703</v>
      </c>
      <c r="CY27" s="3">
        <v>49766252.903783098</v>
      </c>
      <c r="CZ27" s="3">
        <v>0.13841526508331298</v>
      </c>
      <c r="DA27" s="3">
        <v>19.885070447598473</v>
      </c>
      <c r="DB27" s="3">
        <v>158624778.74102485</v>
      </c>
      <c r="DC27" s="3">
        <v>0.13149450182914732</v>
      </c>
      <c r="DD27" s="3">
        <v>9.2604896338548013</v>
      </c>
      <c r="DE27" s="3">
        <v>340615348.0771184</v>
      </c>
      <c r="DF27" s="3">
        <v>0.12180543327331542</v>
      </c>
      <c r="DG27" s="3">
        <v>5.2165159115333593</v>
      </c>
      <c r="DH27" s="3">
        <v>604668892.70406258</v>
      </c>
      <c r="DI27" s="3">
        <v>0.11073221206665039</v>
      </c>
      <c r="DJ27" s="3">
        <v>2.3308111338651787</v>
      </c>
      <c r="DK27" s="3">
        <v>1353290643.8323426</v>
      </c>
      <c r="DL27" s="3">
        <v>9.6890685558319076E-2</v>
      </c>
      <c r="DM27" s="3">
        <v>46338300</v>
      </c>
      <c r="DN27" s="3">
        <v>0.13841526508331298</v>
      </c>
      <c r="DO27" s="3">
        <v>3154264900</v>
      </c>
      <c r="DP27" s="3">
        <v>1272465700</v>
      </c>
      <c r="DQ27" s="3">
        <v>2309</v>
      </c>
      <c r="DR27" s="3">
        <v>-0.62567641158012832</v>
      </c>
      <c r="DS27" s="3">
        <v>-0.67787123437114549</v>
      </c>
      <c r="DT27" s="10">
        <v>-0.14000000000000004</v>
      </c>
      <c r="DU27" s="3">
        <v>-5.333333333333342E-2</v>
      </c>
      <c r="DV27" s="3">
        <v>-0.19333333333333347</v>
      </c>
      <c r="DW27" s="3">
        <v>-7.3716944172380021</v>
      </c>
      <c r="DX27" s="3">
        <v>0.40712549999999892</v>
      </c>
      <c r="DY27" s="3">
        <v>-7.0658365595004895</v>
      </c>
      <c r="DZ27" s="3">
        <v>2909</v>
      </c>
      <c r="EA27" s="3">
        <v>-7.0283573908924808</v>
      </c>
      <c r="EB27" s="3">
        <v>7</v>
      </c>
      <c r="EC27" s="3">
        <v>0.24868864059485735</v>
      </c>
      <c r="ED27" s="3">
        <v>1.4040250590392538</v>
      </c>
      <c r="EE27" s="11">
        <v>-1.0068999999999999</v>
      </c>
      <c r="EF27" s="3">
        <v>-1.00281</v>
      </c>
      <c r="EG27" s="3">
        <v>23.177125499999999</v>
      </c>
      <c r="EH27" s="3" t="s">
        <v>711</v>
      </c>
      <c r="EI27" s="3">
        <v>0</v>
      </c>
      <c r="EJ27" s="3">
        <v>0</v>
      </c>
      <c r="EK27" s="12">
        <v>45470</v>
      </c>
      <c r="EL27" s="13">
        <v>0.35</v>
      </c>
      <c r="EM27" s="13">
        <v>-4.6900000000000004</v>
      </c>
      <c r="EN27" s="13">
        <v>0</v>
      </c>
      <c r="EO27" s="13">
        <v>3.05</v>
      </c>
      <c r="EP27" s="13">
        <v>-0.97</v>
      </c>
    </row>
    <row r="28" spans="1:146" ht="96" x14ac:dyDescent="0.25">
      <c r="C28" s="6" t="str">
        <f>""&amp;CHAR(10)&amp;Basic_Fundamental_Information_Constructure(F28)&amp;CHAR(10)&amp;Basic_Fundamental_Information_Concatenate("")</f>
        <v xml:space="preserve">
市值29.111548亿, 利润-6899.94万; PE; 平均PE61.65; 平均PEG22.98, PB1.37; ROIC3.545%; ROE2.0133%; 股利率0%; 毛利12.5833%; 净利-.3%; 上一年度营收增-75.84%, 利润增-237.75%; 当季营收增-54.37%, 利润增-47.95%; 过往5年营收增2.68%, 利润增-42.69%
Income profile:
</v>
      </c>
      <c r="D28" s="3" t="s">
        <v>400</v>
      </c>
      <c r="E28" s="3" t="s">
        <v>401</v>
      </c>
      <c r="F28" s="3">
        <v>7.02</v>
      </c>
      <c r="G28" s="3">
        <v>-2.09</v>
      </c>
      <c r="H28" s="3" t="s">
        <v>1826</v>
      </c>
      <c r="I28" s="3">
        <v>2911154800</v>
      </c>
      <c r="K28" s="3">
        <v>1.37</v>
      </c>
      <c r="L28" s="3" t="s">
        <v>1310</v>
      </c>
      <c r="M28" s="3" t="s">
        <v>1129</v>
      </c>
      <c r="N28" s="3" t="s">
        <v>1827</v>
      </c>
      <c r="O28" s="3" t="s">
        <v>378</v>
      </c>
      <c r="P28" s="3">
        <v>1.5</v>
      </c>
      <c r="Q28" s="3" t="s">
        <v>378</v>
      </c>
      <c r="R28" s="3">
        <v>-68999359</v>
      </c>
      <c r="S28" s="4">
        <v>-0.92390000000000005</v>
      </c>
      <c r="T28" s="3" t="s">
        <v>1828</v>
      </c>
      <c r="U28" s="3">
        <v>329787070</v>
      </c>
      <c r="V28" s="3">
        <v>414694420</v>
      </c>
      <c r="W28" s="3">
        <v>3.13</v>
      </c>
      <c r="X28" s="3">
        <v>0.1</v>
      </c>
      <c r="Y28" s="3">
        <v>-11.35</v>
      </c>
      <c r="Z28" s="3" t="s">
        <v>1829</v>
      </c>
      <c r="AA28" s="3" t="s">
        <v>849</v>
      </c>
      <c r="AB28" s="3" t="s">
        <v>1830</v>
      </c>
      <c r="AC28" s="3" t="s">
        <v>1831</v>
      </c>
      <c r="AD28" s="3" t="s">
        <v>30</v>
      </c>
      <c r="AE28" s="3">
        <v>8820130</v>
      </c>
      <c r="AF28" s="3" t="s">
        <v>1132</v>
      </c>
      <c r="AG28" s="3" t="s">
        <v>1832</v>
      </c>
      <c r="AH28" s="3" t="s">
        <v>1133</v>
      </c>
      <c r="AI28" s="3" t="s">
        <v>1833</v>
      </c>
      <c r="AJ28" s="3" t="s">
        <v>1134</v>
      </c>
      <c r="AK28" s="3" t="s">
        <v>1834</v>
      </c>
      <c r="AL28" s="3" t="s">
        <v>1135</v>
      </c>
      <c r="AM28" s="3" t="s">
        <v>30</v>
      </c>
      <c r="AN28" s="3" t="s">
        <v>1835</v>
      </c>
      <c r="AO28" s="3" t="s">
        <v>1836</v>
      </c>
      <c r="AP28" s="3" t="s">
        <v>391</v>
      </c>
      <c r="AQ28" s="3" t="s">
        <v>928</v>
      </c>
      <c r="AR28" s="3" t="s">
        <v>30</v>
      </c>
      <c r="AS28" s="3" t="s">
        <v>1837</v>
      </c>
      <c r="AT28" s="3" t="s">
        <v>151</v>
      </c>
      <c r="AU28" s="3" t="s">
        <v>1036</v>
      </c>
      <c r="AV28" s="3" t="s">
        <v>1838</v>
      </c>
      <c r="AW28" s="3" t="s">
        <v>555</v>
      </c>
      <c r="AX28" s="3" t="s">
        <v>842</v>
      </c>
      <c r="AY28" s="3" t="s">
        <v>886</v>
      </c>
      <c r="AZ28" s="3" t="s">
        <v>359</v>
      </c>
      <c r="BA28" s="3" t="s">
        <v>140</v>
      </c>
      <c r="BB28" s="3" t="s">
        <v>312</v>
      </c>
      <c r="BC28" s="3" t="s">
        <v>843</v>
      </c>
      <c r="BD28" s="3" t="s">
        <v>575</v>
      </c>
      <c r="BE28" s="3" t="s">
        <v>89</v>
      </c>
      <c r="BF28" s="3" t="s">
        <v>887</v>
      </c>
      <c r="BG28" s="3" t="s">
        <v>888</v>
      </c>
      <c r="BH28" s="3" t="s">
        <v>1130</v>
      </c>
      <c r="BI28" s="3" t="s">
        <v>1839</v>
      </c>
      <c r="BJ28" s="3" t="s">
        <v>842</v>
      </c>
      <c r="BK28" s="3" t="s">
        <v>1131</v>
      </c>
      <c r="BL28" s="3" t="s">
        <v>1840</v>
      </c>
      <c r="BM28" s="3" t="s">
        <v>843</v>
      </c>
      <c r="BN28" s="3" t="s">
        <v>30</v>
      </c>
      <c r="BO28" s="3">
        <v>1.74</v>
      </c>
      <c r="BP28" s="3">
        <v>5.35</v>
      </c>
      <c r="BQ28" s="3">
        <v>-2.6</v>
      </c>
      <c r="BR28" s="3">
        <v>2.61</v>
      </c>
      <c r="BS28" s="3">
        <v>6.03</v>
      </c>
      <c r="BT28" s="3" t="s">
        <v>700</v>
      </c>
      <c r="BU28" s="3" t="s">
        <v>651</v>
      </c>
      <c r="BV28" s="3">
        <v>8.0500000000000007</v>
      </c>
      <c r="BW28" s="3">
        <v>14.05</v>
      </c>
      <c r="BX28" s="3">
        <v>15.65</v>
      </c>
      <c r="BY28" s="3">
        <v>-5.81</v>
      </c>
      <c r="BZ28" s="3">
        <v>1.76</v>
      </c>
      <c r="CA28" s="3">
        <v>3.15</v>
      </c>
      <c r="CB28" s="3">
        <v>-14.81</v>
      </c>
      <c r="CC28" s="3">
        <v>0.28999999999999998</v>
      </c>
      <c r="CD28" s="3" t="s">
        <v>369</v>
      </c>
      <c r="CE28" s="3" t="s">
        <v>1841</v>
      </c>
      <c r="CF28" s="8">
        <v>-0.54369627507163321</v>
      </c>
      <c r="CG28" s="9">
        <v>-0.47954899068089907</v>
      </c>
      <c r="CH28" s="8">
        <v>-0.7584376335144043</v>
      </c>
      <c r="CI28" s="8">
        <v>0.17043942213058472</v>
      </c>
      <c r="CJ28" s="8">
        <v>0.40636700391769409</v>
      </c>
      <c r="CK28" s="8">
        <v>0.20632530748844147</v>
      </c>
      <c r="CL28" s="8">
        <v>0.10944032669067383</v>
      </c>
      <c r="CM28" s="9">
        <v>-2.3775193691253662</v>
      </c>
      <c r="CN28" s="9">
        <v>-0.29399862885475159</v>
      </c>
      <c r="CO28" s="9">
        <v>-0.32430186867713928</v>
      </c>
      <c r="CP28" s="9">
        <v>0.40071344375610352</v>
      </c>
      <c r="CQ28" s="9">
        <v>0.46038109064102173</v>
      </c>
      <c r="CR28" s="3">
        <v>61.648578727465377</v>
      </c>
      <c r="CS28" s="3">
        <v>22.980147691455866</v>
      </c>
      <c r="CT28" s="3">
        <v>0</v>
      </c>
      <c r="CU28" s="8">
        <v>2.6826885342597962E-2</v>
      </c>
      <c r="CV28" s="9">
        <v>-0.42694506645202634</v>
      </c>
      <c r="CW28" s="3">
        <v>0.06</v>
      </c>
      <c r="CX28" s="3" t="e">
        <v>#VALUE!</v>
      </c>
      <c r="CY28" s="3" t="s">
        <v>612</v>
      </c>
      <c r="CZ28" s="3">
        <v>2.6826885342597962E-2</v>
      </c>
      <c r="DA28" s="3" t="e">
        <v>#VALUE!</v>
      </c>
      <c r="DB28" s="3" t="s">
        <v>613</v>
      </c>
      <c r="DC28" s="3">
        <v>2.5485541075468063E-2</v>
      </c>
      <c r="DD28" s="3" t="e">
        <v>#VALUE!</v>
      </c>
      <c r="DE28" s="3" t="s">
        <v>613</v>
      </c>
      <c r="DF28" s="3">
        <v>2.3607659101486208E-2</v>
      </c>
      <c r="DG28" s="3" t="e">
        <v>#VALUE!</v>
      </c>
      <c r="DH28" s="3" t="s">
        <v>613</v>
      </c>
      <c r="DI28" s="3">
        <v>2.1461508274078372E-2</v>
      </c>
      <c r="DJ28" s="3" t="e">
        <v>#VALUE!</v>
      </c>
      <c r="DK28" s="3" t="s">
        <v>613</v>
      </c>
      <c r="DL28" s="3">
        <v>1.8778819739818573E-2</v>
      </c>
      <c r="DM28" s="3">
        <v>-68999400</v>
      </c>
      <c r="DN28" s="3">
        <v>2.6826885342597962E-2</v>
      </c>
      <c r="DO28" s="3">
        <v>5181154800</v>
      </c>
      <c r="DP28" s="3">
        <v>-621721800</v>
      </c>
      <c r="DQ28" s="3">
        <v>2359</v>
      </c>
      <c r="DR28" s="3">
        <v>-0.57052316041423112</v>
      </c>
      <c r="DS28" s="3">
        <v>-5.2603924228872723E-2</v>
      </c>
      <c r="DT28" s="10">
        <v>-0.37333333333333335</v>
      </c>
      <c r="DU28" s="3">
        <v>-1.4950000000000001</v>
      </c>
      <c r="DV28" s="3">
        <v>-1.8683333333333334</v>
      </c>
      <c r="DW28" s="3">
        <v>-5.0195813639432814</v>
      </c>
      <c r="DX28" s="3">
        <v>0.28359351988217918</v>
      </c>
      <c r="DY28" s="3">
        <v>-5.0028117569727097</v>
      </c>
      <c r="DZ28" s="3">
        <v>2040</v>
      </c>
      <c r="EA28" s="3">
        <v>-5.0016892551675571</v>
      </c>
      <c r="EB28" s="3">
        <v>5</v>
      </c>
      <c r="EC28" s="3">
        <v>0.47022576286413498</v>
      </c>
      <c r="ED28" s="3">
        <v>3.2747004408692066</v>
      </c>
      <c r="EE28" s="11">
        <v>2.0636000000000001</v>
      </c>
      <c r="EF28" s="3">
        <v>2.1042000000000001</v>
      </c>
      <c r="EG28" s="3">
        <v>14.143593519882179</v>
      </c>
      <c r="EH28" s="3" t="s">
        <v>713</v>
      </c>
      <c r="EI28" s="3">
        <v>0</v>
      </c>
      <c r="EJ28" s="3">
        <v>0</v>
      </c>
      <c r="EK28" s="12">
        <v>45470</v>
      </c>
      <c r="EL28" s="13">
        <v>2.94</v>
      </c>
      <c r="EM28" s="13">
        <v>-5.8</v>
      </c>
      <c r="EN28" s="13">
        <v>1.41</v>
      </c>
      <c r="EO28" s="13">
        <v>-1.18</v>
      </c>
      <c r="EP28" s="13">
        <v>4.0599999999999996</v>
      </c>
    </row>
    <row r="29" spans="1:146" ht="132" x14ac:dyDescent="0.25">
      <c r="C29" s="6" t="str">
        <f>"公司主要业务为高频通信材料及其制品的研发、生产和销售。公司目前主要产品为高频覆铜板和高频聚合物基复合材料。"&amp;CHAR(10)&amp;Basic_Fundamental_Information_Constructure(F29)&amp;CHAR(10)&amp;Basic_Fundamental_Information_Concatenate("高频覆铜板 6103.17万 56.51% 61.45% 29.08%
散热片 3801.04万 35.20% 31.37% 23.83%
其他业务 895.26万 8.29% 7.18% 23.16%")</f>
        <v>公司主要业务为高频通信材料及其制品的研发、生产和销售。公司目前主要产品为高频覆铜板和高频聚合物基复合材料。
市值29.67392亿, 利润797.50万; PE20.19; 平均PE70.55; 平均PEG8.94, PB2.84; ROIC8.58%; ROE8.0933%; 股利率1.7739%; 毛利30.6%; 净利29.97%; 上一年度营收增-76.93%, 利润增-76.84%; 当季营收增-56.66%, 利润增-52.38%; 过往5年营收增-7.89%, 利润增-21.84%
Income profile:
高频覆铜板 6103.17万 56.51% 61.45% 29.08%
散热片 3801.04万 35.20% 31.37% 23.83%
其他业务 895.26万 8.29% 7.18% 23.16%</v>
      </c>
      <c r="D29" s="3" t="s">
        <v>402</v>
      </c>
      <c r="E29" s="3" t="s">
        <v>403</v>
      </c>
      <c r="F29" s="3">
        <v>39.46</v>
      </c>
      <c r="G29" s="3">
        <v>-5.82</v>
      </c>
      <c r="H29" s="3" t="s">
        <v>1842</v>
      </c>
      <c r="I29" s="3">
        <v>2967392000</v>
      </c>
      <c r="J29" s="3">
        <v>20.190000000000001</v>
      </c>
      <c r="K29" s="3">
        <v>2.84</v>
      </c>
      <c r="L29" s="3" t="s">
        <v>1310</v>
      </c>
      <c r="M29" s="3" t="s">
        <v>1137</v>
      </c>
      <c r="N29" s="3" t="s">
        <v>697</v>
      </c>
      <c r="O29" s="3" t="s">
        <v>1138</v>
      </c>
      <c r="P29" s="3">
        <v>-9.91</v>
      </c>
      <c r="Q29" s="3" t="s">
        <v>1138</v>
      </c>
      <c r="R29" s="3">
        <v>7975026</v>
      </c>
      <c r="S29" s="4">
        <v>0.13500000000000001</v>
      </c>
      <c r="T29" s="3" t="s">
        <v>1843</v>
      </c>
      <c r="U29" s="3">
        <v>47460275</v>
      </c>
      <c r="V29" s="3">
        <v>75200000</v>
      </c>
      <c r="W29" s="3">
        <v>1.06</v>
      </c>
      <c r="X29" s="3">
        <v>0.05</v>
      </c>
      <c r="Y29" s="3">
        <v>12.93</v>
      </c>
      <c r="Z29" s="3" t="s">
        <v>1844</v>
      </c>
      <c r="AA29" s="3" t="s">
        <v>1845</v>
      </c>
      <c r="AB29" s="3" t="s">
        <v>1846</v>
      </c>
      <c r="AC29" s="3" t="s">
        <v>1847</v>
      </c>
      <c r="AD29" s="3" t="s">
        <v>30</v>
      </c>
      <c r="AE29" s="3">
        <v>-340001</v>
      </c>
      <c r="AF29" s="3" t="s">
        <v>1139</v>
      </c>
      <c r="AG29" s="3" t="s">
        <v>30</v>
      </c>
      <c r="AH29" s="3" t="s">
        <v>1140</v>
      </c>
      <c r="AI29" s="3" t="s">
        <v>32</v>
      </c>
      <c r="AJ29" s="3" t="s">
        <v>1141</v>
      </c>
      <c r="AK29" s="3" t="s">
        <v>1848</v>
      </c>
      <c r="AL29" s="3" t="s">
        <v>1142</v>
      </c>
      <c r="AM29" s="3" t="s">
        <v>30</v>
      </c>
      <c r="AN29" s="3" t="s">
        <v>1849</v>
      </c>
      <c r="AO29" s="3" t="s">
        <v>30</v>
      </c>
      <c r="AP29" s="3" t="s">
        <v>1850</v>
      </c>
      <c r="AQ29" s="3" t="s">
        <v>1851</v>
      </c>
      <c r="AR29" s="3" t="s">
        <v>30</v>
      </c>
      <c r="AS29" s="3" t="s">
        <v>1852</v>
      </c>
      <c r="AT29" s="3" t="s">
        <v>30</v>
      </c>
      <c r="AU29" s="3" t="s">
        <v>1853</v>
      </c>
      <c r="AV29" s="3" t="s">
        <v>1854</v>
      </c>
      <c r="AW29" s="3" t="s">
        <v>30</v>
      </c>
      <c r="AX29" s="3" t="s">
        <v>398</v>
      </c>
      <c r="AY29" s="3" t="s">
        <v>263</v>
      </c>
      <c r="AZ29" s="3" t="s">
        <v>108</v>
      </c>
      <c r="BA29" s="3" t="s">
        <v>165</v>
      </c>
      <c r="BB29" s="3" t="s">
        <v>210</v>
      </c>
      <c r="BC29" s="3" t="s">
        <v>844</v>
      </c>
      <c r="BD29" s="3" t="s">
        <v>576</v>
      </c>
      <c r="BE29" s="3" t="s">
        <v>404</v>
      </c>
      <c r="BF29" s="3" t="s">
        <v>405</v>
      </c>
      <c r="BG29" s="3" t="s">
        <v>406</v>
      </c>
      <c r="BH29" s="3" t="s">
        <v>679</v>
      </c>
      <c r="BI29" s="3" t="s">
        <v>93</v>
      </c>
      <c r="BJ29" s="3" t="s">
        <v>398</v>
      </c>
      <c r="BK29" s="3" t="s">
        <v>339</v>
      </c>
      <c r="BL29" s="3" t="s">
        <v>1855</v>
      </c>
      <c r="BM29" s="3" t="s">
        <v>844</v>
      </c>
      <c r="BN29" s="3">
        <v>14.05</v>
      </c>
      <c r="BO29" s="3">
        <v>3.8</v>
      </c>
      <c r="BP29" s="3">
        <v>7.89</v>
      </c>
      <c r="BQ29" s="3">
        <v>14.18</v>
      </c>
      <c r="BR29" s="3">
        <v>3.89</v>
      </c>
      <c r="BS29" s="3">
        <v>6.21</v>
      </c>
      <c r="BT29" s="3" t="s">
        <v>832</v>
      </c>
      <c r="BU29" s="3" t="s">
        <v>651</v>
      </c>
      <c r="BV29" s="3">
        <v>27.69</v>
      </c>
      <c r="BW29" s="3">
        <v>26.9</v>
      </c>
      <c r="BX29" s="3">
        <v>37.21</v>
      </c>
      <c r="BY29" s="3">
        <v>52.25</v>
      </c>
      <c r="BZ29" s="3">
        <v>13.89</v>
      </c>
      <c r="CA29" s="3">
        <v>23.77</v>
      </c>
      <c r="CB29" s="3">
        <v>-9.3699999999999992</v>
      </c>
      <c r="CC29" s="3">
        <v>19.79</v>
      </c>
      <c r="CD29" s="3" t="s">
        <v>1856</v>
      </c>
      <c r="CE29" s="3" t="s">
        <v>1857</v>
      </c>
      <c r="CF29" s="8">
        <v>-0.56660757575757581</v>
      </c>
      <c r="CG29" s="9">
        <v>-0.52382787404019537</v>
      </c>
      <c r="CH29" s="8">
        <v>-0.76932334899902344</v>
      </c>
      <c r="CI29" s="8">
        <v>0.13761468231678009</v>
      </c>
      <c r="CJ29" s="8">
        <v>3.8095239549875259E-2</v>
      </c>
      <c r="CK29" s="8">
        <v>0.19318181276321411</v>
      </c>
      <c r="CL29" s="8">
        <v>5.7142856530845165E-3</v>
      </c>
      <c r="CM29" s="9">
        <v>-0.76841497421264648</v>
      </c>
      <c r="CN29" s="9">
        <v>-0.33426642417907715</v>
      </c>
      <c r="CO29" s="9">
        <v>-0.10472015291452408</v>
      </c>
      <c r="CP29" s="9">
        <v>0.21115021407604218</v>
      </c>
      <c r="CQ29" s="9">
        <v>-9.5655418932437897E-2</v>
      </c>
      <c r="CR29" s="3">
        <v>70.547936303652861</v>
      </c>
      <c r="CS29" s="3">
        <v>8.9365136986929503</v>
      </c>
      <c r="CT29" s="3">
        <v>1.7739483020780538</v>
      </c>
      <c r="CU29" s="8">
        <v>-7.8943465743213898E-2</v>
      </c>
      <c r="CV29" s="9">
        <v>-0.21838135123252869</v>
      </c>
      <c r="CW29" s="3">
        <v>0.06</v>
      </c>
      <c r="CX29" s="3">
        <v>249.79117241379311</v>
      </c>
      <c r="CY29" s="3" t="s">
        <v>1858</v>
      </c>
      <c r="CZ29" s="3">
        <v>-7.8943465743213898E-2</v>
      </c>
      <c r="DA29" s="3">
        <v>83.263724137931035</v>
      </c>
      <c r="DB29" s="3" t="s">
        <v>1859</v>
      </c>
      <c r="DC29" s="3">
        <v>-7.4996292456053201E-2</v>
      </c>
      <c r="DD29" s="3">
        <v>41.631862068965518</v>
      </c>
      <c r="DE29" s="3" t="s">
        <v>1860</v>
      </c>
      <c r="DF29" s="3">
        <v>-6.9470249854028235E-2</v>
      </c>
      <c r="DG29" s="3">
        <v>24.97911724137931</v>
      </c>
      <c r="DH29" s="3" t="s">
        <v>1861</v>
      </c>
      <c r="DI29" s="3">
        <v>-6.3154772594571126E-2</v>
      </c>
      <c r="DJ29" s="3">
        <v>12.489558620689655</v>
      </c>
      <c r="DK29" s="3" t="s">
        <v>1862</v>
      </c>
      <c r="DL29" s="3">
        <v>-5.5260426020249727E-2</v>
      </c>
      <c r="DM29" s="3">
        <v>7975000</v>
      </c>
      <c r="DN29" s="3">
        <v>-7.8943465743213898E-2</v>
      </c>
      <c r="DO29" s="3">
        <v>1992084600</v>
      </c>
      <c r="DP29" s="3">
        <v>754884530</v>
      </c>
      <c r="DQ29" s="3">
        <v>2389</v>
      </c>
      <c r="DR29" s="3">
        <v>-0.48766411001436194</v>
      </c>
      <c r="DS29" s="3">
        <v>-0.30544652280766671</v>
      </c>
      <c r="DT29" s="10">
        <v>-0.65666666666666662</v>
      </c>
      <c r="DU29" s="3">
        <v>-0.58666666666666667</v>
      </c>
      <c r="DV29" s="3">
        <v>-1.2433333333333332</v>
      </c>
      <c r="DW29" s="3">
        <v>-7.3213305898491079</v>
      </c>
      <c r="DX29" s="3">
        <v>0.40453484848484866</v>
      </c>
      <c r="DY29" s="3">
        <v>-7.0753632212038076</v>
      </c>
      <c r="DZ29" s="3">
        <v>4605</v>
      </c>
      <c r="EA29" s="3">
        <v>-7.0074478330152488</v>
      </c>
      <c r="EB29" s="3">
        <v>7</v>
      </c>
      <c r="EC29" s="3">
        <v>0.61752526595744683</v>
      </c>
      <c r="ED29" s="3">
        <v>2.6329787234042552</v>
      </c>
      <c r="EE29" s="11">
        <v>2.0461100000000001</v>
      </c>
      <c r="EF29" s="3">
        <v>2.05301</v>
      </c>
      <c r="EG29" s="3">
        <v>17.234534848484849</v>
      </c>
      <c r="EH29" s="3" t="s">
        <v>1306</v>
      </c>
      <c r="EI29" s="3">
        <v>0</v>
      </c>
      <c r="EJ29" s="3">
        <v>0</v>
      </c>
      <c r="EK29" s="12">
        <v>45470</v>
      </c>
      <c r="EL29" s="13">
        <v>-0.89</v>
      </c>
      <c r="EM29" s="13">
        <v>-5.94</v>
      </c>
      <c r="EN29" s="13">
        <v>0.41</v>
      </c>
      <c r="EO29" s="13">
        <v>7.64</v>
      </c>
      <c r="EP29" s="13">
        <v>-0.69</v>
      </c>
    </row>
    <row r="30" spans="1:146" ht="96" x14ac:dyDescent="0.25">
      <c r="C30" s="6" t="str">
        <f>""&amp;CHAR(10)&amp;Basic_Fundamental_Information_Constructure(F30)&amp;CHAR(10)&amp;Basic_Fundamental_Information_Concatenate("")</f>
        <v xml:space="preserve">
市值24.719991亿, 利润719.62万; PE527.6; 平均PE48.54; 平均PEG7.72, PB2.47; ROIC4.6867%; ROE5.1033%; 股利率.9381%; 毛利19.4467%; 净利6.3967%; 上一年度营收增-78.18%, 利润增-84.87%; 当季营收增-53.79%, 利润增-43.93%; 过往5年营收增-6.29%, 利润增-13.1%
Income profile:
</v>
      </c>
      <c r="D30" s="3" t="s">
        <v>508</v>
      </c>
      <c r="E30" s="3" t="s">
        <v>509</v>
      </c>
      <c r="F30" s="3">
        <v>31.98</v>
      </c>
      <c r="G30" s="3">
        <v>-6.05</v>
      </c>
      <c r="H30" s="3" t="s">
        <v>1863</v>
      </c>
      <c r="I30" s="3">
        <v>2471999100</v>
      </c>
      <c r="J30" s="3">
        <v>527.6</v>
      </c>
      <c r="K30" s="3">
        <v>2.4700000000000002</v>
      </c>
      <c r="L30" s="3" t="s">
        <v>1310</v>
      </c>
      <c r="M30" s="3" t="s">
        <v>162</v>
      </c>
      <c r="N30" s="3" t="s">
        <v>1864</v>
      </c>
      <c r="O30" s="3" t="s">
        <v>110</v>
      </c>
      <c r="P30" s="3">
        <v>-4.3899999999999997</v>
      </c>
      <c r="Q30" s="3" t="s">
        <v>110</v>
      </c>
      <c r="R30" s="3">
        <v>7196213</v>
      </c>
      <c r="S30" s="4">
        <v>-1.9300000000000001E-2</v>
      </c>
      <c r="T30" s="3" t="s">
        <v>1865</v>
      </c>
      <c r="U30" s="3">
        <v>33653747</v>
      </c>
      <c r="V30" s="3">
        <v>77298284</v>
      </c>
      <c r="W30" s="3">
        <v>1.3</v>
      </c>
      <c r="X30" s="3">
        <v>0.09</v>
      </c>
      <c r="Y30" s="3">
        <v>5.88</v>
      </c>
      <c r="Z30" s="3" t="s">
        <v>109</v>
      </c>
      <c r="AA30" s="3" t="s">
        <v>1866</v>
      </c>
      <c r="AB30" s="3" t="s">
        <v>1867</v>
      </c>
      <c r="AC30" s="3" t="s">
        <v>1868</v>
      </c>
      <c r="AD30" s="3" t="s">
        <v>30</v>
      </c>
      <c r="AE30" s="3">
        <v>-957201</v>
      </c>
      <c r="AF30" s="3" t="s">
        <v>1144</v>
      </c>
      <c r="AG30" s="3">
        <v>1883.4</v>
      </c>
      <c r="AH30" s="3" t="s">
        <v>1145</v>
      </c>
      <c r="AI30" s="3" t="s">
        <v>165</v>
      </c>
      <c r="AJ30" s="3" t="s">
        <v>1146</v>
      </c>
      <c r="AK30" s="3" t="s">
        <v>1869</v>
      </c>
      <c r="AL30" s="3" t="s">
        <v>1147</v>
      </c>
      <c r="AM30" s="3" t="s">
        <v>30</v>
      </c>
      <c r="AN30" s="3" t="s">
        <v>1870</v>
      </c>
      <c r="AO30" s="3" t="s">
        <v>1871</v>
      </c>
      <c r="AP30" s="3" t="s">
        <v>1872</v>
      </c>
      <c r="AQ30" s="3" t="s">
        <v>220</v>
      </c>
      <c r="AR30" s="3" t="s">
        <v>30</v>
      </c>
      <c r="AS30" s="3" t="s">
        <v>155</v>
      </c>
      <c r="AT30" s="3" t="s">
        <v>30</v>
      </c>
      <c r="AU30" s="3" t="s">
        <v>1873</v>
      </c>
      <c r="AV30" s="3" t="s">
        <v>1874</v>
      </c>
      <c r="AW30" s="3" t="s">
        <v>1875</v>
      </c>
      <c r="AX30" s="3" t="s">
        <v>694</v>
      </c>
      <c r="AY30" s="3" t="s">
        <v>559</v>
      </c>
      <c r="AZ30" s="3" t="s">
        <v>467</v>
      </c>
      <c r="BA30" s="3" t="s">
        <v>282</v>
      </c>
      <c r="BB30" s="3" t="s">
        <v>336</v>
      </c>
      <c r="BC30" s="3" t="s">
        <v>1148</v>
      </c>
      <c r="BD30" s="3" t="s">
        <v>577</v>
      </c>
      <c r="BE30" s="3" t="s">
        <v>510</v>
      </c>
      <c r="BF30" s="3" t="s">
        <v>511</v>
      </c>
      <c r="BG30" s="3" t="s">
        <v>512</v>
      </c>
      <c r="BH30" s="3" t="s">
        <v>877</v>
      </c>
      <c r="BI30" s="3" t="s">
        <v>106</v>
      </c>
      <c r="BJ30" s="3" t="s">
        <v>694</v>
      </c>
      <c r="BK30" s="3" t="s">
        <v>1143</v>
      </c>
      <c r="BL30" s="3" t="s">
        <v>1876</v>
      </c>
      <c r="BM30" s="3" t="s">
        <v>1148</v>
      </c>
      <c r="BN30" s="3">
        <v>1.57</v>
      </c>
      <c r="BO30" s="3">
        <v>4.66</v>
      </c>
      <c r="BP30" s="3">
        <v>7.83</v>
      </c>
      <c r="BQ30" s="3">
        <v>1.46</v>
      </c>
      <c r="BR30" s="3">
        <v>4.74</v>
      </c>
      <c r="BS30" s="3">
        <v>9.11</v>
      </c>
      <c r="BT30" s="3" t="s">
        <v>702</v>
      </c>
      <c r="BU30" s="3" t="s">
        <v>651</v>
      </c>
      <c r="BV30" s="3">
        <v>16.86</v>
      </c>
      <c r="BW30" s="3">
        <v>19.25</v>
      </c>
      <c r="BX30" s="3">
        <v>22.23</v>
      </c>
      <c r="BY30" s="3">
        <v>0.94</v>
      </c>
      <c r="BZ30" s="3">
        <v>8.52</v>
      </c>
      <c r="CA30" s="3">
        <v>9.73</v>
      </c>
      <c r="CB30" s="3">
        <v>-14.72</v>
      </c>
      <c r="CC30" s="3">
        <v>-1.9</v>
      </c>
      <c r="CD30" s="3" t="s">
        <v>1877</v>
      </c>
      <c r="CE30" s="3" t="s">
        <v>143</v>
      </c>
      <c r="CF30" s="8">
        <v>-0.53787878787878785</v>
      </c>
      <c r="CG30" s="9">
        <v>-0.4393158390924603</v>
      </c>
      <c r="CH30" s="8">
        <v>-0.78175312280654907</v>
      </c>
      <c r="CI30" s="8">
        <v>9.025271050632E-3</v>
      </c>
      <c r="CJ30" s="8">
        <v>0.26773455739021301</v>
      </c>
      <c r="CK30" s="8">
        <v>-6.223176047205925E-2</v>
      </c>
      <c r="CL30" s="8">
        <v>0.25268816947937012</v>
      </c>
      <c r="CM30" s="9">
        <v>-0.84867274761199951</v>
      </c>
      <c r="CN30" s="9">
        <v>-0.11774495244026184</v>
      </c>
      <c r="CO30" s="9">
        <v>-0.34740930795669556</v>
      </c>
      <c r="CP30" s="9">
        <v>0.22731508314609528</v>
      </c>
      <c r="CQ30" s="9">
        <v>0.43138593435287476</v>
      </c>
      <c r="CR30" s="3">
        <v>48.540827884542693</v>
      </c>
      <c r="CS30" s="3">
        <v>7.7162377679860583</v>
      </c>
      <c r="CT30" s="3">
        <v>0.93808630393996251</v>
      </c>
      <c r="CU30" s="8">
        <v>-6.2907377071678636E-2</v>
      </c>
      <c r="CV30" s="9">
        <v>-0.13102519810199736</v>
      </c>
      <c r="CW30" s="3">
        <v>0.06</v>
      </c>
      <c r="CX30" s="3">
        <v>248.88122898196269</v>
      </c>
      <c r="CY30" s="3" t="s">
        <v>1878</v>
      </c>
      <c r="CZ30" s="3">
        <v>-6.2907377071678636E-2</v>
      </c>
      <c r="DA30" s="3">
        <v>82.960409660654236</v>
      </c>
      <c r="DB30" s="3" t="s">
        <v>1879</v>
      </c>
      <c r="DC30" s="3">
        <v>-5.97620082180947E-2</v>
      </c>
      <c r="DD30" s="3">
        <v>41.480204830327118</v>
      </c>
      <c r="DE30" s="3" t="s">
        <v>1880</v>
      </c>
      <c r="DF30" s="3">
        <v>-5.5358491823077199E-2</v>
      </c>
      <c r="DG30" s="3">
        <v>24.888122898196269</v>
      </c>
      <c r="DH30" s="3" t="s">
        <v>1881</v>
      </c>
      <c r="DI30" s="3">
        <v>-5.0325901657342909E-2</v>
      </c>
      <c r="DJ30" s="3">
        <v>12.444061449098134</v>
      </c>
      <c r="DK30" s="3" t="s">
        <v>1882</v>
      </c>
      <c r="DL30" s="3">
        <v>-4.4035163950175045E-2</v>
      </c>
      <c r="DM30" s="3">
        <v>7196200</v>
      </c>
      <c r="DN30" s="3">
        <v>-6.2907377071678636E-2</v>
      </c>
      <c r="DO30" s="3">
        <v>1790999100</v>
      </c>
      <c r="DP30" s="3">
        <v>535923940</v>
      </c>
      <c r="DQ30" s="3">
        <v>2415</v>
      </c>
      <c r="DR30" s="3">
        <v>-0.4749714108071092</v>
      </c>
      <c r="DS30" s="3">
        <v>-0.30829064099046294</v>
      </c>
      <c r="DT30" s="10">
        <v>-0.54</v>
      </c>
      <c r="DU30" s="3">
        <v>-0.47000000000000003</v>
      </c>
      <c r="DV30" s="3">
        <v>-1.01</v>
      </c>
      <c r="DW30" s="3">
        <v>-5.1290760869565215</v>
      </c>
      <c r="DX30" s="3">
        <v>0.35634609929077843</v>
      </c>
      <c r="DY30" s="3">
        <v>-5.0253435861856302</v>
      </c>
      <c r="DZ30" s="3">
        <v>2147</v>
      </c>
      <c r="EA30" s="3">
        <v>-5.0146953123029396</v>
      </c>
      <c r="EB30" s="3">
        <v>5</v>
      </c>
      <c r="EC30" s="3">
        <v>0.35815542813343698</v>
      </c>
      <c r="ED30" s="3">
        <v>1.8241025893925407</v>
      </c>
      <c r="EE30" s="11">
        <v>1.0011000000000001</v>
      </c>
      <c r="EF30" s="3">
        <v>1.0173099999999999</v>
      </c>
      <c r="EG30" s="3">
        <v>16.196346099290778</v>
      </c>
      <c r="EH30" s="3" t="s">
        <v>1307</v>
      </c>
      <c r="EI30" s="3">
        <v>0</v>
      </c>
      <c r="EJ30" s="3">
        <v>0</v>
      </c>
      <c r="EK30" s="12">
        <v>45470</v>
      </c>
      <c r="EL30" s="13">
        <v>-1.96</v>
      </c>
      <c r="EM30" s="13">
        <v>-4.0999999999999996</v>
      </c>
      <c r="EN30" s="13">
        <v>6.45</v>
      </c>
      <c r="EO30" s="13">
        <v>1.49</v>
      </c>
      <c r="EP30" s="13">
        <v>-1.84</v>
      </c>
    </row>
    <row r="31" spans="1:146" ht="96" x14ac:dyDescent="0.25">
      <c r="C31" s="6" t="str">
        <f>""&amp;CHAR(10)&amp;Basic_Fundamental_Information_Constructure(F31)&amp;CHAR(10)&amp;Basic_Fundamental_Information_Concatenate("")</f>
        <v xml:space="preserve">
市值27.107388亿, 利润582.90万; PE65.34; 平均PE68.9; 平均PEG6.38, PB4.02; ROIC6.0133%; ROE6.7767%; 股利率.2361%; 毛利27.09%; 净利6.18%; 上一年度营收增-76.53%, 利润增-82.79%; 当季营收增-50.49%, 利润增-68.95%; 过往5年营收增-10.79%, 利润增-18.29%
Income profile:
</v>
      </c>
      <c r="D31" s="3" t="s">
        <v>513</v>
      </c>
      <c r="E31" s="3" t="s">
        <v>514</v>
      </c>
      <c r="F31" s="3">
        <v>25.41</v>
      </c>
      <c r="G31" s="3">
        <v>-4.1900000000000004</v>
      </c>
      <c r="H31" s="3" t="s">
        <v>1883</v>
      </c>
      <c r="I31" s="3">
        <v>2710738800</v>
      </c>
      <c r="J31" s="3">
        <v>65.34</v>
      </c>
      <c r="K31" s="3">
        <v>4.0199999999999996</v>
      </c>
      <c r="L31" s="3" t="s">
        <v>1310</v>
      </c>
      <c r="M31" s="3" t="s">
        <v>196</v>
      </c>
      <c r="N31" s="3" t="s">
        <v>1884</v>
      </c>
      <c r="O31" s="3" t="s">
        <v>241</v>
      </c>
      <c r="P31" s="3">
        <v>2.64</v>
      </c>
      <c r="Q31" s="3" t="s">
        <v>241</v>
      </c>
      <c r="R31" s="3">
        <v>5828959</v>
      </c>
      <c r="S31" s="4">
        <v>0.46410000000000001</v>
      </c>
      <c r="T31" s="3" t="s">
        <v>1885</v>
      </c>
      <c r="U31" s="3">
        <v>61561706</v>
      </c>
      <c r="V31" s="3">
        <v>106680000</v>
      </c>
      <c r="W31" s="3">
        <v>1.35</v>
      </c>
      <c r="X31" s="3">
        <v>0.17</v>
      </c>
      <c r="Y31" s="3">
        <v>3.75</v>
      </c>
      <c r="Z31" s="3" t="s">
        <v>130</v>
      </c>
      <c r="AA31" s="3" t="s">
        <v>204</v>
      </c>
      <c r="AB31" s="3" t="s">
        <v>1886</v>
      </c>
      <c r="AC31" s="3" t="s">
        <v>1887</v>
      </c>
      <c r="AD31" s="3" t="s">
        <v>30</v>
      </c>
      <c r="AE31" s="3">
        <v>109341</v>
      </c>
      <c r="AF31" s="3" t="s">
        <v>1150</v>
      </c>
      <c r="AG31" s="3" t="s">
        <v>1888</v>
      </c>
      <c r="AH31" s="3" t="s">
        <v>1151</v>
      </c>
      <c r="AI31" s="3" t="s">
        <v>397</v>
      </c>
      <c r="AJ31" s="3" t="s">
        <v>1152</v>
      </c>
      <c r="AK31" s="3" t="s">
        <v>1889</v>
      </c>
      <c r="AL31" s="3" t="s">
        <v>1153</v>
      </c>
      <c r="AM31" s="3" t="s">
        <v>30</v>
      </c>
      <c r="AN31" s="3" t="s">
        <v>1890</v>
      </c>
      <c r="AO31" s="3" t="s">
        <v>1154</v>
      </c>
      <c r="AP31" s="3" t="s">
        <v>1891</v>
      </c>
      <c r="AQ31" s="3" t="s">
        <v>110</v>
      </c>
      <c r="AR31" s="3" t="s">
        <v>30</v>
      </c>
      <c r="AS31" s="3" t="s">
        <v>215</v>
      </c>
      <c r="AT31" s="3" t="s">
        <v>30</v>
      </c>
      <c r="AU31" s="3" t="s">
        <v>1892</v>
      </c>
      <c r="AV31" s="3" t="s">
        <v>1893</v>
      </c>
      <c r="AW31" s="3" t="s">
        <v>1894</v>
      </c>
      <c r="AX31" s="3" t="s">
        <v>845</v>
      </c>
      <c r="AY31" s="3" t="s">
        <v>487</v>
      </c>
      <c r="AZ31" s="3" t="s">
        <v>498</v>
      </c>
      <c r="BA31" s="3" t="s">
        <v>394</v>
      </c>
      <c r="BB31" s="3" t="s">
        <v>432</v>
      </c>
      <c r="BC31" s="3" t="s">
        <v>846</v>
      </c>
      <c r="BD31" s="3" t="s">
        <v>578</v>
      </c>
      <c r="BE31" s="3" t="s">
        <v>515</v>
      </c>
      <c r="BF31" s="3" t="s">
        <v>516</v>
      </c>
      <c r="BG31" s="3" t="s">
        <v>517</v>
      </c>
      <c r="BH31" s="3" t="s">
        <v>929</v>
      </c>
      <c r="BI31" s="3" t="s">
        <v>224</v>
      </c>
      <c r="BJ31" s="3" t="s">
        <v>845</v>
      </c>
      <c r="BK31" s="3" t="s">
        <v>1149</v>
      </c>
      <c r="BL31" s="3" t="s">
        <v>1895</v>
      </c>
      <c r="BM31" s="3" t="s">
        <v>846</v>
      </c>
      <c r="BN31" s="3">
        <v>3.49</v>
      </c>
      <c r="BO31" s="3">
        <v>4.87</v>
      </c>
      <c r="BP31" s="3">
        <v>9.68</v>
      </c>
      <c r="BQ31" s="3">
        <v>4.17</v>
      </c>
      <c r="BR31" s="3">
        <v>5.46</v>
      </c>
      <c r="BS31" s="3">
        <v>10.7</v>
      </c>
      <c r="BT31" s="3" t="s">
        <v>1047</v>
      </c>
      <c r="BU31" s="3" t="s">
        <v>651</v>
      </c>
      <c r="BV31" s="3">
        <v>28.5</v>
      </c>
      <c r="BW31" s="3">
        <v>25.93</v>
      </c>
      <c r="BX31" s="3">
        <v>26.84</v>
      </c>
      <c r="BY31" s="3">
        <v>6.13</v>
      </c>
      <c r="BZ31" s="3">
        <v>5.13</v>
      </c>
      <c r="CA31" s="3">
        <v>7.28</v>
      </c>
      <c r="CB31" s="3">
        <v>-9.89</v>
      </c>
      <c r="CC31" s="3">
        <v>4.05</v>
      </c>
      <c r="CD31" s="3" t="s">
        <v>1896</v>
      </c>
      <c r="CE31" s="3" t="s">
        <v>159</v>
      </c>
      <c r="CF31" s="8">
        <v>-0.50485436893203883</v>
      </c>
      <c r="CG31" s="9">
        <v>-0.68954109921013251</v>
      </c>
      <c r="CH31" s="8">
        <v>-0.76533740758895874</v>
      </c>
      <c r="CI31" s="8">
        <v>-6.7238911986351013E-2</v>
      </c>
      <c r="CJ31" s="8">
        <v>0.2010309249162674</v>
      </c>
      <c r="CK31" s="8">
        <v>0.1106870248913765</v>
      </c>
      <c r="CL31" s="8">
        <v>-1.8726591020822525E-2</v>
      </c>
      <c r="CM31" s="9">
        <v>-0.82792317867279053</v>
      </c>
      <c r="CN31" s="9">
        <v>-0.3410072922706604</v>
      </c>
      <c r="CO31" s="9">
        <v>-8.8522866368293762E-2</v>
      </c>
      <c r="CP31" s="9">
        <v>0.1889352947473526</v>
      </c>
      <c r="CQ31" s="9">
        <v>0.15393897891044617</v>
      </c>
      <c r="CR31" s="3">
        <v>68.904854604203749</v>
      </c>
      <c r="CS31" s="3">
        <v>6.3849865740803811</v>
      </c>
      <c r="CT31" s="3">
        <v>0.23612750885478156</v>
      </c>
      <c r="CU31" s="8">
        <v>-0.10791699215769768</v>
      </c>
      <c r="CV31" s="9">
        <v>-0.18291581273078919</v>
      </c>
      <c r="CW31" s="3">
        <v>0.06</v>
      </c>
      <c r="CX31" s="3">
        <v>390.0735632183908</v>
      </c>
      <c r="CY31" s="3" t="s">
        <v>1897</v>
      </c>
      <c r="CZ31" s="3">
        <v>-0.10791699215769768</v>
      </c>
      <c r="DA31" s="3">
        <v>130.02452107279694</v>
      </c>
      <c r="DB31" s="3" t="s">
        <v>1898</v>
      </c>
      <c r="DC31" s="3">
        <v>-0.10252114254981279</v>
      </c>
      <c r="DD31" s="3">
        <v>65.012260536398472</v>
      </c>
      <c r="DE31" s="3" t="s">
        <v>1899</v>
      </c>
      <c r="DF31" s="3">
        <v>-9.4966953098773954E-2</v>
      </c>
      <c r="DG31" s="3">
        <v>39.007356321839083</v>
      </c>
      <c r="DH31" s="3" t="s">
        <v>1900</v>
      </c>
      <c r="DI31" s="3">
        <v>-8.6333593726158148E-2</v>
      </c>
      <c r="DJ31" s="3">
        <v>19.503678160919542</v>
      </c>
      <c r="DK31" s="3" t="s">
        <v>1901</v>
      </c>
      <c r="DL31" s="3">
        <v>-7.5541894510388369E-2</v>
      </c>
      <c r="DM31" s="3">
        <v>5829000</v>
      </c>
      <c r="DN31" s="3">
        <v>-0.10791699215769768</v>
      </c>
      <c r="DO31" s="3">
        <v>2273738800</v>
      </c>
      <c r="DP31" s="3">
        <v>389766680</v>
      </c>
      <c r="DQ31" s="3">
        <v>2489</v>
      </c>
      <c r="DR31" s="3">
        <v>-0.39693737677434116</v>
      </c>
      <c r="DS31" s="3">
        <v>-0.50662528647934335</v>
      </c>
      <c r="DT31" s="10">
        <v>-0.64</v>
      </c>
      <c r="DU31" s="3">
        <v>-0.70666666666666667</v>
      </c>
      <c r="DV31" s="3">
        <v>-1.3466666666666667</v>
      </c>
      <c r="DW31" s="3">
        <v>-5.4095045500505563</v>
      </c>
      <c r="DX31" s="3">
        <v>0.31548731563421806</v>
      </c>
      <c r="DY31" s="3">
        <v>-5.067767808727865</v>
      </c>
      <c r="DZ31" s="3">
        <v>4320</v>
      </c>
      <c r="EA31" s="3">
        <v>-5.0104768236585153</v>
      </c>
      <c r="EB31" s="3">
        <v>5</v>
      </c>
      <c r="EC31" s="3">
        <v>0.52587364079490073</v>
      </c>
      <c r="ED31" s="3">
        <v>3.1777277840269966</v>
      </c>
      <c r="EE31" s="11">
        <v>-4.0026000000000002</v>
      </c>
      <c r="EF31" s="3">
        <v>-4.0085100000000002</v>
      </c>
      <c r="EG31" s="3">
        <v>15.165487315634218</v>
      </c>
      <c r="EH31" s="3" t="s">
        <v>935</v>
      </c>
      <c r="EI31" s="3">
        <v>0</v>
      </c>
      <c r="EJ31" s="3">
        <v>0</v>
      </c>
      <c r="EK31" s="12">
        <v>45470</v>
      </c>
      <c r="EL31" s="13">
        <v>-1.29</v>
      </c>
      <c r="EM31" s="13">
        <v>-7.53</v>
      </c>
      <c r="EN31" s="13">
        <v>1.63</v>
      </c>
      <c r="EO31" s="13">
        <v>5.88</v>
      </c>
      <c r="EP31" s="13">
        <v>-1.1100000000000001</v>
      </c>
    </row>
    <row r="32" spans="1:146" ht="96" x14ac:dyDescent="0.25">
      <c r="C32" s="6" t="str">
        <f>""&amp;CHAR(10)&amp;Basic_Fundamental_Information_Constructure(F32)&amp;CHAR(10)&amp;Basic_Fundamental_Information_Concatenate("")</f>
        <v xml:space="preserve">
市值41.88148亿, 利润681.27万; PE45.37; 平均PE50.77; 平均PEG7.75, PB2.44; ROIC9.23%; ROE11.22%; 股利率1.4296%; 毛利19.2767%; 净利9.3967%; 上一年度营收增-77.16%, 利润增-93.63%; 当季营收增-58.25%, 利润增-86.36%; 过往5年营收增-6.55%, 利润增-9.91%
Income profile:
</v>
      </c>
      <c r="D32" s="3" t="s">
        <v>628</v>
      </c>
      <c r="E32" s="3" t="s">
        <v>629</v>
      </c>
      <c r="F32" s="3">
        <v>28.4</v>
      </c>
      <c r="G32" s="3">
        <v>-7.43</v>
      </c>
      <c r="H32" s="3" t="s">
        <v>1902</v>
      </c>
      <c r="I32" s="3">
        <v>4188148000</v>
      </c>
      <c r="J32" s="3">
        <v>45.37</v>
      </c>
      <c r="K32" s="3">
        <v>2.44</v>
      </c>
      <c r="L32" s="3" t="s">
        <v>1310</v>
      </c>
      <c r="M32" s="3" t="s">
        <v>600</v>
      </c>
      <c r="N32" s="3" t="s">
        <v>1903</v>
      </c>
      <c r="O32" s="3" t="s">
        <v>196</v>
      </c>
      <c r="P32" s="3">
        <v>-14.84</v>
      </c>
      <c r="Q32" s="3" t="s">
        <v>196</v>
      </c>
      <c r="R32" s="3">
        <v>6812718</v>
      </c>
      <c r="S32" s="4">
        <v>-0.71960000000000002</v>
      </c>
      <c r="T32" s="3" t="s">
        <v>1904</v>
      </c>
      <c r="U32" s="3">
        <v>43475500</v>
      </c>
      <c r="V32" s="3">
        <v>147470000</v>
      </c>
      <c r="W32" s="3">
        <v>1.34</v>
      </c>
      <c r="X32" s="3">
        <v>0.1</v>
      </c>
      <c r="Y32" s="3">
        <v>2.86</v>
      </c>
      <c r="Z32" s="3" t="s">
        <v>112</v>
      </c>
      <c r="AA32" s="3" t="s">
        <v>133</v>
      </c>
      <c r="AB32" s="3" t="s">
        <v>1905</v>
      </c>
      <c r="AC32" s="3" t="s">
        <v>1906</v>
      </c>
      <c r="AD32" s="3" t="s">
        <v>30</v>
      </c>
      <c r="AE32" s="3">
        <v>-6020345</v>
      </c>
      <c r="AF32" s="3" t="s">
        <v>1156</v>
      </c>
      <c r="AG32" s="3" t="s">
        <v>1907</v>
      </c>
      <c r="AH32" s="3" t="s">
        <v>1157</v>
      </c>
      <c r="AI32" s="3" t="s">
        <v>900</v>
      </c>
      <c r="AJ32" s="3" t="s">
        <v>1158</v>
      </c>
      <c r="AK32" s="3" t="s">
        <v>1908</v>
      </c>
      <c r="AL32" s="3" t="s">
        <v>1159</v>
      </c>
      <c r="AM32" s="3" t="s">
        <v>30</v>
      </c>
      <c r="AN32" s="3" t="s">
        <v>657</v>
      </c>
      <c r="AO32" s="3" t="s">
        <v>1909</v>
      </c>
      <c r="AP32" s="3" t="s">
        <v>212</v>
      </c>
      <c r="AQ32" s="3" t="s">
        <v>1910</v>
      </c>
      <c r="AR32" s="3" t="s">
        <v>30</v>
      </c>
      <c r="AS32" s="3" t="s">
        <v>1911</v>
      </c>
      <c r="AT32" s="3" t="s">
        <v>30</v>
      </c>
      <c r="AU32" s="3" t="s">
        <v>1912</v>
      </c>
      <c r="AV32" s="3" t="s">
        <v>1913</v>
      </c>
      <c r="AW32" s="3" t="s">
        <v>1914</v>
      </c>
      <c r="AX32" s="3" t="s">
        <v>697</v>
      </c>
      <c r="AY32" s="3" t="s">
        <v>610</v>
      </c>
      <c r="AZ32" s="3" t="s">
        <v>630</v>
      </c>
      <c r="BA32" s="3" t="s">
        <v>631</v>
      </c>
      <c r="BB32" s="3" t="s">
        <v>632</v>
      </c>
      <c r="BC32" s="3" t="s">
        <v>227</v>
      </c>
      <c r="BD32" s="3" t="s">
        <v>335</v>
      </c>
      <c r="BE32" s="3" t="s">
        <v>211</v>
      </c>
      <c r="BF32" s="3" t="s">
        <v>633</v>
      </c>
      <c r="BG32" s="3" t="s">
        <v>634</v>
      </c>
      <c r="BH32" s="3" t="s">
        <v>1155</v>
      </c>
      <c r="BI32" s="3" t="s">
        <v>222</v>
      </c>
      <c r="BJ32" s="3" t="s">
        <v>697</v>
      </c>
      <c r="BK32" s="3" t="s">
        <v>201</v>
      </c>
      <c r="BL32" s="3" t="s">
        <v>1915</v>
      </c>
      <c r="BM32" s="3" t="s">
        <v>227</v>
      </c>
      <c r="BN32" s="3">
        <v>3.9</v>
      </c>
      <c r="BO32" s="3">
        <v>8.17</v>
      </c>
      <c r="BP32" s="3">
        <v>15.62</v>
      </c>
      <c r="BQ32" s="3">
        <v>5.3</v>
      </c>
      <c r="BR32" s="3">
        <v>10.7</v>
      </c>
      <c r="BS32" s="3">
        <v>17.66</v>
      </c>
      <c r="BT32" s="3" t="s">
        <v>1160</v>
      </c>
      <c r="BU32" s="3" t="s">
        <v>651</v>
      </c>
      <c r="BV32" s="3">
        <v>19.649999999999999</v>
      </c>
      <c r="BW32" s="3">
        <v>19.420000000000002</v>
      </c>
      <c r="BX32" s="3">
        <v>18.760000000000002</v>
      </c>
      <c r="BY32" s="3">
        <v>9.02</v>
      </c>
      <c r="BZ32" s="3">
        <v>10.25</v>
      </c>
      <c r="CA32" s="3">
        <v>8.92</v>
      </c>
      <c r="CB32" s="3">
        <v>-25.63</v>
      </c>
      <c r="CC32" s="3">
        <v>37.64</v>
      </c>
      <c r="CD32" s="3" t="s">
        <v>227</v>
      </c>
      <c r="CE32" s="3" t="s">
        <v>1319</v>
      </c>
      <c r="CF32" s="8">
        <v>-0.58245614035087723</v>
      </c>
      <c r="CG32" s="9">
        <v>-0.86362917931913852</v>
      </c>
      <c r="CH32" s="8">
        <v>-0.77159309387207031</v>
      </c>
      <c r="CI32" s="8">
        <v>-0.1236332580447197</v>
      </c>
      <c r="CJ32" s="8">
        <v>0.23596666753292084</v>
      </c>
      <c r="CK32" s="8">
        <v>0.1920693963766098</v>
      </c>
      <c r="CL32" s="8">
        <v>0.13983051478862762</v>
      </c>
      <c r="CM32" s="9">
        <v>-0.93632984161376953</v>
      </c>
      <c r="CN32" s="9">
        <v>9.4339624047279358E-3</v>
      </c>
      <c r="CO32" s="9">
        <v>-0.10924369841814041</v>
      </c>
      <c r="CP32" s="9">
        <v>0.48195746541023254</v>
      </c>
      <c r="CQ32" s="9">
        <v>5.89272640645504E-2</v>
      </c>
      <c r="CR32" s="3">
        <v>50.771317724519974</v>
      </c>
      <c r="CS32" s="3">
        <v>7.7546665592616426</v>
      </c>
      <c r="CT32" s="3">
        <v>1.4295774647887323</v>
      </c>
      <c r="CU32" s="8">
        <v>-6.5471954643726349E-2</v>
      </c>
      <c r="CV32" s="9">
        <v>-9.905096963047981E-2</v>
      </c>
      <c r="CW32" s="3">
        <v>0.06</v>
      </c>
      <c r="CX32" s="3">
        <v>446.39394072834557</v>
      </c>
      <c r="CY32" s="3" t="s">
        <v>1916</v>
      </c>
      <c r="CZ32" s="3">
        <v>-6.5471954643726349E-2</v>
      </c>
      <c r="DA32" s="3">
        <v>148.79798024278188</v>
      </c>
      <c r="DB32" s="3" t="s">
        <v>1917</v>
      </c>
      <c r="DC32" s="3">
        <v>-6.2198356911540027E-2</v>
      </c>
      <c r="DD32" s="3">
        <v>74.398990121390938</v>
      </c>
      <c r="DE32" s="3" t="s">
        <v>1918</v>
      </c>
      <c r="DF32" s="3">
        <v>-5.761532008647919E-2</v>
      </c>
      <c r="DG32" s="3">
        <v>44.639394072834556</v>
      </c>
      <c r="DH32" s="3" t="s">
        <v>1919</v>
      </c>
      <c r="DI32" s="3">
        <v>-5.2377563714981083E-2</v>
      </c>
      <c r="DJ32" s="3">
        <v>22.319697036417278</v>
      </c>
      <c r="DK32" s="3" t="s">
        <v>1920</v>
      </c>
      <c r="DL32" s="3">
        <v>-4.583036825060844E-2</v>
      </c>
      <c r="DM32" s="3">
        <v>6812700</v>
      </c>
      <c r="DN32" s="3">
        <v>-6.5471954643726349E-2</v>
      </c>
      <c r="DO32" s="3">
        <v>3041148000</v>
      </c>
      <c r="DP32" s="3">
        <v>919939100</v>
      </c>
      <c r="DQ32" s="3">
        <v>2571</v>
      </c>
      <c r="DR32" s="3">
        <v>-0.51698418570715088</v>
      </c>
      <c r="DS32" s="3">
        <v>-0.76457820968865875</v>
      </c>
      <c r="DT32" s="10">
        <v>-0.52333333333333332</v>
      </c>
      <c r="DU32" s="3">
        <v>-0.65666666666666662</v>
      </c>
      <c r="DV32" s="3">
        <v>-1.18</v>
      </c>
      <c r="DW32" s="3">
        <v>-7.4050892998261419</v>
      </c>
      <c r="DX32" s="3">
        <v>0.42208144796380181</v>
      </c>
      <c r="DY32" s="3">
        <v>-7.0980646042565549</v>
      </c>
      <c r="DZ32" s="3">
        <v>1337</v>
      </c>
      <c r="EA32" s="3">
        <v>-7.072406605060662</v>
      </c>
      <c r="EB32" s="3">
        <v>7</v>
      </c>
      <c r="EC32" s="3">
        <v>0.72557130263782466</v>
      </c>
      <c r="ED32" s="3">
        <v>2.9972197735132569</v>
      </c>
      <c r="EE32" s="11">
        <v>-2.0449999999999999</v>
      </c>
      <c r="EF32" s="3">
        <v>-2.0232000000000001</v>
      </c>
      <c r="EG32" s="3">
        <v>18.242081447963802</v>
      </c>
      <c r="EH32" s="3" t="s">
        <v>949</v>
      </c>
      <c r="EI32" s="3">
        <v>0</v>
      </c>
      <c r="EJ32" s="3">
        <v>1</v>
      </c>
      <c r="EK32" s="12">
        <v>45470</v>
      </c>
      <c r="EL32" s="13">
        <v>-1.72</v>
      </c>
      <c r="EM32" s="13">
        <v>-3.75</v>
      </c>
      <c r="EN32" s="13">
        <v>1.18</v>
      </c>
      <c r="EO32" s="13">
        <v>3.31</v>
      </c>
      <c r="EP32" s="13">
        <v>-2.1800000000000002</v>
      </c>
    </row>
    <row r="33" spans="1:146" ht="96" x14ac:dyDescent="0.25">
      <c r="A33" s="3"/>
      <c r="B33" s="3"/>
      <c r="C33" s="6" t="str">
        <f>""&amp;CHAR(10)&amp;Basic_Fundamental_Information_Constructure(F33)&amp;CHAR(10)&amp;Basic_Fundamental_Information_Concatenate("")</f>
        <v xml:space="preserve">
市值34.7432亿, 利润-182.25万; PE; 平均PE61.63; 平均PEG16.05, PB2.2; ROIC11.795%; ROE11.02%; 股利率0%; 毛利12.61%; 净利5.1667%; 上一年度营收增-76.93%, 利润增-102.59%; 当季营收增-48.15%, 利润增83.58%; 过往5年营收增3.84%, 利润增31.56%
Income profile:
</v>
      </c>
      <c r="D33" s="3" t="s">
        <v>660</v>
      </c>
      <c r="E33" s="3" t="s">
        <v>661</v>
      </c>
      <c r="F33" s="3">
        <v>20.55</v>
      </c>
      <c r="G33" s="3">
        <v>-1.86</v>
      </c>
      <c r="H33" s="3" t="s">
        <v>1921</v>
      </c>
      <c r="I33" s="3">
        <v>3474320000</v>
      </c>
      <c r="K33" s="3">
        <v>2.2000000000000002</v>
      </c>
      <c r="L33" s="3" t="s">
        <v>1310</v>
      </c>
      <c r="M33" s="3" t="s">
        <v>363</v>
      </c>
      <c r="N33" s="3" t="s">
        <v>1922</v>
      </c>
      <c r="O33" s="3" t="s">
        <v>616</v>
      </c>
      <c r="P33" s="3">
        <v>4.12</v>
      </c>
      <c r="Q33" s="3" t="s">
        <v>616</v>
      </c>
      <c r="R33" s="3">
        <v>-1822502</v>
      </c>
      <c r="S33" s="3">
        <v>0.34370000000000001</v>
      </c>
      <c r="T33" s="3" t="s">
        <v>1923</v>
      </c>
      <c r="U33" s="3">
        <v>56355556</v>
      </c>
      <c r="V33" s="3">
        <v>169066670</v>
      </c>
      <c r="W33" s="3">
        <v>1.36</v>
      </c>
      <c r="X33" s="3">
        <v>0.15</v>
      </c>
      <c r="Y33" s="3">
        <v>-0.59</v>
      </c>
      <c r="Z33" s="3" t="s">
        <v>1924</v>
      </c>
      <c r="AA33" s="3" t="s">
        <v>450</v>
      </c>
      <c r="AB33" s="3" t="s">
        <v>1925</v>
      </c>
      <c r="AC33" s="3" t="s">
        <v>1926</v>
      </c>
      <c r="AD33" s="3" t="s">
        <v>30</v>
      </c>
      <c r="AE33" s="3">
        <v>1856403</v>
      </c>
      <c r="AF33" s="3" t="s">
        <v>86</v>
      </c>
      <c r="AG33" s="3" t="s">
        <v>1927</v>
      </c>
      <c r="AH33" s="3" t="s">
        <v>1162</v>
      </c>
      <c r="AI33" s="3" t="s">
        <v>398</v>
      </c>
      <c r="AJ33" s="3" t="s">
        <v>1163</v>
      </c>
      <c r="AK33" s="3" t="s">
        <v>520</v>
      </c>
      <c r="AL33" s="3" t="s">
        <v>1164</v>
      </c>
      <c r="AM33" s="3" t="s">
        <v>30</v>
      </c>
      <c r="AN33" s="3" t="s">
        <v>1928</v>
      </c>
      <c r="AO33" s="3" t="s">
        <v>1929</v>
      </c>
      <c r="AP33" s="3" t="s">
        <v>398</v>
      </c>
      <c r="AQ33" s="3" t="s">
        <v>124</v>
      </c>
      <c r="AR33" s="3" t="s">
        <v>30</v>
      </c>
      <c r="AS33" s="3" t="s">
        <v>1668</v>
      </c>
      <c r="AT33" s="3" t="s">
        <v>30</v>
      </c>
      <c r="AU33" s="3" t="s">
        <v>1930</v>
      </c>
      <c r="AV33" s="3" t="s">
        <v>1931</v>
      </c>
      <c r="AW33" s="3" t="s">
        <v>1932</v>
      </c>
      <c r="AX33" s="3" t="s">
        <v>653</v>
      </c>
      <c r="AY33" s="3" t="s">
        <v>438</v>
      </c>
      <c r="AZ33" s="3" t="s">
        <v>662</v>
      </c>
      <c r="BA33" s="3" t="s">
        <v>611</v>
      </c>
      <c r="BB33" s="3" t="s">
        <v>316</v>
      </c>
      <c r="BC33" s="3" t="s">
        <v>847</v>
      </c>
      <c r="BD33" s="3" t="s">
        <v>231</v>
      </c>
      <c r="BE33" s="3" t="s">
        <v>663</v>
      </c>
      <c r="BF33" s="3" t="s">
        <v>664</v>
      </c>
      <c r="BG33" s="3" t="s">
        <v>665</v>
      </c>
      <c r="BH33" s="3" t="s">
        <v>1111</v>
      </c>
      <c r="BI33" s="3" t="s">
        <v>1356</v>
      </c>
      <c r="BJ33" s="3" t="s">
        <v>653</v>
      </c>
      <c r="BK33" s="3" t="s">
        <v>1161</v>
      </c>
      <c r="BL33" s="3" t="s">
        <v>1933</v>
      </c>
      <c r="BM33" s="3" t="s">
        <v>847</v>
      </c>
      <c r="BN33" s="3" t="s">
        <v>30</v>
      </c>
      <c r="BO33" s="3">
        <v>6.79</v>
      </c>
      <c r="BP33" s="3">
        <v>16.8</v>
      </c>
      <c r="BQ33" s="3">
        <v>-0.91</v>
      </c>
      <c r="BR33" s="3">
        <v>7.37</v>
      </c>
      <c r="BS33" s="3">
        <v>26.6</v>
      </c>
      <c r="BT33" s="3" t="s">
        <v>700</v>
      </c>
      <c r="BU33" s="3" t="s">
        <v>651</v>
      </c>
      <c r="BV33" s="3">
        <v>2.89</v>
      </c>
      <c r="BW33" s="3">
        <v>11.08</v>
      </c>
      <c r="BX33" s="3">
        <v>23.86</v>
      </c>
      <c r="BY33" s="3">
        <v>-2.58</v>
      </c>
      <c r="BZ33" s="3">
        <v>5.27</v>
      </c>
      <c r="CA33" s="3">
        <v>12.81</v>
      </c>
      <c r="CB33" s="3">
        <v>-11.76</v>
      </c>
      <c r="CC33" s="8">
        <v>64.53</v>
      </c>
      <c r="CD33" s="9" t="s">
        <v>1934</v>
      </c>
      <c r="CE33" s="8" t="s">
        <v>1935</v>
      </c>
      <c r="CF33" s="8">
        <v>-0.48148148148148145</v>
      </c>
      <c r="CG33" s="8">
        <v>0.83582542113323122</v>
      </c>
      <c r="CH33" s="8">
        <v>-0.76928842067718506</v>
      </c>
      <c r="CI33" s="8">
        <v>5.0354048609733582E-2</v>
      </c>
      <c r="CJ33" s="9">
        <v>0.51670652627944946</v>
      </c>
      <c r="CK33" s="9">
        <v>0.10846561193466187</v>
      </c>
      <c r="CL33" s="9">
        <v>0.28571429848670959</v>
      </c>
      <c r="CM33" s="9">
        <v>-1.0259151458740234</v>
      </c>
      <c r="CN33" s="9">
        <v>-0.5685533881187439</v>
      </c>
      <c r="CO33" s="3">
        <v>1.8279217481613159</v>
      </c>
      <c r="CP33" s="3">
        <v>1.2008628845214844</v>
      </c>
      <c r="CQ33" s="3">
        <v>0.14379613101482391</v>
      </c>
      <c r="CR33" s="8">
        <v>61.632507887400649</v>
      </c>
      <c r="CS33" s="9">
        <v>16.054140393102678</v>
      </c>
      <c r="CT33" s="3">
        <v>0</v>
      </c>
      <c r="CU33" s="3">
        <v>3.8390412926673889E-2</v>
      </c>
      <c r="CV33" s="3">
        <v>0.31562244594097139</v>
      </c>
      <c r="CW33" s="3">
        <v>0.06</v>
      </c>
      <c r="CX33" s="3" t="e">
        <v>#VALUE!</v>
      </c>
      <c r="CY33" s="3" t="s">
        <v>612</v>
      </c>
      <c r="CZ33" s="3">
        <v>3.8390412926673889E-2</v>
      </c>
      <c r="DA33" s="3" t="e">
        <v>#VALUE!</v>
      </c>
      <c r="DB33" s="3" t="s">
        <v>613</v>
      </c>
      <c r="DC33" s="3">
        <v>3.6470892280340193E-2</v>
      </c>
      <c r="DD33" s="3" t="e">
        <v>#VALUE!</v>
      </c>
      <c r="DE33" s="3" t="s">
        <v>613</v>
      </c>
      <c r="DF33" s="3">
        <v>3.3783563375473023E-2</v>
      </c>
      <c r="DG33" s="3" t="e">
        <v>#VALUE!</v>
      </c>
      <c r="DH33" s="3" t="s">
        <v>613</v>
      </c>
      <c r="DI33" s="3">
        <v>3.0712330341339113E-2</v>
      </c>
      <c r="DJ33" s="3" t="e">
        <v>#VALUE!</v>
      </c>
      <c r="DK33" s="3" t="s">
        <v>613</v>
      </c>
      <c r="DL33" s="3">
        <v>2.6873289048671721E-2</v>
      </c>
      <c r="DM33" s="3">
        <v>-1822500</v>
      </c>
      <c r="DN33" s="3">
        <v>3.8390412926673889E-2</v>
      </c>
      <c r="DO33" s="3">
        <v>2355320000</v>
      </c>
      <c r="DP33" s="3">
        <v>648353980</v>
      </c>
      <c r="DQ33" s="10">
        <v>2603</v>
      </c>
      <c r="DR33" s="3">
        <v>-0.51987189440815529</v>
      </c>
      <c r="DS33" s="3">
        <v>0.52020297519225989</v>
      </c>
      <c r="DT33" s="3">
        <v>-0.54</v>
      </c>
      <c r="DU33" s="3">
        <v>-0.59500000000000008</v>
      </c>
      <c r="DV33" s="3">
        <v>-1.1350000000000002</v>
      </c>
      <c r="DW33" s="3">
        <v>-7.1541486433346444</v>
      </c>
      <c r="DX33" s="3">
        <v>0.2609081370449674</v>
      </c>
      <c r="DY33" s="3">
        <v>-7.0186378252936006</v>
      </c>
      <c r="DZ33" s="3">
        <v>450</v>
      </c>
      <c r="EA33" s="3">
        <v>-7.0169965295241052</v>
      </c>
      <c r="EB33" s="11">
        <v>7</v>
      </c>
      <c r="EC33" s="3">
        <v>0.33397534830490244</v>
      </c>
      <c r="ED33" s="3">
        <v>2.762223920303156</v>
      </c>
      <c r="EE33" s="3">
        <v>7.0099999999999989E-3</v>
      </c>
      <c r="EF33" s="3">
        <v>2.7309999999999997E-2</v>
      </c>
      <c r="EG33" s="3">
        <v>14.120908137044967</v>
      </c>
      <c r="EH33" s="12">
        <v>-1</v>
      </c>
      <c r="EI33" s="13">
        <v>0</v>
      </c>
      <c r="EJ33" s="13">
        <v>1</v>
      </c>
      <c r="EK33" s="13">
        <v>45470</v>
      </c>
      <c r="EL33" s="13">
        <v>0</v>
      </c>
      <c r="EM33" s="13">
        <v>-3.37</v>
      </c>
      <c r="EN33" s="13">
        <v>0.93</v>
      </c>
      <c r="EO33" s="13">
        <v>2.2999999999999998</v>
      </c>
      <c r="EP33" s="13">
        <v>-2.0299999999999998</v>
      </c>
    </row>
    <row r="34" spans="1:146" ht="96" x14ac:dyDescent="0.25">
      <c r="A34" s="3"/>
      <c r="B34" s="3"/>
      <c r="C34" s="6" t="str">
        <f>""&amp;CHAR(10)&amp;Basic_Fundamental_Information_Constructure(F34)&amp;CHAR(10)&amp;Basic_Fundamental_Information_Concatenate("")</f>
        <v xml:space="preserve">
市值42.338544亿, 利润2088.10万; PE48.44; 平均PE90.12; 平均PEG8.15, PB2.92; ROIC13.09%; ROE17.865%; 股利率.4261%; 毛利22.42%; 净利9.5133%; 上一年度营收增-75.63%, 利润增-76.22%; 当季营收增-49.25%, 利润增-59.5%; 过往5年营收增11.05%, 利润增51.58%
Income profile:
</v>
      </c>
      <c r="D34" s="3" t="s">
        <v>890</v>
      </c>
      <c r="E34" s="3" t="s">
        <v>920</v>
      </c>
      <c r="F34" s="3">
        <v>31.45</v>
      </c>
      <c r="G34" s="3">
        <v>0.35</v>
      </c>
      <c r="H34" s="3" t="s">
        <v>1936</v>
      </c>
      <c r="I34" s="3">
        <v>4233854400</v>
      </c>
      <c r="J34" s="3">
        <v>48.44</v>
      </c>
      <c r="K34" s="3">
        <v>2.92</v>
      </c>
      <c r="L34" s="3" t="s">
        <v>1310</v>
      </c>
      <c r="M34" s="3" t="s">
        <v>659</v>
      </c>
      <c r="N34" s="3" t="s">
        <v>1937</v>
      </c>
      <c r="O34" s="3" t="s">
        <v>304</v>
      </c>
      <c r="P34" s="3">
        <v>10.85</v>
      </c>
      <c r="Q34" s="3" t="s">
        <v>304</v>
      </c>
      <c r="R34" s="3">
        <v>20880987</v>
      </c>
      <c r="S34" s="3">
        <v>-0.1171</v>
      </c>
      <c r="T34" s="3" t="s">
        <v>1938</v>
      </c>
      <c r="U34" s="3">
        <v>33655440</v>
      </c>
      <c r="V34" s="3">
        <v>134621760</v>
      </c>
      <c r="W34" s="3">
        <v>1.41</v>
      </c>
      <c r="X34" s="3">
        <v>0.1</v>
      </c>
      <c r="Y34" s="3">
        <v>10.23</v>
      </c>
      <c r="Z34" s="3" t="s">
        <v>520</v>
      </c>
      <c r="AA34" s="3" t="s">
        <v>241</v>
      </c>
      <c r="AB34" s="3" t="s">
        <v>1939</v>
      </c>
      <c r="AC34" s="3" t="s">
        <v>1940</v>
      </c>
      <c r="AD34" s="3" t="s">
        <v>30</v>
      </c>
      <c r="AE34" s="3">
        <v>-4825175</v>
      </c>
      <c r="AF34" s="3" t="s">
        <v>1167</v>
      </c>
      <c r="AG34" s="3" t="s">
        <v>1941</v>
      </c>
      <c r="AH34" s="3" t="s">
        <v>1168</v>
      </c>
      <c r="AI34" s="3" t="s">
        <v>1560</v>
      </c>
      <c r="AJ34" s="3" t="s">
        <v>1169</v>
      </c>
      <c r="AK34" s="3" t="s">
        <v>1942</v>
      </c>
      <c r="AL34" s="3" t="s">
        <v>1170</v>
      </c>
      <c r="AM34" s="3" t="s">
        <v>30</v>
      </c>
      <c r="AN34" s="3" t="s">
        <v>1943</v>
      </c>
      <c r="AO34" s="3" t="s">
        <v>98</v>
      </c>
      <c r="AP34" s="3" t="s">
        <v>213</v>
      </c>
      <c r="AQ34" s="3" t="s">
        <v>1944</v>
      </c>
      <c r="AR34" s="3" t="s">
        <v>30</v>
      </c>
      <c r="AS34" s="3" t="s">
        <v>1945</v>
      </c>
      <c r="AT34" s="3" t="s">
        <v>30</v>
      </c>
      <c r="AU34" s="3" t="s">
        <v>1946</v>
      </c>
      <c r="AV34" s="3" t="s">
        <v>1947</v>
      </c>
      <c r="AW34" s="3" t="s">
        <v>1948</v>
      </c>
      <c r="AX34" s="3" t="s">
        <v>278</v>
      </c>
      <c r="AY34" s="3" t="s">
        <v>619</v>
      </c>
      <c r="AZ34" s="3" t="s">
        <v>394</v>
      </c>
      <c r="BA34" s="3" t="s">
        <v>639</v>
      </c>
      <c r="BB34" s="3" t="s">
        <v>30</v>
      </c>
      <c r="BC34" s="3" t="s">
        <v>1171</v>
      </c>
      <c r="BD34" s="3" t="s">
        <v>891</v>
      </c>
      <c r="BE34" s="3" t="s">
        <v>892</v>
      </c>
      <c r="BF34" s="3" t="s">
        <v>893</v>
      </c>
      <c r="BG34" s="3" t="s">
        <v>30</v>
      </c>
      <c r="BH34" s="3" t="s">
        <v>1165</v>
      </c>
      <c r="BI34" s="3" t="s">
        <v>87</v>
      </c>
      <c r="BJ34" s="3" t="s">
        <v>278</v>
      </c>
      <c r="BK34" s="3" t="s">
        <v>1166</v>
      </c>
      <c r="BL34" s="3" t="s">
        <v>1949</v>
      </c>
      <c r="BM34" s="3" t="s">
        <v>1171</v>
      </c>
      <c r="BN34" s="3">
        <v>6.59</v>
      </c>
      <c r="BO34" s="3">
        <v>16.71</v>
      </c>
      <c r="BP34" s="3">
        <v>15.97</v>
      </c>
      <c r="BQ34" s="3">
        <v>15.12</v>
      </c>
      <c r="BR34" s="3">
        <v>20.61</v>
      </c>
      <c r="BS34" s="3" t="s">
        <v>30</v>
      </c>
      <c r="BT34" s="3" t="s">
        <v>1172</v>
      </c>
      <c r="BU34" s="3" t="s">
        <v>651</v>
      </c>
      <c r="BV34" s="3">
        <v>22.97</v>
      </c>
      <c r="BW34" s="3">
        <v>24</v>
      </c>
      <c r="BX34" s="3">
        <v>20.29</v>
      </c>
      <c r="BY34" s="3">
        <v>10.96</v>
      </c>
      <c r="BZ34" s="3">
        <v>10.43</v>
      </c>
      <c r="CA34" s="3">
        <v>7.15</v>
      </c>
      <c r="CB34" s="3">
        <v>-8.66</v>
      </c>
      <c r="CC34" s="8">
        <v>1.37</v>
      </c>
      <c r="CD34" s="9" t="s">
        <v>1950</v>
      </c>
      <c r="CE34" s="8" t="s">
        <v>1951</v>
      </c>
      <c r="CF34" s="8">
        <v>-0.49253731343283574</v>
      </c>
      <c r="CG34" s="8">
        <v>-0.59495999255134047</v>
      </c>
      <c r="CH34" s="8">
        <v>-0.75627237558364868</v>
      </c>
      <c r="CI34" s="8">
        <v>-2.7874564751982689E-2</v>
      </c>
      <c r="CJ34" s="9">
        <v>0.64312976598739624</v>
      </c>
      <c r="CK34" s="9">
        <v>0.58308154344558716</v>
      </c>
      <c r="CL34" s="9" t="s">
        <v>30</v>
      </c>
      <c r="CM34" s="9">
        <v>-0.76218080520629883</v>
      </c>
      <c r="CN34" s="9">
        <v>0.42558163404464722</v>
      </c>
      <c r="CO34" s="3">
        <v>0.25637054443359375</v>
      </c>
      <c r="CP34" s="3">
        <v>2.1433279514312744</v>
      </c>
      <c r="CQ34" s="3" t="s">
        <v>30</v>
      </c>
      <c r="CR34" s="8">
        <v>90.123657145387185</v>
      </c>
      <c r="CS34" s="9">
        <v>8.1547994767739382</v>
      </c>
      <c r="CT34" s="3">
        <v>0.42607313195548491</v>
      </c>
      <c r="CU34" s="3">
        <v>0.11051609227433801</v>
      </c>
      <c r="CV34" s="3">
        <v>0.51577483117580414</v>
      </c>
      <c r="CW34" s="3">
        <v>0.06</v>
      </c>
      <c r="CX34" s="3">
        <v>151.2541756323439</v>
      </c>
      <c r="CY34" s="3">
        <v>21876119.36111363</v>
      </c>
      <c r="CZ34" s="3">
        <v>0.11051609227433801</v>
      </c>
      <c r="DA34" s="3">
        <v>48.579139701839757</v>
      </c>
      <c r="DB34" s="3">
        <v>68112659.472944289</v>
      </c>
      <c r="DC34" s="3">
        <v>0.1049902876606211</v>
      </c>
      <c r="DD34" s="3">
        <v>23.362263501773107</v>
      </c>
      <c r="DE34" s="3">
        <v>141632440.69860229</v>
      </c>
      <c r="DF34" s="3">
        <v>9.7254161201417444E-2</v>
      </c>
      <c r="DG34" s="3">
        <v>13.661258393334151</v>
      </c>
      <c r="DH34" s="3">
        <v>242207145.54484352</v>
      </c>
      <c r="DI34" s="3">
        <v>8.8412873819470411E-2</v>
      </c>
      <c r="DJ34" s="3">
        <v>6.6513497241071313</v>
      </c>
      <c r="DK34" s="3">
        <v>497471120.48662823</v>
      </c>
      <c r="DL34" s="3">
        <v>7.7361264592036599E-2</v>
      </c>
      <c r="DM34" s="3">
        <v>20881000</v>
      </c>
      <c r="DN34" s="3">
        <v>0.11051609227433801</v>
      </c>
      <c r="DO34" s="3">
        <v>3308854400</v>
      </c>
      <c r="DP34" s="3">
        <v>806071200</v>
      </c>
      <c r="DQ34" s="10">
        <v>2664</v>
      </c>
      <c r="DR34" s="3">
        <v>-0.6030534057071737</v>
      </c>
      <c r="DS34" s="3">
        <v>-1.1107348237271446</v>
      </c>
      <c r="DT34" s="3">
        <v>-0.46800000000000008</v>
      </c>
      <c r="DU34" s="3">
        <v>0.21000000000000002</v>
      </c>
      <c r="DV34" s="3">
        <v>-0.25800000000000006</v>
      </c>
      <c r="DW34" s="3">
        <v>-5.1581986143187066</v>
      </c>
      <c r="DX34" s="3">
        <v>0.26624560810810777</v>
      </c>
      <c r="DY34" s="3">
        <v>-5.0136439356937768</v>
      </c>
      <c r="DZ34" s="3">
        <v>3546</v>
      </c>
      <c r="EA34" s="3">
        <v>-5.0041759521379783</v>
      </c>
      <c r="EB34" s="11">
        <v>5</v>
      </c>
      <c r="EC34" s="11">
        <v>0.18963279041961714</v>
      </c>
      <c r="ED34" s="3">
        <v>2.1987530099145931</v>
      </c>
      <c r="EE34" s="3">
        <v>1.05731</v>
      </c>
      <c r="EF34" s="3">
        <v>1.05871</v>
      </c>
      <c r="EG34" s="3">
        <v>18.086245608108108</v>
      </c>
      <c r="EH34" s="12" t="s">
        <v>1307</v>
      </c>
      <c r="EI34" s="3">
        <v>0</v>
      </c>
      <c r="EJ34" s="3">
        <v>0</v>
      </c>
      <c r="EK34" s="3">
        <v>45470</v>
      </c>
      <c r="EL34" s="3">
        <v>-5.83</v>
      </c>
      <c r="EM34" s="3">
        <v>-5.24</v>
      </c>
      <c r="EN34" s="13">
        <v>7.0000000000000007E-2</v>
      </c>
      <c r="EO34" s="13">
        <v>5.0999999999999996</v>
      </c>
      <c r="EP34" s="13">
        <v>-0.14000000000000001</v>
      </c>
    </row>
    <row r="35" spans="1:146" ht="96" x14ac:dyDescent="0.25">
      <c r="C35" s="6" t="str">
        <f>""&amp;CHAR(10)&amp;Basic_Fundamental_Information_Constructure(F35)&amp;CHAR(10)&amp;Basic_Fundamental_Information_Concatenate("")</f>
        <v xml:space="preserve">
市值30.756983亿, 利润1296.28万; PE83.13; 平均PE44.99; 平均PEG4.64, PB1.84; ROIC9.48%; ROE12.5633%; 股利率.4914%; 毛利18.0033%; 净利6.72%; 上一年度营收增-77.27%, 利润增-90.81%; 当季营收增-45.07%, 利润增-54.9%; 过往5年营收增9.69%, 利润增11.91%
Income profile:
</v>
      </c>
      <c r="D35" s="3" t="s">
        <v>642</v>
      </c>
      <c r="E35" s="3" t="s">
        <v>643</v>
      </c>
      <c r="F35" s="3">
        <v>20.350000000000001</v>
      </c>
      <c r="G35" s="3">
        <v>-7.84</v>
      </c>
      <c r="H35" s="3" t="s">
        <v>1952</v>
      </c>
      <c r="I35" s="3">
        <v>3075698300</v>
      </c>
      <c r="J35" s="3">
        <v>83.13</v>
      </c>
      <c r="K35" s="3">
        <v>1.84</v>
      </c>
      <c r="L35" s="3" t="s">
        <v>1310</v>
      </c>
      <c r="M35" s="3" t="s">
        <v>685</v>
      </c>
      <c r="N35" s="3" t="s">
        <v>1953</v>
      </c>
      <c r="O35" s="3" t="s">
        <v>571</v>
      </c>
      <c r="P35" s="3">
        <v>7.92</v>
      </c>
      <c r="Q35" s="3" t="s">
        <v>571</v>
      </c>
      <c r="R35" s="3">
        <v>12962757</v>
      </c>
      <c r="S35" s="4">
        <v>-0.29449999999999998</v>
      </c>
      <c r="T35" s="3" t="s">
        <v>1954</v>
      </c>
      <c r="U35" s="3">
        <v>72139968</v>
      </c>
      <c r="V35" s="3">
        <v>151139970</v>
      </c>
      <c r="W35" s="3">
        <v>1.56</v>
      </c>
      <c r="X35" s="3">
        <v>0.13</v>
      </c>
      <c r="Y35" s="3">
        <v>3.81</v>
      </c>
      <c r="Z35" s="3" t="s">
        <v>381</v>
      </c>
      <c r="AA35" s="3" t="s">
        <v>1955</v>
      </c>
      <c r="AB35" s="3" t="s">
        <v>1956</v>
      </c>
      <c r="AC35" s="3" t="s">
        <v>1957</v>
      </c>
      <c r="AD35" s="3" t="s">
        <v>30</v>
      </c>
      <c r="AE35" s="3">
        <v>-1061611</v>
      </c>
      <c r="AF35" s="3" t="s">
        <v>1174</v>
      </c>
      <c r="AG35" s="3" t="s">
        <v>30</v>
      </c>
      <c r="AH35" s="3" t="s">
        <v>1175</v>
      </c>
      <c r="AI35" s="3" t="s">
        <v>905</v>
      </c>
      <c r="AJ35" s="3" t="s">
        <v>1176</v>
      </c>
      <c r="AK35" s="3" t="s">
        <v>1958</v>
      </c>
      <c r="AL35" s="3" t="s">
        <v>1177</v>
      </c>
      <c r="AM35" s="3" t="s">
        <v>30</v>
      </c>
      <c r="AN35" s="3" t="s">
        <v>32</v>
      </c>
      <c r="AO35" s="3" t="s">
        <v>126</v>
      </c>
      <c r="AP35" s="3" t="s">
        <v>251</v>
      </c>
      <c r="AQ35" s="3" t="s">
        <v>877</v>
      </c>
      <c r="AR35" s="3" t="s">
        <v>30</v>
      </c>
      <c r="AS35" s="3" t="s">
        <v>1959</v>
      </c>
      <c r="AT35" s="3" t="s">
        <v>30</v>
      </c>
      <c r="AU35" s="3" t="s">
        <v>1960</v>
      </c>
      <c r="AV35" s="3" t="s">
        <v>1961</v>
      </c>
      <c r="AW35" s="3" t="s">
        <v>1962</v>
      </c>
      <c r="AX35" s="3" t="s">
        <v>848</v>
      </c>
      <c r="AY35" s="3" t="s">
        <v>140</v>
      </c>
      <c r="AZ35" s="3" t="s">
        <v>164</v>
      </c>
      <c r="BA35" s="3" t="s">
        <v>623</v>
      </c>
      <c r="BB35" s="3" t="s">
        <v>84</v>
      </c>
      <c r="BC35" s="3" t="s">
        <v>143</v>
      </c>
      <c r="BD35" s="3" t="s">
        <v>202</v>
      </c>
      <c r="BE35" s="3" t="s">
        <v>644</v>
      </c>
      <c r="BF35" s="3" t="s">
        <v>645</v>
      </c>
      <c r="BG35" s="3" t="s">
        <v>646</v>
      </c>
      <c r="BH35" s="3" t="s">
        <v>908</v>
      </c>
      <c r="BI35" s="3" t="s">
        <v>1963</v>
      </c>
      <c r="BJ35" s="3" t="s">
        <v>848</v>
      </c>
      <c r="BK35" s="3" t="s">
        <v>1173</v>
      </c>
      <c r="BL35" s="3" t="s">
        <v>1964</v>
      </c>
      <c r="BM35" s="3" t="s">
        <v>143</v>
      </c>
      <c r="BN35" s="3">
        <v>1.26</v>
      </c>
      <c r="BO35" s="3">
        <v>11.42</v>
      </c>
      <c r="BP35" s="3">
        <v>15.76</v>
      </c>
      <c r="BQ35" s="3">
        <v>1.85</v>
      </c>
      <c r="BR35" s="3">
        <v>14.99</v>
      </c>
      <c r="BS35" s="3">
        <v>20.85</v>
      </c>
      <c r="BT35" s="3" t="s">
        <v>701</v>
      </c>
      <c r="BU35" s="3" t="s">
        <v>651</v>
      </c>
      <c r="BV35" s="3">
        <v>14.22</v>
      </c>
      <c r="BW35" s="3">
        <v>20.46</v>
      </c>
      <c r="BX35" s="3">
        <v>19.329999999999998</v>
      </c>
      <c r="BY35" s="3">
        <v>3.19</v>
      </c>
      <c r="BZ35" s="3">
        <v>9.42</v>
      </c>
      <c r="CA35" s="3">
        <v>7.55</v>
      </c>
      <c r="CB35" s="3">
        <v>-14.42</v>
      </c>
      <c r="CC35" s="3">
        <v>4.9000000000000004</v>
      </c>
      <c r="CD35" s="3" t="s">
        <v>1965</v>
      </c>
      <c r="CE35" s="3" t="s">
        <v>1966</v>
      </c>
      <c r="CF35" s="8">
        <v>-0.45072697899838449</v>
      </c>
      <c r="CG35" s="9">
        <v>-0.54904777476665756</v>
      </c>
      <c r="CH35" s="8">
        <v>-0.77272725105285645</v>
      </c>
      <c r="CI35" s="8">
        <v>0.12650603055953979</v>
      </c>
      <c r="CJ35" s="8">
        <v>0.67676764726638794</v>
      </c>
      <c r="CK35" s="8">
        <v>0.30049261450767517</v>
      </c>
      <c r="CL35" s="8">
        <v>0.15340909361839294</v>
      </c>
      <c r="CM35" s="9">
        <v>-0.90806525945663452</v>
      </c>
      <c r="CN35" s="9">
        <v>0.40999999642372131</v>
      </c>
      <c r="CO35" s="9">
        <v>0.48378729820251465</v>
      </c>
      <c r="CP35" s="9">
        <v>0.37126290798187256</v>
      </c>
      <c r="CQ35" s="9">
        <v>0.23841105401515961</v>
      </c>
      <c r="CR35" s="3">
        <v>44.989085127327996</v>
      </c>
      <c r="CS35" s="3">
        <v>4.6433335053188491</v>
      </c>
      <c r="CT35" s="3">
        <v>0.49140049140049136</v>
      </c>
      <c r="CU35" s="8">
        <v>9.6889626979827878E-2</v>
      </c>
      <c r="CV35" s="9">
        <v>0.11907919943332672</v>
      </c>
      <c r="CW35" s="3">
        <v>0.06</v>
      </c>
      <c r="CX35" s="3">
        <v>184.41270828324494</v>
      </c>
      <c r="CY35" s="3">
        <v>13413925.336428408</v>
      </c>
      <c r="CZ35" s="3">
        <v>9.6889626979827878E-2</v>
      </c>
      <c r="DA35" s="3">
        <v>59.914066500352504</v>
      </c>
      <c r="DB35" s="3">
        <v>41287437.900504485</v>
      </c>
      <c r="DC35" s="3">
        <v>9.2045145630836475E-2</v>
      </c>
      <c r="DD35" s="3">
        <v>29.264666850924534</v>
      </c>
      <c r="DE35" s="3">
        <v>84528496.85940814</v>
      </c>
      <c r="DF35" s="3">
        <v>8.526287174224853E-2</v>
      </c>
      <c r="DG35" s="3">
        <v>17.419204735633265</v>
      </c>
      <c r="DH35" s="3">
        <v>142009829.8138563</v>
      </c>
      <c r="DI35" s="3">
        <v>7.7511701583862308E-2</v>
      </c>
      <c r="DJ35" s="3">
        <v>8.8246601294595326</v>
      </c>
      <c r="DK35" s="3">
        <v>280316551.99297768</v>
      </c>
      <c r="DL35" s="3">
        <v>6.7822738885879516E-2</v>
      </c>
      <c r="DM35" s="3">
        <v>12962800</v>
      </c>
      <c r="DN35" s="3">
        <v>9.6889626979827878E-2</v>
      </c>
      <c r="DO35" s="3">
        <v>2473698300</v>
      </c>
      <c r="DP35" s="3">
        <v>672495800</v>
      </c>
      <c r="DQ35" s="3">
        <v>2689</v>
      </c>
      <c r="DR35" s="3">
        <v>-0.54761660597821238</v>
      </c>
      <c r="DS35" s="3">
        <v>-0.66812697419998424</v>
      </c>
      <c r="DT35" s="10">
        <v>-0.29000000000000004</v>
      </c>
      <c r="DU35" s="3">
        <v>-5.333333333333342E-2</v>
      </c>
      <c r="DV35" s="3">
        <v>-0.34333333333333343</v>
      </c>
      <c r="DW35" s="3">
        <v>-5.3398058252427187</v>
      </c>
      <c r="DX35" s="3">
        <v>0.36706273047859056</v>
      </c>
      <c r="DY35" s="3">
        <v>-5.0635650055024337</v>
      </c>
      <c r="DZ35" s="3">
        <v>2273</v>
      </c>
      <c r="EA35" s="3">
        <v>-5.0352903954227797</v>
      </c>
      <c r="EB35" s="3">
        <v>5</v>
      </c>
      <c r="EC35" s="3">
        <v>0.49135844078836327</v>
      </c>
      <c r="ED35" s="3">
        <v>2.6267042397851474</v>
      </c>
      <c r="EE35" s="11">
        <v>-2.0743100000000001</v>
      </c>
      <c r="EF35" s="3">
        <v>-2.10791</v>
      </c>
      <c r="EG35" s="3">
        <v>18.187062730478591</v>
      </c>
      <c r="EH35" s="3" t="s">
        <v>714</v>
      </c>
      <c r="EI35" s="3">
        <v>0</v>
      </c>
      <c r="EJ35" s="3">
        <v>0</v>
      </c>
      <c r="EK35" s="12">
        <v>45470</v>
      </c>
      <c r="EL35" s="13">
        <v>-1.72</v>
      </c>
      <c r="EM35" s="13">
        <v>-7.42</v>
      </c>
      <c r="EN35" s="13">
        <v>0.63</v>
      </c>
      <c r="EO35" s="13">
        <v>3.76</v>
      </c>
      <c r="EP35" s="13">
        <v>-3.36</v>
      </c>
    </row>
    <row r="36" spans="1:146" ht="96" x14ac:dyDescent="0.25">
      <c r="C36" s="6" t="str">
        <f>""&amp;CHAR(10)&amp;Basic_Fundamental_Information_Constructure(F36)&amp;CHAR(10)&amp;Basic_Fundamental_Information_Concatenate("")</f>
        <v xml:space="preserve">
市值44.7亿, 利润1648.95万; PE48.12; 平均PE47.53; 平均PEG13.3, PB2.05; ROIC12.01%; ROE13.14%; 股利率1.3423%; 毛利39.6733%; 净利17.6433%; 上一年度营收增-76.82%, 利润增-89.15%; 当季营收增-52.48%, 利润增-69.06%; 过往5年营收增3.57%, 利润增17.85%
Income profile:
</v>
      </c>
      <c r="D36" s="3" t="s">
        <v>666</v>
      </c>
      <c r="E36" s="3" t="s">
        <v>667</v>
      </c>
      <c r="F36" s="3">
        <v>29.8</v>
      </c>
      <c r="G36" s="3">
        <v>-1.52</v>
      </c>
      <c r="H36" s="3" t="s">
        <v>1967</v>
      </c>
      <c r="I36" s="3">
        <v>4470000000</v>
      </c>
      <c r="J36" s="3">
        <v>48.12</v>
      </c>
      <c r="K36" s="3">
        <v>2.0499999999999998</v>
      </c>
      <c r="L36" s="3" t="s">
        <v>1310</v>
      </c>
      <c r="M36" s="3" t="s">
        <v>895</v>
      </c>
      <c r="N36" s="3" t="s">
        <v>1968</v>
      </c>
      <c r="O36" s="3" t="s">
        <v>287</v>
      </c>
      <c r="P36" s="3">
        <v>3.2</v>
      </c>
      <c r="Q36" s="3" t="s">
        <v>287</v>
      </c>
      <c r="R36" s="3">
        <v>16489472</v>
      </c>
      <c r="S36" s="3">
        <v>-0.26529999999999998</v>
      </c>
      <c r="T36" s="3" t="s">
        <v>1969</v>
      </c>
      <c r="U36" s="3">
        <v>54711034</v>
      </c>
      <c r="V36" s="3">
        <v>150000000</v>
      </c>
      <c r="W36" s="3">
        <v>1.1599999999999999</v>
      </c>
      <c r="X36" s="3">
        <v>7.0000000000000007E-2</v>
      </c>
      <c r="Y36" s="3">
        <v>8.8800000000000008</v>
      </c>
      <c r="Z36" s="3" t="s">
        <v>251</v>
      </c>
      <c r="AA36" s="3" t="s">
        <v>110</v>
      </c>
      <c r="AB36" s="3" t="s">
        <v>1970</v>
      </c>
      <c r="AC36" s="3" t="s">
        <v>1971</v>
      </c>
      <c r="AD36" s="3" t="s">
        <v>30</v>
      </c>
      <c r="AE36" s="3">
        <v>-409803</v>
      </c>
      <c r="AF36" s="3" t="s">
        <v>1179</v>
      </c>
      <c r="AG36" s="3" t="s">
        <v>30</v>
      </c>
      <c r="AH36" s="3" t="s">
        <v>1180</v>
      </c>
      <c r="AI36" s="3" t="s">
        <v>251</v>
      </c>
      <c r="AJ36" s="3" t="s">
        <v>1181</v>
      </c>
      <c r="AK36" s="3" t="s">
        <v>1972</v>
      </c>
      <c r="AL36" s="3" t="s">
        <v>1182</v>
      </c>
      <c r="AM36" s="3" t="s">
        <v>30</v>
      </c>
      <c r="AN36" s="3" t="s">
        <v>242</v>
      </c>
      <c r="AO36" s="3" t="s">
        <v>1973</v>
      </c>
      <c r="AP36" s="3" t="s">
        <v>1974</v>
      </c>
      <c r="AQ36" s="3" t="s">
        <v>1370</v>
      </c>
      <c r="AR36" s="3" t="s">
        <v>30</v>
      </c>
      <c r="AS36" s="3" t="s">
        <v>1975</v>
      </c>
      <c r="AT36" s="3" t="s">
        <v>30</v>
      </c>
      <c r="AU36" s="3" t="s">
        <v>1976</v>
      </c>
      <c r="AV36" s="3" t="s">
        <v>1977</v>
      </c>
      <c r="AW36" s="3" t="s">
        <v>1978</v>
      </c>
      <c r="AX36" s="3" t="s">
        <v>544</v>
      </c>
      <c r="AY36" s="3" t="s">
        <v>668</v>
      </c>
      <c r="AZ36" s="3" t="s">
        <v>669</v>
      </c>
      <c r="BA36" s="3" t="s">
        <v>101</v>
      </c>
      <c r="BB36" s="3" t="s">
        <v>135</v>
      </c>
      <c r="BC36" s="3" t="s">
        <v>397</v>
      </c>
      <c r="BD36" s="3" t="s">
        <v>137</v>
      </c>
      <c r="BE36" s="3" t="s">
        <v>124</v>
      </c>
      <c r="BF36" s="3" t="s">
        <v>670</v>
      </c>
      <c r="BG36" s="3" t="s">
        <v>671</v>
      </c>
      <c r="BH36" s="3" t="s">
        <v>567</v>
      </c>
      <c r="BI36" s="3" t="s">
        <v>1979</v>
      </c>
      <c r="BJ36" s="3" t="s">
        <v>544</v>
      </c>
      <c r="BK36" s="3" t="s">
        <v>1178</v>
      </c>
      <c r="BL36" s="3" t="s">
        <v>1980</v>
      </c>
      <c r="BM36" s="3" t="s">
        <v>397</v>
      </c>
      <c r="BN36" s="3">
        <v>3.33</v>
      </c>
      <c r="BO36" s="3">
        <v>10.44</v>
      </c>
      <c r="BP36" s="3">
        <v>22.26</v>
      </c>
      <c r="BQ36" s="3">
        <v>3.51</v>
      </c>
      <c r="BR36" s="3">
        <v>13.51</v>
      </c>
      <c r="BS36" s="3">
        <v>22.4</v>
      </c>
      <c r="BT36" s="3" t="s">
        <v>705</v>
      </c>
      <c r="BU36" s="3" t="s">
        <v>651</v>
      </c>
      <c r="BV36" s="3">
        <v>35.869999999999997</v>
      </c>
      <c r="BW36" s="3">
        <v>40.86</v>
      </c>
      <c r="BX36" s="3">
        <v>42.29</v>
      </c>
      <c r="BY36" s="3">
        <v>12.51</v>
      </c>
      <c r="BZ36" s="3">
        <v>19.399999999999999</v>
      </c>
      <c r="CA36" s="3">
        <v>21.02</v>
      </c>
      <c r="CB36" s="3">
        <v>-12.46</v>
      </c>
      <c r="CC36" s="8">
        <v>-23.98</v>
      </c>
      <c r="CD36" s="9" t="s">
        <v>1981</v>
      </c>
      <c r="CE36" s="8" t="s">
        <v>1795</v>
      </c>
      <c r="CF36" s="8">
        <v>-0.52480417754569186</v>
      </c>
      <c r="CG36" s="8">
        <v>-0.69063136486780585</v>
      </c>
      <c r="CH36" s="8">
        <v>-0.76815289258956909</v>
      </c>
      <c r="CI36" s="8">
        <v>0.1071932315826416</v>
      </c>
      <c r="CJ36" s="9">
        <v>0.23519164323806763</v>
      </c>
      <c r="CK36" s="9">
        <v>0.41379311680793762</v>
      </c>
      <c r="CL36" s="9">
        <v>0.19061583280563354</v>
      </c>
      <c r="CM36" s="9">
        <v>-0.89151644706726074</v>
      </c>
      <c r="CN36" s="9">
        <v>2.0134227350354195E-2</v>
      </c>
      <c r="CO36" s="3">
        <v>0.17322835326194763</v>
      </c>
      <c r="CP36" s="3">
        <v>0.58924210071563721</v>
      </c>
      <c r="CQ36" s="3">
        <v>1.0012447834014893</v>
      </c>
      <c r="CR36" s="8">
        <v>47.525123016884883</v>
      </c>
      <c r="CS36" s="9">
        <v>13.301857118109259</v>
      </c>
      <c r="CT36" s="3">
        <v>1.3422818791946309</v>
      </c>
      <c r="CU36" s="3">
        <v>3.5728186368942261E-2</v>
      </c>
      <c r="CV36" s="3">
        <v>0.17846660353243352</v>
      </c>
      <c r="CW36" s="3">
        <v>0.06</v>
      </c>
      <c r="CX36" s="3">
        <v>167.57774693278401</v>
      </c>
      <c r="CY36" s="3">
        <v>16111924.461444031</v>
      </c>
      <c r="CZ36" s="3">
        <v>3.5728186368942261E-2</v>
      </c>
      <c r="DA36" s="3">
        <v>57.354157366475405</v>
      </c>
      <c r="DB36" s="3">
        <v>47075924.814792961</v>
      </c>
      <c r="DC36" s="3">
        <v>3.3941777050495149E-2</v>
      </c>
      <c r="DD36" s="3">
        <v>29.994949500294748</v>
      </c>
      <c r="DE36" s="3">
        <v>90015154.050299972</v>
      </c>
      <c r="DF36" s="3">
        <v>3.1440804004669191E-2</v>
      </c>
      <c r="DG36" s="3">
        <v>19.248758686236943</v>
      </c>
      <c r="DH36" s="3">
        <v>140268785.32850677</v>
      </c>
      <c r="DI36" s="3">
        <v>2.8582549095153811E-2</v>
      </c>
      <c r="DJ36" s="3">
        <v>11.431132195240872</v>
      </c>
      <c r="DK36" s="3">
        <v>236197076.0100292</v>
      </c>
      <c r="DL36" s="3">
        <v>2.500973045825958E-2</v>
      </c>
      <c r="DM36" s="3">
        <v>16489500</v>
      </c>
      <c r="DN36" s="3">
        <v>3.5728186368942261E-2</v>
      </c>
      <c r="DO36" s="3">
        <v>2700000000</v>
      </c>
      <c r="DP36" s="3">
        <v>1309059200</v>
      </c>
      <c r="DQ36" s="10">
        <v>2756</v>
      </c>
      <c r="DR36" s="3">
        <v>-0.56053236391463412</v>
      </c>
      <c r="DS36" s="3">
        <v>-0.86909796840023934</v>
      </c>
      <c r="DT36" s="3">
        <v>-0.42333333333333339</v>
      </c>
      <c r="DU36" s="3">
        <v>-0.32333333333333331</v>
      </c>
      <c r="DV36" s="3">
        <v>-0.7466666666666667</v>
      </c>
      <c r="DW36" s="3">
        <v>-9.5195996663886575</v>
      </c>
      <c r="DX36" s="3">
        <v>0.27175022624434508</v>
      </c>
      <c r="DY36" s="3">
        <v>-9.0528693836115313</v>
      </c>
      <c r="DZ36" s="3">
        <v>2791</v>
      </c>
      <c r="EA36" s="3">
        <v>-9.0239929746761529</v>
      </c>
      <c r="EB36" s="11">
        <v>9</v>
      </c>
      <c r="EC36" s="3">
        <v>0.14991199999999999</v>
      </c>
      <c r="ED36" s="3">
        <v>1.4733333333333334</v>
      </c>
      <c r="EE36" s="3">
        <v>-3.0727000000000002</v>
      </c>
      <c r="EF36" s="3">
        <v>-3.1273</v>
      </c>
      <c r="EG36" s="3">
        <v>17.101750226244345</v>
      </c>
      <c r="EH36" s="12" t="s">
        <v>878</v>
      </c>
      <c r="EI36" s="13">
        <v>0</v>
      </c>
      <c r="EJ36" s="13">
        <v>0</v>
      </c>
      <c r="EK36" s="13">
        <v>45470</v>
      </c>
      <c r="EL36" s="13">
        <v>2.08</v>
      </c>
      <c r="EM36" s="13">
        <v>-5.82</v>
      </c>
      <c r="EN36" s="13">
        <v>0.72</v>
      </c>
      <c r="EO36" s="13">
        <v>4.91</v>
      </c>
      <c r="EP36" s="13">
        <v>5.46</v>
      </c>
    </row>
    <row r="37" spans="1:146" ht="96" x14ac:dyDescent="0.25">
      <c r="A37" s="3"/>
      <c r="B37" s="3"/>
      <c r="C37" s="6" t="str">
        <f>""&amp;CHAR(10)&amp;Basic_Fundamental_Information_Constructure(F37)&amp;CHAR(10)&amp;Basic_Fundamental_Information_Concatenate("")</f>
        <v xml:space="preserve">
市值60.40151亿, 利润2929.62万; PE61.52; 平均PE77.32; 平均PEG7.06, PB4.69; ROIC18.2033%; ROE21.53%; 股利率.3974%; 毛利58.2267%; 净利35.1233%; 上一年度营收增-83.13%, 利润增-83.45%; 当季营收增-62.92%, 利润增-65.03%; 过往5年营收增10.94%, 利润增18.86%
Income profile:
</v>
      </c>
      <c r="D37" s="3" t="s">
        <v>936</v>
      </c>
      <c r="E37" s="3" t="s">
        <v>937</v>
      </c>
      <c r="F37" s="3">
        <v>15.1</v>
      </c>
      <c r="G37" s="3">
        <v>0.27</v>
      </c>
      <c r="H37" s="3" t="s">
        <v>1982</v>
      </c>
      <c r="I37" s="3">
        <v>6040151000</v>
      </c>
      <c r="J37" s="3">
        <v>61.52</v>
      </c>
      <c r="K37" s="3">
        <v>4.6900000000000004</v>
      </c>
      <c r="L37" s="3" t="s">
        <v>1310</v>
      </c>
      <c r="M37" s="3" t="s">
        <v>150</v>
      </c>
      <c r="N37" s="3" t="s">
        <v>1983</v>
      </c>
      <c r="O37" s="3" t="s">
        <v>1183</v>
      </c>
      <c r="P37" s="4">
        <v>-40.29</v>
      </c>
      <c r="Q37" s="3" t="s">
        <v>1183</v>
      </c>
      <c r="R37" s="3">
        <v>29296211</v>
      </c>
      <c r="S37" s="3">
        <v>-0.47639999999999999</v>
      </c>
      <c r="T37" s="3" t="s">
        <v>1984</v>
      </c>
      <c r="U37" s="3">
        <v>48661686</v>
      </c>
      <c r="V37" s="3">
        <v>400010000</v>
      </c>
      <c r="W37" s="3">
        <v>1.1399999999999999</v>
      </c>
      <c r="X37" s="3">
        <v>0.05</v>
      </c>
      <c r="Y37" s="3">
        <v>36.409999999999997</v>
      </c>
      <c r="Z37" s="3" t="s">
        <v>1985</v>
      </c>
      <c r="AA37" s="3" t="s">
        <v>1986</v>
      </c>
      <c r="AB37" s="3" t="s">
        <v>1987</v>
      </c>
      <c r="AC37" s="3" t="s">
        <v>1988</v>
      </c>
      <c r="AD37" s="3" t="s">
        <v>30</v>
      </c>
      <c r="AE37" s="3">
        <v>-2573381</v>
      </c>
      <c r="AF37" s="3" t="s">
        <v>86</v>
      </c>
      <c r="AG37" s="3">
        <v>6151.67</v>
      </c>
      <c r="AH37" s="3" t="s">
        <v>1184</v>
      </c>
      <c r="AI37" s="3" t="s">
        <v>1989</v>
      </c>
      <c r="AJ37" s="3" t="s">
        <v>1185</v>
      </c>
      <c r="AK37" s="3" t="s">
        <v>1990</v>
      </c>
      <c r="AL37" s="3" t="s">
        <v>1186</v>
      </c>
      <c r="AM37" s="3" t="s">
        <v>30</v>
      </c>
      <c r="AN37" s="3" t="s">
        <v>1991</v>
      </c>
      <c r="AO37" s="3" t="s">
        <v>30</v>
      </c>
      <c r="AP37" s="3" t="s">
        <v>30</v>
      </c>
      <c r="AQ37" s="3" t="s">
        <v>1992</v>
      </c>
      <c r="AR37" s="3" t="s">
        <v>30</v>
      </c>
      <c r="AS37" s="3" t="s">
        <v>1993</v>
      </c>
      <c r="AT37" s="3" t="s">
        <v>1187</v>
      </c>
      <c r="AU37" s="3" t="s">
        <v>1994</v>
      </c>
      <c r="AV37" s="3" t="s">
        <v>1995</v>
      </c>
      <c r="AW37" s="3" t="s">
        <v>1996</v>
      </c>
      <c r="AX37" s="3" t="s">
        <v>901</v>
      </c>
      <c r="AY37" s="3" t="s">
        <v>138</v>
      </c>
      <c r="AZ37" s="3" t="s">
        <v>321</v>
      </c>
      <c r="BA37" s="3" t="s">
        <v>327</v>
      </c>
      <c r="BB37" s="3" t="s">
        <v>241</v>
      </c>
      <c r="BC37" s="3" t="s">
        <v>103</v>
      </c>
      <c r="BD37" s="3" t="s">
        <v>246</v>
      </c>
      <c r="BE37" s="3" t="s">
        <v>1188</v>
      </c>
      <c r="BF37" s="3" t="s">
        <v>1189</v>
      </c>
      <c r="BG37" s="3" t="s">
        <v>1190</v>
      </c>
      <c r="BH37" s="3" t="s">
        <v>151</v>
      </c>
      <c r="BI37" s="3" t="s">
        <v>153</v>
      </c>
      <c r="BJ37" s="3" t="s">
        <v>901</v>
      </c>
      <c r="BK37" s="3" t="s">
        <v>123</v>
      </c>
      <c r="BL37" s="3" t="s">
        <v>1997</v>
      </c>
      <c r="BM37" s="3" t="s">
        <v>103</v>
      </c>
      <c r="BN37" s="3">
        <v>10.53</v>
      </c>
      <c r="BO37" s="3">
        <v>23.54</v>
      </c>
      <c r="BP37" s="3">
        <v>20.54</v>
      </c>
      <c r="BQ37" s="3">
        <v>13.48</v>
      </c>
      <c r="BR37" s="3">
        <v>29.58</v>
      </c>
      <c r="BS37" s="3" t="s">
        <v>30</v>
      </c>
      <c r="BT37" s="3" t="s">
        <v>1047</v>
      </c>
      <c r="BU37" s="3" t="s">
        <v>650</v>
      </c>
      <c r="BV37" s="3">
        <v>58.53</v>
      </c>
      <c r="BW37" s="3">
        <v>60.27</v>
      </c>
      <c r="BX37" s="3">
        <v>55.88</v>
      </c>
      <c r="BY37" s="3">
        <v>36.11</v>
      </c>
      <c r="BZ37" s="3">
        <v>37.049999999999997</v>
      </c>
      <c r="CA37" s="3">
        <v>32.21</v>
      </c>
      <c r="CB37" s="3">
        <v>-11.02</v>
      </c>
      <c r="CC37" s="8">
        <v>-14.83</v>
      </c>
      <c r="CD37" s="9" t="s">
        <v>1998</v>
      </c>
      <c r="CE37" s="8" t="s">
        <v>398</v>
      </c>
      <c r="CF37" s="8">
        <v>-0.62917188940092161</v>
      </c>
      <c r="CG37" s="8">
        <v>-0.65025546591280803</v>
      </c>
      <c r="CH37" s="8">
        <v>-0.83130043745040894</v>
      </c>
      <c r="CI37" s="8">
        <v>0.34745761752128601</v>
      </c>
      <c r="CJ37" s="9">
        <v>0.6388888955116272</v>
      </c>
      <c r="CK37" s="9">
        <v>0.3333333432674408</v>
      </c>
      <c r="CL37" s="9">
        <v>5.8823529630899429E-2</v>
      </c>
      <c r="CM37" s="9">
        <v>-0.83448481559753418</v>
      </c>
      <c r="CN37" s="9">
        <v>0.55263155698776245</v>
      </c>
      <c r="CO37" s="3">
        <v>1.3232306241989136</v>
      </c>
      <c r="CP37" s="3">
        <v>0.15680533647537231</v>
      </c>
      <c r="CQ37" s="3">
        <v>-0.25494265556335449</v>
      </c>
      <c r="CR37" s="8">
        <v>77.319409076013486</v>
      </c>
      <c r="CS37" s="9">
        <v>7.0649664160864942</v>
      </c>
      <c r="CT37" s="3">
        <v>0.39735099337748342</v>
      </c>
      <c r="CU37" s="3">
        <v>0.10944058969616891</v>
      </c>
      <c r="CV37" s="3">
        <v>0.18864800930023193</v>
      </c>
      <c r="CW37" s="3">
        <v>0.06</v>
      </c>
      <c r="CX37" s="3">
        <v>162.64587023836498</v>
      </c>
      <c r="CY37" s="3">
        <v>30662635.28665746</v>
      </c>
      <c r="CZ37" s="3">
        <v>0.10944058969616891</v>
      </c>
      <c r="DA37" s="3">
        <v>52.285251211598045</v>
      </c>
      <c r="DB37" s="3">
        <v>95383514.173376247</v>
      </c>
      <c r="DC37" s="3">
        <v>0.10396856021136046</v>
      </c>
      <c r="DD37" s="3">
        <v>25.175535353357475</v>
      </c>
      <c r="DE37" s="3">
        <v>198095132.0399588</v>
      </c>
      <c r="DF37" s="3">
        <v>9.6307718932628641E-2</v>
      </c>
      <c r="DG37" s="3">
        <v>14.74240335335142</v>
      </c>
      <c r="DH37" s="3">
        <v>338286158.67210424</v>
      </c>
      <c r="DI37" s="3">
        <v>8.7552471756935132E-2</v>
      </c>
      <c r="DJ37" s="3">
        <v>7.2006633809534817</v>
      </c>
      <c r="DK37" s="3">
        <v>692596047.91296637</v>
      </c>
      <c r="DL37" s="3">
        <v>7.6608412787318225E-2</v>
      </c>
      <c r="DM37" s="3">
        <v>29296200</v>
      </c>
      <c r="DN37" s="3">
        <v>0.10944058969616891</v>
      </c>
      <c r="DO37" s="3">
        <v>4987151000</v>
      </c>
      <c r="DP37" s="3">
        <v>1050683200</v>
      </c>
      <c r="DQ37" s="10">
        <v>2835</v>
      </c>
      <c r="DR37" s="3">
        <v>-0.73861247909709049</v>
      </c>
      <c r="DS37" s="3">
        <v>-0.83890347521303998</v>
      </c>
      <c r="DT37" s="3">
        <v>-0.24000000000000007</v>
      </c>
      <c r="DU37" s="3">
        <v>-0.34</v>
      </c>
      <c r="DV37" s="3">
        <v>-0.58000000000000007</v>
      </c>
      <c r="DW37" s="3">
        <v>-9.7430883344571821</v>
      </c>
      <c r="DX37" s="3">
        <v>0.36682217741935558</v>
      </c>
      <c r="DY37" s="3">
        <v>-9.0570856638679231</v>
      </c>
      <c r="DZ37" s="3" t="s">
        <v>1999</v>
      </c>
      <c r="EA37" s="3" t="e">
        <v>#VALUE!</v>
      </c>
      <c r="EB37" s="11" t="e">
        <v>#VALUE!</v>
      </c>
      <c r="EC37" s="11">
        <v>4.7628559286017849E-2</v>
      </c>
      <c r="ED37" s="3">
        <v>0.61998450038749031</v>
      </c>
      <c r="EE37" s="3">
        <v>7.0581100000000001</v>
      </c>
      <c r="EF37" s="3">
        <v>7.1352099999999998</v>
      </c>
      <c r="EG37" s="3">
        <v>29.076822177419356</v>
      </c>
      <c r="EH37" s="12" t="s">
        <v>2000</v>
      </c>
      <c r="EI37" s="3" t="e">
        <v>#VALUE!</v>
      </c>
      <c r="EJ37" s="3">
        <v>0</v>
      </c>
      <c r="EK37" s="3">
        <v>45470</v>
      </c>
      <c r="EL37" s="3">
        <v>-19.75</v>
      </c>
      <c r="EM37" s="3">
        <v>-4.03</v>
      </c>
      <c r="EN37" s="13">
        <v>0.03</v>
      </c>
      <c r="EO37" s="13">
        <v>-8.06</v>
      </c>
      <c r="EP37" s="13">
        <v>-7.71</v>
      </c>
    </row>
    <row r="38" spans="1:146" ht="156" x14ac:dyDescent="0.25">
      <c r="C38" s="6" t="str">
        <f>"公司主营业务是生产和销售覆铜板,半固化片,绝缘层压板,金属基覆铜箔板,涂树脂铜箔,覆盖膜类等高端电子材料。产品主要供制作单、双面及多层线路板,广泛用于手机、汽车、通讯设备、计算机以及各种高档电子产品中。"&amp;CHAR(10)&amp;Basic_Fundamental_Information_Constructure(C38)&amp;CHAR(10)&amp;Basic_Fundamental_Information_Concatenate("覆铜板和粘结片 161.90亿 79.85% 81.80% 27.47%
印制线路板 35.08亿 17.30% 11.33% 17.57%
其他业务 5.77亿 2.85% 6.87% 64.70%")</f>
        <v>公司主营业务是生产和销售覆铜板,半固化片,绝缘层压板,金属基覆铜箔板,涂树脂铜箔,覆盖膜类等高端电子材料。产品主要供制作单、双面及多层线路板,广泛用于手机、汽车、通讯设备、计算机以及各种高档电子产品中。
市值474.32923亿, 利润11.64亿; PE36.26; 平均PE29.48; 平均PEG3.65, PB3.29; ROIC10.0867%; ROE13.3833%; 股利率2.2433%; 毛利22.7933%; 净利10.2267%; 上一年度营收增-7.93%, 利润增-23.97%; 当季营收增17.76%, 利润增58.1%; 过往5年营收增8.08%, 利润增11.88%
Income profile:
覆铜板和粘结片 161.90亿 79.85% 81.80% 27.47%
印制线路板 35.08亿 17.30% 11.33% 17.57%
其他业务 5.77亿 2.85% 6.87% 64.70%</v>
      </c>
      <c r="D38" s="3" t="s">
        <v>43</v>
      </c>
      <c r="E38" s="3" t="s">
        <v>17</v>
      </c>
      <c r="F38" s="3">
        <v>20.03</v>
      </c>
      <c r="G38" s="3">
        <v>-1.38</v>
      </c>
      <c r="H38" s="3" t="s">
        <v>2001</v>
      </c>
      <c r="I38" s="3">
        <v>47497918000</v>
      </c>
      <c r="J38" s="3">
        <v>36.299999999999997</v>
      </c>
      <c r="K38" s="3">
        <v>3.28</v>
      </c>
      <c r="L38" s="3" t="s">
        <v>1310</v>
      </c>
      <c r="M38" s="3" t="s">
        <v>1191</v>
      </c>
      <c r="N38" s="3" t="s">
        <v>2002</v>
      </c>
      <c r="O38" s="3" t="s">
        <v>1192</v>
      </c>
      <c r="P38" s="3">
        <v>17.77</v>
      </c>
      <c r="Q38" s="3" t="s">
        <v>1192</v>
      </c>
      <c r="R38" s="3">
        <v>392086390</v>
      </c>
      <c r="S38" s="4">
        <v>0.58250000000000002</v>
      </c>
      <c r="T38" s="3" t="s">
        <v>257</v>
      </c>
      <c r="U38" s="3">
        <v>2371338900</v>
      </c>
      <c r="V38" s="3">
        <v>2371338900</v>
      </c>
      <c r="W38" s="3">
        <v>1.55</v>
      </c>
      <c r="X38" s="3" t="s">
        <v>30</v>
      </c>
      <c r="Y38" s="3">
        <v>9.1300000000000008</v>
      </c>
      <c r="Z38" s="3" t="s">
        <v>30</v>
      </c>
      <c r="AA38" s="3" t="s">
        <v>30</v>
      </c>
      <c r="AB38" s="3" t="s">
        <v>30</v>
      </c>
      <c r="AC38" s="3" t="s">
        <v>30</v>
      </c>
      <c r="AD38" s="3" t="s">
        <v>30</v>
      </c>
      <c r="AE38" s="3">
        <v>16638138</v>
      </c>
      <c r="AF38" s="3" t="s">
        <v>1194</v>
      </c>
      <c r="AG38" s="3" t="s">
        <v>2003</v>
      </c>
      <c r="AH38" s="3" t="s">
        <v>1195</v>
      </c>
      <c r="AI38" s="3" t="s">
        <v>2004</v>
      </c>
      <c r="AJ38" s="3" t="s">
        <v>1196</v>
      </c>
      <c r="AK38" s="3" t="s">
        <v>30</v>
      </c>
      <c r="AL38" s="3" t="s">
        <v>1197</v>
      </c>
      <c r="AM38" s="3" t="s">
        <v>30</v>
      </c>
      <c r="AN38" s="3" t="s">
        <v>410</v>
      </c>
      <c r="AO38" s="3" t="s">
        <v>30</v>
      </c>
      <c r="AP38" s="3" t="s">
        <v>2005</v>
      </c>
      <c r="AQ38" s="3" t="s">
        <v>2006</v>
      </c>
      <c r="AR38" s="3" t="s">
        <v>30</v>
      </c>
      <c r="AS38" s="3" t="s">
        <v>30</v>
      </c>
      <c r="AT38" s="3" t="s">
        <v>30</v>
      </c>
      <c r="AU38" s="3" t="s">
        <v>259</v>
      </c>
      <c r="AV38" s="3" t="s">
        <v>1203</v>
      </c>
      <c r="AW38" s="3" t="s">
        <v>2007</v>
      </c>
      <c r="AX38" s="3" t="s">
        <v>850</v>
      </c>
      <c r="AY38" s="3" t="s">
        <v>30</v>
      </c>
      <c r="AZ38" s="3" t="s">
        <v>407</v>
      </c>
      <c r="BA38" s="3" t="s">
        <v>174</v>
      </c>
      <c r="BB38" s="3" t="s">
        <v>408</v>
      </c>
      <c r="BC38" s="3" t="s">
        <v>682</v>
      </c>
      <c r="BD38" s="3" t="s">
        <v>30</v>
      </c>
      <c r="BE38" s="3" t="s">
        <v>30</v>
      </c>
      <c r="BF38" s="3" t="s">
        <v>30</v>
      </c>
      <c r="BG38" s="3" t="s">
        <v>30</v>
      </c>
      <c r="BH38" s="3" t="s">
        <v>1193</v>
      </c>
      <c r="BI38" s="3" t="s">
        <v>2008</v>
      </c>
      <c r="BJ38" s="3" t="s">
        <v>850</v>
      </c>
      <c r="BK38" s="3" t="s">
        <v>883</v>
      </c>
      <c r="BL38" s="3" t="s">
        <v>885</v>
      </c>
      <c r="BM38" s="3" t="s">
        <v>682</v>
      </c>
      <c r="BN38" s="3">
        <v>4.8499999999999996</v>
      </c>
      <c r="BO38" s="3">
        <v>8.9499999999999993</v>
      </c>
      <c r="BP38" s="3">
        <v>18.27</v>
      </c>
      <c r="BQ38" s="3">
        <v>6.65</v>
      </c>
      <c r="BR38" s="3">
        <v>11.71</v>
      </c>
      <c r="BS38" s="3">
        <v>24.34</v>
      </c>
      <c r="BT38" s="3" t="s">
        <v>852</v>
      </c>
      <c r="BU38" s="3" t="s">
        <v>651</v>
      </c>
      <c r="BV38" s="3">
        <v>19.239999999999998</v>
      </c>
      <c r="BW38" s="3">
        <v>22.03</v>
      </c>
      <c r="BX38" s="3">
        <v>26.82</v>
      </c>
      <c r="BY38" s="3">
        <v>6.93</v>
      </c>
      <c r="BZ38" s="3">
        <v>9.06</v>
      </c>
      <c r="CA38" s="3">
        <v>14.43</v>
      </c>
      <c r="CB38" s="3">
        <v>-4.8899999999999997</v>
      </c>
      <c r="CC38" s="3">
        <v>0.35</v>
      </c>
      <c r="CD38" s="3" t="s">
        <v>119</v>
      </c>
      <c r="CE38" s="3" t="s">
        <v>1560</v>
      </c>
      <c r="CF38" s="8">
        <v>-0.43877680497398808</v>
      </c>
      <c r="CG38" s="9">
        <v>-0.29353803603603601</v>
      </c>
      <c r="CH38" s="8">
        <v>-0.75446873903274536</v>
      </c>
      <c r="CI38" s="8" t="s">
        <v>30</v>
      </c>
      <c r="CJ38" s="8" t="s">
        <v>30</v>
      </c>
      <c r="CK38" s="8">
        <v>0.10920622199773788</v>
      </c>
      <c r="CL38" s="8">
        <v>0.10516653954982758</v>
      </c>
      <c r="CM38" s="9">
        <v>-0.7439582347869873</v>
      </c>
      <c r="CN38" s="9" t="s">
        <v>30</v>
      </c>
      <c r="CO38" s="9" t="s">
        <v>30</v>
      </c>
      <c r="CP38" s="9" t="s">
        <v>30</v>
      </c>
      <c r="CQ38" s="9" t="s">
        <v>30</v>
      </c>
      <c r="CR38" s="3">
        <v>49.399810712428497</v>
      </c>
      <c r="CS38" s="3">
        <v>2.7439462302115007</v>
      </c>
      <c r="CT38" s="3">
        <v>2.2466300549176235</v>
      </c>
      <c r="CU38" s="8">
        <v>-0.18003199249505997</v>
      </c>
      <c r="CV38" s="9">
        <v>-0.7439582347869873</v>
      </c>
      <c r="CW38" s="3">
        <v>0.06</v>
      </c>
      <c r="CX38" s="3">
        <v>103.66050510204082</v>
      </c>
      <c r="CY38" s="3" t="s">
        <v>2009</v>
      </c>
      <c r="CZ38" s="3">
        <v>-0.18003199249505997</v>
      </c>
      <c r="DA38" s="3">
        <v>34.553501700680272</v>
      </c>
      <c r="DB38" s="3" t="s">
        <v>2010</v>
      </c>
      <c r="DC38" s="3">
        <v>-0.17103039287030697</v>
      </c>
      <c r="DD38" s="3">
        <v>17.276750850340136</v>
      </c>
      <c r="DE38" s="3" t="s">
        <v>2011</v>
      </c>
      <c r="DF38" s="3">
        <v>-0.15842815339565278</v>
      </c>
      <c r="DG38" s="3">
        <v>10.366050510204081</v>
      </c>
      <c r="DH38" s="3" t="s">
        <v>2012</v>
      </c>
      <c r="DI38" s="3">
        <v>-0.14402559399604797</v>
      </c>
      <c r="DJ38" s="3">
        <v>5.1830252551020406</v>
      </c>
      <c r="DK38" s="3" t="s">
        <v>2013</v>
      </c>
      <c r="DL38" s="3">
        <v>-0.12602239474654198</v>
      </c>
      <c r="DM38" s="3">
        <v>392000000</v>
      </c>
      <c r="DN38" s="3">
        <v>-0.18003199249505997</v>
      </c>
      <c r="DO38" s="3">
        <v>40634918000</v>
      </c>
      <c r="DP38" s="3">
        <v>13957674000</v>
      </c>
      <c r="DQ38" s="3">
        <v>2985</v>
      </c>
      <c r="DR38" s="3">
        <v>-0.25874481247892811</v>
      </c>
      <c r="DS38" s="3">
        <v>0.45042019875095129</v>
      </c>
      <c r="DT38" s="10">
        <v>-1.1599999999999999</v>
      </c>
      <c r="DU38" s="3">
        <v>-2.3199999999999998</v>
      </c>
      <c r="DV38" s="3">
        <v>-3.4799999999999995</v>
      </c>
      <c r="DW38" s="3">
        <v>-4.0715746421267891</v>
      </c>
      <c r="DX38" s="3">
        <v>0.43316017316017352</v>
      </c>
      <c r="DY38" s="3">
        <v>-4.012393877424552</v>
      </c>
      <c r="DZ38" s="3">
        <v>953</v>
      </c>
      <c r="EA38" s="3">
        <v>-4.0100824556661179</v>
      </c>
      <c r="EB38" s="3">
        <v>4</v>
      </c>
      <c r="EC38" s="3">
        <v>5.060432315262909E-2</v>
      </c>
      <c r="ED38" s="3">
        <v>0.292239966206433</v>
      </c>
      <c r="EE38" s="11">
        <v>-3.02841</v>
      </c>
      <c r="EF38" s="3">
        <v>-3.0453100000000002</v>
      </c>
      <c r="EG38" s="3">
        <v>26.173160173160174</v>
      </c>
      <c r="EH38" s="3" t="s">
        <v>910</v>
      </c>
      <c r="EI38" s="3">
        <v>0</v>
      </c>
      <c r="EJ38" s="3">
        <v>1</v>
      </c>
      <c r="EK38" s="12">
        <v>45470</v>
      </c>
      <c r="EL38" s="13">
        <v>0.49</v>
      </c>
      <c r="EM38" s="13">
        <v>-2.99</v>
      </c>
      <c r="EN38" s="13">
        <v>0.36</v>
      </c>
      <c r="EO38" s="13">
        <v>1.22</v>
      </c>
      <c r="EP38" s="13">
        <v>-1.69</v>
      </c>
    </row>
    <row r="39" spans="1:146" ht="96" x14ac:dyDescent="0.25">
      <c r="C39" s="6" t="str">
        <f>""&amp;CHAR(10)&amp;Basic_Fundamental_Information_Constructure(F39)&amp;CHAR(10)&amp;Basic_Fundamental_Information_Concatenate("")</f>
        <v xml:space="preserve">
市值31.657584亿, 利润2418.22万; PE35.72; 平均PE64.52; 平均PEG2.61, PB1.82; ROIC4.44%; ROE4.9533%; 股利率0%; 毛利23.4667%; 净利6.89%; 上一年度营收增-70%, 利润增-67.3%; 当季营收增-41.9%, 利润增-43.44%; 过往5年营收增-24.69%, 利润增-67.3%
Income profile:
</v>
      </c>
      <c r="D39" s="3" t="s">
        <v>67</v>
      </c>
      <c r="E39" s="3" t="s">
        <v>2</v>
      </c>
      <c r="F39" s="3">
        <v>5.0199999999999996</v>
      </c>
      <c r="G39" s="3">
        <v>0.4</v>
      </c>
      <c r="H39" s="3" t="s">
        <v>2014</v>
      </c>
      <c r="I39" s="3">
        <v>3165758400</v>
      </c>
      <c r="J39" s="3">
        <v>35.72</v>
      </c>
      <c r="K39" s="3">
        <v>1.82</v>
      </c>
      <c r="L39" s="3" t="s">
        <v>1310</v>
      </c>
      <c r="M39" s="3" t="s">
        <v>849</v>
      </c>
      <c r="N39" s="3" t="s">
        <v>2015</v>
      </c>
      <c r="O39" s="3" t="s">
        <v>264</v>
      </c>
      <c r="P39" s="3">
        <v>19.66</v>
      </c>
      <c r="Q39" s="3" t="s">
        <v>264</v>
      </c>
      <c r="R39" s="3">
        <v>24182235</v>
      </c>
      <c r="S39" s="4">
        <v>8.4599999999999995E-2</v>
      </c>
      <c r="T39" s="3" t="s">
        <v>2016</v>
      </c>
      <c r="U39" s="3">
        <v>604484180</v>
      </c>
      <c r="V39" s="3">
        <v>630629160</v>
      </c>
      <c r="W39" s="3">
        <v>1.31</v>
      </c>
      <c r="X39" s="3" t="s">
        <v>30</v>
      </c>
      <c r="Y39" s="3">
        <v>7.77</v>
      </c>
      <c r="Z39" s="3" t="s">
        <v>30</v>
      </c>
      <c r="AA39" s="3" t="s">
        <v>30</v>
      </c>
      <c r="AB39" s="3" t="s">
        <v>30</v>
      </c>
      <c r="AC39" s="3" t="s">
        <v>30</v>
      </c>
      <c r="AD39" s="3" t="s">
        <v>30</v>
      </c>
      <c r="AE39" s="3">
        <v>-2501059</v>
      </c>
      <c r="AF39" s="3" t="s">
        <v>1199</v>
      </c>
      <c r="AG39" s="3" t="s">
        <v>2017</v>
      </c>
      <c r="AH39" s="3" t="s">
        <v>1200</v>
      </c>
      <c r="AI39" s="3" t="s">
        <v>895</v>
      </c>
      <c r="AJ39" s="3" t="s">
        <v>1201</v>
      </c>
      <c r="AK39" s="3" t="s">
        <v>30</v>
      </c>
      <c r="AL39" s="3" t="s">
        <v>1202</v>
      </c>
      <c r="AM39" s="3" t="s">
        <v>30</v>
      </c>
      <c r="AN39" s="3" t="s">
        <v>2018</v>
      </c>
      <c r="AO39" s="3" t="s">
        <v>30</v>
      </c>
      <c r="AP39" s="3" t="s">
        <v>30</v>
      </c>
      <c r="AQ39" s="3" t="s">
        <v>272</v>
      </c>
      <c r="AR39" s="3" t="s">
        <v>30</v>
      </c>
      <c r="AS39" s="3" t="s">
        <v>30</v>
      </c>
      <c r="AT39" s="3" t="s">
        <v>30</v>
      </c>
      <c r="AU39" s="3" t="s">
        <v>2019</v>
      </c>
      <c r="AV39" s="3" t="s">
        <v>2020</v>
      </c>
      <c r="AW39" s="3" t="s">
        <v>2021</v>
      </c>
      <c r="AX39" s="3" t="s">
        <v>854</v>
      </c>
      <c r="AY39" s="3" t="s">
        <v>30</v>
      </c>
      <c r="AZ39" s="3" t="s">
        <v>409</v>
      </c>
      <c r="BA39" s="3" t="s">
        <v>166</v>
      </c>
      <c r="BB39" s="3" t="s">
        <v>411</v>
      </c>
      <c r="BC39" s="3" t="s">
        <v>1204</v>
      </c>
      <c r="BD39" s="3" t="s">
        <v>30</v>
      </c>
      <c r="BE39" s="3" t="s">
        <v>30</v>
      </c>
      <c r="BF39" s="3" t="s">
        <v>30</v>
      </c>
      <c r="BG39" s="3" t="s">
        <v>30</v>
      </c>
      <c r="BH39" s="3" t="s">
        <v>380</v>
      </c>
      <c r="BI39" s="3" t="s">
        <v>2022</v>
      </c>
      <c r="BJ39" s="3" t="s">
        <v>854</v>
      </c>
      <c r="BK39" s="3" t="s">
        <v>1198</v>
      </c>
      <c r="BL39" s="3" t="s">
        <v>2023</v>
      </c>
      <c r="BM39" s="3" t="s">
        <v>1204</v>
      </c>
      <c r="BN39" s="3">
        <v>3.24</v>
      </c>
      <c r="BO39" s="3">
        <v>6.01</v>
      </c>
      <c r="BP39" s="3">
        <v>4.07</v>
      </c>
      <c r="BQ39" s="3">
        <v>4.37</v>
      </c>
      <c r="BR39" s="3">
        <v>5.98</v>
      </c>
      <c r="BS39" s="3">
        <v>4.51</v>
      </c>
      <c r="BT39" s="3" t="s">
        <v>700</v>
      </c>
      <c r="BU39" s="3" t="s">
        <v>650</v>
      </c>
      <c r="BV39" s="3">
        <v>23.93</v>
      </c>
      <c r="BW39" s="3">
        <v>26.04</v>
      </c>
      <c r="BX39" s="3">
        <v>20.43</v>
      </c>
      <c r="BY39" s="3">
        <v>7.78</v>
      </c>
      <c r="BZ39" s="3">
        <v>7.86</v>
      </c>
      <c r="CA39" s="3">
        <v>5.03</v>
      </c>
      <c r="CB39" s="3">
        <v>-3.83</v>
      </c>
      <c r="CC39" s="3">
        <v>-12.39</v>
      </c>
      <c r="CD39" s="3" t="s">
        <v>2024</v>
      </c>
      <c r="CE39" s="3" t="s">
        <v>322</v>
      </c>
      <c r="CF39" s="8">
        <v>-0.41899441340782123</v>
      </c>
      <c r="CG39" s="9">
        <v>-0.43436279302585595</v>
      </c>
      <c r="CH39" s="8">
        <v>-0.69999998807907104</v>
      </c>
      <c r="CI39" s="8" t="s">
        <v>30</v>
      </c>
      <c r="CJ39" s="8" t="s">
        <v>30</v>
      </c>
      <c r="CK39" s="8">
        <v>3.041362576186657E-2</v>
      </c>
      <c r="CL39" s="8">
        <v>-7.1186438202857971E-2</v>
      </c>
      <c r="CM39" s="9">
        <v>-0.67300450801849365</v>
      </c>
      <c r="CN39" s="9" t="s">
        <v>30</v>
      </c>
      <c r="CO39" s="9" t="s">
        <v>30</v>
      </c>
      <c r="CP39" s="9" t="s">
        <v>30</v>
      </c>
      <c r="CQ39" s="9" t="s">
        <v>30</v>
      </c>
      <c r="CR39" s="3">
        <v>64.518502591840416</v>
      </c>
      <c r="CS39" s="3">
        <v>2.6128862674174167</v>
      </c>
      <c r="CT39" s="3">
        <v>0</v>
      </c>
      <c r="CU39" s="8">
        <v>-0.24692426684002081</v>
      </c>
      <c r="CV39" s="9">
        <v>-0.67300450801849365</v>
      </c>
      <c r="CW39" s="3">
        <v>0.06</v>
      </c>
      <c r="CX39" s="3">
        <v>82.033826533566028</v>
      </c>
      <c r="CY39" s="3" t="s">
        <v>2025</v>
      </c>
      <c r="CZ39" s="3">
        <v>-0.24692426684002081</v>
      </c>
      <c r="DA39" s="3">
        <v>27.344608844522007</v>
      </c>
      <c r="DB39" s="3" t="s">
        <v>2026</v>
      </c>
      <c r="DC39" s="3">
        <v>-0.23457805349801975</v>
      </c>
      <c r="DD39" s="3">
        <v>13.672304422261004</v>
      </c>
      <c r="DE39" s="3" t="s">
        <v>2027</v>
      </c>
      <c r="DF39" s="3">
        <v>-0.2172933548192183</v>
      </c>
      <c r="DG39" s="3">
        <v>8.2033826533566021</v>
      </c>
      <c r="DH39" s="3" t="s">
        <v>2028</v>
      </c>
      <c r="DI39" s="3">
        <v>-0.19753941347201665</v>
      </c>
      <c r="DJ39" s="3">
        <v>4.1016913266783011</v>
      </c>
      <c r="DK39" s="3" t="s">
        <v>2029</v>
      </c>
      <c r="DL39" s="3">
        <v>-0.17284698678801455</v>
      </c>
      <c r="DM39" s="3">
        <v>24182199.999999996</v>
      </c>
      <c r="DN39" s="3">
        <v>-0.24692426684002081</v>
      </c>
      <c r="DO39" s="3">
        <v>1983758400.0000002</v>
      </c>
      <c r="DP39" s="3">
        <v>1565930200</v>
      </c>
      <c r="DQ39" s="3">
        <v>3033</v>
      </c>
      <c r="DR39" s="3">
        <v>-0.17207014656780042</v>
      </c>
      <c r="DS39" s="3">
        <v>0.2386417149926377</v>
      </c>
      <c r="DT39" s="10">
        <v>-1.1599999999999999</v>
      </c>
      <c r="DU39" s="3">
        <v>-2.3199999999999998</v>
      </c>
      <c r="DV39" s="3">
        <v>-3.4799999999999995</v>
      </c>
      <c r="DW39" s="3">
        <v>-8.3091202582728005</v>
      </c>
      <c r="DX39" s="3">
        <v>0.34352542372881417</v>
      </c>
      <c r="DY39" s="3">
        <v>-8.0443666160517644</v>
      </c>
      <c r="DZ39" s="3">
        <v>3070</v>
      </c>
      <c r="EA39" s="3">
        <v>-8.0177119171713507</v>
      </c>
      <c r="EB39" s="3">
        <v>8</v>
      </c>
      <c r="EC39" s="3">
        <v>9.3995019196384769E-2</v>
      </c>
      <c r="ED39" s="3">
        <v>0.65490152723036155</v>
      </c>
      <c r="EE39" s="11">
        <v>-1.0368999999999999</v>
      </c>
      <c r="EF39" s="3">
        <v>-1.0517000000000001</v>
      </c>
      <c r="EG39" s="3">
        <v>20.143525423728814</v>
      </c>
      <c r="EH39" s="3" t="s">
        <v>951</v>
      </c>
      <c r="EI39" s="3">
        <v>0</v>
      </c>
      <c r="EJ39" s="3">
        <v>0</v>
      </c>
      <c r="EK39" s="12">
        <v>45470</v>
      </c>
      <c r="EL39" s="13">
        <v>0.54</v>
      </c>
      <c r="EM39" s="13">
        <v>1.34</v>
      </c>
      <c r="EN39" s="13">
        <v>-2.2400000000000002</v>
      </c>
      <c r="EO39" s="13">
        <v>0.4</v>
      </c>
      <c r="EP39" s="13">
        <v>1.48</v>
      </c>
    </row>
    <row r="40" spans="1:146" ht="156" x14ac:dyDescent="0.25">
      <c r="A40" s="6" t="s">
        <v>620</v>
      </c>
      <c r="B40" s="6" t="s">
        <v>621</v>
      </c>
      <c r="C40" s="6" t="str">
        <f>"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amp;CHAR(10)&amp;Basic_Fundamental_Information_Constructure(F40)&amp;CHAR(10)&amp;Basic_Fundamental_Information_Concatenate("芯片封测 303.45亿 99.48% 99.01% 18.32%
其他业务 1.57亿 0.52% 0.99% 35.48%")</f>
        <v>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
市值166.5亿, 利润2.16亿; PE16.51; 平均PE28.4; 平均PEG6.81, PB3.39; ROIC22.3433%; ROE23.5867%; 股利率2.7027%; 毛利39.6767%; 净利27.71%; 上一年度营收增-74.45%, 利润增-78.55%; 当季营收增-50.3%, 利润增-56.1%; 过往5年营收增4.17%, 利润增2.98%
Income profile:
芯片封测 303.45亿 99.48% 99.01% 18.32%
其他业务 1.57亿 0.52% 0.99% 35.48%</v>
      </c>
      <c r="D40" s="3" t="s">
        <v>63</v>
      </c>
      <c r="E40" s="3" t="s">
        <v>18</v>
      </c>
      <c r="F40" s="3">
        <v>74</v>
      </c>
      <c r="G40" s="3">
        <v>-0.04</v>
      </c>
      <c r="H40" s="3" t="s">
        <v>2030</v>
      </c>
      <c r="I40" s="3">
        <v>16650000000</v>
      </c>
      <c r="J40" s="3">
        <v>16.510000000000002</v>
      </c>
      <c r="K40" s="3">
        <v>3.39</v>
      </c>
      <c r="L40" s="3" t="s">
        <v>1310</v>
      </c>
      <c r="M40" s="3" t="s">
        <v>973</v>
      </c>
      <c r="N40" s="3" t="s">
        <v>2031</v>
      </c>
      <c r="O40" s="3" t="s">
        <v>835</v>
      </c>
      <c r="P40" s="3">
        <v>5.48</v>
      </c>
      <c r="Q40" s="3" t="s">
        <v>835</v>
      </c>
      <c r="R40" s="3">
        <v>215553550</v>
      </c>
      <c r="S40" s="4">
        <v>-6.7599999999999993E-2</v>
      </c>
      <c r="T40" s="3" t="s">
        <v>321</v>
      </c>
      <c r="U40" s="3">
        <v>225000000</v>
      </c>
      <c r="V40" s="3">
        <v>225000000</v>
      </c>
      <c r="W40" s="3">
        <v>1.31</v>
      </c>
      <c r="X40" s="3">
        <v>0.15</v>
      </c>
      <c r="Y40" s="3">
        <v>22.02</v>
      </c>
      <c r="Z40" s="3" t="s">
        <v>2032</v>
      </c>
      <c r="AA40" s="3" t="s">
        <v>851</v>
      </c>
      <c r="AB40" s="3" t="s">
        <v>2033</v>
      </c>
      <c r="AC40" s="3" t="s">
        <v>2034</v>
      </c>
      <c r="AD40" s="3" t="s">
        <v>30</v>
      </c>
      <c r="AE40" s="3">
        <v>1900352</v>
      </c>
      <c r="AF40" s="3" t="s">
        <v>1207</v>
      </c>
      <c r="AG40" s="3" t="s">
        <v>2035</v>
      </c>
      <c r="AH40" s="3" t="s">
        <v>1208</v>
      </c>
      <c r="AI40" s="3" t="s">
        <v>257</v>
      </c>
      <c r="AJ40" s="3" t="s">
        <v>1209</v>
      </c>
      <c r="AK40" s="3" t="s">
        <v>30</v>
      </c>
      <c r="AL40" s="3" t="s">
        <v>1210</v>
      </c>
      <c r="AM40" s="3" t="s">
        <v>30</v>
      </c>
      <c r="AN40" s="3" t="s">
        <v>2036</v>
      </c>
      <c r="AO40" s="3" t="s">
        <v>2037</v>
      </c>
      <c r="AP40" s="3" t="s">
        <v>912</v>
      </c>
      <c r="AQ40" s="3" t="s">
        <v>598</v>
      </c>
      <c r="AR40" s="3" t="s">
        <v>30</v>
      </c>
      <c r="AS40" s="3" t="s">
        <v>2038</v>
      </c>
      <c r="AT40" s="3" t="s">
        <v>30</v>
      </c>
      <c r="AU40" s="3" t="s">
        <v>2039</v>
      </c>
      <c r="AV40" s="3" t="s">
        <v>2040</v>
      </c>
      <c r="AW40" s="3" t="s">
        <v>2041</v>
      </c>
      <c r="AX40" s="3" t="s">
        <v>855</v>
      </c>
      <c r="AY40" s="3" t="s">
        <v>554</v>
      </c>
      <c r="AZ40" s="3" t="s">
        <v>413</v>
      </c>
      <c r="BA40" s="3" t="s">
        <v>206</v>
      </c>
      <c r="BB40" s="3" t="s">
        <v>100</v>
      </c>
      <c r="BC40" s="3" t="s">
        <v>596</v>
      </c>
      <c r="BD40" s="3" t="s">
        <v>451</v>
      </c>
      <c r="BE40" s="3" t="s">
        <v>277</v>
      </c>
      <c r="BF40" s="3" t="s">
        <v>271</v>
      </c>
      <c r="BG40" s="3" t="s">
        <v>392</v>
      </c>
      <c r="BH40" s="3" t="s">
        <v>1205</v>
      </c>
      <c r="BI40" s="3" t="s">
        <v>2042</v>
      </c>
      <c r="BJ40" s="3" t="s">
        <v>855</v>
      </c>
      <c r="BK40" s="3" t="s">
        <v>1206</v>
      </c>
      <c r="BL40" s="3" t="s">
        <v>889</v>
      </c>
      <c r="BM40" s="3" t="s">
        <v>596</v>
      </c>
      <c r="BN40" s="3">
        <v>15.97</v>
      </c>
      <c r="BO40" s="3">
        <v>25.71</v>
      </c>
      <c r="BP40" s="3">
        <v>25.35</v>
      </c>
      <c r="BQ40" s="3">
        <v>16.87</v>
      </c>
      <c r="BR40" s="3">
        <v>27.23</v>
      </c>
      <c r="BS40" s="3">
        <v>26.66</v>
      </c>
      <c r="BT40" s="3" t="s">
        <v>1211</v>
      </c>
      <c r="BU40" s="3" t="s">
        <v>650</v>
      </c>
      <c r="BV40" s="3">
        <v>38.58</v>
      </c>
      <c r="BW40" s="3">
        <v>38.31</v>
      </c>
      <c r="BX40" s="3">
        <v>42.14</v>
      </c>
      <c r="BY40" s="3">
        <v>26.49</v>
      </c>
      <c r="BZ40" s="3">
        <v>26.6</v>
      </c>
      <c r="CA40" s="3">
        <v>30.04</v>
      </c>
      <c r="CB40" s="3">
        <v>-2.86</v>
      </c>
      <c r="CC40" s="3">
        <v>-13.75</v>
      </c>
      <c r="CD40" s="3" t="s">
        <v>2043</v>
      </c>
      <c r="CE40" s="3" t="s">
        <v>2044</v>
      </c>
      <c r="CF40" s="8">
        <v>-0.50304259634888437</v>
      </c>
      <c r="CG40" s="9">
        <v>-0.56099073319755599</v>
      </c>
      <c r="CH40" s="8">
        <v>-0.74452555179595947</v>
      </c>
      <c r="CI40" s="8">
        <v>0.36463889479637146</v>
      </c>
      <c r="CJ40" s="8">
        <v>0.48651504516601563</v>
      </c>
      <c r="CK40" s="8">
        <v>0.12559527158737183</v>
      </c>
      <c r="CL40" s="8">
        <v>-2.3823322728276253E-2</v>
      </c>
      <c r="CM40" s="9">
        <v>-0.78550148010253906</v>
      </c>
      <c r="CN40" s="9">
        <v>0.21179302036762238</v>
      </c>
      <c r="CO40" s="9">
        <v>0.49460431933403015</v>
      </c>
      <c r="CP40" s="9">
        <v>0.21929824352264404</v>
      </c>
      <c r="CQ40" s="9">
        <v>8.849557489156723E-3</v>
      </c>
      <c r="CR40" s="3">
        <v>28.396816372939167</v>
      </c>
      <c r="CS40" s="3">
        <v>6.8130447335748201</v>
      </c>
      <c r="CT40" s="3">
        <v>2.7027027027027026</v>
      </c>
      <c r="CU40" s="8">
        <v>4.1680067405104639E-2</v>
      </c>
      <c r="CV40" s="9">
        <v>2.9808732122182845E-2</v>
      </c>
      <c r="CW40" s="3">
        <v>0.06</v>
      </c>
      <c r="CX40" s="3">
        <v>62.327198178738861</v>
      </c>
      <c r="CY40" s="3">
        <v>212266881.65990809</v>
      </c>
      <c r="CZ40" s="3">
        <v>4.1680067405104639E-2</v>
      </c>
      <c r="DA40" s="3">
        <v>21.22328604941784</v>
      </c>
      <c r="DB40" s="3">
        <v>623371892.98557758</v>
      </c>
      <c r="DC40" s="3">
        <v>3.9596064034849401E-2</v>
      </c>
      <c r="DD40" s="3">
        <v>11.027008102744158</v>
      </c>
      <c r="DE40" s="3">
        <v>1199781470.7969253</v>
      </c>
      <c r="DF40" s="3">
        <v>3.6678459316492079E-2</v>
      </c>
      <c r="DG40" s="3">
        <v>7.0271584535114107</v>
      </c>
      <c r="DH40" s="3">
        <v>1882695557.1763268</v>
      </c>
      <c r="DI40" s="3">
        <v>3.3344053924083711E-2</v>
      </c>
      <c r="DJ40" s="3">
        <v>4.1150639718377739</v>
      </c>
      <c r="DK40" s="3">
        <v>3215016847.9863329</v>
      </c>
      <c r="DL40" s="3">
        <v>2.9176047183573244E-2</v>
      </c>
      <c r="DM40" s="3">
        <v>216000000</v>
      </c>
      <c r="DN40" s="3">
        <v>4.1680067405104639E-2</v>
      </c>
      <c r="DO40" s="3">
        <v>13230000000</v>
      </c>
      <c r="DP40" s="3">
        <v>2365919300</v>
      </c>
      <c r="DQ40" s="3">
        <v>3273</v>
      </c>
      <c r="DR40" s="3">
        <v>-0.54472266375398903</v>
      </c>
      <c r="DS40" s="3">
        <v>-0.59079946531973881</v>
      </c>
      <c r="DT40" s="10">
        <v>-0.49</v>
      </c>
      <c r="DU40" s="3">
        <v>-0.15333333333333335</v>
      </c>
      <c r="DV40" s="3">
        <v>-0.64333333333333331</v>
      </c>
      <c r="DW40" s="3">
        <v>-8.2080000000000002</v>
      </c>
      <c r="DX40" s="3">
        <v>0.36310747349240002</v>
      </c>
      <c r="DY40" s="3">
        <v>-8.0256063544864187</v>
      </c>
      <c r="DZ40" s="3">
        <v>631</v>
      </c>
      <c r="EA40" s="3">
        <v>-8.0224443956447491</v>
      </c>
      <c r="EB40" s="3">
        <v>8</v>
      </c>
      <c r="EC40" s="3">
        <v>3.5791555555555549E-2</v>
      </c>
      <c r="ED40" s="3">
        <v>0.29073422222222228</v>
      </c>
      <c r="EE40" s="11">
        <v>-2.0883099999999999</v>
      </c>
      <c r="EF40" s="3">
        <v>-2.1140099999999999</v>
      </c>
      <c r="EG40" s="3">
        <v>24.1231074734924</v>
      </c>
      <c r="EH40" s="3" t="s">
        <v>714</v>
      </c>
      <c r="EI40" s="3">
        <v>0</v>
      </c>
      <c r="EJ40" s="3">
        <v>1</v>
      </c>
      <c r="EK40" s="12">
        <v>45470</v>
      </c>
      <c r="EL40" s="13">
        <v>-0.71</v>
      </c>
      <c r="EM40" s="13">
        <v>-4.51</v>
      </c>
      <c r="EN40" s="13">
        <v>-0.75</v>
      </c>
      <c r="EO40" s="13">
        <v>3.02</v>
      </c>
      <c r="EP40" s="13">
        <v>-2.57</v>
      </c>
    </row>
    <row r="41" spans="1:146" ht="96" x14ac:dyDescent="0.25">
      <c r="A41" s="6" t="s">
        <v>481</v>
      </c>
      <c r="C41" s="6" t="s">
        <v>527</v>
      </c>
      <c r="D41" s="3" t="s">
        <v>68</v>
      </c>
      <c r="E41" s="3" t="s">
        <v>873</v>
      </c>
      <c r="F41" s="3">
        <v>2.88</v>
      </c>
      <c r="G41" s="3">
        <v>-0.69</v>
      </c>
      <c r="H41" s="3" t="s">
        <v>202</v>
      </c>
      <c r="I41" s="3">
        <v>12010444700</v>
      </c>
      <c r="J41" s="3">
        <v>51.66</v>
      </c>
      <c r="K41" s="3">
        <v>3.06</v>
      </c>
      <c r="L41" s="3" t="s">
        <v>1310</v>
      </c>
      <c r="M41" s="3" t="s">
        <v>1212</v>
      </c>
      <c r="N41" s="3" t="s">
        <v>2045</v>
      </c>
      <c r="O41" s="3" t="s">
        <v>1213</v>
      </c>
      <c r="P41" s="3">
        <v>13.02</v>
      </c>
      <c r="Q41" s="3" t="s">
        <v>1213</v>
      </c>
      <c r="R41" s="3">
        <v>149500000</v>
      </c>
      <c r="S41" s="4">
        <v>4.7469999999999999</v>
      </c>
      <c r="T41" s="3" t="s">
        <v>2046</v>
      </c>
      <c r="U41" s="3">
        <v>4170293300</v>
      </c>
      <c r="V41" s="3">
        <v>4170293300</v>
      </c>
      <c r="W41" s="3">
        <v>1.45</v>
      </c>
      <c r="X41" s="3">
        <v>0.14000000000000001</v>
      </c>
      <c r="Y41" s="3">
        <v>10</v>
      </c>
      <c r="Z41" s="3" t="s">
        <v>2047</v>
      </c>
      <c r="AA41" s="3" t="s">
        <v>2048</v>
      </c>
      <c r="AB41" s="3" t="s">
        <v>2049</v>
      </c>
      <c r="AC41" s="3" t="s">
        <v>2050</v>
      </c>
      <c r="AD41" s="3" t="s">
        <v>30</v>
      </c>
      <c r="AE41" s="3">
        <v>-3476915</v>
      </c>
      <c r="AF41" s="3" t="s">
        <v>1215</v>
      </c>
      <c r="AG41" s="3" t="s">
        <v>2051</v>
      </c>
      <c r="AH41" s="3" t="s">
        <v>1216</v>
      </c>
      <c r="AI41" s="3" t="s">
        <v>2052</v>
      </c>
      <c r="AJ41" s="3" t="s">
        <v>1217</v>
      </c>
      <c r="AK41" s="3" t="s">
        <v>2053</v>
      </c>
      <c r="AL41" s="3" t="s">
        <v>1218</v>
      </c>
      <c r="AM41" s="3" t="s">
        <v>30</v>
      </c>
      <c r="AN41" s="3" t="s">
        <v>339</v>
      </c>
      <c r="AO41" s="3" t="s">
        <v>2054</v>
      </c>
      <c r="AP41" s="3" t="s">
        <v>337</v>
      </c>
      <c r="AQ41" s="3" t="s">
        <v>1032</v>
      </c>
      <c r="AR41" s="3" t="s">
        <v>2055</v>
      </c>
      <c r="AS41" s="3" t="s">
        <v>2056</v>
      </c>
      <c r="AT41" s="3" t="s">
        <v>112</v>
      </c>
      <c r="AU41" s="3" t="s">
        <v>251</v>
      </c>
      <c r="AV41" s="3" t="s">
        <v>2057</v>
      </c>
      <c r="AW41" s="3" t="s">
        <v>191</v>
      </c>
      <c r="AX41" s="3" t="s">
        <v>857</v>
      </c>
      <c r="AY41" s="3" t="s">
        <v>579</v>
      </c>
      <c r="AZ41" s="3" t="s">
        <v>414</v>
      </c>
      <c r="BA41" s="3" t="s">
        <v>169</v>
      </c>
      <c r="BB41" s="3" t="s">
        <v>416</v>
      </c>
      <c r="BC41" s="3" t="s">
        <v>858</v>
      </c>
      <c r="BD41" s="3" t="s">
        <v>580</v>
      </c>
      <c r="BE41" s="3" t="s">
        <v>581</v>
      </c>
      <c r="BF41" s="3" t="s">
        <v>273</v>
      </c>
      <c r="BG41" s="3" t="s">
        <v>417</v>
      </c>
      <c r="BH41" s="3" t="s">
        <v>1214</v>
      </c>
      <c r="BI41" s="3" t="s">
        <v>1937</v>
      </c>
      <c r="BJ41" s="3" t="s">
        <v>857</v>
      </c>
      <c r="BK41" s="3" t="s">
        <v>126</v>
      </c>
      <c r="BL41" s="3" t="s">
        <v>2058</v>
      </c>
      <c r="BM41" s="3" t="s">
        <v>858</v>
      </c>
      <c r="BN41" s="3">
        <v>2.76</v>
      </c>
      <c r="BO41" s="3" t="s">
        <v>30</v>
      </c>
      <c r="BP41" s="3" t="s">
        <v>30</v>
      </c>
      <c r="BQ41" s="3">
        <v>3.27</v>
      </c>
      <c r="BR41" s="3" t="s">
        <v>30</v>
      </c>
      <c r="BS41" s="3" t="s">
        <v>30</v>
      </c>
      <c r="BT41" s="3" t="s">
        <v>700</v>
      </c>
      <c r="BU41" s="3" t="s">
        <v>651</v>
      </c>
      <c r="BV41" s="3">
        <v>18.28</v>
      </c>
      <c r="BW41" s="3">
        <v>16.23</v>
      </c>
      <c r="BX41" s="3">
        <v>15.82</v>
      </c>
      <c r="BY41" s="3">
        <v>4.29</v>
      </c>
      <c r="BZ41" s="3">
        <v>-8.6999999999999993</v>
      </c>
      <c r="CA41" s="3">
        <v>-22.35</v>
      </c>
      <c r="CB41" s="3">
        <v>-4</v>
      </c>
      <c r="CC41" s="3">
        <v>13.83</v>
      </c>
      <c r="CD41" s="3" t="s">
        <v>2059</v>
      </c>
      <c r="CE41" s="3" t="s">
        <v>2060</v>
      </c>
      <c r="CF41" s="8">
        <v>-0.46892265193370164</v>
      </c>
      <c r="CG41" s="9">
        <v>2.1115430964328605</v>
      </c>
      <c r="CH41" s="8">
        <v>-0.84270811080932617</v>
      </c>
      <c r="CI41" s="8">
        <v>-9.9963195621967316E-2</v>
      </c>
      <c r="CJ41" s="8">
        <v>-9.0574279427528381E-2</v>
      </c>
      <c r="CK41" s="8">
        <v>2.4528311565518379E-2</v>
      </c>
      <c r="CL41" s="8">
        <v>2.262759767472744E-2</v>
      </c>
      <c r="CM41" s="9">
        <v>1.1813901662826538</v>
      </c>
      <c r="CN41" s="9">
        <v>0.65016502141952515</v>
      </c>
      <c r="CO41" s="9">
        <v>-0.31739130616188049</v>
      </c>
      <c r="CP41" s="9">
        <v>0.30670690536499023</v>
      </c>
      <c r="CQ41" s="9">
        <v>-25.091005325317383</v>
      </c>
      <c r="CR41" s="3">
        <v>-19.211548480384394</v>
      </c>
      <c r="CS41" s="3">
        <v>-0.97412785753234832</v>
      </c>
      <c r="CT41" s="3">
        <v>0</v>
      </c>
      <c r="CU41" s="8">
        <v>-0.1972179353237152</v>
      </c>
      <c r="CV41" s="9">
        <v>-4.654026907682419</v>
      </c>
      <c r="CW41" s="3">
        <v>0.06</v>
      </c>
      <c r="CX41" s="3">
        <v>129.01471991720129</v>
      </c>
      <c r="CY41" s="3" t="s">
        <v>2061</v>
      </c>
      <c r="CZ41" s="3">
        <v>-0.1972179353237152</v>
      </c>
      <c r="DA41" s="3">
        <v>43.004906639067094</v>
      </c>
      <c r="DB41" s="3" t="s">
        <v>2062</v>
      </c>
      <c r="DC41" s="3">
        <v>-0.18735703855752944</v>
      </c>
      <c r="DD41" s="3">
        <v>21.502453319533547</v>
      </c>
      <c r="DE41" s="3" t="s">
        <v>2063</v>
      </c>
      <c r="DF41" s="3">
        <v>-0.17355178308486938</v>
      </c>
      <c r="DG41" s="3">
        <v>12.901471991720127</v>
      </c>
      <c r="DH41" s="3" t="s">
        <v>2064</v>
      </c>
      <c r="DI41" s="3">
        <v>-0.15777434825897219</v>
      </c>
      <c r="DJ41" s="3">
        <v>6.4507359958600636</v>
      </c>
      <c r="DK41" s="3" t="s">
        <v>2065</v>
      </c>
      <c r="DL41" s="3">
        <v>-0.13805255472660063</v>
      </c>
      <c r="DM41" s="3">
        <v>76909400</v>
      </c>
      <c r="DN41" s="3">
        <v>-0.1972179353237152</v>
      </c>
      <c r="DO41" s="3">
        <v>9922444700</v>
      </c>
      <c r="DP41" s="3">
        <v>1153296000</v>
      </c>
      <c r="DQ41" s="3">
        <v>3308</v>
      </c>
      <c r="DR41" s="3">
        <v>-0.27170471660998641</v>
      </c>
      <c r="DS41" s="3">
        <v>6.7655700041152791</v>
      </c>
      <c r="DT41" s="10">
        <v>-0.77333333333333332</v>
      </c>
      <c r="DU41" s="3">
        <v>-0.65</v>
      </c>
      <c r="DV41" s="3">
        <v>-1.4233333333333333</v>
      </c>
      <c r="DW41" s="3">
        <v>-6.2243409983174427</v>
      </c>
      <c r="DX41" s="3">
        <v>0.4019880526142468</v>
      </c>
      <c r="DY41" s="3">
        <v>-6.0498010213380251</v>
      </c>
      <c r="DZ41" s="3">
        <v>1208</v>
      </c>
      <c r="EA41" s="3">
        <v>-6.0380280988769028</v>
      </c>
      <c r="EB41" s="3">
        <v>6</v>
      </c>
      <c r="EC41" s="3">
        <v>0.15154809375158337</v>
      </c>
      <c r="ED41" s="3">
        <v>0.68268579574486998</v>
      </c>
      <c r="EE41" s="11">
        <v>5.2699999999999997E-2</v>
      </c>
      <c r="EF41" s="3">
        <v>3.6999999999999991E-2</v>
      </c>
      <c r="EG41" s="3">
        <v>18.221988052614247</v>
      </c>
      <c r="EH41" s="3" t="s">
        <v>607</v>
      </c>
      <c r="EI41" s="3">
        <v>0</v>
      </c>
      <c r="EJ41" s="3">
        <v>1</v>
      </c>
      <c r="EK41" s="12">
        <v>45470</v>
      </c>
      <c r="EL41" s="13">
        <v>-2.2599999999999998</v>
      </c>
      <c r="EM41" s="13">
        <v>0.53</v>
      </c>
      <c r="EN41" s="13">
        <v>7.0000000000000007E-2</v>
      </c>
      <c r="EO41" s="13">
        <v>0.12</v>
      </c>
      <c r="EP41" s="13">
        <v>-1.57</v>
      </c>
    </row>
    <row r="42" spans="1:146" ht="288" x14ac:dyDescent="0.25">
      <c r="A42" s="6" t="s">
        <v>710</v>
      </c>
      <c r="C42" s="6" t="str">
        <f>"公司主要从事覆铜板材料,功能性复合材料,交通物流用复合材料和锂电池软包用铝塑复合材料等产品的设计,研发,生产及销售。"&amp;CHAR(10)&amp;Basic_Fundamental_Information_Constructure(F42)&amp;CHAR(10)&amp;Basic_Fundamental_Information_Concatenate("覆铜板 26.93亿 74.40% 70.32% 15.60%
交通物流用复合材料 3.33亿 9.20% 8.64% 15.50%
导热材料 2.21亿 6.11% 5.92% 16.00%
功能性符合材料 1.71亿 4.74% 7.23% 25.22%
其他业务 1.15亿 3.19% 7.48% 38.74%")</f>
        <v>公司主要从事覆铜板材料,功能性复合材料,交通物流用复合材料和锂电池软包用铝塑复合材料等产品的设计,研发,生产及销售。
市值31.501214亿, 利润-99.27万; PE; 平均PE33; 平均PEG26.51, PB2.1; ROIC8.13%; ROE5.2433%; 股利率0%; 毛利12.7933%; 净利1.4333%; 上一年度营收增-73.98%, 利润增-102.75%; 当季营收增-45.92%, 利润增91.19%; 过往5年营收增1.24%, 利润增-6.88%
Income profile:
覆铜板 26.93亿 74.40% 70.32% 15.60%
交通物流用复合材料 3.33亿 9.20% 8.64% 15.50%
导热材料 2.21亿 6.11% 5.92% 16.00%
功能性符合材料 1.71亿 4.74% 7.23% 25.22%
其他业务 1.15亿 3.19% 7.48% 38.74%</v>
      </c>
      <c r="D42" s="3" t="s">
        <v>42</v>
      </c>
      <c r="E42" s="3" t="s">
        <v>7</v>
      </c>
      <c r="F42" s="3">
        <v>22.18</v>
      </c>
      <c r="G42" s="3">
        <v>-0.54</v>
      </c>
      <c r="H42" s="3" t="s">
        <v>2066</v>
      </c>
      <c r="I42" s="3">
        <v>3150121400</v>
      </c>
      <c r="K42" s="3">
        <v>2.1</v>
      </c>
      <c r="L42" s="3" t="s">
        <v>1310</v>
      </c>
      <c r="M42" s="3" t="s">
        <v>1219</v>
      </c>
      <c r="N42" s="3" t="s">
        <v>2067</v>
      </c>
      <c r="O42" s="3" t="s">
        <v>938</v>
      </c>
      <c r="P42" s="3">
        <v>12.79</v>
      </c>
      <c r="Q42" s="3" t="s">
        <v>938</v>
      </c>
      <c r="R42" s="3">
        <v>-992740</v>
      </c>
      <c r="S42" s="4">
        <v>0.87270000000000003</v>
      </c>
      <c r="T42" s="3" t="s">
        <v>2068</v>
      </c>
      <c r="U42" s="3">
        <v>142025310</v>
      </c>
      <c r="V42" s="3">
        <v>142025310</v>
      </c>
      <c r="W42" s="3">
        <v>3.84</v>
      </c>
      <c r="X42" s="3">
        <v>0.14000000000000001</v>
      </c>
      <c r="Y42" s="3">
        <v>-0.1</v>
      </c>
      <c r="Z42" s="3" t="s">
        <v>2069</v>
      </c>
      <c r="AA42" s="3" t="s">
        <v>1213</v>
      </c>
      <c r="AB42" s="3" t="s">
        <v>2070</v>
      </c>
      <c r="AC42" s="3" t="s">
        <v>2071</v>
      </c>
      <c r="AD42" s="3" t="s">
        <v>30</v>
      </c>
      <c r="AE42" s="3">
        <v>17271784</v>
      </c>
      <c r="AF42" s="3" t="s">
        <v>1221</v>
      </c>
      <c r="AG42" s="3" t="s">
        <v>2072</v>
      </c>
      <c r="AH42" s="3" t="s">
        <v>1222</v>
      </c>
      <c r="AI42" s="3" t="s">
        <v>2073</v>
      </c>
      <c r="AJ42" s="3" t="s">
        <v>1223</v>
      </c>
      <c r="AK42" s="3" t="s">
        <v>2074</v>
      </c>
      <c r="AL42" s="3" t="s">
        <v>1224</v>
      </c>
      <c r="AM42" s="3" t="s">
        <v>30</v>
      </c>
      <c r="AN42" s="3" t="s">
        <v>374</v>
      </c>
      <c r="AO42" s="3" t="s">
        <v>903</v>
      </c>
      <c r="AP42" s="3" t="s">
        <v>2075</v>
      </c>
      <c r="AQ42" s="3" t="s">
        <v>309</v>
      </c>
      <c r="AR42" s="3" t="s">
        <v>30</v>
      </c>
      <c r="AS42" s="3" t="s">
        <v>2076</v>
      </c>
      <c r="AT42" s="3" t="s">
        <v>2077</v>
      </c>
      <c r="AU42" s="3" t="s">
        <v>2078</v>
      </c>
      <c r="AV42" s="3" t="s">
        <v>2079</v>
      </c>
      <c r="AW42" s="3" t="s">
        <v>1910</v>
      </c>
      <c r="AX42" s="3" t="s">
        <v>430</v>
      </c>
      <c r="AY42" s="3" t="s">
        <v>582</v>
      </c>
      <c r="AZ42" s="3" t="s">
        <v>421</v>
      </c>
      <c r="BA42" s="3" t="s">
        <v>176</v>
      </c>
      <c r="BB42" s="3" t="s">
        <v>422</v>
      </c>
      <c r="BC42" s="3" t="s">
        <v>860</v>
      </c>
      <c r="BD42" s="3" t="s">
        <v>196</v>
      </c>
      <c r="BE42" s="3" t="s">
        <v>123</v>
      </c>
      <c r="BF42" s="3" t="s">
        <v>88</v>
      </c>
      <c r="BG42" s="3" t="s">
        <v>424</v>
      </c>
      <c r="BH42" s="3" t="s">
        <v>1220</v>
      </c>
      <c r="BI42" s="3" t="s">
        <v>684</v>
      </c>
      <c r="BJ42" s="3" t="s">
        <v>430</v>
      </c>
      <c r="BK42" s="3" t="s">
        <v>913</v>
      </c>
      <c r="BL42" s="3" t="s">
        <v>2080</v>
      </c>
      <c r="BM42" s="3" t="s">
        <v>860</v>
      </c>
      <c r="BN42" s="3" t="s">
        <v>30</v>
      </c>
      <c r="BO42" s="3">
        <v>6.28</v>
      </c>
      <c r="BP42" s="3">
        <v>9.98</v>
      </c>
      <c r="BQ42" s="3">
        <v>-1.84</v>
      </c>
      <c r="BR42" s="3">
        <v>2.21</v>
      </c>
      <c r="BS42" s="3">
        <v>15.36</v>
      </c>
      <c r="BT42" s="3" t="s">
        <v>700</v>
      </c>
      <c r="BU42" s="3" t="s">
        <v>651</v>
      </c>
      <c r="BV42" s="3">
        <v>8.89</v>
      </c>
      <c r="BW42" s="3">
        <v>12.98</v>
      </c>
      <c r="BX42" s="3">
        <v>16.510000000000002</v>
      </c>
      <c r="BY42" s="3">
        <v>-3.58</v>
      </c>
      <c r="BZ42" s="3">
        <v>1.24</v>
      </c>
      <c r="CA42" s="3">
        <v>6.64</v>
      </c>
      <c r="CB42" s="3">
        <v>-6.73</v>
      </c>
      <c r="CC42" s="3">
        <v>-12.95</v>
      </c>
      <c r="CD42" s="3" t="s">
        <v>2081</v>
      </c>
      <c r="CE42" s="3" t="s">
        <v>310</v>
      </c>
      <c r="CF42" s="8">
        <v>-0.45920303605313084</v>
      </c>
      <c r="CG42" s="9">
        <v>0.91191304347826085</v>
      </c>
      <c r="CH42" s="8">
        <v>-0.73980522155761719</v>
      </c>
      <c r="CI42" s="8">
        <v>-9.2265158891677856E-2</v>
      </c>
      <c r="CJ42" s="8">
        <v>0.58493870496749878</v>
      </c>
      <c r="CK42" s="8">
        <v>0.1273445188999176</v>
      </c>
      <c r="CL42" s="8">
        <v>0.1820303350687027</v>
      </c>
      <c r="CM42" s="9">
        <v>-1.0275139808654785</v>
      </c>
      <c r="CN42" s="9">
        <v>-0.84840375185012817</v>
      </c>
      <c r="CO42" s="9">
        <v>0.90399998426437378</v>
      </c>
      <c r="CP42" s="9">
        <v>0.22549019753932953</v>
      </c>
      <c r="CQ42" s="9">
        <v>0.4022219181060791</v>
      </c>
      <c r="CR42" s="3">
        <v>32.995416956092825</v>
      </c>
      <c r="CS42" s="3">
        <v>26.505247448985489</v>
      </c>
      <c r="CT42" s="3">
        <v>0</v>
      </c>
      <c r="CU42" s="8">
        <v>1.2448635697364808E-2</v>
      </c>
      <c r="CV42" s="9">
        <v>-6.8841126561164853E-2</v>
      </c>
      <c r="CW42" s="3">
        <v>0.06</v>
      </c>
      <c r="CX42" s="3" t="e">
        <v>#VALUE!</v>
      </c>
      <c r="CY42" s="3" t="s">
        <v>612</v>
      </c>
      <c r="CZ42" s="3">
        <v>1.2448635697364808E-2</v>
      </c>
      <c r="DA42" s="3" t="e">
        <v>#VALUE!</v>
      </c>
      <c r="DB42" s="3" t="s">
        <v>613</v>
      </c>
      <c r="DC42" s="3">
        <v>1.1826203912496567E-2</v>
      </c>
      <c r="DD42" s="3" t="e">
        <v>#VALUE!</v>
      </c>
      <c r="DE42" s="3" t="s">
        <v>613</v>
      </c>
      <c r="DF42" s="3">
        <v>1.0954799413681032E-2</v>
      </c>
      <c r="DG42" s="3" t="e">
        <v>#VALUE!</v>
      </c>
      <c r="DH42" s="3" t="s">
        <v>613</v>
      </c>
      <c r="DI42" s="3">
        <v>9.9589085578918463E-3</v>
      </c>
      <c r="DJ42" s="3" t="e">
        <v>#VALUE!</v>
      </c>
      <c r="DK42" s="3" t="s">
        <v>613</v>
      </c>
      <c r="DL42" s="3">
        <v>8.7140449881553655E-3</v>
      </c>
      <c r="DM42" s="3">
        <v>-992700</v>
      </c>
      <c r="DN42" s="3">
        <v>1.2448635697364808E-2</v>
      </c>
      <c r="DO42" s="3">
        <v>5781121400</v>
      </c>
      <c r="DP42" s="3">
        <v>-256440800</v>
      </c>
      <c r="DQ42" s="3">
        <v>3992</v>
      </c>
      <c r="DR42" s="3">
        <v>-0.47165167175049566</v>
      </c>
      <c r="DS42" s="3">
        <v>0.98075417003942567</v>
      </c>
      <c r="DT42" s="10">
        <v>-0.54</v>
      </c>
      <c r="DU42" s="3">
        <v>-1.0250000000000001</v>
      </c>
      <c r="DV42" s="3">
        <v>-1.5650000000000002</v>
      </c>
      <c r="DW42" s="3">
        <v>-9.5196911196911191</v>
      </c>
      <c r="DX42" s="3">
        <v>0.24408205128205282</v>
      </c>
      <c r="DY42" s="3">
        <v>-9.0436966953766955</v>
      </c>
      <c r="DZ42" s="3">
        <v>597</v>
      </c>
      <c r="EA42" s="3">
        <v>-9.0385916215724116</v>
      </c>
      <c r="EB42" s="3">
        <v>9</v>
      </c>
      <c r="EC42" s="3">
        <v>6.9266527212649628E-2</v>
      </c>
      <c r="ED42" s="3">
        <v>0.82379682888916073</v>
      </c>
      <c r="EE42" s="11">
        <v>1.0559099999999999</v>
      </c>
      <c r="EF42" s="3">
        <v>1.0822099999999999</v>
      </c>
      <c r="EG42" s="3">
        <v>16.084082051282053</v>
      </c>
      <c r="EH42" s="3" t="s">
        <v>1307</v>
      </c>
      <c r="EI42" s="3">
        <v>0</v>
      </c>
      <c r="EJ42" s="3">
        <v>1</v>
      </c>
      <c r="EK42" s="12">
        <v>45470</v>
      </c>
      <c r="EL42" s="13">
        <v>-0.77</v>
      </c>
      <c r="EM42" s="13">
        <v>-4.4000000000000004</v>
      </c>
      <c r="EN42" s="13">
        <v>-0.41</v>
      </c>
      <c r="EO42" s="13">
        <v>4.38</v>
      </c>
      <c r="EP42" s="13">
        <v>-2.63</v>
      </c>
    </row>
    <row r="43" spans="1:146" ht="96" x14ac:dyDescent="0.25">
      <c r="C43" s="6" t="str">
        <f>""&amp;CHAR(10)&amp;Basic_Fundamental_Information_Constructure(F43)&amp;CHAR(10)&amp;Basic_Fundamental_Information_Concatenate("")</f>
        <v xml:space="preserve">
市值256.85716亿, 利润3.18亿; PE24.64; 平均PE31.58; 平均PEG15.97, PB2.94; ROIC9.3167%; ROE11.9433%; 股利率1.6661%; 毛利22.97%; 净利9.5033%; 上一年度营收增-73.91%, 利润增-70.17%; 当季营收增-44.71%, 利润增65.79%; 过往5年营收增1.98%, 利润增-8.07%
Income profile:
</v>
      </c>
      <c r="D43" s="3" t="s">
        <v>53</v>
      </c>
      <c r="E43" s="3" t="s">
        <v>2082</v>
      </c>
      <c r="F43" s="3">
        <v>30.01</v>
      </c>
      <c r="G43" s="3">
        <v>-3.78</v>
      </c>
      <c r="H43" s="3" t="s">
        <v>2083</v>
      </c>
      <c r="I43" s="3">
        <v>25685716000</v>
      </c>
      <c r="J43" s="3">
        <v>24.64</v>
      </c>
      <c r="K43" s="3">
        <v>2.94</v>
      </c>
      <c r="L43" s="3" t="s">
        <v>1310</v>
      </c>
      <c r="M43" s="3" t="s">
        <v>1226</v>
      </c>
      <c r="N43" s="3" t="s">
        <v>2084</v>
      </c>
      <c r="O43" s="3" t="s">
        <v>909</v>
      </c>
      <c r="P43" s="3">
        <v>17.16</v>
      </c>
      <c r="Q43" s="3" t="s">
        <v>909</v>
      </c>
      <c r="R43" s="3">
        <v>669785000</v>
      </c>
      <c r="S43" s="4">
        <v>0.503</v>
      </c>
      <c r="T43" s="3" t="s">
        <v>617</v>
      </c>
      <c r="U43" s="3">
        <v>855905240</v>
      </c>
      <c r="V43" s="3">
        <v>855905240</v>
      </c>
      <c r="W43" s="3">
        <v>1.88</v>
      </c>
      <c r="X43" s="3">
        <v>0.16</v>
      </c>
      <c r="Y43" s="3">
        <v>11.57</v>
      </c>
      <c r="Z43" s="3" t="s">
        <v>2085</v>
      </c>
      <c r="AA43" s="3" t="s">
        <v>2086</v>
      </c>
      <c r="AB43" s="3" t="s">
        <v>2087</v>
      </c>
      <c r="AC43" s="3" t="s">
        <v>102</v>
      </c>
      <c r="AD43" s="3" t="s">
        <v>30</v>
      </c>
      <c r="AE43" s="3">
        <v>29156134</v>
      </c>
      <c r="AF43" s="3" t="s">
        <v>1229</v>
      </c>
      <c r="AG43" s="3" t="s">
        <v>2088</v>
      </c>
      <c r="AH43" s="3" t="s">
        <v>1230</v>
      </c>
      <c r="AI43" s="3" t="s">
        <v>2089</v>
      </c>
      <c r="AJ43" s="3" t="s">
        <v>1231</v>
      </c>
      <c r="AK43" s="3" t="s">
        <v>2090</v>
      </c>
      <c r="AL43" s="3" t="s">
        <v>1232</v>
      </c>
      <c r="AM43" s="3" t="s">
        <v>30</v>
      </c>
      <c r="AN43" s="3" t="s">
        <v>1508</v>
      </c>
      <c r="AO43" s="3" t="s">
        <v>2091</v>
      </c>
      <c r="AP43" s="3" t="s">
        <v>2092</v>
      </c>
      <c r="AQ43" s="3" t="s">
        <v>2093</v>
      </c>
      <c r="AR43" s="3" t="s">
        <v>30</v>
      </c>
      <c r="AS43" s="3" t="s">
        <v>2094</v>
      </c>
      <c r="AT43" s="3" t="s">
        <v>809</v>
      </c>
      <c r="AU43" s="3" t="s">
        <v>178</v>
      </c>
      <c r="AV43" s="3" t="s">
        <v>2095</v>
      </c>
      <c r="AW43" s="3" t="s">
        <v>2096</v>
      </c>
      <c r="AX43" s="3" t="s">
        <v>861</v>
      </c>
      <c r="AY43" s="3" t="s">
        <v>583</v>
      </c>
      <c r="AZ43" s="3" t="s">
        <v>425</v>
      </c>
      <c r="BA43" s="3" t="s">
        <v>183</v>
      </c>
      <c r="BB43" s="3" t="s">
        <v>426</v>
      </c>
      <c r="BC43" s="3" t="s">
        <v>658</v>
      </c>
      <c r="BD43" s="3" t="s">
        <v>584</v>
      </c>
      <c r="BE43" s="3" t="s">
        <v>418</v>
      </c>
      <c r="BF43" s="3" t="s">
        <v>278</v>
      </c>
      <c r="BG43" s="3" t="s">
        <v>427</v>
      </c>
      <c r="BH43" s="3" t="s">
        <v>1227</v>
      </c>
      <c r="BI43" s="3" t="s">
        <v>2097</v>
      </c>
      <c r="BJ43" s="3" t="s">
        <v>861</v>
      </c>
      <c r="BK43" s="3" t="s">
        <v>1228</v>
      </c>
      <c r="BL43" s="3" t="s">
        <v>2098</v>
      </c>
      <c r="BM43" s="3" t="s">
        <v>658</v>
      </c>
      <c r="BN43" s="3">
        <v>6.39</v>
      </c>
      <c r="BO43" s="3">
        <v>11</v>
      </c>
      <c r="BP43" s="3">
        <v>10.56</v>
      </c>
      <c r="BQ43" s="3">
        <v>8.4</v>
      </c>
      <c r="BR43" s="3">
        <v>13.85</v>
      </c>
      <c r="BS43" s="3">
        <v>13.58</v>
      </c>
      <c r="BT43" s="3" t="s">
        <v>703</v>
      </c>
      <c r="BU43" s="3" t="s">
        <v>651</v>
      </c>
      <c r="BV43" s="3">
        <v>23.17</v>
      </c>
      <c r="BW43" s="3">
        <v>22.35</v>
      </c>
      <c r="BX43" s="3">
        <v>23.39</v>
      </c>
      <c r="BY43" s="3">
        <v>8.4700000000000006</v>
      </c>
      <c r="BZ43" s="3">
        <v>10.28</v>
      </c>
      <c r="CA43" s="3">
        <v>9.76</v>
      </c>
      <c r="CB43" s="3">
        <v>-5.63</v>
      </c>
      <c r="CC43" s="3">
        <v>18.8</v>
      </c>
      <c r="CD43" s="3" t="s">
        <v>609</v>
      </c>
      <c r="CE43" s="3" t="s">
        <v>2099</v>
      </c>
      <c r="CF43" s="8">
        <v>-0.4470872807901633</v>
      </c>
      <c r="CG43" s="9">
        <v>0.65788366336633664</v>
      </c>
      <c r="CH43" s="8">
        <v>-0.73910975456237793</v>
      </c>
      <c r="CI43" s="8">
        <v>0.10302136093378067</v>
      </c>
      <c r="CJ43" s="8">
        <v>0.34937715530395508</v>
      </c>
      <c r="CK43" s="8">
        <v>0.1156032383441925</v>
      </c>
      <c r="CL43" s="8">
        <v>0.26995596289634705</v>
      </c>
      <c r="CM43" s="9">
        <v>-0.70168852806091309</v>
      </c>
      <c r="CN43" s="9">
        <v>0.14010694622993469</v>
      </c>
      <c r="CO43" s="9">
        <v>1.5200868248939514E-2</v>
      </c>
      <c r="CP43" s="9">
        <v>0.10035842657089233</v>
      </c>
      <c r="CQ43" s="9">
        <v>4.2341221123933792E-2</v>
      </c>
      <c r="CR43" s="3">
        <v>31.580798360655738</v>
      </c>
      <c r="CS43" s="3">
        <v>15.974430544170938</v>
      </c>
      <c r="CT43" s="3">
        <v>1.6661112962345883</v>
      </c>
      <c r="CU43" s="8">
        <v>1.9769592583179472E-2</v>
      </c>
      <c r="CV43" s="9">
        <v>-8.0736213177442548E-2</v>
      </c>
      <c r="CW43" s="3">
        <v>0.06</v>
      </c>
      <c r="CX43" s="3">
        <v>80.605515139076488</v>
      </c>
      <c r="CY43" s="3">
        <v>305930877.77495384</v>
      </c>
      <c r="CZ43" s="3">
        <v>1.9769592583179472E-2</v>
      </c>
      <c r="DA43" s="3">
        <v>27.968035396091043</v>
      </c>
      <c r="DB43" s="3">
        <v>881710697.61469805</v>
      </c>
      <c r="DC43" s="3">
        <v>1.8781112954020497E-2</v>
      </c>
      <c r="DD43" s="3">
        <v>14.883260264904933</v>
      </c>
      <c r="DE43" s="3">
        <v>1656875950.6375208</v>
      </c>
      <c r="DF43" s="3">
        <v>1.7397241473197936E-2</v>
      </c>
      <c r="DG43" s="3">
        <v>9.7278883684382578</v>
      </c>
      <c r="DH43" s="3">
        <v>2534950553.093049</v>
      </c>
      <c r="DI43" s="3">
        <v>1.5815674066543578E-2</v>
      </c>
      <c r="DJ43" s="3">
        <v>5.9889299131355829</v>
      </c>
      <c r="DK43" s="3">
        <v>4117549605.2998695</v>
      </c>
      <c r="DL43" s="3">
        <v>1.3838714808225629E-2</v>
      </c>
      <c r="DM43" s="3">
        <v>318000000</v>
      </c>
      <c r="DN43" s="3">
        <v>1.9769592583179472E-2</v>
      </c>
      <c r="DO43" s="3">
        <v>24659716000</v>
      </c>
      <c r="DP43" s="3">
        <v>4104864400</v>
      </c>
      <c r="DQ43" s="3">
        <v>4027</v>
      </c>
      <c r="DR43" s="3">
        <v>-0.46685687337334275</v>
      </c>
      <c r="DS43" s="3">
        <v>0.73861987654377914</v>
      </c>
      <c r="DT43" s="10">
        <v>-0.54</v>
      </c>
      <c r="DU43" s="3">
        <v>0.10666666666666669</v>
      </c>
      <c r="DV43" s="3">
        <v>-0.43333333333333335</v>
      </c>
      <c r="DW43" s="3">
        <v>-6.2304543593941872</v>
      </c>
      <c r="DX43" s="3">
        <v>0.47065026362038581</v>
      </c>
      <c r="DY43" s="3">
        <v>-6.0623725331225042</v>
      </c>
      <c r="DZ43" s="3">
        <v>459</v>
      </c>
      <c r="EA43" s="3">
        <v>-6.0567699905191326</v>
      </c>
      <c r="EB43" s="3">
        <v>6</v>
      </c>
      <c r="EC43" s="3">
        <v>0.17992646008336158</v>
      </c>
      <c r="ED43" s="3">
        <v>0.66479321939891378</v>
      </c>
      <c r="EE43" s="11">
        <v>3.02081</v>
      </c>
      <c r="EF43" s="3">
        <v>3.02081</v>
      </c>
      <c r="EG43" s="3">
        <v>20.270650263620386</v>
      </c>
      <c r="EH43" s="3" t="s">
        <v>715</v>
      </c>
      <c r="EI43" s="3">
        <v>0</v>
      </c>
      <c r="EJ43" s="3">
        <v>1</v>
      </c>
      <c r="EK43" s="12">
        <v>45470</v>
      </c>
      <c r="EL43" s="13">
        <v>1.65</v>
      </c>
      <c r="EM43" s="13">
        <v>-2.11</v>
      </c>
      <c r="EN43" s="13">
        <v>1.1599999999999999</v>
      </c>
      <c r="EO43" s="13">
        <v>1.31</v>
      </c>
      <c r="EP43" s="13">
        <v>0</v>
      </c>
    </row>
    <row r="44" spans="1:146" ht="96" x14ac:dyDescent="0.25">
      <c r="C44" s="6" t="str">
        <f>""&amp;CHAR(10)&amp;Basic_Fundamental_Information_Constructure(F44)&amp;CHAR(10)&amp;Basic_Fundamental_Information_Concatenate("")</f>
        <v xml:space="preserve">
市值75.382417亿, 利润1.05亿; PE19.68; 平均PE23.54; 平均PEG1.49, PB1.94; ROIC6.0733%; ROE6.7667%; 股利率2.5695%; 毛利17.3567%; 净利8.3767%; 上一年度营收增-73.22%, 利润增-60.97%; 当季营收增-48.84%, 利润增-43.41%; 过往5年营收增-15.78%, 利润增-18.59%
Income profile:
</v>
      </c>
      <c r="D44" s="3" t="s">
        <v>65</v>
      </c>
      <c r="E44" s="3" t="s">
        <v>26</v>
      </c>
      <c r="F44" s="3">
        <v>7.55</v>
      </c>
      <c r="G44" s="3">
        <v>-2.58</v>
      </c>
      <c r="H44" s="3" t="s">
        <v>2100</v>
      </c>
      <c r="I44" s="3">
        <v>7538241700</v>
      </c>
      <c r="J44" s="3">
        <v>19.68</v>
      </c>
      <c r="K44" s="3">
        <v>1.94</v>
      </c>
      <c r="L44" s="3" t="s">
        <v>1310</v>
      </c>
      <c r="M44" s="3" t="s">
        <v>856</v>
      </c>
      <c r="N44" s="3" t="s">
        <v>2101</v>
      </c>
      <c r="O44" s="3" t="s">
        <v>912</v>
      </c>
      <c r="P44" s="3">
        <v>3.65</v>
      </c>
      <c r="Q44" s="3" t="s">
        <v>912</v>
      </c>
      <c r="R44" s="3">
        <v>104692073</v>
      </c>
      <c r="S44" s="4">
        <v>0.36749999999999999</v>
      </c>
      <c r="T44" s="3" t="s">
        <v>89</v>
      </c>
      <c r="U44" s="3">
        <v>998442610</v>
      </c>
      <c r="V44" s="3">
        <v>998442610</v>
      </c>
      <c r="W44" s="3">
        <v>1.3</v>
      </c>
      <c r="X44" s="3">
        <v>0.16</v>
      </c>
      <c r="Y44" s="3">
        <v>12.79</v>
      </c>
      <c r="Z44" s="3" t="s">
        <v>632</v>
      </c>
      <c r="AA44" s="3" t="s">
        <v>2102</v>
      </c>
      <c r="AB44" s="3" t="s">
        <v>2103</v>
      </c>
      <c r="AC44" s="3" t="s">
        <v>2104</v>
      </c>
      <c r="AD44" s="3" t="s">
        <v>30</v>
      </c>
      <c r="AE44" s="3">
        <v>-11208541</v>
      </c>
      <c r="AF44" s="3" t="s">
        <v>1234</v>
      </c>
      <c r="AG44" s="3" t="s">
        <v>2105</v>
      </c>
      <c r="AH44" s="3" t="s">
        <v>1235</v>
      </c>
      <c r="AI44" s="3" t="s">
        <v>906</v>
      </c>
      <c r="AJ44" s="3" t="s">
        <v>1236</v>
      </c>
      <c r="AK44" s="3" t="s">
        <v>2106</v>
      </c>
      <c r="AL44" s="3" t="s">
        <v>1237</v>
      </c>
      <c r="AM44" s="3" t="s">
        <v>30</v>
      </c>
      <c r="AN44" s="3" t="s">
        <v>2107</v>
      </c>
      <c r="AO44" s="3" t="s">
        <v>30</v>
      </c>
      <c r="AP44" s="3" t="s">
        <v>1415</v>
      </c>
      <c r="AQ44" s="3" t="s">
        <v>419</v>
      </c>
      <c r="AR44" s="3" t="s">
        <v>30</v>
      </c>
      <c r="AS44" s="3" t="s">
        <v>1225</v>
      </c>
      <c r="AT44" s="3" t="s">
        <v>30</v>
      </c>
      <c r="AU44" s="3" t="s">
        <v>142</v>
      </c>
      <c r="AV44" s="3" t="s">
        <v>133</v>
      </c>
      <c r="AW44" s="3" t="s">
        <v>30</v>
      </c>
      <c r="AX44" s="3" t="s">
        <v>862</v>
      </c>
      <c r="AY44" s="3" t="s">
        <v>585</v>
      </c>
      <c r="AZ44" s="3" t="s">
        <v>586</v>
      </c>
      <c r="BA44" s="3" t="s">
        <v>587</v>
      </c>
      <c r="BB44" s="3" t="s">
        <v>429</v>
      </c>
      <c r="BC44" s="3" t="s">
        <v>373</v>
      </c>
      <c r="BD44" s="3" t="s">
        <v>125</v>
      </c>
      <c r="BE44" s="3" t="s">
        <v>306</v>
      </c>
      <c r="BF44" s="3" t="s">
        <v>280</v>
      </c>
      <c r="BG44" s="3" t="s">
        <v>431</v>
      </c>
      <c r="BH44" s="3" t="s">
        <v>1233</v>
      </c>
      <c r="BI44" s="3" t="s">
        <v>2108</v>
      </c>
      <c r="BJ44" s="3" t="s">
        <v>862</v>
      </c>
      <c r="BK44" s="3" t="s">
        <v>372</v>
      </c>
      <c r="BL44" s="3" t="s">
        <v>270</v>
      </c>
      <c r="BM44" s="3" t="s">
        <v>373</v>
      </c>
      <c r="BN44" s="3">
        <v>7.37</v>
      </c>
      <c r="BO44" s="3">
        <v>6.91</v>
      </c>
      <c r="BP44" s="3">
        <v>3.94</v>
      </c>
      <c r="BQ44" s="3">
        <v>8.08</v>
      </c>
      <c r="BR44" s="3">
        <v>7.72</v>
      </c>
      <c r="BS44" s="3">
        <v>4.5</v>
      </c>
      <c r="BT44" s="3" t="s">
        <v>1238</v>
      </c>
      <c r="BU44" s="3" t="s">
        <v>651</v>
      </c>
      <c r="BV44" s="3">
        <v>21.73</v>
      </c>
      <c r="BW44" s="3">
        <v>16.829999999999998</v>
      </c>
      <c r="BX44" s="3">
        <v>13.51</v>
      </c>
      <c r="BY44" s="3">
        <v>11.17</v>
      </c>
      <c r="BZ44" s="3">
        <v>8.7799999999999994</v>
      </c>
      <c r="CA44" s="3">
        <v>5.18</v>
      </c>
      <c r="CB44" s="3">
        <v>-3.94</v>
      </c>
      <c r="CC44" s="3">
        <v>8.07</v>
      </c>
      <c r="CD44" s="3" t="s">
        <v>1402</v>
      </c>
      <c r="CE44" s="3" t="s">
        <v>2109</v>
      </c>
      <c r="CF44" s="8">
        <v>-0.48844472204871964</v>
      </c>
      <c r="CG44" s="9">
        <v>-0.43409690270270268</v>
      </c>
      <c r="CH44" s="8">
        <v>-0.73217785358428955</v>
      </c>
      <c r="CI44" s="8">
        <v>5.1581799983978271E-2</v>
      </c>
      <c r="CJ44" s="8">
        <v>0.12538699805736542</v>
      </c>
      <c r="CK44" s="8">
        <v>-0.17575758695602417</v>
      </c>
      <c r="CL44" s="8">
        <v>-5.8275721967220306E-2</v>
      </c>
      <c r="CM44" s="9">
        <v>-0.60966545343399048</v>
      </c>
      <c r="CN44" s="9">
        <v>0.78145694732666016</v>
      </c>
      <c r="CO44" s="9">
        <v>-0.3258928656578064</v>
      </c>
      <c r="CP44" s="9">
        <v>-0.56756758689880371</v>
      </c>
      <c r="CQ44" s="9">
        <v>-0.20795106887817383</v>
      </c>
      <c r="CR44" s="3">
        <v>23.544742425819884</v>
      </c>
      <c r="CS44" s="3">
        <v>1.4916040677659606</v>
      </c>
      <c r="CT44" s="3">
        <v>2.5695364238410594</v>
      </c>
      <c r="CU44" s="8">
        <v>-0.15784847289323806</v>
      </c>
      <c r="CV44" s="9">
        <v>-0.18592400550842286</v>
      </c>
      <c r="CW44" s="3">
        <v>0.06</v>
      </c>
      <c r="CX44" s="3">
        <v>46.497540000000001</v>
      </c>
      <c r="CY44" s="3" t="s">
        <v>2110</v>
      </c>
      <c r="CZ44" s="3">
        <v>-0.15784847289323806</v>
      </c>
      <c r="DA44" s="3">
        <v>15.499180000000001</v>
      </c>
      <c r="DB44" s="3" t="s">
        <v>2111</v>
      </c>
      <c r="DC44" s="3">
        <v>-0.14995604924857614</v>
      </c>
      <c r="DD44" s="3">
        <v>7.7495900000000004</v>
      </c>
      <c r="DE44" s="3" t="s">
        <v>2112</v>
      </c>
      <c r="DF44" s="3">
        <v>-0.1389066561460495</v>
      </c>
      <c r="DG44" s="3">
        <v>4.6497539999999997</v>
      </c>
      <c r="DH44" s="3" t="s">
        <v>2113</v>
      </c>
      <c r="DI44" s="3">
        <v>-0.12627877831459045</v>
      </c>
      <c r="DJ44" s="3">
        <v>2.3248769999999999</v>
      </c>
      <c r="DK44" s="3" t="s">
        <v>2114</v>
      </c>
      <c r="DL44" s="3">
        <v>-0.11049393102526663</v>
      </c>
      <c r="DM44" s="3">
        <v>105000000</v>
      </c>
      <c r="DN44" s="3">
        <v>-0.15784847289323806</v>
      </c>
      <c r="DO44" s="3">
        <v>4882241700</v>
      </c>
      <c r="DP44" s="3">
        <v>1347590100</v>
      </c>
      <c r="DQ44" s="3">
        <v>4094</v>
      </c>
      <c r="DR44" s="3">
        <v>-0.33059624915548158</v>
      </c>
      <c r="DS44" s="3">
        <v>-0.24817289719427982</v>
      </c>
      <c r="DT44" s="10">
        <v>-0.89</v>
      </c>
      <c r="DU44" s="3">
        <v>-0.60333333333333328</v>
      </c>
      <c r="DV44" s="3">
        <v>-1.4933333333333332</v>
      </c>
      <c r="DW44" s="3">
        <v>-6.3280599500416317</v>
      </c>
      <c r="DX44" s="3">
        <v>0.51782719186785409</v>
      </c>
      <c r="DY44" s="3">
        <v>-6.1075469721864559</v>
      </c>
      <c r="DZ44" s="3">
        <v>2242</v>
      </c>
      <c r="EA44" s="3">
        <v>-6.0603610012193263</v>
      </c>
      <c r="EB44" s="3">
        <v>6</v>
      </c>
      <c r="EC44" s="3">
        <v>0.2584024333656994</v>
      </c>
      <c r="ED44" s="3">
        <v>0.78822757774730789</v>
      </c>
      <c r="EE44" s="11">
        <v>1.0676000000000001</v>
      </c>
      <c r="EF44" s="3">
        <v>1.0541</v>
      </c>
      <c r="EG44" s="3">
        <v>19.327827191867854</v>
      </c>
      <c r="EH44" s="3" t="s">
        <v>950</v>
      </c>
      <c r="EI44" s="3">
        <v>0</v>
      </c>
      <c r="EJ44" s="3">
        <v>0</v>
      </c>
      <c r="EK44" s="12">
        <v>45470</v>
      </c>
      <c r="EL44" s="13">
        <v>2.66</v>
      </c>
      <c r="EM44" s="13">
        <v>-2.59</v>
      </c>
      <c r="EN44" s="13">
        <v>-2.93</v>
      </c>
      <c r="EO44" s="13">
        <v>4.25</v>
      </c>
      <c r="EP44" s="13">
        <v>-1.35</v>
      </c>
    </row>
    <row r="45" spans="1:146" ht="96" x14ac:dyDescent="0.25">
      <c r="C45" s="6" t="str">
        <f>""&amp;CHAR(10)&amp;Basic_Fundamental_Information_Constructure(F45)&amp;CHAR(10)&amp;Basic_Fundamental_Information_Concatenate("")</f>
        <v xml:space="preserve">
市值34.688088亿, 利润-1596.90万; PE86.66; 平均PE36.09; 平均PEG10.63, PB2.32; ROIC7.8433%; ROE10.9567%; 股利率.809%; 毛利21.5533%; 净利5.5833%; 上一年度营收增-81.15%, 利润增-109.8%; 当季营收增-61.04%, 利润增-133.06%; 过往5年营收增3.4%, 利润增27.55%
Income profile:
</v>
      </c>
      <c r="D45" s="3" t="s">
        <v>40</v>
      </c>
      <c r="E45" s="3" t="s">
        <v>626</v>
      </c>
      <c r="F45" s="3">
        <v>10.63</v>
      </c>
      <c r="G45" s="3">
        <v>1.82</v>
      </c>
      <c r="H45" s="3" t="s">
        <v>2115</v>
      </c>
      <c r="I45" s="3">
        <v>3468808800</v>
      </c>
      <c r="J45" s="3">
        <v>86.66</v>
      </c>
      <c r="K45" s="3">
        <v>2.3199999999999998</v>
      </c>
      <c r="L45" s="3" t="s">
        <v>1310</v>
      </c>
      <c r="M45" s="3" t="s">
        <v>1103</v>
      </c>
      <c r="N45" s="3" t="s">
        <v>848</v>
      </c>
      <c r="O45" s="3" t="s">
        <v>895</v>
      </c>
      <c r="P45" s="3">
        <v>-15.01</v>
      </c>
      <c r="Q45" s="3" t="s">
        <v>895</v>
      </c>
      <c r="R45" s="3">
        <v>-15968972</v>
      </c>
      <c r="S45" s="4">
        <v>-2.2719999999999998</v>
      </c>
      <c r="T45" s="3" t="s">
        <v>2116</v>
      </c>
      <c r="U45" s="3">
        <v>326322560</v>
      </c>
      <c r="V45" s="3">
        <v>326322560</v>
      </c>
      <c r="W45" s="3">
        <v>2.2799999999999998</v>
      </c>
      <c r="X45" s="3">
        <v>0.14000000000000001</v>
      </c>
      <c r="Y45" s="3">
        <v>-3.31</v>
      </c>
      <c r="Z45" s="3" t="s">
        <v>1357</v>
      </c>
      <c r="AA45" s="3" t="s">
        <v>2117</v>
      </c>
      <c r="AB45" s="3" t="s">
        <v>2118</v>
      </c>
      <c r="AC45" s="3" t="s">
        <v>2119</v>
      </c>
      <c r="AD45" s="3" t="s">
        <v>30</v>
      </c>
      <c r="AE45" s="3">
        <v>6539117</v>
      </c>
      <c r="AF45" s="3" t="s">
        <v>86</v>
      </c>
      <c r="AG45" s="3" t="s">
        <v>2120</v>
      </c>
      <c r="AH45" s="3" t="s">
        <v>1241</v>
      </c>
      <c r="AI45" s="3" t="s">
        <v>2121</v>
      </c>
      <c r="AJ45" s="3" t="s">
        <v>1242</v>
      </c>
      <c r="AK45" s="3" t="s">
        <v>2122</v>
      </c>
      <c r="AL45" s="3" t="s">
        <v>1243</v>
      </c>
      <c r="AM45" s="3" t="s">
        <v>30</v>
      </c>
      <c r="AN45" s="3" t="s">
        <v>2123</v>
      </c>
      <c r="AO45" s="3" t="s">
        <v>2124</v>
      </c>
      <c r="AP45" s="3" t="s">
        <v>152</v>
      </c>
      <c r="AQ45" s="3" t="s">
        <v>466</v>
      </c>
      <c r="AR45" s="3" t="s">
        <v>30</v>
      </c>
      <c r="AS45" s="3" t="s">
        <v>2125</v>
      </c>
      <c r="AT45" s="3" t="s">
        <v>184</v>
      </c>
      <c r="AU45" s="3" t="s">
        <v>2126</v>
      </c>
      <c r="AV45" s="3" t="s">
        <v>2127</v>
      </c>
      <c r="AW45" s="3" t="s">
        <v>2128</v>
      </c>
      <c r="AX45" s="3" t="s">
        <v>823</v>
      </c>
      <c r="AY45" s="3" t="s">
        <v>588</v>
      </c>
      <c r="AZ45" s="3" t="s">
        <v>433</v>
      </c>
      <c r="BA45" s="3" t="s">
        <v>161</v>
      </c>
      <c r="BB45" s="3" t="s">
        <v>139</v>
      </c>
      <c r="BC45" s="3" t="s">
        <v>231</v>
      </c>
      <c r="BD45" s="3" t="s">
        <v>90</v>
      </c>
      <c r="BE45" s="3" t="s">
        <v>119</v>
      </c>
      <c r="BF45" s="3" t="s">
        <v>281</v>
      </c>
      <c r="BG45" s="3" t="s">
        <v>434</v>
      </c>
      <c r="BH45" s="3" t="s">
        <v>1239</v>
      </c>
      <c r="BI45" s="3" t="s">
        <v>2129</v>
      </c>
      <c r="BJ45" s="3" t="s">
        <v>823</v>
      </c>
      <c r="BK45" s="3" t="s">
        <v>1240</v>
      </c>
      <c r="BL45" s="3" t="s">
        <v>2130</v>
      </c>
      <c r="BM45" s="3" t="s">
        <v>231</v>
      </c>
      <c r="BN45" s="3">
        <v>4.08</v>
      </c>
      <c r="BO45" s="3">
        <v>8.24</v>
      </c>
      <c r="BP45" s="3">
        <v>11.21</v>
      </c>
      <c r="BQ45" s="3">
        <v>5.42</v>
      </c>
      <c r="BR45" s="3">
        <v>10.9</v>
      </c>
      <c r="BS45" s="3">
        <v>16.55</v>
      </c>
      <c r="BT45" s="3" t="s">
        <v>1244</v>
      </c>
      <c r="BU45" s="3" t="s">
        <v>651</v>
      </c>
      <c r="BV45" s="3">
        <v>20.3</v>
      </c>
      <c r="BW45" s="3">
        <v>22.2</v>
      </c>
      <c r="BX45" s="3">
        <v>22.16</v>
      </c>
      <c r="BY45" s="3">
        <v>2.82</v>
      </c>
      <c r="BZ45" s="3">
        <v>6.32</v>
      </c>
      <c r="CA45" s="3">
        <v>7.61</v>
      </c>
      <c r="CB45" s="3">
        <v>-14.82</v>
      </c>
      <c r="CC45" s="3">
        <v>9.77</v>
      </c>
      <c r="CD45" s="3" t="s">
        <v>107</v>
      </c>
      <c r="CE45" s="3" t="s">
        <v>2131</v>
      </c>
      <c r="CF45" s="8">
        <v>-0.61044176706827313</v>
      </c>
      <c r="CG45" s="9">
        <v>-1.3305808412240352</v>
      </c>
      <c r="CH45" s="8">
        <v>-0.81150412559509277</v>
      </c>
      <c r="CI45" s="8">
        <v>-5.6472361087799072E-2</v>
      </c>
      <c r="CJ45" s="8">
        <v>0.3199419379234314</v>
      </c>
      <c r="CK45" s="8">
        <v>0.40353259444236755</v>
      </c>
      <c r="CL45" s="8">
        <v>0.31428572535514832</v>
      </c>
      <c r="CM45" s="9">
        <v>-1.0979692935943604</v>
      </c>
      <c r="CN45" s="9">
        <v>-0.20873786509037018</v>
      </c>
      <c r="CO45" s="9">
        <v>0.71666663885116577</v>
      </c>
      <c r="CP45" s="9">
        <v>2.4655437469482422</v>
      </c>
      <c r="CQ45" s="9">
        <v>-0.49812301993370056</v>
      </c>
      <c r="CR45" s="3">
        <v>36.092582733635794</v>
      </c>
      <c r="CS45" s="3">
        <v>10.628984888533893</v>
      </c>
      <c r="CT45" s="3">
        <v>0.80903104421448724</v>
      </c>
      <c r="CU45" s="8">
        <v>3.3956754207611087E-2</v>
      </c>
      <c r="CV45" s="9">
        <v>0.27547604143619536</v>
      </c>
      <c r="CW45" s="3">
        <v>0.06</v>
      </c>
      <c r="CX45" s="3" t="e">
        <v>#VALUE!</v>
      </c>
      <c r="CY45" s="3" t="s">
        <v>612</v>
      </c>
      <c r="CZ45" s="3">
        <v>3.3956754207611087E-2</v>
      </c>
      <c r="DA45" s="3" t="e">
        <v>#VALUE!</v>
      </c>
      <c r="DB45" s="3" t="s">
        <v>613</v>
      </c>
      <c r="DC45" s="3">
        <v>3.2258916497230533E-2</v>
      </c>
      <c r="DD45" s="3" t="e">
        <v>#VALUE!</v>
      </c>
      <c r="DE45" s="3" t="s">
        <v>613</v>
      </c>
      <c r="DF45" s="3">
        <v>2.9881943702697755E-2</v>
      </c>
      <c r="DG45" s="3" t="e">
        <v>#VALUE!</v>
      </c>
      <c r="DH45" s="3" t="s">
        <v>613</v>
      </c>
      <c r="DI45" s="3">
        <v>2.7165403366088872E-2</v>
      </c>
      <c r="DJ45" s="3" t="e">
        <v>#VALUE!</v>
      </c>
      <c r="DK45" s="3" t="s">
        <v>613</v>
      </c>
      <c r="DL45" s="3">
        <v>2.3769727945327758E-2</v>
      </c>
      <c r="DM45" s="3">
        <v>-15969000</v>
      </c>
      <c r="DN45" s="3">
        <v>3.3956754207611087E-2</v>
      </c>
      <c r="DO45" s="3">
        <v>3886808800</v>
      </c>
      <c r="DP45" s="3">
        <v>-416351760</v>
      </c>
      <c r="DQ45" s="3">
        <v>4133</v>
      </c>
      <c r="DR45" s="3">
        <v>-0.64439852127588426</v>
      </c>
      <c r="DS45" s="3">
        <v>-1.6060568826602306</v>
      </c>
      <c r="DT45" s="10">
        <v>-0.42333333333333339</v>
      </c>
      <c r="DU45" s="3">
        <v>-1.2449999999999999</v>
      </c>
      <c r="DV45" s="3">
        <v>-1.6683333333333332</v>
      </c>
      <c r="DW45" s="3">
        <v>-5.6592442645074224</v>
      </c>
      <c r="DX45" s="3">
        <v>0.41000000000000048</v>
      </c>
      <c r="DY45" s="3">
        <v>-5.2043657219973012</v>
      </c>
      <c r="DZ45" s="3">
        <v>1973</v>
      </c>
      <c r="EA45" s="3">
        <v>-5.1254589569286759</v>
      </c>
      <c r="EB45" s="3">
        <v>5</v>
      </c>
      <c r="EC45" s="3">
        <v>0.47499014472061019</v>
      </c>
      <c r="ED45" s="3">
        <v>1.5322262732922909</v>
      </c>
      <c r="EE45" s="11">
        <v>-2.0034100000000001</v>
      </c>
      <c r="EF45" s="3">
        <v>-2.0245099999999998</v>
      </c>
      <c r="EG45" s="3">
        <v>10.31</v>
      </c>
      <c r="EH45" s="3" t="s">
        <v>714</v>
      </c>
      <c r="EI45" s="3">
        <v>0</v>
      </c>
      <c r="EJ45" s="3">
        <v>0</v>
      </c>
      <c r="EK45" s="12">
        <v>45470</v>
      </c>
      <c r="EL45" s="13">
        <v>1.37</v>
      </c>
      <c r="EM45" s="13">
        <v>-5.04</v>
      </c>
      <c r="EN45" s="13">
        <v>0.52</v>
      </c>
      <c r="EO45" s="13">
        <v>3.74</v>
      </c>
      <c r="EP45" s="13">
        <v>-2.11</v>
      </c>
    </row>
    <row r="46" spans="1:146" ht="96" x14ac:dyDescent="0.25">
      <c r="C46" s="6" t="str">
        <f>""&amp;CHAR(10)&amp;Basic_Fundamental_Information_Constructure(F46)&amp;CHAR(10)&amp;Basic_Fundamental_Information_Concatenate("")</f>
        <v xml:space="preserve">
市值49.171466亿, 利润3050.56万; PE43.63; 平均PE53.56; 平均PEG45.17, PB2.82; ROIC10.3667%; ROE11.8967%; 股利率.6413%; 毛利34.6433%; 净利17.8933%; 上一年度营收增-80.13%, 利润增-83.86%; 当季营收增-52.73%, 利润增-35.21%; 过往5年营收增-1.19%, 利润增119.67%
Income profile:
</v>
      </c>
      <c r="D46" s="3" t="s">
        <v>38</v>
      </c>
      <c r="E46" s="3" t="s">
        <v>6</v>
      </c>
      <c r="F46" s="3">
        <v>12.63</v>
      </c>
      <c r="G46" s="3">
        <v>-0.08</v>
      </c>
      <c r="H46" s="3" t="s">
        <v>2132</v>
      </c>
      <c r="I46" s="3">
        <v>4917146600</v>
      </c>
      <c r="J46" s="3">
        <v>43.63</v>
      </c>
      <c r="K46" s="3">
        <v>2.82</v>
      </c>
      <c r="L46" s="3" t="s">
        <v>1310</v>
      </c>
      <c r="M46" s="3" t="s">
        <v>242</v>
      </c>
      <c r="N46" s="3" t="s">
        <v>2133</v>
      </c>
      <c r="O46" s="3" t="s">
        <v>287</v>
      </c>
      <c r="P46" s="3">
        <v>3.82</v>
      </c>
      <c r="Q46" s="3" t="s">
        <v>287</v>
      </c>
      <c r="R46" s="3">
        <v>30505604</v>
      </c>
      <c r="S46" s="4">
        <v>0.59560000000000002</v>
      </c>
      <c r="T46" s="3" t="s">
        <v>2134</v>
      </c>
      <c r="U46" s="3">
        <v>389322770</v>
      </c>
      <c r="V46" s="3">
        <v>389322770</v>
      </c>
      <c r="W46" s="3">
        <v>1.1399999999999999</v>
      </c>
      <c r="X46" s="3">
        <v>0.09</v>
      </c>
      <c r="Y46" s="3">
        <v>17.29</v>
      </c>
      <c r="Z46" s="3" t="s">
        <v>1368</v>
      </c>
      <c r="AA46" s="3" t="s">
        <v>1523</v>
      </c>
      <c r="AB46" s="3" t="s">
        <v>2135</v>
      </c>
      <c r="AC46" s="3" t="s">
        <v>2136</v>
      </c>
      <c r="AD46" s="3" t="s">
        <v>30</v>
      </c>
      <c r="AE46" s="3">
        <v>-4446513</v>
      </c>
      <c r="AF46" s="3" t="s">
        <v>1245</v>
      </c>
      <c r="AG46" s="3" t="s">
        <v>2137</v>
      </c>
      <c r="AH46" s="3" t="s">
        <v>1246</v>
      </c>
      <c r="AI46" s="3" t="s">
        <v>238</v>
      </c>
      <c r="AJ46" s="3" t="s">
        <v>1247</v>
      </c>
      <c r="AK46" s="3" t="s">
        <v>2138</v>
      </c>
      <c r="AL46" s="3" t="s">
        <v>1248</v>
      </c>
      <c r="AM46" s="3" t="s">
        <v>30</v>
      </c>
      <c r="AN46" s="3" t="s">
        <v>2139</v>
      </c>
      <c r="AO46" s="3" t="s">
        <v>30</v>
      </c>
      <c r="AP46" s="3" t="s">
        <v>30</v>
      </c>
      <c r="AQ46" s="3" t="s">
        <v>191</v>
      </c>
      <c r="AR46" s="3" t="s">
        <v>30</v>
      </c>
      <c r="AS46" s="3" t="s">
        <v>231</v>
      </c>
      <c r="AT46" s="3" t="s">
        <v>30</v>
      </c>
      <c r="AU46" s="3" t="s">
        <v>2140</v>
      </c>
      <c r="AV46" s="3" t="s">
        <v>2141</v>
      </c>
      <c r="AW46" s="3" t="s">
        <v>2142</v>
      </c>
      <c r="AX46" s="3" t="s">
        <v>681</v>
      </c>
      <c r="AY46" s="3" t="s">
        <v>589</v>
      </c>
      <c r="AZ46" s="3" t="s">
        <v>435</v>
      </c>
      <c r="BA46" s="3" t="s">
        <v>180</v>
      </c>
      <c r="BB46" s="3" t="s">
        <v>288</v>
      </c>
      <c r="BC46" s="3" t="s">
        <v>98</v>
      </c>
      <c r="BD46" s="3" t="s">
        <v>156</v>
      </c>
      <c r="BE46" s="3" t="s">
        <v>436</v>
      </c>
      <c r="BF46" s="3" t="s">
        <v>284</v>
      </c>
      <c r="BG46" s="3" t="s">
        <v>437</v>
      </c>
      <c r="BH46" s="3" t="s">
        <v>853</v>
      </c>
      <c r="BI46" s="3" t="s">
        <v>269</v>
      </c>
      <c r="BJ46" s="3" t="s">
        <v>681</v>
      </c>
      <c r="BK46" s="3" t="s">
        <v>191</v>
      </c>
      <c r="BL46" s="3" t="s">
        <v>2143</v>
      </c>
      <c r="BM46" s="3" t="s">
        <v>98</v>
      </c>
      <c r="BN46" s="3">
        <v>3.59</v>
      </c>
      <c r="BO46" s="3">
        <v>10.17</v>
      </c>
      <c r="BP46" s="3">
        <v>17.34</v>
      </c>
      <c r="BQ46" s="3">
        <v>4.0999999999999996</v>
      </c>
      <c r="BR46" s="3">
        <v>10.91</v>
      </c>
      <c r="BS46" s="3">
        <v>20.68</v>
      </c>
      <c r="BT46" s="3" t="s">
        <v>1249</v>
      </c>
      <c r="BU46" s="3" t="s">
        <v>650</v>
      </c>
      <c r="BV46" s="3">
        <v>26.17</v>
      </c>
      <c r="BW46" s="3">
        <v>38.380000000000003</v>
      </c>
      <c r="BX46" s="3">
        <v>39.380000000000003</v>
      </c>
      <c r="BY46" s="3">
        <v>12.9</v>
      </c>
      <c r="BZ46" s="3">
        <v>20.73</v>
      </c>
      <c r="CA46" s="3">
        <v>20.05</v>
      </c>
      <c r="CB46" s="3">
        <v>-7.4</v>
      </c>
      <c r="CC46" s="3">
        <v>-3.8</v>
      </c>
      <c r="CD46" s="3" t="s">
        <v>2144</v>
      </c>
      <c r="CE46" s="3" t="s">
        <v>113</v>
      </c>
      <c r="CF46" s="8">
        <v>-0.52727272727272723</v>
      </c>
      <c r="CG46" s="9">
        <v>-0.35213831535935913</v>
      </c>
      <c r="CH46" s="8">
        <v>-0.80131006240844727</v>
      </c>
      <c r="CI46" s="8">
        <v>-0.26188552379608154</v>
      </c>
      <c r="CJ46" s="8">
        <v>0.96671938896179199</v>
      </c>
      <c r="CK46" s="8">
        <v>8.7931036949157715E-2</v>
      </c>
      <c r="CL46" s="8">
        <v>-5.0736498087644577E-2</v>
      </c>
      <c r="CM46" s="9">
        <v>-0.83859473466873169</v>
      </c>
      <c r="CN46" s="9">
        <v>-0.22857142984867096</v>
      </c>
      <c r="CO46" s="9">
        <v>5.3449969291687012</v>
      </c>
      <c r="CP46" s="9">
        <v>2.3923811912536621</v>
      </c>
      <c r="CQ46" s="9">
        <v>-0.68694424629211426</v>
      </c>
      <c r="CR46" s="3">
        <v>53.557883432024525</v>
      </c>
      <c r="CS46" s="3">
        <v>45.172389651794852</v>
      </c>
      <c r="CT46" s="3">
        <v>0.64133016627078387</v>
      </c>
      <c r="CU46" s="8">
        <v>-1.1856331676244735E-2</v>
      </c>
      <c r="CV46" s="9">
        <v>1.1966535419225692</v>
      </c>
      <c r="CW46" s="3">
        <v>0.06</v>
      </c>
      <c r="CX46" s="3">
        <v>112.34483504667995</v>
      </c>
      <c r="CY46" s="3" t="s">
        <v>2145</v>
      </c>
      <c r="CZ46" s="3">
        <v>-1.1856331676244735E-2</v>
      </c>
      <c r="DA46" s="3">
        <v>37.448278348893318</v>
      </c>
      <c r="DB46" s="3" t="s">
        <v>2146</v>
      </c>
      <c r="DC46" s="3">
        <v>-1.1263515092432497E-2</v>
      </c>
      <c r="DD46" s="3">
        <v>18.724139174446659</v>
      </c>
      <c r="DE46" s="3" t="s">
        <v>2147</v>
      </c>
      <c r="DF46" s="3">
        <v>-1.0433571875095367E-2</v>
      </c>
      <c r="DG46" s="3">
        <v>11.234483504667995</v>
      </c>
      <c r="DH46" s="3" t="s">
        <v>2148</v>
      </c>
      <c r="DI46" s="3">
        <v>-9.485065340995788E-3</v>
      </c>
      <c r="DJ46" s="3">
        <v>5.6172417523339977</v>
      </c>
      <c r="DK46" s="3" t="s">
        <v>2149</v>
      </c>
      <c r="DL46" s="3">
        <v>-8.2994321733713145E-3</v>
      </c>
      <c r="DM46" s="3">
        <v>30505600</v>
      </c>
      <c r="DN46" s="3">
        <v>-1.1856331676244735E-2</v>
      </c>
      <c r="DO46" s="3">
        <v>3427146600</v>
      </c>
      <c r="DP46" s="3">
        <v>869127430</v>
      </c>
      <c r="DQ46" s="3">
        <v>4289</v>
      </c>
      <c r="DR46" s="3">
        <v>-0.51541639559648245</v>
      </c>
      <c r="DS46" s="3">
        <v>-1.5487918572819284</v>
      </c>
      <c r="DT46" s="10">
        <v>-0.65666666666666662</v>
      </c>
      <c r="DU46" s="3">
        <v>-0.15483333333333341</v>
      </c>
      <c r="DV46" s="3">
        <v>-0.8115</v>
      </c>
      <c r="DW46" s="3">
        <v>-5.5135135135135132</v>
      </c>
      <c r="DX46" s="3">
        <v>0.43516475409836003</v>
      </c>
      <c r="DY46" s="3">
        <v>-5.0745440629153746</v>
      </c>
      <c r="DZ46" s="3">
        <v>1812</v>
      </c>
      <c r="EA46" s="3">
        <v>-5.0481108257328584</v>
      </c>
      <c r="EB46" s="3">
        <v>5</v>
      </c>
      <c r="EC46" s="3">
        <v>9.097900952466767E-2</v>
      </c>
      <c r="ED46" s="3">
        <v>0.62672933309295009</v>
      </c>
      <c r="EE46" s="11">
        <v>8.6110000000000006E-2</v>
      </c>
      <c r="EF46" s="3">
        <v>0.11241</v>
      </c>
      <c r="EG46" s="3">
        <v>29.14516475409836</v>
      </c>
      <c r="EH46" s="3">
        <v>-1</v>
      </c>
      <c r="EI46" s="3">
        <v>0</v>
      </c>
      <c r="EJ46" s="3">
        <v>0</v>
      </c>
      <c r="EK46" s="12">
        <v>45470</v>
      </c>
      <c r="EL46" s="13">
        <v>0</v>
      </c>
      <c r="EM46" s="13">
        <v>-4.99</v>
      </c>
      <c r="EN46" s="13">
        <v>1.1000000000000001</v>
      </c>
      <c r="EO46" s="13">
        <v>2.94</v>
      </c>
      <c r="EP46" s="13">
        <v>-2.63</v>
      </c>
    </row>
    <row r="47" spans="1:146" ht="96" x14ac:dyDescent="0.25">
      <c r="C47" s="6" t="str">
        <f>""&amp;CHAR(10)&amp;Basic_Fundamental_Information_Constructure(F47)&amp;CHAR(10)&amp;Basic_Fundamental_Information_Concatenate("")</f>
        <v xml:space="preserve">
市值140.80612亿, 利润1.09亿; PE26.61; 平均PE52.41; 平均PEG35.8, PB2.77; ROIC7.2%; ROE11.4333%; 股利率2.3386%; 毛利18.53%; 净利8.2367%; 上一年度营收增-75.34%, 利润增-74.88%; 当季营收增-49.19%, 利润增50.51%; 过往5年营收增1.46%, 利润增7.77%
Income profile:
</v>
      </c>
      <c r="D47" s="3" t="s">
        <v>60</v>
      </c>
      <c r="E47" s="3" t="s">
        <v>20</v>
      </c>
      <c r="F47" s="3">
        <v>21.38</v>
      </c>
      <c r="G47" s="3">
        <v>-1.43</v>
      </c>
      <c r="H47" s="3" t="s">
        <v>2150</v>
      </c>
      <c r="I47" s="3">
        <v>14080612000</v>
      </c>
      <c r="J47" s="3">
        <v>26.61</v>
      </c>
      <c r="K47" s="3">
        <v>2.77</v>
      </c>
      <c r="L47" s="3" t="s">
        <v>1310</v>
      </c>
      <c r="M47" s="3" t="s">
        <v>440</v>
      </c>
      <c r="N47" s="3" t="s">
        <v>2151</v>
      </c>
      <c r="O47" s="3" t="s">
        <v>1112</v>
      </c>
      <c r="P47" s="3">
        <v>7.71</v>
      </c>
      <c r="Q47" s="3" t="s">
        <v>1112</v>
      </c>
      <c r="R47" s="3">
        <v>295000000</v>
      </c>
      <c r="S47" s="4">
        <v>0.44729999999999998</v>
      </c>
      <c r="T47" s="3" t="s">
        <v>149</v>
      </c>
      <c r="U47" s="3">
        <v>540623770</v>
      </c>
      <c r="V47" s="3">
        <v>658588010</v>
      </c>
      <c r="W47" s="3">
        <v>1.51</v>
      </c>
      <c r="X47" s="3">
        <v>0.15</v>
      </c>
      <c r="Y47" s="3">
        <v>9.44</v>
      </c>
      <c r="Z47" s="3" t="s">
        <v>2152</v>
      </c>
      <c r="AA47" s="3" t="s">
        <v>367</v>
      </c>
      <c r="AB47" s="3" t="s">
        <v>2153</v>
      </c>
      <c r="AC47" s="3" t="s">
        <v>2154</v>
      </c>
      <c r="AD47" s="3" t="s">
        <v>30</v>
      </c>
      <c r="AE47" s="3">
        <v>-17667875</v>
      </c>
      <c r="AF47" s="3" t="s">
        <v>1251</v>
      </c>
      <c r="AG47" s="3">
        <v>2600</v>
      </c>
      <c r="AH47" s="3" t="s">
        <v>1252</v>
      </c>
      <c r="AI47" s="3" t="s">
        <v>2155</v>
      </c>
      <c r="AJ47" s="3" t="s">
        <v>1253</v>
      </c>
      <c r="AK47" s="3" t="s">
        <v>30</v>
      </c>
      <c r="AL47" s="3" t="s">
        <v>1254</v>
      </c>
      <c r="AM47" s="3" t="s">
        <v>30</v>
      </c>
      <c r="AN47" s="3" t="s">
        <v>2156</v>
      </c>
      <c r="AO47" s="3" t="s">
        <v>30</v>
      </c>
      <c r="AP47" s="3" t="s">
        <v>148</v>
      </c>
      <c r="AQ47" s="3" t="s">
        <v>619</v>
      </c>
      <c r="AR47" s="3" t="s">
        <v>30</v>
      </c>
      <c r="AS47" s="3" t="s">
        <v>2157</v>
      </c>
      <c r="AT47" s="3" t="s">
        <v>1255</v>
      </c>
      <c r="AU47" s="3" t="s">
        <v>192</v>
      </c>
      <c r="AV47" s="3" t="s">
        <v>2158</v>
      </c>
      <c r="AW47" s="3" t="s">
        <v>2159</v>
      </c>
      <c r="AX47" s="3" t="s">
        <v>863</v>
      </c>
      <c r="AY47" s="3" t="s">
        <v>591</v>
      </c>
      <c r="AZ47" s="3" t="s">
        <v>207</v>
      </c>
      <c r="BA47" s="3" t="s">
        <v>168</v>
      </c>
      <c r="BB47" s="3" t="s">
        <v>439</v>
      </c>
      <c r="BC47" s="3" t="s">
        <v>640</v>
      </c>
      <c r="BD47" s="3" t="s">
        <v>108</v>
      </c>
      <c r="BE47" s="3" t="s">
        <v>115</v>
      </c>
      <c r="BF47" s="3" t="s">
        <v>121</v>
      </c>
      <c r="BG47" s="3" t="s">
        <v>302</v>
      </c>
      <c r="BH47" s="3" t="s">
        <v>1250</v>
      </c>
      <c r="BI47" s="3" t="s">
        <v>2160</v>
      </c>
      <c r="BJ47" s="3" t="s">
        <v>863</v>
      </c>
      <c r="BK47" s="3" t="s">
        <v>921</v>
      </c>
      <c r="BL47" s="3" t="s">
        <v>555</v>
      </c>
      <c r="BM47" s="3" t="s">
        <v>640</v>
      </c>
      <c r="BN47" s="3">
        <v>7.21</v>
      </c>
      <c r="BO47" s="3">
        <v>9.08</v>
      </c>
      <c r="BP47" s="3">
        <v>5.31</v>
      </c>
      <c r="BQ47" s="3">
        <v>11.63</v>
      </c>
      <c r="BR47" s="3">
        <v>15.12</v>
      </c>
      <c r="BS47" s="3">
        <v>7.55</v>
      </c>
      <c r="BT47" s="3" t="s">
        <v>703</v>
      </c>
      <c r="BU47" s="3" t="s">
        <v>651</v>
      </c>
      <c r="BV47" s="3">
        <v>21.32</v>
      </c>
      <c r="BW47" s="3">
        <v>18.829999999999998</v>
      </c>
      <c r="BX47" s="3">
        <v>15.44</v>
      </c>
      <c r="BY47" s="3">
        <v>10.33</v>
      </c>
      <c r="BZ47" s="3">
        <v>9.06</v>
      </c>
      <c r="CA47" s="3">
        <v>5.32</v>
      </c>
      <c r="CB47" s="3">
        <v>8.31</v>
      </c>
      <c r="CC47" s="3">
        <v>22.94</v>
      </c>
      <c r="CD47" s="3" t="s">
        <v>243</v>
      </c>
      <c r="CE47" s="3" t="s">
        <v>669</v>
      </c>
      <c r="CF47" s="8">
        <v>-0.49186424918642491</v>
      </c>
      <c r="CG47" s="9">
        <v>0.50510204081632648</v>
      </c>
      <c r="CH47" s="8">
        <v>-0.75338447093963623</v>
      </c>
      <c r="CI47" s="8">
        <v>0.17903696000576019</v>
      </c>
      <c r="CJ47" s="8">
        <v>0.48225554823875427</v>
      </c>
      <c r="CK47" s="8">
        <v>3.9770372211933136E-2</v>
      </c>
      <c r="CL47" s="8">
        <v>0.12551914155483246</v>
      </c>
      <c r="CM47" s="9">
        <v>-0.74884790182113647</v>
      </c>
      <c r="CN47" s="9">
        <v>1.0666667222976685</v>
      </c>
      <c r="CO47" s="9">
        <v>-0.30921053886413574</v>
      </c>
      <c r="CP47" s="9">
        <v>-7.5987845659255981E-2</v>
      </c>
      <c r="CQ47" s="9">
        <v>0.45575222373008728</v>
      </c>
      <c r="CR47" s="3">
        <v>52.409225806451609</v>
      </c>
      <c r="CS47" s="3">
        <v>35.799849202027843</v>
      </c>
      <c r="CT47" s="3">
        <v>2.3386342376052385</v>
      </c>
      <c r="CU47" s="8">
        <v>1.4639510214328766E-2</v>
      </c>
      <c r="CV47" s="9">
        <v>7.7674531936645502E-2</v>
      </c>
      <c r="CW47" s="3">
        <v>0.06</v>
      </c>
      <c r="CX47" s="3">
        <v>109.46997031562235</v>
      </c>
      <c r="CY47" s="3">
        <v>104335572.27675647</v>
      </c>
      <c r="CZ47" s="3">
        <v>1.4639510214328766E-2</v>
      </c>
      <c r="DA47" s="3">
        <v>38.151235561806523</v>
      </c>
      <c r="DB47" s="3">
        <v>299377250.35134268</v>
      </c>
      <c r="DC47" s="3">
        <v>1.3907534703612327E-2</v>
      </c>
      <c r="DD47" s="3">
        <v>20.415240985836114</v>
      </c>
      <c r="DE47" s="3">
        <v>559464960.90465927</v>
      </c>
      <c r="DF47" s="3">
        <v>1.2882768988609314E-2</v>
      </c>
      <c r="DG47" s="3">
        <v>13.420964470325369</v>
      </c>
      <c r="DH47" s="3">
        <v>851027660.88487387</v>
      </c>
      <c r="DI47" s="3">
        <v>1.1711608171463014E-2</v>
      </c>
      <c r="DJ47" s="3">
        <v>8.3547011769985975</v>
      </c>
      <c r="DK47" s="3">
        <v>1367088033.1956027</v>
      </c>
      <c r="DL47" s="3">
        <v>1.0247657150030136E-2</v>
      </c>
      <c r="DM47" s="3">
        <v>109000000.00000001</v>
      </c>
      <c r="DN47" s="3">
        <v>1.4639510214328766E-2</v>
      </c>
      <c r="DO47" s="3">
        <v>11421612000</v>
      </c>
      <c r="DP47" s="3">
        <v>4234719200</v>
      </c>
      <c r="DQ47" s="3">
        <v>4381</v>
      </c>
      <c r="DR47" s="3">
        <v>-0.50650375940075365</v>
      </c>
      <c r="DS47" s="3">
        <v>0.42742750887968095</v>
      </c>
      <c r="DT47" s="10">
        <v>-0.49</v>
      </c>
      <c r="DU47" s="3">
        <v>0.37333333333333335</v>
      </c>
      <c r="DV47" s="3">
        <v>-0.11666666666666664</v>
      </c>
      <c r="DW47" s="3">
        <v>9.3622493461203131</v>
      </c>
      <c r="DX47" s="3">
        <v>0.81087108013937614</v>
      </c>
      <c r="DY47" s="3">
        <v>9.0908778847409852</v>
      </c>
      <c r="DZ47" s="3">
        <v>4284</v>
      </c>
      <c r="EA47" s="3">
        <v>9.0146898498622416</v>
      </c>
      <c r="EB47" s="3">
        <v>9</v>
      </c>
      <c r="EC47" s="3">
        <v>0.2186495924819524</v>
      </c>
      <c r="ED47" s="3">
        <v>0.87156157003222701</v>
      </c>
      <c r="EE47" s="11">
        <v>0.1101</v>
      </c>
      <c r="EF47" s="3">
        <v>9.0300000000000005E-2</v>
      </c>
      <c r="EG47" s="3">
        <v>56.250871080139376</v>
      </c>
      <c r="EH47" s="3" t="s">
        <v>607</v>
      </c>
      <c r="EI47" s="3">
        <v>1</v>
      </c>
      <c r="EJ47" s="3">
        <v>0</v>
      </c>
      <c r="EK47" s="12">
        <v>45470</v>
      </c>
      <c r="EL47" s="13">
        <v>0.78</v>
      </c>
      <c r="EM47" s="13">
        <v>-1.08</v>
      </c>
      <c r="EN47" s="13">
        <v>-0.62</v>
      </c>
      <c r="EO47" s="13">
        <v>-0.9</v>
      </c>
      <c r="EP47" s="13">
        <v>-1.98</v>
      </c>
    </row>
    <row r="48" spans="1:146" ht="96" x14ac:dyDescent="0.25">
      <c r="C48" s="6" t="str">
        <f>""&amp;CHAR(10)&amp;Basic_Fundamental_Information_Constructure(F48)&amp;CHAR(10)&amp;Basic_Fundamental_Information_Concatenate("")</f>
        <v xml:space="preserve">
市值51.125278亿, 利润2614.20万; PE; 平均PE33.16; 平均PEG6.59, PB1.15; ROIC3.3133%; ROE3.3967%; 股利率0%; 毛利14.8933%; 净利-3.1533%; 上一年度营收增-75.19%, 利润增-67.7%; 当季营收增-52.48%, 利润增-63.72%; 过往5年营收增-5.04%, 利润增-10.41%
Income profile:
</v>
      </c>
      <c r="D48" s="3" t="s">
        <v>49</v>
      </c>
      <c r="E48" s="3" t="s">
        <v>10</v>
      </c>
      <c r="F48" s="3">
        <v>8.11</v>
      </c>
      <c r="G48" s="3">
        <v>-3.91</v>
      </c>
      <c r="H48" s="3" t="s">
        <v>2161</v>
      </c>
      <c r="I48" s="3">
        <v>5112527800</v>
      </c>
      <c r="K48" s="3">
        <v>1.1499999999999999</v>
      </c>
      <c r="L48" s="3" t="s">
        <v>1310</v>
      </c>
      <c r="M48" s="3" t="s">
        <v>1257</v>
      </c>
      <c r="N48" s="3" t="s">
        <v>2162</v>
      </c>
      <c r="O48" s="3" t="s">
        <v>1258</v>
      </c>
      <c r="P48" s="3">
        <v>9.7200000000000006</v>
      </c>
      <c r="Q48" s="3" t="s">
        <v>1258</v>
      </c>
      <c r="R48" s="3">
        <v>26142014</v>
      </c>
      <c r="S48" s="4">
        <v>0.24540000000000001</v>
      </c>
      <c r="T48" s="3" t="s">
        <v>2163</v>
      </c>
      <c r="U48" s="3">
        <v>630398000</v>
      </c>
      <c r="V48" s="3">
        <v>630398000</v>
      </c>
      <c r="W48" s="3">
        <v>1.83</v>
      </c>
      <c r="X48" s="3">
        <v>0.09</v>
      </c>
      <c r="Y48" s="3">
        <v>3.64</v>
      </c>
      <c r="Z48" s="3" t="s">
        <v>2164</v>
      </c>
      <c r="AA48" s="3" t="s">
        <v>929</v>
      </c>
      <c r="AB48" s="3" t="s">
        <v>2165</v>
      </c>
      <c r="AC48" s="3" t="s">
        <v>2166</v>
      </c>
      <c r="AD48" s="3" t="s">
        <v>30</v>
      </c>
      <c r="AE48" s="3">
        <v>4669176</v>
      </c>
      <c r="AF48" s="3" t="s">
        <v>1261</v>
      </c>
      <c r="AG48" s="3" t="s">
        <v>2167</v>
      </c>
      <c r="AH48" s="3" t="s">
        <v>1262</v>
      </c>
      <c r="AI48" s="3" t="s">
        <v>954</v>
      </c>
      <c r="AJ48" s="3" t="s">
        <v>1263</v>
      </c>
      <c r="AK48" s="3" t="s">
        <v>2168</v>
      </c>
      <c r="AL48" s="3" t="s">
        <v>1264</v>
      </c>
      <c r="AM48" s="3" t="s">
        <v>30</v>
      </c>
      <c r="AN48" s="3" t="s">
        <v>325</v>
      </c>
      <c r="AO48" s="3" t="s">
        <v>2169</v>
      </c>
      <c r="AP48" s="3" t="s">
        <v>274</v>
      </c>
      <c r="AQ48" s="3" t="s">
        <v>1313</v>
      </c>
      <c r="AR48" s="3" t="s">
        <v>30</v>
      </c>
      <c r="AS48" s="3" t="s">
        <v>2170</v>
      </c>
      <c r="AT48" s="3" t="s">
        <v>2171</v>
      </c>
      <c r="AU48" s="3" t="s">
        <v>2036</v>
      </c>
      <c r="AV48" s="3" t="s">
        <v>1256</v>
      </c>
      <c r="AW48" s="3" t="s">
        <v>2172</v>
      </c>
      <c r="AX48" s="3" t="s">
        <v>1265</v>
      </c>
      <c r="AY48" s="3" t="s">
        <v>568</v>
      </c>
      <c r="AZ48" s="3" t="s">
        <v>440</v>
      </c>
      <c r="BA48" s="3" t="s">
        <v>181</v>
      </c>
      <c r="BB48" s="3" t="s">
        <v>217</v>
      </c>
      <c r="BC48" s="3" t="s">
        <v>1266</v>
      </c>
      <c r="BD48" s="3" t="s">
        <v>235</v>
      </c>
      <c r="BE48" s="3" t="s">
        <v>398</v>
      </c>
      <c r="BF48" s="3" t="s">
        <v>182</v>
      </c>
      <c r="BG48" s="3" t="s">
        <v>123</v>
      </c>
      <c r="BH48" s="3" t="s">
        <v>1259</v>
      </c>
      <c r="BI48" s="3" t="s">
        <v>423</v>
      </c>
      <c r="BJ48" s="3" t="s">
        <v>1265</v>
      </c>
      <c r="BK48" s="3" t="s">
        <v>1260</v>
      </c>
      <c r="BL48" s="3" t="s">
        <v>2173</v>
      </c>
      <c r="BM48" s="3" t="s">
        <v>1266</v>
      </c>
      <c r="BN48" s="3">
        <v>1.25</v>
      </c>
      <c r="BO48" s="3">
        <v>2.41</v>
      </c>
      <c r="BP48" s="3">
        <v>6.28</v>
      </c>
      <c r="BQ48" s="3">
        <v>1.21</v>
      </c>
      <c r="BR48" s="3">
        <v>2.15</v>
      </c>
      <c r="BS48" s="3">
        <v>6.83</v>
      </c>
      <c r="BT48" s="3" t="s">
        <v>700</v>
      </c>
      <c r="BU48" s="3" t="s">
        <v>651</v>
      </c>
      <c r="BV48" s="3">
        <v>9.74</v>
      </c>
      <c r="BW48" s="3">
        <v>16.23</v>
      </c>
      <c r="BX48" s="3">
        <v>18.71</v>
      </c>
      <c r="BY48" s="3">
        <v>-19.420000000000002</v>
      </c>
      <c r="BZ48" s="3">
        <v>2.87</v>
      </c>
      <c r="CA48" s="3">
        <v>7.09</v>
      </c>
      <c r="CB48" s="3">
        <v>-3.45</v>
      </c>
      <c r="CC48" s="3">
        <v>3.97</v>
      </c>
      <c r="CD48" s="3" t="s">
        <v>2174</v>
      </c>
      <c r="CE48" s="3" t="s">
        <v>2175</v>
      </c>
      <c r="CF48" s="8">
        <v>-0.52478519497686715</v>
      </c>
      <c r="CG48" s="9">
        <v>-0.63723439596686793</v>
      </c>
      <c r="CH48" s="8">
        <v>-0.75189781188964844</v>
      </c>
      <c r="CI48" s="8">
        <v>-0.17693838477134705</v>
      </c>
      <c r="CJ48" s="8">
        <v>0.2638191282749176</v>
      </c>
      <c r="CK48" s="8">
        <v>4.3836619704961777E-2</v>
      </c>
      <c r="CL48" s="8">
        <v>0.36942023038864136</v>
      </c>
      <c r="CM48" s="9">
        <v>-0.67701399326324463</v>
      </c>
      <c r="CN48" s="9">
        <v>-0.6669197678565979</v>
      </c>
      <c r="CO48" s="9">
        <v>-2.0161289721727371E-2</v>
      </c>
      <c r="CP48" s="9">
        <v>0.22772277891635895</v>
      </c>
      <c r="CQ48" s="9">
        <v>0.61599999666213989</v>
      </c>
      <c r="CR48" s="3">
        <v>33.159456717550526</v>
      </c>
      <c r="CS48" s="3">
        <v>6.5855235077347567</v>
      </c>
      <c r="CT48" s="3">
        <v>0</v>
      </c>
      <c r="CU48" s="8">
        <v>-5.0352043658494952E-2</v>
      </c>
      <c r="CV48" s="9">
        <v>-0.10407445505261421</v>
      </c>
      <c r="CW48" s="3">
        <v>0.06</v>
      </c>
      <c r="CX48" s="3">
        <v>153.2219340524826</v>
      </c>
      <c r="CY48" s="3" t="s">
        <v>2176</v>
      </c>
      <c r="CZ48" s="3">
        <v>-5.0352043658494952E-2</v>
      </c>
      <c r="DA48" s="3">
        <v>51.073978017494198</v>
      </c>
      <c r="DB48" s="3" t="s">
        <v>2177</v>
      </c>
      <c r="DC48" s="3">
        <v>-4.78344414755702E-2</v>
      </c>
      <c r="DD48" s="3">
        <v>25.536989008747099</v>
      </c>
      <c r="DE48" s="3" t="s">
        <v>2178</v>
      </c>
      <c r="DF48" s="3">
        <v>-4.4309798419475556E-2</v>
      </c>
      <c r="DG48" s="3">
        <v>15.32219340524826</v>
      </c>
      <c r="DH48" s="3" t="s">
        <v>2179</v>
      </c>
      <c r="DI48" s="3">
        <v>-4.0281634926795963E-2</v>
      </c>
      <c r="DJ48" s="3">
        <v>7.6610967026241301</v>
      </c>
      <c r="DK48" s="3" t="s">
        <v>2180</v>
      </c>
      <c r="DL48" s="3">
        <v>-3.5246430560946465E-2</v>
      </c>
      <c r="DM48" s="3">
        <v>26142000</v>
      </c>
      <c r="DN48" s="3">
        <v>-5.0352043658494952E-2</v>
      </c>
      <c r="DO48" s="3">
        <v>4005527800</v>
      </c>
      <c r="DP48" s="3">
        <v>683028000</v>
      </c>
      <c r="DQ48" s="3">
        <v>4389</v>
      </c>
      <c r="DR48" s="3">
        <v>-0.47443315131837221</v>
      </c>
      <c r="DS48" s="3">
        <v>-0.53315994091425367</v>
      </c>
      <c r="DT48" s="10">
        <v>-0.69</v>
      </c>
      <c r="DU48" s="3">
        <v>-0.75666666666666671</v>
      </c>
      <c r="DV48" s="3">
        <v>-1.4466666666666668</v>
      </c>
      <c r="DW48" s="3">
        <v>-6.4649595687331534</v>
      </c>
      <c r="DX48" s="3">
        <v>0.45064842958459839</v>
      </c>
      <c r="DY48" s="3">
        <v>-6.1304901727852927</v>
      </c>
      <c r="DZ48" s="3">
        <v>3626</v>
      </c>
      <c r="EA48" s="3">
        <v>-6.03789577620614</v>
      </c>
      <c r="EB48" s="3">
        <v>6</v>
      </c>
      <c r="EC48" s="3">
        <v>0.43940494735072128</v>
      </c>
      <c r="ED48" s="3">
        <v>1.5656775560836169</v>
      </c>
      <c r="EE48" s="11">
        <v>-6.0625</v>
      </c>
      <c r="EF48" s="3">
        <v>-6.0423999999999998</v>
      </c>
      <c r="EG48" s="3">
        <v>17.280648429584598</v>
      </c>
      <c r="EH48" s="3" t="s">
        <v>2181</v>
      </c>
      <c r="EI48" s="3">
        <v>0</v>
      </c>
      <c r="EJ48" s="3">
        <v>0</v>
      </c>
      <c r="EK48" s="12">
        <v>45470</v>
      </c>
      <c r="EL48" s="13">
        <v>1.02</v>
      </c>
      <c r="EM48" s="13">
        <v>-3.27</v>
      </c>
      <c r="EN48" s="13">
        <v>0.13</v>
      </c>
      <c r="EO48" s="13">
        <v>3.64</v>
      </c>
      <c r="EP48" s="13">
        <v>-2.0099999999999998</v>
      </c>
    </row>
    <row r="49" spans="1:146" ht="96" x14ac:dyDescent="0.25">
      <c r="C49" s="6" t="str">
        <f>""&amp;CHAR(10)&amp;Basic_Fundamental_Information_Constructure(F49)&amp;CHAR(10)&amp;Basic_Fundamental_Information_Concatenate("")</f>
        <v xml:space="preserve">
市值52.668448亿, 利润3516.66万; PE17.81; 平均PE15.91; 平均PEG3.1, PB1.45; ROIC11.9267%; ROE13.4533%; 股利率2.0183%; 毛利26.9467%; 净利12.7733%; 上一年度营收增-76.4%, 利润增-92.12%; 当季营收增-47.92%, 利润增-81.97%; 过往5年营收增-5.13%, 利润增-9.39%
Income profile:
</v>
      </c>
      <c r="D49" s="3" t="s">
        <v>61</v>
      </c>
      <c r="E49" s="3" t="s">
        <v>16</v>
      </c>
      <c r="F49" s="3">
        <v>13.13</v>
      </c>
      <c r="G49" s="3">
        <v>-1.06</v>
      </c>
      <c r="H49" s="3" t="s">
        <v>2182</v>
      </c>
      <c r="I49" s="3">
        <v>5266844800</v>
      </c>
      <c r="J49" s="3">
        <v>17.809999999999999</v>
      </c>
      <c r="K49" s="3">
        <v>1.45</v>
      </c>
      <c r="L49" s="3" t="s">
        <v>1310</v>
      </c>
      <c r="M49" s="3" t="s">
        <v>1267</v>
      </c>
      <c r="N49" s="3" t="s">
        <v>352</v>
      </c>
      <c r="O49" s="3" t="s">
        <v>412</v>
      </c>
      <c r="P49" s="3">
        <v>15.27</v>
      </c>
      <c r="Q49" s="3" t="s">
        <v>412</v>
      </c>
      <c r="R49" s="3">
        <v>35166575</v>
      </c>
      <c r="S49" s="4">
        <v>-0.61109999999999998</v>
      </c>
      <c r="T49" s="3" t="s">
        <v>2183</v>
      </c>
      <c r="U49" s="3">
        <v>401130600</v>
      </c>
      <c r="V49" s="3">
        <v>401130600</v>
      </c>
      <c r="W49" s="3">
        <v>1.52</v>
      </c>
      <c r="X49" s="3">
        <v>0.15</v>
      </c>
      <c r="Y49" s="3">
        <v>3.81</v>
      </c>
      <c r="Z49" s="3" t="s">
        <v>164</v>
      </c>
      <c r="AA49" s="3" t="s">
        <v>378</v>
      </c>
      <c r="AB49" s="3" t="s">
        <v>2184</v>
      </c>
      <c r="AC49" s="3" t="s">
        <v>2185</v>
      </c>
      <c r="AD49" s="3" t="s">
        <v>30</v>
      </c>
      <c r="AE49" s="3">
        <v>24345137</v>
      </c>
      <c r="AF49" s="3" t="s">
        <v>1269</v>
      </c>
      <c r="AG49" s="3" t="s">
        <v>2186</v>
      </c>
      <c r="AH49" s="3" t="s">
        <v>1270</v>
      </c>
      <c r="AI49" s="3" t="s">
        <v>245</v>
      </c>
      <c r="AJ49" s="3" t="s">
        <v>1271</v>
      </c>
      <c r="AK49" s="3" t="s">
        <v>1979</v>
      </c>
      <c r="AL49" s="3" t="s">
        <v>1272</v>
      </c>
      <c r="AM49" s="3" t="s">
        <v>30</v>
      </c>
      <c r="AN49" s="3" t="s">
        <v>131</v>
      </c>
      <c r="AO49" s="3" t="s">
        <v>275</v>
      </c>
      <c r="AP49" s="3" t="s">
        <v>559</v>
      </c>
      <c r="AQ49" s="3" t="s">
        <v>686</v>
      </c>
      <c r="AR49" s="3" t="s">
        <v>30</v>
      </c>
      <c r="AS49" s="3" t="s">
        <v>209</v>
      </c>
      <c r="AT49" s="3" t="s">
        <v>997</v>
      </c>
      <c r="AU49" s="3" t="s">
        <v>2187</v>
      </c>
      <c r="AV49" s="3" t="s">
        <v>121</v>
      </c>
      <c r="AW49" s="3" t="s">
        <v>916</v>
      </c>
      <c r="AX49" s="3" t="s">
        <v>864</v>
      </c>
      <c r="AY49" s="3" t="s">
        <v>592</v>
      </c>
      <c r="AZ49" s="3" t="s">
        <v>441</v>
      </c>
      <c r="BA49" s="3" t="s">
        <v>171</v>
      </c>
      <c r="BB49" s="3" t="s">
        <v>320</v>
      </c>
      <c r="BC49" s="3" t="s">
        <v>590</v>
      </c>
      <c r="BD49" s="3" t="s">
        <v>141</v>
      </c>
      <c r="BE49" s="3" t="s">
        <v>283</v>
      </c>
      <c r="BF49" s="3" t="s">
        <v>276</v>
      </c>
      <c r="BG49" s="3" t="s">
        <v>254</v>
      </c>
      <c r="BH49" s="3" t="s">
        <v>1268</v>
      </c>
      <c r="BI49" s="3" t="s">
        <v>2188</v>
      </c>
      <c r="BJ49" s="3" t="s">
        <v>864</v>
      </c>
      <c r="BK49" s="3" t="s">
        <v>387</v>
      </c>
      <c r="BL49" s="3" t="s">
        <v>369</v>
      </c>
      <c r="BM49" s="3" t="s">
        <v>590</v>
      </c>
      <c r="BN49" s="3">
        <v>8.1199999999999992</v>
      </c>
      <c r="BO49" s="3">
        <v>12.56</v>
      </c>
      <c r="BP49" s="3">
        <v>15.1</v>
      </c>
      <c r="BQ49" s="3">
        <v>9.31</v>
      </c>
      <c r="BR49" s="3">
        <v>13.96</v>
      </c>
      <c r="BS49" s="3">
        <v>17.09</v>
      </c>
      <c r="BT49" s="3" t="s">
        <v>1273</v>
      </c>
      <c r="BU49" s="3" t="s">
        <v>650</v>
      </c>
      <c r="BV49" s="3">
        <v>24.78</v>
      </c>
      <c r="BW49" s="3">
        <v>26.5</v>
      </c>
      <c r="BX49" s="3">
        <v>29.56</v>
      </c>
      <c r="BY49" s="3">
        <v>10.130000000000001</v>
      </c>
      <c r="BZ49" s="3">
        <v>13.04</v>
      </c>
      <c r="CA49" s="3">
        <v>15.15</v>
      </c>
      <c r="CB49" s="3">
        <v>-6.61</v>
      </c>
      <c r="CC49" s="3">
        <v>-9.23</v>
      </c>
      <c r="CD49" s="3" t="s">
        <v>2189</v>
      </c>
      <c r="CE49" s="3" t="s">
        <v>116</v>
      </c>
      <c r="CF49" s="8">
        <v>-0.47918001281229972</v>
      </c>
      <c r="CG49" s="9">
        <v>-0.81965858974358974</v>
      </c>
      <c r="CH49" s="8">
        <v>-0.76400583982467651</v>
      </c>
      <c r="CI49" s="8">
        <v>6.5244220197200775E-2</v>
      </c>
      <c r="CJ49" s="8">
        <v>0.28486302495002747</v>
      </c>
      <c r="CK49" s="8">
        <v>0.11668135970830917</v>
      </c>
      <c r="CL49" s="8">
        <v>4.062788188457489E-2</v>
      </c>
      <c r="CM49" s="9">
        <v>-0.92115116119384766</v>
      </c>
      <c r="CN49" s="9">
        <v>-8.4188908338546753E-2</v>
      </c>
      <c r="CO49" s="9">
        <v>0.27821522951126099</v>
      </c>
      <c r="CP49" s="9">
        <v>0.12721893191337585</v>
      </c>
      <c r="CQ49" s="9">
        <v>0.1304347813129425</v>
      </c>
      <c r="CR49" s="3">
        <v>15.910583130337605</v>
      </c>
      <c r="CS49" s="3">
        <v>3.1003981535223617</v>
      </c>
      <c r="CT49" s="3">
        <v>2.0182787509520179</v>
      </c>
      <c r="CU49" s="8">
        <v>-5.1317870616912842E-2</v>
      </c>
      <c r="CV49" s="9">
        <v>-9.389422535896301E-2</v>
      </c>
      <c r="CW49" s="3">
        <v>0.06</v>
      </c>
      <c r="CX49" s="3">
        <v>101.71141935814096</v>
      </c>
      <c r="CY49" s="3" t="s">
        <v>2190</v>
      </c>
      <c r="CZ49" s="3">
        <v>-5.1317870616912842E-2</v>
      </c>
      <c r="DA49" s="3">
        <v>33.903806452713653</v>
      </c>
      <c r="DB49" s="3" t="s">
        <v>2191</v>
      </c>
      <c r="DC49" s="3">
        <v>-4.8751977086067197E-2</v>
      </c>
      <c r="DD49" s="3">
        <v>16.951903226356826</v>
      </c>
      <c r="DE49" s="3" t="s">
        <v>2192</v>
      </c>
      <c r="DF49" s="3">
        <v>-4.51597261428833E-2</v>
      </c>
      <c r="DG49" s="3">
        <v>10.171141935814097</v>
      </c>
      <c r="DH49" s="3" t="s">
        <v>2193</v>
      </c>
      <c r="DI49" s="3">
        <v>-4.1054296493530276E-2</v>
      </c>
      <c r="DJ49" s="3">
        <v>5.0855709679070484</v>
      </c>
      <c r="DK49" s="3" t="s">
        <v>2194</v>
      </c>
      <c r="DL49" s="3">
        <v>-3.5922509431838986E-2</v>
      </c>
      <c r="DM49" s="3">
        <v>35166600</v>
      </c>
      <c r="DN49" s="3">
        <v>-5.1317870616912842E-2</v>
      </c>
      <c r="DO49" s="3">
        <v>3576844800</v>
      </c>
      <c r="DP49" s="3">
        <v>2054772300.0000002</v>
      </c>
      <c r="DQ49" s="3">
        <v>4418</v>
      </c>
      <c r="DR49" s="3">
        <v>-0.42786214219538687</v>
      </c>
      <c r="DS49" s="3">
        <v>-0.72576436438462677</v>
      </c>
      <c r="DT49" s="10">
        <v>-0.64</v>
      </c>
      <c r="DU49" s="3">
        <v>-0.64</v>
      </c>
      <c r="DV49" s="3">
        <v>-1.28</v>
      </c>
      <c r="DW49" s="3">
        <v>-9.7161430119176604</v>
      </c>
      <c r="DX49" s="3">
        <v>0.36374955752212212</v>
      </c>
      <c r="DY49" s="3">
        <v>-9.1101066712049015</v>
      </c>
      <c r="DZ49" s="3">
        <v>3970</v>
      </c>
      <c r="EA49" s="3">
        <v>-9.0245639149067678</v>
      </c>
      <c r="EB49" s="3">
        <v>9</v>
      </c>
      <c r="EC49" s="3">
        <v>4.3311829115006431E-2</v>
      </c>
      <c r="ED49" s="3">
        <v>0.28170376431017724</v>
      </c>
      <c r="EE49" s="11">
        <v>2.0139100000000001</v>
      </c>
      <c r="EF49" s="3">
        <v>2.0308099999999998</v>
      </c>
      <c r="EG49" s="3">
        <v>21.153749557522122</v>
      </c>
      <c r="EH49" s="3" t="s">
        <v>1306</v>
      </c>
      <c r="EI49" s="3">
        <v>0</v>
      </c>
      <c r="EJ49" s="3">
        <v>0</v>
      </c>
      <c r="EK49" s="12">
        <v>45470</v>
      </c>
      <c r="EL49" s="13">
        <v>-1.0900000000000001</v>
      </c>
      <c r="EM49" s="13">
        <v>-4.5199999999999996</v>
      </c>
      <c r="EN49" s="13">
        <v>-0.57999999999999996</v>
      </c>
      <c r="EO49" s="13">
        <v>3.14</v>
      </c>
      <c r="EP49" s="13">
        <v>-1.69</v>
      </c>
    </row>
    <row r="50" spans="1:146" ht="96" x14ac:dyDescent="0.25">
      <c r="C50" s="6" t="str">
        <f>""&amp;CHAR(10)&amp;Basic_Fundamental_Information_Constructure(F50)&amp;CHAR(10)&amp;Basic_Fundamental_Information_Concatenate("")</f>
        <v xml:space="preserve">
市值25.1832亿, 利润3123.08万; PE18.85; 平均PE22.99; 平均PEG2.63, PB1.53; ROIC7.34%; ROE8.8567%; 股利率1.7026%; 毛利24.0667%; 净利12.4767%; 上一年度营收增-75.67%, 利润增-76.52%; 当季营收增-48.5%, 利润增-58.35%; 过往5年营收增-8.75%, 利润增-9.11%
Income profile:
</v>
      </c>
      <c r="D50" s="3" t="s">
        <v>442</v>
      </c>
      <c r="E50" s="3" t="s">
        <v>443</v>
      </c>
      <c r="F50" s="3">
        <v>17.62</v>
      </c>
      <c r="G50" s="3">
        <v>-1.56</v>
      </c>
      <c r="H50" s="3" t="s">
        <v>2195</v>
      </c>
      <c r="I50" s="3">
        <v>2518320000</v>
      </c>
      <c r="J50" s="3">
        <v>18.850000000000001</v>
      </c>
      <c r="K50" s="3">
        <v>1.53</v>
      </c>
      <c r="L50" s="3" t="s">
        <v>1310</v>
      </c>
      <c r="M50" s="3" t="s">
        <v>869</v>
      </c>
      <c r="N50" s="3" t="s">
        <v>2196</v>
      </c>
      <c r="O50" s="3" t="s">
        <v>261</v>
      </c>
      <c r="P50" s="3">
        <v>7.7</v>
      </c>
      <c r="Q50" s="3" t="s">
        <v>261</v>
      </c>
      <c r="R50" s="3">
        <v>31230752</v>
      </c>
      <c r="S50" s="4">
        <v>2.3099999999999999E-2</v>
      </c>
      <c r="T50" s="3" t="s">
        <v>2197</v>
      </c>
      <c r="U50" s="3">
        <v>142923950</v>
      </c>
      <c r="V50" s="3">
        <v>142923950</v>
      </c>
      <c r="W50" s="3">
        <v>1.43</v>
      </c>
      <c r="X50" s="3">
        <v>0.12</v>
      </c>
      <c r="Y50" s="3">
        <v>11.38</v>
      </c>
      <c r="Z50" s="3" t="s">
        <v>113</v>
      </c>
      <c r="AA50" s="3" t="s">
        <v>95</v>
      </c>
      <c r="AB50" s="3" t="s">
        <v>2198</v>
      </c>
      <c r="AC50" s="3" t="s">
        <v>2199</v>
      </c>
      <c r="AD50" s="3" t="s">
        <v>30</v>
      </c>
      <c r="AE50" s="3">
        <v>-1054652</v>
      </c>
      <c r="AF50" s="3" t="s">
        <v>1274</v>
      </c>
      <c r="AG50" s="3">
        <v>282</v>
      </c>
      <c r="AH50" s="3" t="s">
        <v>1275</v>
      </c>
      <c r="AI50" s="3" t="s">
        <v>851</v>
      </c>
      <c r="AJ50" s="3" t="s">
        <v>1276</v>
      </c>
      <c r="AK50" s="3" t="s">
        <v>2200</v>
      </c>
      <c r="AL50" s="3" t="s">
        <v>1277</v>
      </c>
      <c r="AM50" s="3" t="s">
        <v>30</v>
      </c>
      <c r="AN50" s="3" t="s">
        <v>2201</v>
      </c>
      <c r="AO50" s="3" t="s">
        <v>924</v>
      </c>
      <c r="AP50" s="3" t="s">
        <v>641</v>
      </c>
      <c r="AQ50" s="3" t="s">
        <v>2202</v>
      </c>
      <c r="AR50" s="3" t="s">
        <v>30</v>
      </c>
      <c r="AS50" s="3" t="s">
        <v>523</v>
      </c>
      <c r="AT50" s="3" t="s">
        <v>30</v>
      </c>
      <c r="AU50" s="3" t="s">
        <v>2203</v>
      </c>
      <c r="AV50" s="3" t="s">
        <v>2204</v>
      </c>
      <c r="AW50" s="3" t="s">
        <v>2205</v>
      </c>
      <c r="AX50" s="3" t="s">
        <v>865</v>
      </c>
      <c r="AY50" s="3" t="s">
        <v>415</v>
      </c>
      <c r="AZ50" s="3" t="s">
        <v>445</v>
      </c>
      <c r="BA50" s="3" t="s">
        <v>285</v>
      </c>
      <c r="BB50" s="3" t="s">
        <v>278</v>
      </c>
      <c r="BC50" s="3" t="s">
        <v>259</v>
      </c>
      <c r="BD50" s="3" t="s">
        <v>483</v>
      </c>
      <c r="BE50" s="3" t="s">
        <v>123</v>
      </c>
      <c r="BF50" s="3" t="s">
        <v>34</v>
      </c>
      <c r="BG50" s="3" t="s">
        <v>191</v>
      </c>
      <c r="BH50" s="3" t="s">
        <v>502</v>
      </c>
      <c r="BI50" s="3" t="s">
        <v>391</v>
      </c>
      <c r="BJ50" s="3" t="s">
        <v>865</v>
      </c>
      <c r="BK50" s="3" t="s">
        <v>259</v>
      </c>
      <c r="BL50" s="3" t="s">
        <v>2206</v>
      </c>
      <c r="BM50" s="3" t="s">
        <v>259</v>
      </c>
      <c r="BN50" s="3">
        <v>5.53</v>
      </c>
      <c r="BO50" s="3">
        <v>7.62</v>
      </c>
      <c r="BP50" s="3">
        <v>8.8699999999999992</v>
      </c>
      <c r="BQ50" s="3">
        <v>7.13</v>
      </c>
      <c r="BR50" s="3">
        <v>9</v>
      </c>
      <c r="BS50" s="3">
        <v>10.44</v>
      </c>
      <c r="BT50" s="3" t="s">
        <v>702</v>
      </c>
      <c r="BU50" s="3" t="s">
        <v>651</v>
      </c>
      <c r="BV50" s="3">
        <v>25.04</v>
      </c>
      <c r="BW50" s="3">
        <v>22.58</v>
      </c>
      <c r="BX50" s="3">
        <v>24.58</v>
      </c>
      <c r="BY50" s="3">
        <v>12.28</v>
      </c>
      <c r="BZ50" s="3">
        <v>11.82</v>
      </c>
      <c r="CA50" s="3">
        <v>13.33</v>
      </c>
      <c r="CB50" s="3">
        <v>-10.47</v>
      </c>
      <c r="CC50" s="3">
        <v>-7.36</v>
      </c>
      <c r="CD50" s="3" t="s">
        <v>2207</v>
      </c>
      <c r="CE50" s="3" t="s">
        <v>618</v>
      </c>
      <c r="CF50" s="8">
        <v>-0.48496240601503759</v>
      </c>
      <c r="CG50" s="9">
        <v>-0.58354221950783691</v>
      </c>
      <c r="CH50" s="8">
        <v>-0.75666075944900513</v>
      </c>
      <c r="CI50" s="8">
        <v>5.1353875547647476E-2</v>
      </c>
      <c r="CJ50" s="8">
        <v>0.2142857164144516</v>
      </c>
      <c r="CK50" s="8">
        <v>4.378698393702507E-2</v>
      </c>
      <c r="CL50" s="8">
        <v>9.5579447224736214E-3</v>
      </c>
      <c r="CM50" s="9">
        <v>-0.76518195867538452</v>
      </c>
      <c r="CN50" s="9">
        <v>-6.9930069148540497E-2</v>
      </c>
      <c r="CO50" s="9">
        <v>0.14399999380111694</v>
      </c>
      <c r="CP50" s="9">
        <v>8.0645158886909485E-3</v>
      </c>
      <c r="CQ50" s="9">
        <v>0.22772277891635895</v>
      </c>
      <c r="CR50" s="3">
        <v>22.990279822552441</v>
      </c>
      <c r="CS50" s="3">
        <v>2.6264025531916522</v>
      </c>
      <c r="CT50" s="3">
        <v>1.7026106696935299</v>
      </c>
      <c r="CU50" s="8">
        <v>-8.7535247765481466E-2</v>
      </c>
      <c r="CV50" s="9">
        <v>-9.1064947843551639E-2</v>
      </c>
      <c r="CW50" s="3">
        <v>0.06</v>
      </c>
      <c r="CX50" s="3">
        <v>49.000345812467174</v>
      </c>
      <c r="CY50" s="3" t="s">
        <v>2208</v>
      </c>
      <c r="CZ50" s="3">
        <v>-8.7535247765481466E-2</v>
      </c>
      <c r="DA50" s="3">
        <v>16.333448604155723</v>
      </c>
      <c r="DB50" s="3" t="s">
        <v>2209</v>
      </c>
      <c r="DC50" s="3">
        <v>-8.3158485377207395E-2</v>
      </c>
      <c r="DD50" s="3">
        <v>8.1667243020778617</v>
      </c>
      <c r="DE50" s="3" t="s">
        <v>2210</v>
      </c>
      <c r="DF50" s="3">
        <v>-7.7031018033623694E-2</v>
      </c>
      <c r="DG50" s="3">
        <v>4.9000345812467172</v>
      </c>
      <c r="DH50" s="3" t="s">
        <v>2211</v>
      </c>
      <c r="DI50" s="3">
        <v>-7.0028198212385179E-2</v>
      </c>
      <c r="DJ50" s="3">
        <v>2.4500172906233586</v>
      </c>
      <c r="DK50" s="3" t="s">
        <v>2212</v>
      </c>
      <c r="DL50" s="3">
        <v>-6.1274673435837021E-2</v>
      </c>
      <c r="DM50" s="3">
        <v>31230800</v>
      </c>
      <c r="DN50" s="3">
        <v>-8.7535247765481466E-2</v>
      </c>
      <c r="DO50" s="3">
        <v>1530319999.9999998</v>
      </c>
      <c r="DP50" s="3">
        <v>1028365200</v>
      </c>
      <c r="DQ50" s="3">
        <v>4443</v>
      </c>
      <c r="DR50" s="3">
        <v>-0.3974271582495561</v>
      </c>
      <c r="DS50" s="3">
        <v>-0.49247727166428529</v>
      </c>
      <c r="DT50" s="10">
        <v>-0.64</v>
      </c>
      <c r="DU50" s="3">
        <v>-0.45333333333333331</v>
      </c>
      <c r="DV50" s="3">
        <v>-1.0933333333333333</v>
      </c>
      <c r="DW50" s="3">
        <v>-5.7029608404966572</v>
      </c>
      <c r="DX50" s="3">
        <v>0.2857428571428558</v>
      </c>
      <c r="DY50" s="3">
        <v>-5.067303479328694</v>
      </c>
      <c r="DZ50" s="3">
        <v>1722</v>
      </c>
      <c r="EA50" s="3">
        <v>-5.044623128760394</v>
      </c>
      <c r="EB50" s="3">
        <v>5</v>
      </c>
      <c r="EC50" s="3">
        <v>0.10785176312297554</v>
      </c>
      <c r="ED50" s="3">
        <v>1.1264732048057726</v>
      </c>
      <c r="EE50" s="11">
        <v>-3.0586099999999998</v>
      </c>
      <c r="EF50" s="3">
        <v>-3.0696099999999999</v>
      </c>
      <c r="EG50" s="3">
        <v>19.095742857142856</v>
      </c>
      <c r="EH50" s="3" t="s">
        <v>910</v>
      </c>
      <c r="EI50" s="3">
        <v>0</v>
      </c>
      <c r="EJ50" s="3">
        <v>0</v>
      </c>
      <c r="EK50" s="12">
        <v>45470</v>
      </c>
      <c r="EL50" s="13">
        <v>-2.2999999999999998</v>
      </c>
      <c r="EM50" s="13">
        <v>-5.59</v>
      </c>
      <c r="EN50" s="13">
        <v>0.37</v>
      </c>
      <c r="EO50" s="13">
        <v>5.54</v>
      </c>
      <c r="EP50" s="13">
        <v>-1.1000000000000001</v>
      </c>
    </row>
    <row r="51" spans="1:146" ht="96" x14ac:dyDescent="0.25">
      <c r="C51" s="6" t="str">
        <f>""&amp;CHAR(10)&amp;Basic_Fundamental_Information_Constructure(F51)&amp;CHAR(10)&amp;Basic_Fundamental_Information_Concatenate("")</f>
        <v xml:space="preserve">
市值24.6928亿, 利润1329.45万; PE57.8; 平均PE31.28; 平均PEG2.87, PB2.09; ROIC4.5233%; ROE4.5833%; 股利率1.2473%; 毛利22.3567%; 净利7.7267%; 上一年度营收增-73.55%, 利润增-73.7%; 当季营收增-44.85%, 利润增-33.1%; 过往5年营收增-10.9%, 利润增-31.29%
Income profile:
</v>
      </c>
      <c r="D51" s="3" t="s">
        <v>447</v>
      </c>
      <c r="E51" s="3" t="s">
        <v>1308</v>
      </c>
      <c r="F51" s="3">
        <v>28.06</v>
      </c>
      <c r="G51" s="3">
        <v>-1.47</v>
      </c>
      <c r="H51" s="3" t="s">
        <v>2213</v>
      </c>
      <c r="I51" s="3">
        <v>2469280000</v>
      </c>
      <c r="J51" s="3">
        <v>57.8</v>
      </c>
      <c r="K51" s="3">
        <v>2.09</v>
      </c>
      <c r="L51" s="3" t="s">
        <v>1310</v>
      </c>
      <c r="M51" s="3" t="s">
        <v>390</v>
      </c>
      <c r="N51" s="3" t="s">
        <v>1054</v>
      </c>
      <c r="O51" s="3" t="s">
        <v>287</v>
      </c>
      <c r="P51" s="3">
        <v>26.47</v>
      </c>
      <c r="Q51" s="3" t="s">
        <v>287</v>
      </c>
      <c r="R51" s="3">
        <v>13294520</v>
      </c>
      <c r="S51" s="4">
        <v>0.68469999999999998</v>
      </c>
      <c r="T51" s="3" t="s">
        <v>2214</v>
      </c>
      <c r="U51" s="3">
        <v>88000000</v>
      </c>
      <c r="V51" s="3">
        <v>88000000</v>
      </c>
      <c r="W51" s="3">
        <v>1.23</v>
      </c>
      <c r="X51" s="3">
        <v>0.12</v>
      </c>
      <c r="Y51" s="3">
        <v>7.21</v>
      </c>
      <c r="Z51" s="3" t="s">
        <v>105</v>
      </c>
      <c r="AA51" s="3" t="s">
        <v>117</v>
      </c>
      <c r="AB51" s="3" t="s">
        <v>2215</v>
      </c>
      <c r="AC51" s="3" t="s">
        <v>2216</v>
      </c>
      <c r="AD51" s="3" t="s">
        <v>30</v>
      </c>
      <c r="AE51" s="3">
        <v>-107773</v>
      </c>
      <c r="AF51" s="3" t="s">
        <v>1279</v>
      </c>
      <c r="AG51" s="3" t="s">
        <v>2217</v>
      </c>
      <c r="AH51" s="3" t="s">
        <v>1280</v>
      </c>
      <c r="AI51" s="3" t="s">
        <v>211</v>
      </c>
      <c r="AJ51" s="3" t="s">
        <v>1281</v>
      </c>
      <c r="AK51" s="3" t="s">
        <v>2218</v>
      </c>
      <c r="AL51" s="3" t="s">
        <v>1282</v>
      </c>
      <c r="AM51" s="3" t="s">
        <v>30</v>
      </c>
      <c r="AN51" s="3" t="s">
        <v>2219</v>
      </c>
      <c r="AO51" s="3" t="s">
        <v>2220</v>
      </c>
      <c r="AP51" s="3" t="s">
        <v>2221</v>
      </c>
      <c r="AQ51" s="3" t="s">
        <v>114</v>
      </c>
      <c r="AR51" s="3" t="s">
        <v>30</v>
      </c>
      <c r="AS51" s="3" t="s">
        <v>398</v>
      </c>
      <c r="AT51" s="3" t="s">
        <v>30</v>
      </c>
      <c r="AU51" s="3" t="s">
        <v>2222</v>
      </c>
      <c r="AV51" s="3" t="s">
        <v>2223</v>
      </c>
      <c r="AW51" s="3" t="s">
        <v>2224</v>
      </c>
      <c r="AX51" s="3" t="s">
        <v>866</v>
      </c>
      <c r="AY51" s="3" t="s">
        <v>459</v>
      </c>
      <c r="AZ51" s="3" t="s">
        <v>448</v>
      </c>
      <c r="BA51" s="3" t="s">
        <v>289</v>
      </c>
      <c r="BB51" s="3" t="s">
        <v>286</v>
      </c>
      <c r="BC51" s="3" t="s">
        <v>867</v>
      </c>
      <c r="BD51" s="3" t="s">
        <v>593</v>
      </c>
      <c r="BE51" s="3" t="s">
        <v>449</v>
      </c>
      <c r="BF51" s="3" t="s">
        <v>149</v>
      </c>
      <c r="BG51" s="3" t="s">
        <v>142</v>
      </c>
      <c r="BH51" s="3" t="s">
        <v>595</v>
      </c>
      <c r="BI51" s="3" t="s">
        <v>2225</v>
      </c>
      <c r="BJ51" s="3" t="s">
        <v>866</v>
      </c>
      <c r="BK51" s="3" t="s">
        <v>1278</v>
      </c>
      <c r="BL51" s="3" t="s">
        <v>2226</v>
      </c>
      <c r="BM51" s="3" t="s">
        <v>867</v>
      </c>
      <c r="BN51" s="3">
        <v>2.08</v>
      </c>
      <c r="BO51" s="3">
        <v>4.33</v>
      </c>
      <c r="BP51" s="3">
        <v>7.16</v>
      </c>
      <c r="BQ51" s="3">
        <v>2.2799999999999998</v>
      </c>
      <c r="BR51" s="3">
        <v>4.43</v>
      </c>
      <c r="BS51" s="3">
        <v>7.04</v>
      </c>
      <c r="BT51" s="3" t="s">
        <v>709</v>
      </c>
      <c r="BU51" s="3" t="s">
        <v>651</v>
      </c>
      <c r="BV51" s="3">
        <v>21.24</v>
      </c>
      <c r="BW51" s="3">
        <v>21.55</v>
      </c>
      <c r="BX51" s="3">
        <v>24.28</v>
      </c>
      <c r="BY51" s="3">
        <v>5.09</v>
      </c>
      <c r="BZ51" s="3">
        <v>7.26</v>
      </c>
      <c r="CA51" s="3">
        <v>10.83</v>
      </c>
      <c r="CB51" s="3">
        <v>-10.52</v>
      </c>
      <c r="CC51" s="3">
        <v>30.63</v>
      </c>
      <c r="CD51" s="3" t="s">
        <v>2227</v>
      </c>
      <c r="CE51" s="3" t="s">
        <v>2228</v>
      </c>
      <c r="CF51" s="8">
        <v>-0.44848484848484849</v>
      </c>
      <c r="CG51" s="9">
        <v>-0.33095531656844934</v>
      </c>
      <c r="CH51" s="8">
        <v>-0.73546510934829712</v>
      </c>
      <c r="CI51" s="8">
        <v>-6.2670297920703888E-2</v>
      </c>
      <c r="CJ51" s="8">
        <v>0.19155843555927277</v>
      </c>
      <c r="CK51" s="8">
        <v>0.13653136789798737</v>
      </c>
      <c r="CL51" s="8">
        <v>-7.508532702922821E-2</v>
      </c>
      <c r="CM51" s="9">
        <v>-0.73698580265045166</v>
      </c>
      <c r="CN51" s="9">
        <v>-0.35297819972038269</v>
      </c>
      <c r="CO51" s="9">
        <v>-0.14751839637756348</v>
      </c>
      <c r="CP51" s="9">
        <v>-0.15925870835781097</v>
      </c>
      <c r="CQ51" s="9">
        <v>-0.16793893277645111</v>
      </c>
      <c r="CR51" s="3">
        <v>31.282837289626503</v>
      </c>
      <c r="CS51" s="3">
        <v>2.8692957526154976</v>
      </c>
      <c r="CT51" s="3">
        <v>1.2473271560940842</v>
      </c>
      <c r="CU51" s="8">
        <v>-0.10902618616819382</v>
      </c>
      <c r="CV51" s="9">
        <v>-0.31293600797653198</v>
      </c>
      <c r="CW51" s="3">
        <v>0.06</v>
      </c>
      <c r="CX51" s="3">
        <v>120.74767761104216</v>
      </c>
      <c r="CY51" s="3" t="s">
        <v>2229</v>
      </c>
      <c r="CZ51" s="3">
        <v>-0.10902618616819382</v>
      </c>
      <c r="DA51" s="3">
        <v>40.249225870347388</v>
      </c>
      <c r="DB51" s="3" t="s">
        <v>2230</v>
      </c>
      <c r="DC51" s="3">
        <v>-0.10357487685978412</v>
      </c>
      <c r="DD51" s="3">
        <v>20.124612935173694</v>
      </c>
      <c r="DE51" s="3" t="s">
        <v>2231</v>
      </c>
      <c r="DF51" s="3">
        <v>-9.5943043828010555E-2</v>
      </c>
      <c r="DG51" s="3">
        <v>12.074767761104216</v>
      </c>
      <c r="DH51" s="3" t="s">
        <v>2232</v>
      </c>
      <c r="DI51" s="3">
        <v>-8.7220948934555065E-2</v>
      </c>
      <c r="DJ51" s="3">
        <v>6.0373838805521078</v>
      </c>
      <c r="DK51" s="3" t="s">
        <v>2233</v>
      </c>
      <c r="DL51" s="3">
        <v>-7.6318330317735661E-2</v>
      </c>
      <c r="DM51" s="3">
        <v>13294500</v>
      </c>
      <c r="DN51" s="3">
        <v>-0.10902618616819382</v>
      </c>
      <c r="DO51" s="3">
        <v>1605280000</v>
      </c>
      <c r="DP51" s="3">
        <v>609964070</v>
      </c>
      <c r="DQ51" s="3">
        <v>4493</v>
      </c>
      <c r="DR51" s="3">
        <v>-0.33945866231665467</v>
      </c>
      <c r="DS51" s="3">
        <v>-1.801930859191736E-2</v>
      </c>
      <c r="DT51" s="10">
        <v>-0.64</v>
      </c>
      <c r="DU51" s="3">
        <v>-0.91999999999999993</v>
      </c>
      <c r="DV51" s="3">
        <v>-1.56</v>
      </c>
      <c r="DW51" s="3">
        <v>-7.2556500607533412</v>
      </c>
      <c r="DX51" s="3">
        <v>0.27966961538461621</v>
      </c>
      <c r="DY51" s="3">
        <v>-7.0305935444434056</v>
      </c>
      <c r="DZ51" s="3">
        <v>1439</v>
      </c>
      <c r="EA51" s="3">
        <v>-7.0219782586402628</v>
      </c>
      <c r="EB51" s="3">
        <v>7</v>
      </c>
      <c r="EC51" s="3">
        <v>0.35356931818181819</v>
      </c>
      <c r="ED51" s="3">
        <v>2.9545454545454546</v>
      </c>
      <c r="EE51" s="11">
        <v>-2.0070100000000002</v>
      </c>
      <c r="EF51" s="3">
        <v>-2.0460099999999999</v>
      </c>
      <c r="EG51" s="3">
        <v>16.119669615384616</v>
      </c>
      <c r="EH51" s="3" t="s">
        <v>714</v>
      </c>
      <c r="EI51" s="3">
        <v>0</v>
      </c>
      <c r="EJ51" s="3">
        <v>1</v>
      </c>
      <c r="EK51" s="12">
        <v>45470</v>
      </c>
      <c r="EL51" s="13">
        <v>0.46</v>
      </c>
      <c r="EM51" s="13">
        <v>-2.4500000000000002</v>
      </c>
      <c r="EN51" s="13">
        <v>2.2000000000000002</v>
      </c>
      <c r="EO51" s="13">
        <v>2.67</v>
      </c>
      <c r="EP51" s="13">
        <v>-3.9</v>
      </c>
    </row>
    <row r="52" spans="1:146" ht="96" x14ac:dyDescent="0.25">
      <c r="C52" s="6" t="str">
        <f>""&amp;CHAR(10)&amp;Basic_Fundamental_Information_Constructure(F52)&amp;CHAR(10)&amp;Basic_Fundamental_Information_Concatenate("")</f>
        <v xml:space="preserve">
市值161.53967亿, 利润2644.87万; PE2957; 平均PE57.13; 平均PEG29.85, PB4.09; ROIC6.48%; ROE4.9733%; 股利率0%; 毛利19.5667%; 净利5.1133%; 上一年度营收增-74.96%, 利润增-91.55%; 当季营收增-44.09%, 利润增176.33%; 过往5年营收增-1.91%, 利润增-1.25%
Income profile:
</v>
      </c>
      <c r="D52" s="3" t="s">
        <v>452</v>
      </c>
      <c r="E52" s="3" t="s">
        <v>453</v>
      </c>
      <c r="F52" s="3">
        <v>19.420000000000002</v>
      </c>
      <c r="G52" s="3">
        <v>-2.41</v>
      </c>
      <c r="H52" s="3" t="s">
        <v>2234</v>
      </c>
      <c r="I52" s="3">
        <v>16153967000</v>
      </c>
      <c r="J52" s="3">
        <v>2957</v>
      </c>
      <c r="K52" s="3">
        <v>4.09</v>
      </c>
      <c r="L52" s="3" t="s">
        <v>1310</v>
      </c>
      <c r="M52" s="3" t="s">
        <v>1285</v>
      </c>
      <c r="N52" s="3" t="s">
        <v>2235</v>
      </c>
      <c r="O52" s="3" t="s">
        <v>411</v>
      </c>
      <c r="P52" s="3">
        <v>19.12</v>
      </c>
      <c r="Q52" s="3" t="s">
        <v>411</v>
      </c>
      <c r="R52" s="3">
        <v>26448681</v>
      </c>
      <c r="S52" s="4">
        <v>7.5990000000000002</v>
      </c>
      <c r="T52" s="3" t="s">
        <v>2236</v>
      </c>
      <c r="U52" s="3">
        <v>308339000</v>
      </c>
      <c r="V52" s="3">
        <v>831821180</v>
      </c>
      <c r="W52" s="3">
        <v>1.59</v>
      </c>
      <c r="X52" s="3">
        <v>0.14000000000000001</v>
      </c>
      <c r="Y52" s="3">
        <v>2.99</v>
      </c>
      <c r="Z52" s="3" t="s">
        <v>898</v>
      </c>
      <c r="AA52" s="3" t="s">
        <v>2237</v>
      </c>
      <c r="AB52" s="3" t="s">
        <v>2238</v>
      </c>
      <c r="AC52" s="3" t="s">
        <v>2239</v>
      </c>
      <c r="AD52" s="3" t="s">
        <v>30</v>
      </c>
      <c r="AE52" s="3">
        <v>4020711</v>
      </c>
      <c r="AF52" s="3" t="s">
        <v>86</v>
      </c>
      <c r="AG52" s="3" t="s">
        <v>2240</v>
      </c>
      <c r="AH52" s="3" t="s">
        <v>1288</v>
      </c>
      <c r="AI52" s="3" t="s">
        <v>1546</v>
      </c>
      <c r="AJ52" s="3" t="s">
        <v>1289</v>
      </c>
      <c r="AK52" s="3" t="s">
        <v>30</v>
      </c>
      <c r="AL52" s="3" t="s">
        <v>1290</v>
      </c>
      <c r="AM52" s="3" t="s">
        <v>30</v>
      </c>
      <c r="AN52" s="3" t="s">
        <v>234</v>
      </c>
      <c r="AO52" s="3" t="s">
        <v>938</v>
      </c>
      <c r="AP52" s="3" t="s">
        <v>2036</v>
      </c>
      <c r="AQ52" s="3" t="s">
        <v>2241</v>
      </c>
      <c r="AR52" s="3" t="s">
        <v>30</v>
      </c>
      <c r="AS52" s="3" t="s">
        <v>2242</v>
      </c>
      <c r="AT52" s="3" t="s">
        <v>31</v>
      </c>
      <c r="AU52" s="3" t="s">
        <v>2243</v>
      </c>
      <c r="AV52" s="3" t="s">
        <v>2244</v>
      </c>
      <c r="AW52" s="3" t="s">
        <v>2245</v>
      </c>
      <c r="AX52" s="3" t="s">
        <v>683</v>
      </c>
      <c r="AY52" s="3" t="s">
        <v>597</v>
      </c>
      <c r="AZ52" s="3" t="s">
        <v>454</v>
      </c>
      <c r="BA52" s="3" t="s">
        <v>455</v>
      </c>
      <c r="BB52" s="3" t="s">
        <v>456</v>
      </c>
      <c r="BC52" s="3" t="s">
        <v>522</v>
      </c>
      <c r="BD52" s="3" t="s">
        <v>106</v>
      </c>
      <c r="BE52" s="3" t="s">
        <v>337</v>
      </c>
      <c r="BF52" s="3" t="s">
        <v>129</v>
      </c>
      <c r="BG52" s="3" t="s">
        <v>457</v>
      </c>
      <c r="BH52" s="3" t="s">
        <v>1286</v>
      </c>
      <c r="BI52" s="3" t="s">
        <v>2246</v>
      </c>
      <c r="BJ52" s="3" t="s">
        <v>683</v>
      </c>
      <c r="BK52" s="3" t="s">
        <v>1287</v>
      </c>
      <c r="BL52" s="3" t="s">
        <v>2247</v>
      </c>
      <c r="BM52" s="3" t="s">
        <v>522</v>
      </c>
      <c r="BN52" s="3" t="s">
        <v>30</v>
      </c>
      <c r="BO52" s="3">
        <v>6.29</v>
      </c>
      <c r="BP52" s="3">
        <v>6.67</v>
      </c>
      <c r="BQ52" s="3">
        <v>-0.44</v>
      </c>
      <c r="BR52" s="3">
        <v>7.88</v>
      </c>
      <c r="BS52" s="3">
        <v>7.48</v>
      </c>
      <c r="BT52" s="3" t="s">
        <v>700</v>
      </c>
      <c r="BU52" s="3" t="s">
        <v>651</v>
      </c>
      <c r="BV52" s="3">
        <v>14.56</v>
      </c>
      <c r="BW52" s="3">
        <v>23.85</v>
      </c>
      <c r="BX52" s="3">
        <v>20.29</v>
      </c>
      <c r="BY52" s="3">
        <v>-0.76</v>
      </c>
      <c r="BZ52" s="3">
        <v>8.85</v>
      </c>
      <c r="CA52" s="3">
        <v>7.25</v>
      </c>
      <c r="CB52" s="3">
        <v>0.21</v>
      </c>
      <c r="CC52" s="3">
        <v>20.55</v>
      </c>
      <c r="CD52" s="3" t="s">
        <v>2248</v>
      </c>
      <c r="CE52" s="3" t="s">
        <v>696</v>
      </c>
      <c r="CF52" s="8">
        <v>-0.44093493367024639</v>
      </c>
      <c r="CG52" s="9">
        <v>1.7633321492378256</v>
      </c>
      <c r="CH52" s="8">
        <v>-0.74964642524719238</v>
      </c>
      <c r="CI52" s="8">
        <v>-3.0710171908140182E-2</v>
      </c>
      <c r="CJ52" s="8">
        <v>3.5773075651377439E-3</v>
      </c>
      <c r="CK52" s="8">
        <v>0.17377264797687531</v>
      </c>
      <c r="CL52" s="8">
        <v>0.50730282068252563</v>
      </c>
      <c r="CM52" s="9">
        <v>-0.91549932956695557</v>
      </c>
      <c r="CN52" s="9">
        <v>0.18560606241226196</v>
      </c>
      <c r="CO52" s="9">
        <v>-0.39863327145576477</v>
      </c>
      <c r="CP52" s="9">
        <v>-4.5351474545896053E-3</v>
      </c>
      <c r="CQ52" s="9">
        <v>1.0704225301742554</v>
      </c>
      <c r="CR52" s="3">
        <v>57.1333527503661</v>
      </c>
      <c r="CS52" s="3">
        <v>29.849044789800416</v>
      </c>
      <c r="CT52" s="3">
        <v>0</v>
      </c>
      <c r="CU52" s="8">
        <v>-1.9140764186158777E-2</v>
      </c>
      <c r="CV52" s="9">
        <v>-1.2527831178158522E-2</v>
      </c>
      <c r="CW52" s="3">
        <v>0.06</v>
      </c>
      <c r="CX52" s="3">
        <v>550.5362078287402</v>
      </c>
      <c r="CY52" s="3" t="s">
        <v>2249</v>
      </c>
      <c r="CZ52" s="3">
        <v>-1.9140764186158777E-2</v>
      </c>
      <c r="DA52" s="3">
        <v>183.51206927624673</v>
      </c>
      <c r="DB52" s="3" t="s">
        <v>2250</v>
      </c>
      <c r="DC52" s="3">
        <v>-1.8183725976850838E-2</v>
      </c>
      <c r="DD52" s="3">
        <v>91.756034638123367</v>
      </c>
      <c r="DE52" s="3" t="s">
        <v>2251</v>
      </c>
      <c r="DF52" s="3">
        <v>-1.6843872483819723E-2</v>
      </c>
      <c r="DG52" s="3">
        <v>55.053620782874013</v>
      </c>
      <c r="DH52" s="3" t="s">
        <v>2252</v>
      </c>
      <c r="DI52" s="3">
        <v>-1.5312611348927023E-2</v>
      </c>
      <c r="DJ52" s="3">
        <v>27.526810391437007</v>
      </c>
      <c r="DK52" s="3" t="s">
        <v>2253</v>
      </c>
      <c r="DL52" s="3">
        <v>-1.3398534930311142E-2</v>
      </c>
      <c r="DM52" s="3">
        <v>26448700</v>
      </c>
      <c r="DN52" s="3">
        <v>-1.9140764186158777E-2</v>
      </c>
      <c r="DO52" s="3">
        <v>14560967000</v>
      </c>
      <c r="DP52" s="3">
        <v>147513900.00000024</v>
      </c>
      <c r="DQ52" s="3">
        <v>4699</v>
      </c>
      <c r="DR52" s="3">
        <v>-0.4217941694840876</v>
      </c>
      <c r="DS52" s="3">
        <v>1.775859980415984</v>
      </c>
      <c r="DT52" s="10">
        <v>-0.55666666666666675</v>
      </c>
      <c r="DU52" s="3">
        <v>-0.1166666666666667</v>
      </c>
      <c r="DV52" s="3">
        <v>-0.67333333333333345</v>
      </c>
      <c r="DW52" s="3">
        <v>3.0514583333333332</v>
      </c>
      <c r="DX52" s="3">
        <v>0.32370431519699805</v>
      </c>
      <c r="DY52" s="3">
        <v>3.0048218678861787</v>
      </c>
      <c r="DZ52" s="3">
        <v>3784</v>
      </c>
      <c r="EA52" s="3">
        <v>3.0012512322538303</v>
      </c>
      <c r="EB52" s="3">
        <v>3</v>
      </c>
      <c r="EC52" s="3">
        <v>6.0042231672917959E-2</v>
      </c>
      <c r="ED52" s="3">
        <v>0.64076271777547189</v>
      </c>
      <c r="EE52" s="11">
        <v>1.0551999999999999</v>
      </c>
      <c r="EF52" s="3">
        <v>1.0261</v>
      </c>
      <c r="EG52" s="3">
        <v>23.093704315196998</v>
      </c>
      <c r="EH52" s="3" t="s">
        <v>950</v>
      </c>
      <c r="EI52" s="3">
        <v>0</v>
      </c>
      <c r="EJ52" s="3">
        <v>0</v>
      </c>
      <c r="EK52" s="12">
        <v>45470</v>
      </c>
      <c r="EL52" s="13">
        <v>-0.93</v>
      </c>
      <c r="EM52" s="13">
        <v>-3.66</v>
      </c>
      <c r="EN52" s="13">
        <v>-1.1299999999999999</v>
      </c>
      <c r="EO52" s="13">
        <v>3.92</v>
      </c>
      <c r="EP52" s="13">
        <v>-2.91</v>
      </c>
    </row>
    <row r="53" spans="1:146" ht="156" x14ac:dyDescent="0.25">
      <c r="C53" s="6" t="str">
        <f>"公司的主营业务是覆铜板和粘结片等复合材料及其制品的设计、研发、生产及销售。主要产品是覆铜板、粘结片。公司是少数跻身全球前二十名的内资覆铜板厂商之一，2020年公司全球销售收入市场占有率2%，排名全球第十二名、内资厂第三名。"&amp;CHAR(10)&amp;Basic_Fundamental_Information_Constructure(F53)&amp;CHAR(10)&amp;Basic_Fundamental_Information_Concatenate("覆铜箔板 32.96亿 78.35% 77.46% 17.68%
粘结片 8.52亿 20.26% 22.44% 19.81%
其他业务 5826.42万 1.38% 0.10% 1.32%")</f>
        <v>公司的主营业务是覆铜板和粘结片等复合材料及其制品的设计、研发、生产及销售。主要产品是覆铜板、粘结片。公司是少数跻身全球前二十名的内资覆铜板厂商之一，2020年公司全球销售收入市场占有率2%，排名全球第十二名、内资厂第三名。
市值55.753886亿, 利润1010.35万; PE; 平均PE39.21; 平均PEG8.98, PB2.29; ROIC7.025%; ROE3.94%; 股利率0%; 毛利10.12%; 净利2.1133%; 上一年度营收增-82.61%, 利润增-77.53%; 当季营收增-55.43%, 利润增127.59%; 过往5年营收增4.37%, 利润增10.4%
Income profile:
覆铜箔板 32.96亿 78.35% 77.46% 17.68%
粘结片 8.52亿 20.26% 22.44% 19.81%
其他业务 5826.42万 1.38% 0.10% 1.32%</v>
      </c>
      <c r="D53" s="3" t="s">
        <v>91</v>
      </c>
      <c r="E53" s="3" t="s">
        <v>92</v>
      </c>
      <c r="F53" s="3">
        <v>23.14</v>
      </c>
      <c r="G53" s="3">
        <v>0.43</v>
      </c>
      <c r="H53" s="3" t="s">
        <v>2254</v>
      </c>
      <c r="I53" s="3">
        <v>5575388600</v>
      </c>
      <c r="K53" s="3">
        <v>2.29</v>
      </c>
      <c r="L53" s="3" t="s">
        <v>1310</v>
      </c>
      <c r="M53" s="3" t="s">
        <v>1291</v>
      </c>
      <c r="N53" s="3" t="s">
        <v>2255</v>
      </c>
      <c r="O53" s="3" t="s">
        <v>919</v>
      </c>
      <c r="P53" s="3">
        <v>-5.77</v>
      </c>
      <c r="Q53" s="3" t="s">
        <v>919</v>
      </c>
      <c r="R53" s="3">
        <v>10103512</v>
      </c>
      <c r="S53" s="4">
        <v>2.085</v>
      </c>
      <c r="T53" s="3" t="s">
        <v>2256</v>
      </c>
      <c r="U53" s="3">
        <v>234751600</v>
      </c>
      <c r="V53" s="3">
        <v>240941600</v>
      </c>
      <c r="W53" s="3">
        <v>1.81</v>
      </c>
      <c r="X53" s="3">
        <v>0.15</v>
      </c>
      <c r="Y53" s="3">
        <v>1.54</v>
      </c>
      <c r="Z53" s="3" t="s">
        <v>851</v>
      </c>
      <c r="AA53" s="3" t="s">
        <v>2257</v>
      </c>
      <c r="AB53" s="3" t="s">
        <v>2258</v>
      </c>
      <c r="AC53" s="3" t="s">
        <v>2259</v>
      </c>
      <c r="AD53" s="3" t="s">
        <v>30</v>
      </c>
      <c r="AE53" s="3">
        <v>-935840</v>
      </c>
      <c r="AF53" s="3" t="s">
        <v>1293</v>
      </c>
      <c r="AG53" s="3" t="s">
        <v>2260</v>
      </c>
      <c r="AH53" s="3" t="s">
        <v>1294</v>
      </c>
      <c r="AI53" s="3" t="s">
        <v>656</v>
      </c>
      <c r="AJ53" s="3" t="s">
        <v>1295</v>
      </c>
      <c r="AK53" s="3" t="s">
        <v>1556</v>
      </c>
      <c r="AL53" s="3" t="s">
        <v>1296</v>
      </c>
      <c r="AM53" s="3" t="s">
        <v>30</v>
      </c>
      <c r="AN53" s="3" t="s">
        <v>353</v>
      </c>
      <c r="AO53" s="3" t="s">
        <v>101</v>
      </c>
      <c r="AP53" s="3" t="s">
        <v>274</v>
      </c>
      <c r="AQ53" s="3" t="s">
        <v>1935</v>
      </c>
      <c r="AR53" s="3" t="s">
        <v>30</v>
      </c>
      <c r="AS53" s="3" t="s">
        <v>2261</v>
      </c>
      <c r="AT53" s="3" t="s">
        <v>30</v>
      </c>
      <c r="AU53" s="3" t="s">
        <v>2262</v>
      </c>
      <c r="AV53" s="3" t="s">
        <v>2263</v>
      </c>
      <c r="AW53" s="3" t="s">
        <v>2264</v>
      </c>
      <c r="AX53" s="3" t="s">
        <v>871</v>
      </c>
      <c r="AY53" s="3" t="s">
        <v>545</v>
      </c>
      <c r="AZ53" s="3" t="s">
        <v>458</v>
      </c>
      <c r="BA53" s="3" t="s">
        <v>209</v>
      </c>
      <c r="BB53" s="3" t="s">
        <v>460</v>
      </c>
      <c r="BC53" s="3" t="s">
        <v>1297</v>
      </c>
      <c r="BD53" s="3" t="s">
        <v>218</v>
      </c>
      <c r="BE53" s="3" t="s">
        <v>132</v>
      </c>
      <c r="BF53" s="3" t="s">
        <v>125</v>
      </c>
      <c r="BG53" s="3" t="s">
        <v>32</v>
      </c>
      <c r="BH53" s="3" t="s">
        <v>1292</v>
      </c>
      <c r="BI53" s="3" t="s">
        <v>2265</v>
      </c>
      <c r="BJ53" s="3" t="s">
        <v>871</v>
      </c>
      <c r="BK53" s="3" t="s">
        <v>518</v>
      </c>
      <c r="BL53" s="3" t="s">
        <v>2266</v>
      </c>
      <c r="BM53" s="3" t="s">
        <v>1297</v>
      </c>
      <c r="BN53" s="3" t="s">
        <v>30</v>
      </c>
      <c r="BO53" s="3">
        <v>0.78</v>
      </c>
      <c r="BP53" s="3">
        <v>13.27</v>
      </c>
      <c r="BQ53" s="3">
        <v>-4.21</v>
      </c>
      <c r="BR53" s="3">
        <v>1.62</v>
      </c>
      <c r="BS53" s="3">
        <v>14.41</v>
      </c>
      <c r="BT53" s="3" t="s">
        <v>700</v>
      </c>
      <c r="BU53" s="3" t="s">
        <v>651</v>
      </c>
      <c r="BV53" s="3">
        <v>4.16</v>
      </c>
      <c r="BW53" s="3">
        <v>8.31</v>
      </c>
      <c r="BX53" s="3">
        <v>17.89</v>
      </c>
      <c r="BY53" s="3">
        <v>-4.34</v>
      </c>
      <c r="BZ53" s="3">
        <v>1.19</v>
      </c>
      <c r="CA53" s="3">
        <v>9.49</v>
      </c>
      <c r="CB53" s="3">
        <v>-9.5</v>
      </c>
      <c r="CC53" s="3">
        <v>-17.36</v>
      </c>
      <c r="CD53" s="3" t="s">
        <v>2267</v>
      </c>
      <c r="CE53" s="3" t="s">
        <v>2268</v>
      </c>
      <c r="CF53" s="8">
        <v>-0.55427408412483037</v>
      </c>
      <c r="CG53" s="9">
        <v>1.2759331217671059</v>
      </c>
      <c r="CH53" s="8">
        <v>-0.82609850168228149</v>
      </c>
      <c r="CI53" s="8">
        <v>-0.10197294503450394</v>
      </c>
      <c r="CJ53" s="8">
        <v>0.98349845409393311</v>
      </c>
      <c r="CK53" s="8">
        <v>0.2064846009016037</v>
      </c>
      <c r="CL53" s="8">
        <v>-4.3525572866201401E-2</v>
      </c>
      <c r="CM53" s="9">
        <v>-0.77532798051834106</v>
      </c>
      <c r="CN53" s="9">
        <v>-0.88729327917098999</v>
      </c>
      <c r="CO53" s="9">
        <v>1.9338235855102539</v>
      </c>
      <c r="CP53" s="9">
        <v>-9.9337749183177948E-2</v>
      </c>
      <c r="CQ53" s="9">
        <v>0.34821429848670959</v>
      </c>
      <c r="CR53" s="3">
        <v>39.21389141732805</v>
      </c>
      <c r="CS53" s="3">
        <v>8.9781133082180915</v>
      </c>
      <c r="CT53" s="3">
        <v>0</v>
      </c>
      <c r="CU53" s="8">
        <v>4.3677207082509995E-2</v>
      </c>
      <c r="CV53" s="9">
        <v>0.1040157750248909</v>
      </c>
      <c r="CW53" s="3">
        <v>0.06</v>
      </c>
      <c r="CX53" s="3">
        <v>521.75629170528237</v>
      </c>
      <c r="CY53" s="3">
        <v>9947917.6054322068</v>
      </c>
      <c r="CZ53" s="3">
        <v>4.3677207082509995E-2</v>
      </c>
      <c r="DA53" s="3">
        <v>177.36200735438115</v>
      </c>
      <c r="DB53" s="3">
        <v>29264376.725446373</v>
      </c>
      <c r="DC53" s="3">
        <v>4.1493346728384492E-2</v>
      </c>
      <c r="DD53" s="3">
        <v>91.949803095818837</v>
      </c>
      <c r="DE53" s="3">
        <v>56448066.502015367</v>
      </c>
      <c r="DF53" s="3">
        <v>3.8435942232608794E-2</v>
      </c>
      <c r="DG53" s="3">
        <v>58.458533923985975</v>
      </c>
      <c r="DH53" s="3">
        <v>88787525.988063559</v>
      </c>
      <c r="DI53" s="3">
        <v>3.4941765666007998E-2</v>
      </c>
      <c r="DJ53" s="3">
        <v>34.069871365891473</v>
      </c>
      <c r="DK53" s="3">
        <v>152345412.29281768</v>
      </c>
      <c r="DL53" s="3">
        <v>3.0574044957756993E-2</v>
      </c>
      <c r="DM53" s="3">
        <v>10103500</v>
      </c>
      <c r="DN53" s="3">
        <v>4.3677207082509995E-2</v>
      </c>
      <c r="DO53" s="3">
        <v>5190388600</v>
      </c>
      <c r="DP53" s="3">
        <v>859419599.99999976</v>
      </c>
      <c r="DQ53" s="3">
        <v>4945</v>
      </c>
      <c r="DR53" s="3">
        <v>-0.59795129120734036</v>
      </c>
      <c r="DS53" s="3">
        <v>1.171917346742215</v>
      </c>
      <c r="DT53" s="10">
        <v>-0.39000000000000007</v>
      </c>
      <c r="DU53" s="3">
        <v>-0.19666666666666674</v>
      </c>
      <c r="DV53" s="3">
        <v>-0.58666666666666678</v>
      </c>
      <c r="DW53" s="3">
        <v>-9.5472350230414751</v>
      </c>
      <c r="DX53" s="3">
        <v>0.32898009813575779</v>
      </c>
      <c r="DY53" s="3">
        <v>-9.0651100767447996</v>
      </c>
      <c r="DZ53" s="3">
        <v>3742</v>
      </c>
      <c r="EA53" s="3">
        <v>-9.0174306428545759</v>
      </c>
      <c r="EB53" s="3">
        <v>9</v>
      </c>
      <c r="EC53" s="3">
        <v>2.3368318297877992E-2</v>
      </c>
      <c r="ED53" s="3">
        <v>0.19640526999073635</v>
      </c>
      <c r="EE53" s="11">
        <v>4.1022100000000004</v>
      </c>
      <c r="EF53" s="3">
        <v>4.1305100000000001</v>
      </c>
      <c r="EG53" s="3">
        <v>21.118980098135758</v>
      </c>
      <c r="EH53" s="3" t="s">
        <v>2269</v>
      </c>
      <c r="EI53" s="3">
        <v>0</v>
      </c>
      <c r="EJ53" s="3">
        <v>0</v>
      </c>
      <c r="EK53" s="12">
        <v>45470</v>
      </c>
      <c r="EL53" s="13">
        <v>0.33</v>
      </c>
      <c r="EM53" s="13">
        <v>-5.13</v>
      </c>
      <c r="EN53" s="3">
        <v>-1.29</v>
      </c>
      <c r="EO53" s="3">
        <v>4.3600000000000003</v>
      </c>
      <c r="EP53" s="3">
        <v>-2.83</v>
      </c>
    </row>
    <row r="54" spans="1:146" ht="197.5" customHeight="1" x14ac:dyDescent="0.25">
      <c r="A54" s="6" t="s">
        <v>528</v>
      </c>
      <c r="B54" s="6" t="s">
        <v>529</v>
      </c>
      <c r="C54" s="6" t="str">
        <f>"公司主营业务为专业从事集成电路的技术研发、设计、测试和销售。公司主要产品包括小间距显示系列、全彩显示系列、显示屏专用逻辑控制和MOSFET系列、单双色显示系列、高压线性恒流系列、隔离式和非隔离式照明驱动系列、AC/DC电源系列、串联景观系列、并联景观系列、低压线性恒流系列、DC/DC恒流系列和电源管理芯片；"&amp;CHAR(10)&amp;Basic_Fundamental_Information_Constructure(F54)&amp;CHAR(10)&amp;Basic_Fundamental_Information_Concatenate("LED显示驱动类 3.56亿 67.77% 利润占比68.89% 34.39%
LED照明驱动类 1.52亿 28.93% 利润占比27.67% 32.37%
电源管理类 1031.21万 1.96% 利润占比2.50% 43.09%
其他业务 704.19万 1.34% 利润占比0.94% 23.70%
其他类 4200.00 0.0008% 利润占比0.0006% 24.59%")</f>
        <v>公司主营业务为专业从事集成电路的技术研发、设计、测试和销售。公司主要产品包括小间距显示系列、全彩显示系列、显示屏专用逻辑控制和MOSFET系列、单双色显示系列、高压线性恒流系列、隔离式和非隔离式照明驱动系列、AC/DC电源系列、串联景观系列、并联景观系列、低压线性恒流系列、DC/DC恒流系列和电源管理芯片；
市值12.165168亿, 利润-125.94万; PE204.1; 平均PE31.26; 平均PEG2.91, PB1.76; ROIC6.49%; ROE6.71%; 股利率.8224%; 毛利22.7633%; 净利8.2267%; 上一年度营收增-77.08%, 利润增-102.71%; 当季营收增-53.21%, 利润增-114.2%; 过往5年营收增-10.73%, 利润增-9.52%
Income profile:
LED显示驱动类 3.56亿 67.77% 利润占比68.89% 34.39%
LED照明驱动类 1.52亿 28.93% 利润占比27.67% 32.37%
电源管理类 1031.21万 1.96% 利润占比2.50% 43.09%
其他业务 704.19万 1.34% 利润占比0.94% 23.70%
其他类 4200.00 0.0008% 利润占比0.0006% 24.59%</v>
      </c>
      <c r="D54" s="3" t="s">
        <v>461</v>
      </c>
      <c r="E54" s="3" t="s">
        <v>462</v>
      </c>
      <c r="F54" s="3">
        <v>9.1199999999999992</v>
      </c>
      <c r="G54" s="3">
        <v>0.11</v>
      </c>
      <c r="H54" s="3" t="s">
        <v>2270</v>
      </c>
      <c r="I54" s="3">
        <v>1216516800</v>
      </c>
      <c r="J54" s="3">
        <v>204.1</v>
      </c>
      <c r="K54" s="3">
        <v>1.76</v>
      </c>
      <c r="L54" s="3" t="s">
        <v>1310</v>
      </c>
      <c r="M54" s="3" t="s">
        <v>911</v>
      </c>
      <c r="N54" s="3" t="s">
        <v>695</v>
      </c>
      <c r="O54" s="3" t="s">
        <v>88</v>
      </c>
      <c r="P54" s="3">
        <v>-4.49</v>
      </c>
      <c r="Q54" s="3" t="s">
        <v>88</v>
      </c>
      <c r="R54" s="3">
        <v>-1259405</v>
      </c>
      <c r="S54" s="4">
        <v>-1.202</v>
      </c>
      <c r="T54" s="3" t="s">
        <v>2271</v>
      </c>
      <c r="U54" s="3">
        <v>133390000</v>
      </c>
      <c r="V54" s="3">
        <v>133390000</v>
      </c>
      <c r="W54" s="3">
        <v>1.57</v>
      </c>
      <c r="X54" s="3">
        <v>0.1</v>
      </c>
      <c r="Y54" s="3">
        <v>-1.24</v>
      </c>
      <c r="Z54" s="3" t="s">
        <v>89</v>
      </c>
      <c r="AA54" s="3" t="s">
        <v>2272</v>
      </c>
      <c r="AB54" s="3" t="s">
        <v>2273</v>
      </c>
      <c r="AC54" s="3" t="s">
        <v>2274</v>
      </c>
      <c r="AD54" s="3" t="s">
        <v>30</v>
      </c>
      <c r="AE54" s="3">
        <v>156193</v>
      </c>
      <c r="AF54" s="3" t="s">
        <v>1299</v>
      </c>
      <c r="AG54" s="3" t="s">
        <v>2275</v>
      </c>
      <c r="AH54" s="3" t="s">
        <v>1300</v>
      </c>
      <c r="AI54" s="3" t="s">
        <v>647</v>
      </c>
      <c r="AJ54" s="3" t="s">
        <v>1301</v>
      </c>
      <c r="AK54" s="3" t="s">
        <v>2276</v>
      </c>
      <c r="AL54" s="3" t="s">
        <v>1302</v>
      </c>
      <c r="AM54" s="3" t="s">
        <v>30</v>
      </c>
      <c r="AN54" s="3" t="s">
        <v>108</v>
      </c>
      <c r="AO54" s="3" t="s">
        <v>1303</v>
      </c>
      <c r="AP54" s="3" t="s">
        <v>2277</v>
      </c>
      <c r="AQ54" s="3" t="s">
        <v>243</v>
      </c>
      <c r="AR54" s="3" t="s">
        <v>30</v>
      </c>
      <c r="AS54" s="3" t="s">
        <v>155</v>
      </c>
      <c r="AT54" s="3" t="s">
        <v>2278</v>
      </c>
      <c r="AU54" s="3" t="s">
        <v>2279</v>
      </c>
      <c r="AV54" s="3" t="s">
        <v>2280</v>
      </c>
      <c r="AW54" s="3" t="s">
        <v>2281</v>
      </c>
      <c r="AX54" s="3" t="s">
        <v>868</v>
      </c>
      <c r="AY54" s="3" t="s">
        <v>147</v>
      </c>
      <c r="AZ54" s="3" t="s">
        <v>214</v>
      </c>
      <c r="BA54" s="3" t="s">
        <v>366</v>
      </c>
      <c r="BB54" s="3" t="s">
        <v>353</v>
      </c>
      <c r="BC54" s="3" t="s">
        <v>1304</v>
      </c>
      <c r="BD54" s="3" t="s">
        <v>599</v>
      </c>
      <c r="BE54" s="3" t="s">
        <v>463</v>
      </c>
      <c r="BF54" s="3" t="s">
        <v>464</v>
      </c>
      <c r="BG54" s="3" t="s">
        <v>465</v>
      </c>
      <c r="BH54" s="3" t="s">
        <v>614</v>
      </c>
      <c r="BI54" s="3" t="s">
        <v>263</v>
      </c>
      <c r="BJ54" s="3" t="s">
        <v>868</v>
      </c>
      <c r="BK54" s="3" t="s">
        <v>1298</v>
      </c>
      <c r="BL54" s="3" t="s">
        <v>2282</v>
      </c>
      <c r="BM54" s="3" t="s">
        <v>1304</v>
      </c>
      <c r="BN54" s="3">
        <v>0.57999999999999996</v>
      </c>
      <c r="BO54" s="3">
        <v>6.64</v>
      </c>
      <c r="BP54" s="3">
        <v>12.25</v>
      </c>
      <c r="BQ54" s="3">
        <v>1.51</v>
      </c>
      <c r="BR54" s="3">
        <v>6.96</v>
      </c>
      <c r="BS54" s="3">
        <v>11.66</v>
      </c>
      <c r="BT54" s="3" t="s">
        <v>708</v>
      </c>
      <c r="BU54" s="3" t="s">
        <v>651</v>
      </c>
      <c r="BV54" s="3">
        <v>18.43</v>
      </c>
      <c r="BW54" s="3">
        <v>23.36</v>
      </c>
      <c r="BX54" s="3">
        <v>26.5</v>
      </c>
      <c r="BY54" s="3">
        <v>2.9</v>
      </c>
      <c r="BZ54" s="3">
        <v>10.42</v>
      </c>
      <c r="CA54" s="3">
        <v>11.36</v>
      </c>
      <c r="CB54" s="3">
        <v>-13.14</v>
      </c>
      <c r="CC54" s="3">
        <v>-1.35</v>
      </c>
      <c r="CD54" s="3" t="s">
        <v>2283</v>
      </c>
      <c r="CE54" s="3" t="s">
        <v>103</v>
      </c>
      <c r="CF54" s="8">
        <v>-0.5321100917431193</v>
      </c>
      <c r="CG54" s="9">
        <v>-1.1420472361015555</v>
      </c>
      <c r="CH54" s="8">
        <v>-0.77078652381896973</v>
      </c>
      <c r="CI54" s="8">
        <v>-0.21099290251731873</v>
      </c>
      <c r="CJ54" s="8">
        <v>0.2589285671710968</v>
      </c>
      <c r="CK54" s="8">
        <v>0.15463916957378387</v>
      </c>
      <c r="CL54" s="8">
        <v>3.1914893537759781E-2</v>
      </c>
      <c r="CM54" s="9">
        <v>-1.0270755290985107</v>
      </c>
      <c r="CN54" s="9">
        <v>-0.27406659722328186</v>
      </c>
      <c r="CO54" s="9">
        <v>0.13427485525608063</v>
      </c>
      <c r="CP54" s="9">
        <v>0.60281521081924438</v>
      </c>
      <c r="CQ54" s="9">
        <v>8.7891124188899994E-2</v>
      </c>
      <c r="CR54" s="3">
        <v>31.264673933529114</v>
      </c>
      <c r="CS54" s="3">
        <v>2.914866745763812</v>
      </c>
      <c r="CT54" s="3">
        <v>0.82236842105263164</v>
      </c>
      <c r="CU54" s="8">
        <v>-0.1072593592107296</v>
      </c>
      <c r="CV54" s="9">
        <v>-9.5232187211513525E-2</v>
      </c>
      <c r="CW54" s="3">
        <v>0.06</v>
      </c>
      <c r="CX54" s="3" t="e">
        <v>#VALUE!</v>
      </c>
      <c r="CY54" s="3" t="s">
        <v>612</v>
      </c>
      <c r="CZ54" s="3">
        <v>-0.1072593592107296</v>
      </c>
      <c r="DA54" s="3" t="e">
        <v>#VALUE!</v>
      </c>
      <c r="DB54" s="3" t="s">
        <v>613</v>
      </c>
      <c r="DC54" s="3">
        <v>-0.10189639125019312</v>
      </c>
      <c r="DD54" s="3" t="e">
        <v>#VALUE!</v>
      </c>
      <c r="DE54" s="3" t="s">
        <v>613</v>
      </c>
      <c r="DF54" s="3">
        <v>-9.4388236105442044E-2</v>
      </c>
      <c r="DG54" s="3" t="e">
        <v>#VALUE!</v>
      </c>
      <c r="DH54" s="3" t="s">
        <v>613</v>
      </c>
      <c r="DI54" s="3">
        <v>-8.5807487368583679E-2</v>
      </c>
      <c r="DJ54" s="3" t="e">
        <v>#VALUE!</v>
      </c>
      <c r="DK54" s="3" t="s">
        <v>613</v>
      </c>
      <c r="DL54" s="3">
        <v>-7.5081551447510719E-2</v>
      </c>
      <c r="DM54" s="3">
        <v>-1259400</v>
      </c>
      <c r="DN54" s="3">
        <v>-0.1072593592107296</v>
      </c>
      <c r="DO54" s="3">
        <v>869516800</v>
      </c>
      <c r="DP54" s="3">
        <v>149852230</v>
      </c>
      <c r="DQ54" s="3">
        <v>5042</v>
      </c>
      <c r="DR54" s="3">
        <v>-0.4248507325323897</v>
      </c>
      <c r="DS54" s="3">
        <v>-1.0468150488900418</v>
      </c>
      <c r="DT54" s="10">
        <v>-0.67333333333333334</v>
      </c>
      <c r="DU54" s="3">
        <v>-1.5650000000000002</v>
      </c>
      <c r="DV54" s="3">
        <v>-2.2383333333333333</v>
      </c>
      <c r="DW54" s="3">
        <v>-5.102739726027397</v>
      </c>
      <c r="DX54" s="3">
        <v>0.26825197740112927</v>
      </c>
      <c r="DY54" s="3">
        <v>-5.0142039702809384</v>
      </c>
      <c r="DZ54" s="3">
        <v>2149</v>
      </c>
      <c r="EA54" s="3">
        <v>-5.0082305197655304</v>
      </c>
      <c r="EB54" s="3">
        <v>5</v>
      </c>
      <c r="EC54" s="3">
        <v>0.18345153309843318</v>
      </c>
      <c r="ED54" s="3">
        <v>1.3269360521778244</v>
      </c>
      <c r="EE54" s="11">
        <v>-2.1120999999999999</v>
      </c>
      <c r="EF54" s="3">
        <v>-2.0969000000000002</v>
      </c>
      <c r="EG54" s="3">
        <v>13.138251977401129</v>
      </c>
      <c r="EH54" s="3" t="s">
        <v>949</v>
      </c>
      <c r="EI54" s="3">
        <v>0</v>
      </c>
      <c r="EJ54" s="3">
        <v>0</v>
      </c>
      <c r="EK54" s="12">
        <v>45470</v>
      </c>
      <c r="EL54" s="13">
        <v>-0.09</v>
      </c>
      <c r="EM54" s="13">
        <v>-2.1</v>
      </c>
      <c r="EN54" s="3">
        <v>1.54</v>
      </c>
      <c r="EO54" s="3">
        <v>2.38</v>
      </c>
      <c r="EP54" s="3">
        <v>-1.52</v>
      </c>
    </row>
  </sheetData>
  <autoFilter ref="BU1:BU54"/>
  <sortState ref="D2:AD92">
    <sortCondition ref="D2:D92"/>
  </sortState>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元件&quot;,&quot;&quot;'" altText="更新基本面按钮_x000a_">
                <anchor moveWithCells="1" sizeWithCells="1">
                  <from>
                    <xdr:col>147</xdr:col>
                    <xdr:colOff>330200</xdr:colOff>
                    <xdr:row>0</xdr:row>
                    <xdr:rowOff>50800</xdr:rowOff>
                  </from>
                  <to>
                    <xdr:col>147</xdr:col>
                    <xdr:colOff>1517650</xdr:colOff>
                    <xdr:row>0</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5"/>
  <sheetViews>
    <sheetView workbookViewId="0">
      <selection activeCell="A18" sqref="A18"/>
    </sheetView>
  </sheetViews>
  <sheetFormatPr defaultColWidth="8.7265625" defaultRowHeight="14" x14ac:dyDescent="0.25"/>
  <cols>
    <col min="1" max="16384" width="8.7265625" style="3"/>
  </cols>
  <sheetData>
    <row r="1" spans="1:30" x14ac:dyDescent="0.25">
      <c r="A1" s="3">
        <f>A6</f>
        <v>33.840000000000003</v>
      </c>
      <c r="B1" s="3">
        <f>A1+A1*$A$2</f>
        <v>34.855200000000004</v>
      </c>
      <c r="C1" s="3">
        <f t="shared" ref="C1:AD1" si="0">B1+B1*$A$2</f>
        <v>35.900856000000005</v>
      </c>
      <c r="D1" s="3">
        <f t="shared" si="0"/>
        <v>36.977881680000003</v>
      </c>
      <c r="E1" s="3">
        <f t="shared" si="0"/>
        <v>38.087218130400004</v>
      </c>
      <c r="F1" s="3">
        <f t="shared" si="0"/>
        <v>39.229834674312002</v>
      </c>
      <c r="G1" s="3">
        <f t="shared" si="0"/>
        <v>40.406729714541363</v>
      </c>
      <c r="H1" s="3">
        <f t="shared" si="0"/>
        <v>41.618931605977608</v>
      </c>
      <c r="I1" s="3">
        <f t="shared" si="0"/>
        <v>42.867499554156936</v>
      </c>
      <c r="J1" s="3">
        <f t="shared" si="0"/>
        <v>44.153524540781646</v>
      </c>
      <c r="K1" s="3">
        <f t="shared" si="0"/>
        <v>45.478130277005093</v>
      </c>
      <c r="L1" s="3">
        <f t="shared" si="0"/>
        <v>46.842474185315247</v>
      </c>
      <c r="M1" s="3">
        <f t="shared" si="0"/>
        <v>48.247748410874706</v>
      </c>
      <c r="N1" s="3">
        <f t="shared" si="0"/>
        <v>49.695180863200946</v>
      </c>
      <c r="O1" s="3">
        <f t="shared" si="0"/>
        <v>51.186036289096975</v>
      </c>
      <c r="P1" s="3">
        <f t="shared" si="0"/>
        <v>52.721617377769881</v>
      </c>
      <c r="Q1" s="3">
        <f t="shared" si="0"/>
        <v>54.303265899102975</v>
      </c>
      <c r="R1" s="3">
        <f t="shared" si="0"/>
        <v>55.932363876076067</v>
      </c>
      <c r="S1" s="3">
        <f t="shared" si="0"/>
        <v>57.610334792358351</v>
      </c>
      <c r="T1" s="3">
        <f t="shared" si="0"/>
        <v>59.338644836129099</v>
      </c>
      <c r="U1" s="3">
        <f t="shared" si="0"/>
        <v>61.118804181212973</v>
      </c>
      <c r="V1" s="3">
        <f t="shared" si="0"/>
        <v>62.952368306649362</v>
      </c>
      <c r="W1" s="3">
        <f t="shared" si="0"/>
        <v>64.840939355848846</v>
      </c>
      <c r="X1" s="3">
        <f t="shared" si="0"/>
        <v>66.786167536524317</v>
      </c>
      <c r="Y1" s="3">
        <f t="shared" si="0"/>
        <v>68.789752562620052</v>
      </c>
      <c r="Z1" s="3">
        <f t="shared" si="0"/>
        <v>70.85344513949866</v>
      </c>
      <c r="AA1" s="3">
        <f t="shared" si="0"/>
        <v>72.979048493683621</v>
      </c>
      <c r="AB1" s="3">
        <f t="shared" si="0"/>
        <v>75.168419948494133</v>
      </c>
      <c r="AC1" s="3">
        <f t="shared" si="0"/>
        <v>77.423472546948958</v>
      </c>
      <c r="AD1" s="3">
        <f t="shared" si="0"/>
        <v>79.746176723357422</v>
      </c>
    </row>
    <row r="2" spans="1:30" x14ac:dyDescent="0.25">
      <c r="A2" s="3">
        <v>0.03</v>
      </c>
      <c r="B2" s="3" t="s">
        <v>941</v>
      </c>
    </row>
    <row r="3" spans="1:30" s="1"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s="3">
        <v>0.2</v>
      </c>
      <c r="B4" s="3" t="s">
        <v>942</v>
      </c>
    </row>
    <row r="5" spans="1:30" x14ac:dyDescent="0.25">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s="3">
        <f t="shared" si="1"/>
        <v>15.407021574586368</v>
      </c>
      <c r="Q5" s="3">
        <f t="shared" si="1"/>
        <v>18.488425889503642</v>
      </c>
      <c r="R5" s="3">
        <f t="shared" si="1"/>
        <v>22.186111067404369</v>
      </c>
      <c r="S5" s="1">
        <f t="shared" si="1"/>
        <v>26.623333280885241</v>
      </c>
      <c r="T5" s="3">
        <f t="shared" si="1"/>
        <v>31.947999937062288</v>
      </c>
      <c r="U5" s="3">
        <f t="shared" si="1"/>
        <v>38.337599924474745</v>
      </c>
      <c r="V5" s="3">
        <f t="shared" si="1"/>
        <v>46.005119909369697</v>
      </c>
      <c r="W5" s="3">
        <f t="shared" si="1"/>
        <v>55.206143891243634</v>
      </c>
      <c r="X5" s="3">
        <f t="shared" si="1"/>
        <v>66.247372669492364</v>
      </c>
      <c r="Y5" s="3">
        <f t="shared" si="1"/>
        <v>79.496847203390843</v>
      </c>
      <c r="Z5" s="3">
        <f t="shared" si="1"/>
        <v>95.396216644069014</v>
      </c>
      <c r="AA5" s="3">
        <f t="shared" si="1"/>
        <v>114.47545997288282</v>
      </c>
      <c r="AB5" s="3">
        <f t="shared" si="1"/>
        <v>137.37055196745939</v>
      </c>
      <c r="AC5" s="3">
        <f t="shared" si="1"/>
        <v>164.84466236095128</v>
      </c>
      <c r="AD5" s="3">
        <f t="shared" si="1"/>
        <v>197.81359483314154</v>
      </c>
    </row>
    <row r="6" spans="1:30" x14ac:dyDescent="0.25">
      <c r="A6" s="3">
        <v>33.840000000000003</v>
      </c>
      <c r="B6" s="3" t="s">
        <v>0</v>
      </c>
    </row>
    <row r="7" spans="1:30" x14ac:dyDescent="0.25">
      <c r="A7" s="14">
        <f>SUM($A$5:A5)</f>
        <v>1</v>
      </c>
      <c r="B7" s="14">
        <f>SUM($A$5:B5)</f>
        <v>2.2000000000000002</v>
      </c>
      <c r="C7" s="14">
        <f>SUM($A$5:C5)</f>
        <v>3.64</v>
      </c>
      <c r="D7" s="14">
        <f>SUM($A$5:D5)</f>
        <v>5.3680000000000003</v>
      </c>
      <c r="E7" s="14">
        <f>SUM($A$5:E5)</f>
        <v>7.4416000000000002</v>
      </c>
      <c r="F7" s="14">
        <f>SUM($A$5:F5)</f>
        <v>9.9299199999999992</v>
      </c>
      <c r="G7" s="14">
        <f>SUM($A$5:G5)</f>
        <v>12.915903999999999</v>
      </c>
      <c r="H7" s="14">
        <f>SUM($A$5:H5)</f>
        <v>16.499084799999999</v>
      </c>
      <c r="I7" s="14">
        <f>SUM($A$5:I5)</f>
        <v>20.79890176</v>
      </c>
      <c r="J7" s="14">
        <f>SUM($A$5:J5)</f>
        <v>25.958682111999998</v>
      </c>
      <c r="K7" s="14">
        <f>SUM($A$5:K5)</f>
        <v>32.150418534399996</v>
      </c>
      <c r="L7" s="14">
        <f>SUM($A$5:L5)</f>
        <v>39.580502241279994</v>
      </c>
      <c r="M7" s="14">
        <f>SUM($A$5:M5)</f>
        <v>48.49660268953599</v>
      </c>
      <c r="N7" s="14">
        <f>SUM($A$5:N5)</f>
        <v>59.195923227443188</v>
      </c>
      <c r="O7" s="14">
        <f>SUM($A$5:O5)</f>
        <v>72.035107872931832</v>
      </c>
      <c r="P7" s="14">
        <f>SUM($A$5:P5)</f>
        <v>87.442129447518198</v>
      </c>
      <c r="Q7" s="14">
        <f>SUM($A$5:Q5)</f>
        <v>105.93055533702184</v>
      </c>
      <c r="R7" s="14">
        <f>SUM($A$5:R5)</f>
        <v>128.11666640442621</v>
      </c>
      <c r="S7" s="14">
        <f>SUM($A$5:S5)</f>
        <v>154.73999968531146</v>
      </c>
      <c r="T7" s="14">
        <f>SUM($A$5:T5)</f>
        <v>186.68799962237375</v>
      </c>
      <c r="U7" s="14">
        <f>SUM($A$5:U5)</f>
        <v>225.0255995468485</v>
      </c>
      <c r="V7" s="14">
        <f>SUM($A$5:V5)</f>
        <v>271.03071945621821</v>
      </c>
      <c r="W7" s="14">
        <f>SUM($A$5:W5)</f>
        <v>326.23686334746185</v>
      </c>
      <c r="X7" s="14">
        <f>SUM($A$5:X5)</f>
        <v>392.48423601695424</v>
      </c>
      <c r="Y7" s="14">
        <f>SUM($A$5:Y5)</f>
        <v>471.98108322034511</v>
      </c>
      <c r="Z7" s="14">
        <f>SUM($A$5:Z5)</f>
        <v>567.37729986441411</v>
      </c>
      <c r="AA7" s="14">
        <f>SUM($A$5:AA5)</f>
        <v>681.85275983729696</v>
      </c>
      <c r="AB7" s="14">
        <f>SUM($A$5:AB5)</f>
        <v>819.22331180475635</v>
      </c>
      <c r="AC7" s="14">
        <f>SUM($A$5:AC5)</f>
        <v>984.0679741657076</v>
      </c>
      <c r="AD7" s="14">
        <f>SUM($A$5:AD5)</f>
        <v>1181.8815689988492</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s="3">
        <f>IF(A7&gt;A1,(A7-A1)/$A$6,0)</f>
        <v>0</v>
      </c>
      <c r="B9" s="3">
        <f t="shared" ref="B9:AD9" si="2">IF(B7&gt;B1,(B7-B1)/$A$6,0)</f>
        <v>0</v>
      </c>
      <c r="C9" s="3">
        <f t="shared" si="2"/>
        <v>0</v>
      </c>
      <c r="D9" s="3">
        <f t="shared" si="2"/>
        <v>0</v>
      </c>
      <c r="E9" s="3">
        <f t="shared" si="2"/>
        <v>0</v>
      </c>
      <c r="F9" s="3">
        <f t="shared" si="2"/>
        <v>0</v>
      </c>
      <c r="G9" s="3">
        <f t="shared" si="2"/>
        <v>0</v>
      </c>
      <c r="H9" s="3">
        <f t="shared" si="2"/>
        <v>0</v>
      </c>
      <c r="I9" s="3">
        <f t="shared" si="2"/>
        <v>0</v>
      </c>
      <c r="J9" s="3">
        <f t="shared" si="2"/>
        <v>0</v>
      </c>
      <c r="K9" s="3">
        <f t="shared" si="2"/>
        <v>0</v>
      </c>
      <c r="L9" s="3">
        <f t="shared" si="2"/>
        <v>0</v>
      </c>
      <c r="M9" s="3">
        <f t="shared" si="2"/>
        <v>7.3538498422365227E-3</v>
      </c>
      <c r="N9" s="3">
        <f t="shared" si="2"/>
        <v>0.28075479799770214</v>
      </c>
      <c r="O9" s="3">
        <f t="shared" si="2"/>
        <v>0.61610731630717652</v>
      </c>
      <c r="P9" s="3">
        <f t="shared" si="2"/>
        <v>1.0260198602171486</v>
      </c>
      <c r="Q9" s="3">
        <f t="shared" si="2"/>
        <v>1.5256291205058765</v>
      </c>
      <c r="R9" s="3">
        <f t="shared" si="2"/>
        <v>2.1331058666770133</v>
      </c>
      <c r="S9" s="3">
        <f t="shared" si="2"/>
        <v>2.8702619649217822</v>
      </c>
      <c r="T9" s="3">
        <f t="shared" si="2"/>
        <v>3.7632788057400894</v>
      </c>
      <c r="U9" s="3">
        <f t="shared" si="2"/>
        <v>4.843581423334383</v>
      </c>
      <c r="V9" s="3">
        <f t="shared" si="2"/>
        <v>6.1488874453182278</v>
      </c>
      <c r="W9" s="3">
        <f t="shared" si="2"/>
        <v>7.7244658389956555</v>
      </c>
      <c r="X9" s="3">
        <f t="shared" si="2"/>
        <v>9.6246474137242881</v>
      </c>
      <c r="Y9" s="3">
        <f t="shared" si="2"/>
        <v>11.914637430783836</v>
      </c>
      <c r="Z9" s="3">
        <f t="shared" si="2"/>
        <v>14.67269074246204</v>
      </c>
      <c r="AA9" s="3">
        <f t="shared" si="2"/>
        <v>17.992721966418831</v>
      </c>
      <c r="AB9" s="3">
        <f t="shared" si="2"/>
        <v>21.987437702608219</v>
      </c>
      <c r="AC9" s="3">
        <f t="shared" si="2"/>
        <v>26.792095201499958</v>
      </c>
      <c r="AD9" s="3">
        <f t="shared" si="2"/>
        <v>32.569012774098454</v>
      </c>
    </row>
    <row r="10" spans="1:30" x14ac:dyDescent="0.25">
      <c r="A10" s="3">
        <f>A6/(A4*100)</f>
        <v>1.6920000000000002</v>
      </c>
      <c r="B10" s="3" t="s">
        <v>948</v>
      </c>
    </row>
    <row r="12" spans="1:30" x14ac:dyDescent="0.25">
      <c r="A12" s="3" t="s">
        <v>943</v>
      </c>
      <c r="B12" s="3">
        <f>B13/B14</f>
        <v>1</v>
      </c>
      <c r="C12" s="3">
        <f>C13/C14</f>
        <v>0.88461538461538447</v>
      </c>
      <c r="D12" s="3">
        <f t="shared" ref="D12:T12" si="3">D13/D14</f>
        <v>0.78254437869822469</v>
      </c>
      <c r="E12" s="3">
        <f t="shared" si="3"/>
        <v>0.69225079654073696</v>
      </c>
      <c r="F12" s="3">
        <f t="shared" si="3"/>
        <v>0.61237570463219038</v>
      </c>
      <c r="G12" s="3">
        <f t="shared" si="3"/>
        <v>0.54171696948232217</v>
      </c>
      <c r="H12" s="3">
        <f t="shared" si="3"/>
        <v>0.47921116531128499</v>
      </c>
      <c r="I12" s="3">
        <f t="shared" si="3"/>
        <v>0.42391756931382896</v>
      </c>
      <c r="J12" s="3">
        <f t="shared" si="3"/>
        <v>0.37500400362377173</v>
      </c>
      <c r="K12" s="3">
        <f t="shared" si="3"/>
        <v>0.33173431089795186</v>
      </c>
      <c r="L12" s="3">
        <f t="shared" si="3"/>
        <v>0.29345727502511126</v>
      </c>
      <c r="M12" s="3">
        <f t="shared" si="3"/>
        <v>0.25959682021452146</v>
      </c>
      <c r="N12" s="3">
        <f t="shared" si="3"/>
        <v>0.22964334095899974</v>
      </c>
      <c r="O12" s="3">
        <f t="shared" si="3"/>
        <v>0.20314603238680742</v>
      </c>
      <c r="P12" s="3">
        <f t="shared" si="3"/>
        <v>0.179706105572945</v>
      </c>
      <c r="Q12" s="3">
        <f t="shared" si="3"/>
        <v>0.15897078569914364</v>
      </c>
      <c r="R12" s="3">
        <f t="shared" si="3"/>
        <v>0.14062800273385781</v>
      </c>
      <c r="S12" s="3">
        <f t="shared" si="3"/>
        <v>0.12440169472610496</v>
      </c>
      <c r="T12" s="3">
        <f t="shared" si="3"/>
        <v>0.11004765302693899</v>
      </c>
    </row>
    <row r="13" spans="1:30" x14ac:dyDescent="0.25">
      <c r="A13" s="3" t="s">
        <v>944</v>
      </c>
      <c r="B13" s="3">
        <v>1</v>
      </c>
      <c r="C13" s="3">
        <f>B13*(1+$D$15)</f>
        <v>1.1499999999999999</v>
      </c>
      <c r="D13" s="3">
        <f t="shared" ref="D13:T13" si="4">C13*(1+$D$15)</f>
        <v>1.3224999999999998</v>
      </c>
      <c r="E13" s="3">
        <f t="shared" si="4"/>
        <v>1.5208749999999995</v>
      </c>
      <c r="F13" s="3">
        <f t="shared" si="4"/>
        <v>1.7490062499999994</v>
      </c>
      <c r="G13" s="3">
        <f t="shared" si="4"/>
        <v>2.0113571874999994</v>
      </c>
      <c r="H13" s="3">
        <f t="shared" si="4"/>
        <v>2.3130607656249991</v>
      </c>
      <c r="I13" s="3">
        <f t="shared" si="4"/>
        <v>2.6600198804687487</v>
      </c>
      <c r="J13" s="3">
        <f t="shared" si="4"/>
        <v>3.0590228625390607</v>
      </c>
      <c r="K13" s="3">
        <f t="shared" si="4"/>
        <v>3.5178762919199196</v>
      </c>
      <c r="L13" s="3">
        <f t="shared" si="4"/>
        <v>4.0455577357079076</v>
      </c>
      <c r="M13" s="3">
        <f t="shared" si="4"/>
        <v>4.6523913960640932</v>
      </c>
      <c r="N13" s="3">
        <f t="shared" si="4"/>
        <v>5.3502501054737071</v>
      </c>
      <c r="O13" s="3">
        <f t="shared" si="4"/>
        <v>6.1527876212947623</v>
      </c>
      <c r="P13" s="3">
        <f t="shared" si="4"/>
        <v>7.0757057644889763</v>
      </c>
      <c r="Q13" s="3">
        <f t="shared" si="4"/>
        <v>8.1370616291623215</v>
      </c>
      <c r="R13" s="3">
        <f t="shared" si="4"/>
        <v>9.3576208735366695</v>
      </c>
      <c r="S13" s="3">
        <f t="shared" si="4"/>
        <v>10.761264004567169</v>
      </c>
      <c r="T13" s="3">
        <f t="shared" si="4"/>
        <v>12.375453605252243</v>
      </c>
    </row>
    <row r="14" spans="1:30" x14ac:dyDescent="0.25">
      <c r="A14" s="3" t="s">
        <v>945</v>
      </c>
      <c r="B14" s="3">
        <v>1</v>
      </c>
      <c r="C14" s="3">
        <f>B14*(1+$B$15)</f>
        <v>1.3</v>
      </c>
      <c r="D14" s="3">
        <f>C14*(1+$B$15)</f>
        <v>1.6900000000000002</v>
      </c>
      <c r="E14" s="3">
        <f t="shared" ref="E14:T14" si="5">D14*(1+$B$15)</f>
        <v>2.1970000000000005</v>
      </c>
      <c r="F14" s="3">
        <f t="shared" si="5"/>
        <v>2.856100000000001</v>
      </c>
      <c r="G14" s="3">
        <f t="shared" si="5"/>
        <v>3.7129300000000014</v>
      </c>
      <c r="H14" s="3">
        <f t="shared" si="5"/>
        <v>4.8268090000000017</v>
      </c>
      <c r="I14" s="3">
        <f t="shared" si="5"/>
        <v>6.2748517000000028</v>
      </c>
      <c r="J14" s="3">
        <f t="shared" si="5"/>
        <v>8.1573072100000044</v>
      </c>
      <c r="K14" s="3">
        <f t="shared" si="5"/>
        <v>10.604499373000007</v>
      </c>
      <c r="L14" s="3">
        <f t="shared" si="5"/>
        <v>13.785849184900009</v>
      </c>
      <c r="M14" s="3">
        <f t="shared" si="5"/>
        <v>17.921603940370012</v>
      </c>
      <c r="N14" s="3">
        <f t="shared" si="5"/>
        <v>23.298085122481016</v>
      </c>
      <c r="O14" s="3">
        <f t="shared" si="5"/>
        <v>30.287510659225322</v>
      </c>
      <c r="P14" s="3">
        <f t="shared" si="5"/>
        <v>39.373763856992923</v>
      </c>
      <c r="Q14" s="3">
        <f t="shared" si="5"/>
        <v>51.185893014090802</v>
      </c>
      <c r="R14" s="3">
        <f t="shared" si="5"/>
        <v>66.541660918318044</v>
      </c>
      <c r="S14" s="3">
        <f t="shared" si="5"/>
        <v>86.504159193813464</v>
      </c>
      <c r="T14" s="3">
        <f t="shared" si="5"/>
        <v>112.45540695195751</v>
      </c>
    </row>
    <row r="15" spans="1:30" x14ac:dyDescent="0.25">
      <c r="A15" s="3" t="s">
        <v>946</v>
      </c>
      <c r="B15" s="3">
        <v>0.3</v>
      </c>
      <c r="C15" s="3" t="s">
        <v>947</v>
      </c>
      <c r="D15" s="3">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半导体及元件</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2024-07-08T15:23:49Z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