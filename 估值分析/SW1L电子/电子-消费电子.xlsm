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电子\"/>
    </mc:Choice>
  </mc:AlternateContent>
  <bookViews>
    <workbookView xWindow="0" yWindow="0" windowWidth="3800" windowHeight="2950"/>
  </bookViews>
  <sheets>
    <sheet name="消费电子" sheetId="7" r:id="rId1"/>
    <sheet name="估值-增速与年化收益" sheetId="14" r:id="rId2"/>
  </sheets>
  <functionGroups builtInGroupCount="18"/>
  <definedNames>
    <definedName name="_xlnm._FilterDatabase" localSheetId="0" hidden="1">消费电子!$BU$1:$BU$139</definedName>
  </definedNames>
  <calcPr calcId="152511"/>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44" i="7"/>
  <c r="C39" i="7"/>
  <c r="C93" i="7"/>
  <c r="C88" i="7"/>
  <c r="C84" i="7"/>
  <c r="C77" i="7"/>
  <c r="C73" i="7"/>
  <c r="C69" i="7"/>
  <c r="C65" i="7"/>
  <c r="C61" i="7"/>
  <c r="C57" i="7"/>
  <c r="C53" i="7"/>
  <c r="C49" i="7"/>
  <c r="C45" i="7"/>
  <c r="C87" i="7"/>
  <c r="C83" i="7"/>
  <c r="C80" i="7"/>
  <c r="C68" i="7"/>
  <c r="C56" i="7"/>
  <c r="C92" i="7"/>
  <c r="C95" i="7"/>
  <c r="C90" i="7"/>
  <c r="C86" i="7"/>
  <c r="C82" i="7"/>
  <c r="C79" i="7"/>
  <c r="C75" i="7"/>
  <c r="C71" i="7"/>
  <c r="C67" i="7"/>
  <c r="C63" i="7"/>
  <c r="C59" i="7"/>
  <c r="C55" i="7"/>
  <c r="C51" i="7"/>
  <c r="C47" i="7"/>
  <c r="C50" i="7"/>
  <c r="C76" i="7"/>
  <c r="C64" i="7"/>
  <c r="C52" i="7"/>
  <c r="C94" i="7"/>
  <c r="C89" i="7"/>
  <c r="C85" i="7"/>
  <c r="C81" i="7"/>
  <c r="C78" i="7"/>
  <c r="C74" i="7"/>
  <c r="C70" i="7"/>
  <c r="C66" i="7"/>
  <c r="C62" i="7"/>
  <c r="C58" i="7"/>
  <c r="C54" i="7"/>
  <c r="C46" i="7"/>
  <c r="C72" i="7"/>
  <c r="C60" i="7"/>
  <c r="C48" i="7"/>
  <c r="C43" i="7"/>
  <c r="C42" i="7"/>
  <c r="C41" i="7"/>
  <c r="C40" i="7"/>
  <c r="C38" i="7"/>
  <c r="C37" i="7"/>
  <c r="C36" i="7"/>
  <c r="C35" i="7"/>
  <c r="C34" i="7"/>
  <c r="C33" i="7"/>
  <c r="C32" i="7"/>
  <c r="C31" i="7"/>
  <c r="C30" i="7"/>
  <c r="C29" i="7"/>
  <c r="C28" i="7"/>
  <c r="C27" i="7"/>
  <c r="C26" i="7"/>
  <c r="C25" i="7"/>
  <c r="C24" i="7"/>
  <c r="C23" i="7"/>
  <c r="C22" i="7"/>
  <c r="C21" i="7"/>
  <c r="C20" i="7"/>
  <c r="C19" i="7"/>
  <c r="C17" i="7"/>
  <c r="C16" i="7"/>
  <c r="C15" i="7"/>
  <c r="C14" i="7"/>
  <c r="C13" i="7"/>
  <c r="C12" i="7"/>
  <c r="C11" i="7"/>
  <c r="C10" i="7"/>
  <c r="C9" i="7"/>
  <c r="C8" i="7"/>
  <c r="C7" i="7"/>
  <c r="C6" i="7"/>
  <c r="C5" i="7"/>
  <c r="C3" i="7"/>
  <c r="C2" i="7"/>
</calcChain>
</file>

<file path=xl/sharedStrings.xml><?xml version="1.0" encoding="utf-8"?>
<sst xmlns="http://schemas.openxmlformats.org/spreadsheetml/2006/main" count="5476" uniqueCount="3626">
  <si>
    <t>&lt;-增速</t>
    <phoneticPr fontId="1" type="noConversion"/>
  </si>
  <si>
    <t>&lt;-估值</t>
    <phoneticPr fontId="1" type="noConversion"/>
  </si>
  <si>
    <t>&lt;-折合年化收益</t>
    <phoneticPr fontId="1" type="noConversion"/>
  </si>
  <si>
    <t>市净率</t>
  </si>
  <si>
    <t>--</t>
  </si>
  <si>
    <t>1.12亿</t>
  </si>
  <si>
    <t>5.05亿</t>
  </si>
  <si>
    <t>4.43亿</t>
  </si>
  <si>
    <t>1.24亿</t>
  </si>
  <si>
    <t>总市值</t>
  </si>
  <si>
    <t>TTM市盈率</t>
  </si>
  <si>
    <t>所属行业</t>
  </si>
  <si>
    <t>现价</t>
  </si>
  <si>
    <t>负债合计</t>
  </si>
  <si>
    <t>所有者权益合计</t>
  </si>
  <si>
    <t>净利润增长率</t>
  </si>
  <si>
    <t>总股本</t>
  </si>
  <si>
    <t>财务费用</t>
  </si>
  <si>
    <t>投资收益</t>
  </si>
  <si>
    <t>应收账款</t>
  </si>
  <si>
    <t>1.56亿</t>
  </si>
  <si>
    <t>0亿</t>
  </si>
  <si>
    <t>2.57亿</t>
  </si>
  <si>
    <t>1.02亿</t>
  </si>
  <si>
    <t>1.05亿</t>
  </si>
  <si>
    <t>2.06亿</t>
  </si>
  <si>
    <t>1.32亿</t>
  </si>
  <si>
    <t>1.16亿</t>
  </si>
  <si>
    <t>2.93亿</t>
  </si>
  <si>
    <t>1.23亿</t>
  </si>
  <si>
    <t>5.60亿</t>
  </si>
  <si>
    <t>主营业务收入</t>
  </si>
  <si>
    <t>1.89亿</t>
  </si>
  <si>
    <t>5.19亿</t>
  </si>
  <si>
    <t>2.09亿</t>
  </si>
  <si>
    <t>1.29亿</t>
  </si>
  <si>
    <t>1.66亿</t>
  </si>
  <si>
    <t>1.77亿</t>
  </si>
  <si>
    <t>2.31亿</t>
  </si>
  <si>
    <t>1.61亿</t>
  </si>
  <si>
    <t>2.55亿</t>
  </si>
  <si>
    <t>1.71亿</t>
  </si>
  <si>
    <t>2.27亿</t>
  </si>
  <si>
    <t>2.64亿</t>
  </si>
  <si>
    <t>1.55亿</t>
  </si>
  <si>
    <t>2.10亿</t>
  </si>
  <si>
    <t>1.18亿</t>
  </si>
  <si>
    <t>1.22亿</t>
  </si>
  <si>
    <t>1.64亿</t>
  </si>
  <si>
    <t>3.04亿</t>
  </si>
  <si>
    <t>1.45亿</t>
  </si>
  <si>
    <t>1.20亿</t>
  </si>
  <si>
    <t>1.40亿</t>
  </si>
  <si>
    <t>1.25亿</t>
  </si>
  <si>
    <t>8.67亿</t>
  </si>
  <si>
    <t>1.27亿</t>
  </si>
  <si>
    <t>1.51亿</t>
  </si>
  <si>
    <t>1.35亿</t>
  </si>
  <si>
    <t>2.67亿</t>
  </si>
  <si>
    <t>1.88亿</t>
  </si>
  <si>
    <t>1.26亿</t>
  </si>
  <si>
    <t>1.48亿</t>
  </si>
  <si>
    <t>2.23亿</t>
  </si>
  <si>
    <t>1.36亿</t>
  </si>
  <si>
    <t>1.11亿</t>
  </si>
  <si>
    <t>3.03亿</t>
  </si>
  <si>
    <t>1.99亿</t>
  </si>
  <si>
    <t>1.31亿</t>
  </si>
  <si>
    <t>1.41亿</t>
  </si>
  <si>
    <t>1.60亿</t>
  </si>
  <si>
    <t>2.46亿</t>
  </si>
  <si>
    <t>1.09亿</t>
  </si>
  <si>
    <t>2.35亿</t>
  </si>
  <si>
    <t>2.75亿</t>
  </si>
  <si>
    <t>2.00亿</t>
  </si>
  <si>
    <t>4.73亿</t>
  </si>
  <si>
    <t>1.94亿</t>
  </si>
  <si>
    <t>1.81亿</t>
  </si>
  <si>
    <t>1.74亿</t>
  </si>
  <si>
    <t>1.38亿</t>
  </si>
  <si>
    <t>1.69亿</t>
  </si>
  <si>
    <t>15.12亿</t>
  </si>
  <si>
    <t>1.76亿</t>
  </si>
  <si>
    <t>1.04亿</t>
  </si>
  <si>
    <t>2.02亿</t>
  </si>
  <si>
    <t>4.80亿</t>
  </si>
  <si>
    <t>已知和基本信息</t>
    <phoneticPr fontId="1" type="noConversion"/>
  </si>
  <si>
    <t>预期多</t>
    <phoneticPr fontId="1" type="noConversion"/>
  </si>
  <si>
    <t>预期空</t>
    <phoneticPr fontId="1" type="noConversion"/>
  </si>
  <si>
    <t>2.22亿</t>
  </si>
  <si>
    <t>1.59亿</t>
  </si>
  <si>
    <t>5.01亿</t>
  </si>
  <si>
    <t>2.38亿</t>
  </si>
  <si>
    <t>4.82亿</t>
  </si>
  <si>
    <t>2.14亿</t>
  </si>
  <si>
    <t>1.10亿</t>
  </si>
  <si>
    <t>1.00亿</t>
  </si>
  <si>
    <t>5.59亿</t>
  </si>
  <si>
    <t>1.57亿</t>
  </si>
  <si>
    <t>1.15亿</t>
  </si>
  <si>
    <t>2.32亿</t>
  </si>
  <si>
    <t>8.74亿</t>
  </si>
  <si>
    <t>3.06亿</t>
  </si>
  <si>
    <t>1.75亿</t>
  </si>
  <si>
    <t>1.19亿</t>
  </si>
  <si>
    <t>1.37亿</t>
  </si>
  <si>
    <t>1.93亿</t>
  </si>
  <si>
    <t>1.03亿</t>
  </si>
  <si>
    <t>1.21亿</t>
  </si>
  <si>
    <t>1.28亿</t>
  </si>
  <si>
    <t>3.19亿</t>
  </si>
  <si>
    <t>2.63亿</t>
  </si>
  <si>
    <t>5.20亿</t>
  </si>
  <si>
    <t>1.07亿</t>
  </si>
  <si>
    <t>2.41亿</t>
  </si>
  <si>
    <t>2.56亿</t>
  </si>
  <si>
    <t>1.63亿</t>
  </si>
  <si>
    <t>2.68亿</t>
  </si>
  <si>
    <t>12.33亿</t>
  </si>
  <si>
    <t>4.00亿</t>
  </si>
  <si>
    <t>3.69亿</t>
  </si>
  <si>
    <t>11.30亿</t>
  </si>
  <si>
    <t>1.44亿</t>
  </si>
  <si>
    <t>1.14亿</t>
  </si>
  <si>
    <t>4.63亿</t>
  </si>
  <si>
    <t>1.84亿</t>
  </si>
  <si>
    <t>1.68亿</t>
  </si>
  <si>
    <t>1.73亿</t>
  </si>
  <si>
    <t>1.42亿</t>
  </si>
  <si>
    <t>2.99亿</t>
  </si>
  <si>
    <t>2.40亿</t>
  </si>
  <si>
    <t>2.70亿</t>
  </si>
  <si>
    <t>3.92亿</t>
  </si>
  <si>
    <t>3.08亿</t>
  </si>
  <si>
    <t>5.53亿</t>
  </si>
  <si>
    <t>2.62亿</t>
  </si>
  <si>
    <t>3.96亿</t>
  </si>
  <si>
    <t>2.18亿</t>
  </si>
  <si>
    <t>2.19亿</t>
  </si>
  <si>
    <t>1.08亿</t>
  </si>
  <si>
    <t>3.32亿</t>
  </si>
  <si>
    <t>3.81亿</t>
  </si>
  <si>
    <t>1.82亿</t>
  </si>
  <si>
    <t>8.05亿</t>
  </si>
  <si>
    <t>1.58亿</t>
  </si>
  <si>
    <t>4.01亿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</si>
  <si>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</si>
  <si>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</si>
  <si>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</si>
  <si>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</si>
  <si>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</si>
  <si>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</si>
  <si>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</si>
  <si>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</si>
  <si>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</si>
  <si>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</si>
  <si>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</si>
  <si>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</si>
  <si>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</si>
  <si>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3.59亿</t>
  </si>
  <si>
    <t>2.26亿</t>
  </si>
  <si>
    <t>1.87亿</t>
  </si>
  <si>
    <t>1.17亿</t>
  </si>
  <si>
    <t>3.31亿</t>
  </si>
  <si>
    <t>9.94亿</t>
  </si>
  <si>
    <t>2.76亿</t>
  </si>
  <si>
    <t>3.84亿</t>
  </si>
  <si>
    <t>1.47亿</t>
  </si>
  <si>
    <t>4.49亿</t>
  </si>
  <si>
    <t>1.62亿</t>
  </si>
  <si>
    <t>1.06亿</t>
  </si>
  <si>
    <t>3.72亿</t>
  </si>
  <si>
    <t>10.20亿</t>
  </si>
  <si>
    <t>1.46亿</t>
  </si>
  <si>
    <t>12.08亿</t>
  </si>
  <si>
    <t>2.66亿</t>
  </si>
  <si>
    <t>5.41亿</t>
  </si>
  <si>
    <t>2.73亿</t>
  </si>
  <si>
    <t>3.88亿</t>
  </si>
  <si>
    <t>1.95亿</t>
  </si>
  <si>
    <t>3.55亿</t>
  </si>
  <si>
    <t>2.69亿</t>
  </si>
  <si>
    <t>1.70亿</t>
  </si>
  <si>
    <t>6.86亿</t>
  </si>
  <si>
    <t>6.37亿</t>
  </si>
  <si>
    <t>4.27亿</t>
  </si>
  <si>
    <t>3.51亿</t>
  </si>
  <si>
    <t>5.17亿</t>
  </si>
  <si>
    <t>3.18亿</t>
  </si>
  <si>
    <t>5.32亿</t>
  </si>
  <si>
    <t>4.45亿</t>
  </si>
  <si>
    <t>1.52亿</t>
  </si>
  <si>
    <t>2.81亿</t>
  </si>
  <si>
    <t>2.94亿</t>
  </si>
  <si>
    <t>1.86亿</t>
  </si>
  <si>
    <t>21.61亿</t>
  </si>
  <si>
    <t>5.68亿</t>
  </si>
  <si>
    <t>1.67亿</t>
  </si>
  <si>
    <t>12.35亿</t>
  </si>
  <si>
    <t>6.16亿</t>
  </si>
  <si>
    <t>8.31亿</t>
  </si>
  <si>
    <t>3.34亿</t>
  </si>
  <si>
    <t>6.71亿</t>
  </si>
  <si>
    <t>4.29亿</t>
  </si>
  <si>
    <t>5.85亿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</si>
  <si>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</si>
  <si>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</si>
  <si>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</si>
  <si>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</si>
  <si>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</si>
  <si>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</si>
  <si>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</si>
  <si>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</si>
  <si>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</si>
  <si>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</si>
  <si>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</si>
  <si>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</si>
  <si>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</si>
  <si>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3.66亿</t>
  </si>
  <si>
    <t>1.43亿</t>
  </si>
  <si>
    <t>3.16亿</t>
  </si>
  <si>
    <t>14.23亿</t>
  </si>
  <si>
    <t>5.31亿</t>
  </si>
  <si>
    <t>10.23亿</t>
  </si>
  <si>
    <t>5.69亿</t>
  </si>
  <si>
    <t>3.61亿</t>
  </si>
  <si>
    <t>7.24亿</t>
  </si>
  <si>
    <t>3.23亿</t>
  </si>
  <si>
    <t>6.69亿</t>
  </si>
  <si>
    <t>15.98亿</t>
  </si>
  <si>
    <t>17.43亿</t>
  </si>
  <si>
    <t>4.55亿</t>
  </si>
  <si>
    <t>2.61亿</t>
  </si>
  <si>
    <t>3.53亿</t>
  </si>
  <si>
    <t>8.68亿</t>
  </si>
  <si>
    <t>3.86亿</t>
  </si>
  <si>
    <t>5.21亿</t>
  </si>
  <si>
    <t>2.59亿</t>
  </si>
  <si>
    <t>9.01亿</t>
  </si>
  <si>
    <t>13.03亿</t>
  </si>
  <si>
    <t>16.82亿</t>
  </si>
  <si>
    <t>7.40亿</t>
  </si>
  <si>
    <t>4.21亿</t>
  </si>
  <si>
    <t>1.78亿</t>
  </si>
  <si>
    <t>9.72亿</t>
  </si>
  <si>
    <t>3.74亿</t>
  </si>
  <si>
    <t>14.73亿</t>
  </si>
  <si>
    <t>1.72亿</t>
  </si>
  <si>
    <t>6.35亿</t>
  </si>
  <si>
    <t>10.18亿</t>
  </si>
  <si>
    <t>销售毛利率%[20201231]</t>
  </si>
  <si>
    <t>销售净利率%[20201231]</t>
  </si>
  <si>
    <t>12.72亿</t>
  </si>
  <si>
    <t>8.56亿</t>
  </si>
  <si>
    <t>13.26亿</t>
  </si>
  <si>
    <t>6.45亿</t>
  </si>
  <si>
    <t>10.01亿</t>
  </si>
  <si>
    <t>16.63亿</t>
  </si>
  <si>
    <t>4.91亿</t>
  </si>
  <si>
    <t>4.68亿</t>
  </si>
  <si>
    <t>7.74亿</t>
  </si>
  <si>
    <t>10.25亿</t>
  </si>
  <si>
    <t>20.19亿</t>
  </si>
  <si>
    <t>26.71亿</t>
  </si>
  <si>
    <t>17.42亿</t>
  </si>
  <si>
    <t>3.87亿</t>
  </si>
  <si>
    <t>13.41亿</t>
  </si>
  <si>
    <t>12.81亿</t>
  </si>
  <si>
    <t>-1.85亿</t>
  </si>
  <si>
    <t>17.50亿</t>
  </si>
  <si>
    <t>10.40亿</t>
  </si>
  <si>
    <t>9.15亿</t>
  </si>
  <si>
    <t>9.59亿</t>
  </si>
  <si>
    <t>5.71亿</t>
  </si>
  <si>
    <t>3.52亿</t>
  </si>
  <si>
    <t>22.66亿</t>
  </si>
  <si>
    <t>10.27亿</t>
  </si>
  <si>
    <t>11.43亿</t>
  </si>
  <si>
    <t>5.54亿</t>
  </si>
  <si>
    <t>38.27亿</t>
  </si>
  <si>
    <t>11.11亿</t>
  </si>
  <si>
    <t>7.09亿</t>
  </si>
  <si>
    <t>17.39亿</t>
  </si>
  <si>
    <t>SZ000021</t>
  </si>
  <si>
    <t>深科技</t>
  </si>
  <si>
    <t>消费电子</t>
  </si>
  <si>
    <t>149.67亿</t>
  </si>
  <si>
    <t>8.57亿</t>
  </si>
  <si>
    <t>21.66亿</t>
  </si>
  <si>
    <t>132.24亿</t>
  </si>
  <si>
    <t>160.61亿</t>
  </si>
  <si>
    <t>5.75亿</t>
  </si>
  <si>
    <t>SZ002045</t>
  </si>
  <si>
    <t>国光电器</t>
  </si>
  <si>
    <t>42.54亿</t>
  </si>
  <si>
    <t>44.46亿</t>
  </si>
  <si>
    <t>40.42亿</t>
  </si>
  <si>
    <t>-2.19亿</t>
  </si>
  <si>
    <t>6.57亿</t>
  </si>
  <si>
    <t>SZ002055</t>
  </si>
  <si>
    <t>得润电子</t>
  </si>
  <si>
    <t>72.72亿</t>
  </si>
  <si>
    <t>74.86亿</t>
  </si>
  <si>
    <t>74.54亿</t>
  </si>
  <si>
    <t>-5.85亿</t>
  </si>
  <si>
    <t>SZ002139</t>
  </si>
  <si>
    <t>拓邦股份</t>
  </si>
  <si>
    <t>55.60亿</t>
  </si>
  <si>
    <t>40.99亿</t>
  </si>
  <si>
    <t>34.07亿</t>
  </si>
  <si>
    <t>SZ002241</t>
  </si>
  <si>
    <t>歌尔股份</t>
  </si>
  <si>
    <t>577.43亿</t>
  </si>
  <si>
    <t>28.48亿</t>
  </si>
  <si>
    <t>351.48亿</t>
  </si>
  <si>
    <t>237.51亿</t>
  </si>
  <si>
    <t>SZ002351</t>
  </si>
  <si>
    <t>漫步者</t>
  </si>
  <si>
    <t>19.34亿</t>
  </si>
  <si>
    <t>12.43亿</t>
  </si>
  <si>
    <t>8.81亿</t>
  </si>
  <si>
    <t>7.26亿</t>
  </si>
  <si>
    <t>6.61亿</t>
  </si>
  <si>
    <t>5338.63万</t>
  </si>
  <si>
    <t>SZ002369</t>
  </si>
  <si>
    <t>卓翼科技</t>
  </si>
  <si>
    <t>30.41亿</t>
  </si>
  <si>
    <t>-6.03亿</t>
  </si>
  <si>
    <t>33.43亿</t>
  </si>
  <si>
    <t>31.46亿</t>
  </si>
  <si>
    <t>26.98亿</t>
  </si>
  <si>
    <t>4721.42万</t>
  </si>
  <si>
    <t>-9536.35万</t>
  </si>
  <si>
    <t>SZ002402</t>
  </si>
  <si>
    <t>和而泰</t>
  </si>
  <si>
    <t>46.66亿</t>
  </si>
  <si>
    <t>36.49亿</t>
  </si>
  <si>
    <t>19.79亿</t>
  </si>
  <si>
    <t>SZ002475</t>
  </si>
  <si>
    <t>立讯精密</t>
  </si>
  <si>
    <t>925.01亿</t>
  </si>
  <si>
    <t>72.25亿</t>
  </si>
  <si>
    <t>625.16亿</t>
  </si>
  <si>
    <t>358.50亿</t>
  </si>
  <si>
    <t>47.14亿</t>
  </si>
  <si>
    <t>27.23亿</t>
  </si>
  <si>
    <t>9.82亿</t>
  </si>
  <si>
    <t>20.80亿</t>
  </si>
  <si>
    <t>SZ002600</t>
  </si>
  <si>
    <t>领益智造</t>
  </si>
  <si>
    <t>281.43亿</t>
  </si>
  <si>
    <t>5.58亿</t>
  </si>
  <si>
    <t>239.16亿</t>
  </si>
  <si>
    <t>225.00亿</t>
  </si>
  <si>
    <t>18.95亿</t>
  </si>
  <si>
    <t>-6.80亿</t>
  </si>
  <si>
    <t>SZ002635</t>
  </si>
  <si>
    <t>安洁科技</t>
  </si>
  <si>
    <t>29.05亿</t>
  </si>
  <si>
    <t>-2.58亿</t>
  </si>
  <si>
    <t>31.36亿</t>
  </si>
  <si>
    <t>35.54亿</t>
  </si>
  <si>
    <t>-6.50亿</t>
  </si>
  <si>
    <t>5.47亿</t>
  </si>
  <si>
    <t>3.91亿</t>
  </si>
  <si>
    <t>SZ002655</t>
  </si>
  <si>
    <t>共达电声</t>
  </si>
  <si>
    <t>6.00亿</t>
  </si>
  <si>
    <t>11.80亿</t>
  </si>
  <si>
    <t>4593.58万</t>
  </si>
  <si>
    <t>2.03亿</t>
  </si>
  <si>
    <t>9.84亿</t>
  </si>
  <si>
    <t>7.87亿</t>
  </si>
  <si>
    <t>3081.85万</t>
  </si>
  <si>
    <t>2135.05万</t>
  </si>
  <si>
    <t>SZ002660</t>
  </si>
  <si>
    <t>茂硕电源</t>
  </si>
  <si>
    <t>7.10亿</t>
  </si>
  <si>
    <t>6286.83万</t>
  </si>
  <si>
    <t>12.48亿</t>
  </si>
  <si>
    <t>13.38亿</t>
  </si>
  <si>
    <t>16.52亿</t>
  </si>
  <si>
    <t>6652.74万</t>
  </si>
  <si>
    <t>-2.56亿</t>
  </si>
  <si>
    <t>2.37亿</t>
  </si>
  <si>
    <t>SZ002681</t>
  </si>
  <si>
    <t>奋达科技</t>
  </si>
  <si>
    <t>35.38亿</t>
  </si>
  <si>
    <t>10.65亿</t>
  </si>
  <si>
    <t>35.36亿</t>
  </si>
  <si>
    <t>33.52亿</t>
  </si>
  <si>
    <t>32.10亿</t>
  </si>
  <si>
    <t>-30.53亿</t>
  </si>
  <si>
    <t>-7.77亿</t>
  </si>
  <si>
    <t>3.70亿</t>
  </si>
  <si>
    <t>SZ002855</t>
  </si>
  <si>
    <t>捷荣技术</t>
  </si>
  <si>
    <t>28.23亿</t>
  </si>
  <si>
    <t>13.10亿</t>
  </si>
  <si>
    <t>27.79亿</t>
  </si>
  <si>
    <t>22.03亿</t>
  </si>
  <si>
    <t>5628.07万</t>
  </si>
  <si>
    <t>2932.78万</t>
  </si>
  <si>
    <t>SZ002861</t>
  </si>
  <si>
    <t>瀛通通讯</t>
  </si>
  <si>
    <t>6.97亿</t>
  </si>
  <si>
    <t>4492.27万</t>
  </si>
  <si>
    <t>11.08亿</t>
  </si>
  <si>
    <t>8.96亿</t>
  </si>
  <si>
    <t>6.06亿</t>
  </si>
  <si>
    <t>7122.35万</t>
  </si>
  <si>
    <t>6449.01万</t>
  </si>
  <si>
    <t>SZ002866</t>
  </si>
  <si>
    <t>传艺科技</t>
  </si>
  <si>
    <t>17.70亿</t>
  </si>
  <si>
    <t>11.75亿</t>
  </si>
  <si>
    <t>15.34亿</t>
  </si>
  <si>
    <t>7428.88万</t>
  </si>
  <si>
    <t>9630.14万</t>
  </si>
  <si>
    <t>SZ002881</t>
  </si>
  <si>
    <t>美格智能</t>
  </si>
  <si>
    <t>5.95亿</t>
  </si>
  <si>
    <t>11.21亿</t>
  </si>
  <si>
    <t>2744.00万</t>
  </si>
  <si>
    <t>9.33亿</t>
  </si>
  <si>
    <t>9.90亿</t>
  </si>
  <si>
    <t>2445.33万</t>
  </si>
  <si>
    <t>4665.56万</t>
  </si>
  <si>
    <t>13.33亿</t>
  </si>
  <si>
    <t>5.63亿</t>
  </si>
  <si>
    <t>SZ002888</t>
  </si>
  <si>
    <t>惠威科技</t>
  </si>
  <si>
    <t>3063.35万</t>
  </si>
  <si>
    <t>2616.02万</t>
  </si>
  <si>
    <t>2822.61万</t>
  </si>
  <si>
    <t>1.13亿</t>
  </si>
  <si>
    <t>SZ002925</t>
  </si>
  <si>
    <t>盈趣科技</t>
  </si>
  <si>
    <t>38.54亿</t>
  </si>
  <si>
    <t>16.48亿</t>
  </si>
  <si>
    <t>9.73亿</t>
  </si>
  <si>
    <t>8.14亿</t>
  </si>
  <si>
    <t>16.26亿</t>
  </si>
  <si>
    <t>SZ002937</t>
  </si>
  <si>
    <t>兴瑞科技</t>
  </si>
  <si>
    <t>8.78亿</t>
  </si>
  <si>
    <t>SZ002947</t>
  </si>
  <si>
    <t>恒铭达</t>
  </si>
  <si>
    <t>6.44亿</t>
  </si>
  <si>
    <t>3.29亿</t>
  </si>
  <si>
    <t>SZ002981</t>
  </si>
  <si>
    <t>朝阳科技</t>
  </si>
  <si>
    <t>9.05亿</t>
  </si>
  <si>
    <t>4545.91万</t>
  </si>
  <si>
    <t>8.28亿</t>
  </si>
  <si>
    <t>8313.82万</t>
  </si>
  <si>
    <t>7692.02万</t>
  </si>
  <si>
    <t>SZ002993</t>
  </si>
  <si>
    <t>奥海科技</t>
  </si>
  <si>
    <t>29.45亿</t>
  </si>
  <si>
    <t>23.16亿</t>
  </si>
  <si>
    <t>16.61亿</t>
  </si>
  <si>
    <t>SZ003028</t>
  </si>
  <si>
    <t>振邦智能</t>
  </si>
  <si>
    <t>4.76亿</t>
  </si>
  <si>
    <t>8576.86万</t>
  </si>
  <si>
    <t>SZ300032</t>
  </si>
  <si>
    <t>金龙机电</t>
  </si>
  <si>
    <t>-2.41亿</t>
  </si>
  <si>
    <t>3.27亿</t>
  </si>
  <si>
    <t>17.32亿</t>
  </si>
  <si>
    <t>33.69亿</t>
  </si>
  <si>
    <t>4700.34万</t>
  </si>
  <si>
    <t>-24.00亿</t>
  </si>
  <si>
    <t>4.14亿</t>
  </si>
  <si>
    <t>SZ300115</t>
  </si>
  <si>
    <t>长盈精密</t>
  </si>
  <si>
    <t>97.98亿</t>
  </si>
  <si>
    <t>86.55亿</t>
  </si>
  <si>
    <t>86.26亿</t>
  </si>
  <si>
    <t>8382.38万</t>
  </si>
  <si>
    <t>3846.57万</t>
  </si>
  <si>
    <t>22.49亿</t>
  </si>
  <si>
    <t>SZ300136</t>
  </si>
  <si>
    <t>信维通信</t>
  </si>
  <si>
    <t>63.94亿</t>
  </si>
  <si>
    <t>51.34亿</t>
  </si>
  <si>
    <t>47.07亿</t>
  </si>
  <si>
    <t>9.88亿</t>
  </si>
  <si>
    <t>SZ300256</t>
  </si>
  <si>
    <t>9.92亿</t>
  </si>
  <si>
    <t>38.19亿</t>
  </si>
  <si>
    <t>-16.99亿</t>
  </si>
  <si>
    <t>SZ300279</t>
  </si>
  <si>
    <t>和晶科技</t>
  </si>
  <si>
    <t>502.31万</t>
  </si>
  <si>
    <t>14.59亿</t>
  </si>
  <si>
    <t>562.70万</t>
  </si>
  <si>
    <t>-7.12亿</t>
  </si>
  <si>
    <t>SZ300322</t>
  </si>
  <si>
    <t>硕贝德</t>
  </si>
  <si>
    <t>18.46亿</t>
  </si>
  <si>
    <t>2997.34万</t>
  </si>
  <si>
    <t>9.28亿</t>
  </si>
  <si>
    <t>17.22亿</t>
  </si>
  <si>
    <t>20.70亿</t>
  </si>
  <si>
    <t>9287.95万</t>
  </si>
  <si>
    <t>6240.07万</t>
  </si>
  <si>
    <t>SZ300433</t>
  </si>
  <si>
    <t>蓝思科技</t>
  </si>
  <si>
    <t>369.39亿</t>
  </si>
  <si>
    <t>48.96亿</t>
  </si>
  <si>
    <t>302.58亿</t>
  </si>
  <si>
    <t>277.17亿</t>
  </si>
  <si>
    <t>24.69亿</t>
  </si>
  <si>
    <t>SZ300543</t>
  </si>
  <si>
    <t>朗科智能</t>
  </si>
  <si>
    <t>6.07亿</t>
  </si>
  <si>
    <t>14.01亿</t>
  </si>
  <si>
    <t>12.02亿</t>
  </si>
  <si>
    <t>4457.46万</t>
  </si>
  <si>
    <t>SZ300602</t>
  </si>
  <si>
    <t>飞荣达</t>
  </si>
  <si>
    <t>29.29亿</t>
  </si>
  <si>
    <t>6.51亿</t>
  </si>
  <si>
    <t>26.15亿</t>
  </si>
  <si>
    <t>SZ300679</t>
  </si>
  <si>
    <t>电连技术</t>
  </si>
  <si>
    <t>25.92亿</t>
  </si>
  <si>
    <t>1.98亿</t>
  </si>
  <si>
    <t>SZ300686</t>
  </si>
  <si>
    <t>智动力</t>
  </si>
  <si>
    <t>23.22亿</t>
  </si>
  <si>
    <t>682.88万</t>
  </si>
  <si>
    <t>SZ300709</t>
  </si>
  <si>
    <t>精研科技</t>
  </si>
  <si>
    <t>15.64亿</t>
  </si>
  <si>
    <t>8.82亿</t>
  </si>
  <si>
    <t>3718.57万</t>
  </si>
  <si>
    <t>SZ300735</t>
  </si>
  <si>
    <t>光弘科技</t>
  </si>
  <si>
    <t>22.85亿</t>
  </si>
  <si>
    <t>21.90亿</t>
  </si>
  <si>
    <t>SZ300787</t>
  </si>
  <si>
    <t>海能实业</t>
  </si>
  <si>
    <t>15.66亿</t>
  </si>
  <si>
    <t>11.04亿</t>
  </si>
  <si>
    <t>4.28亿</t>
  </si>
  <si>
    <t>SZ300793</t>
  </si>
  <si>
    <t>佳禾智能</t>
  </si>
  <si>
    <t>26.53亿</t>
  </si>
  <si>
    <t>6824.58万</t>
  </si>
  <si>
    <t>8.36亿</t>
  </si>
  <si>
    <t>22.57亿</t>
  </si>
  <si>
    <t>13.47亿</t>
  </si>
  <si>
    <t>SZ300822</t>
  </si>
  <si>
    <t>贝仕达克</t>
  </si>
  <si>
    <t>8.86亿</t>
  </si>
  <si>
    <t>7.37亿</t>
  </si>
  <si>
    <t>9844.11万</t>
  </si>
  <si>
    <t>SZ300843</t>
  </si>
  <si>
    <t>胜蓝股份</t>
  </si>
  <si>
    <t>7921.69万</t>
  </si>
  <si>
    <t>6935.43万</t>
  </si>
  <si>
    <t>SZ300857</t>
  </si>
  <si>
    <t>协创数据</t>
  </si>
  <si>
    <t>15.56亿</t>
  </si>
  <si>
    <t>11.78亿</t>
  </si>
  <si>
    <t>9527.90万</t>
  </si>
  <si>
    <t>6791.77万</t>
  </si>
  <si>
    <t>SZ300866</t>
  </si>
  <si>
    <t>安克创新</t>
  </si>
  <si>
    <t>93.53亿</t>
  </si>
  <si>
    <t>29.60亿</t>
  </si>
  <si>
    <t>66.55亿</t>
  </si>
  <si>
    <t>52.32亿</t>
  </si>
  <si>
    <t>7.21亿</t>
  </si>
  <si>
    <t>SZ300916</t>
  </si>
  <si>
    <t>朗特智能</t>
  </si>
  <si>
    <t>8926.63万</t>
  </si>
  <si>
    <t>5189.17万</t>
  </si>
  <si>
    <t>4593.50万</t>
  </si>
  <si>
    <t>SZ300951</t>
  </si>
  <si>
    <t>博硕科技</t>
  </si>
  <si>
    <t>12.89亿</t>
  </si>
  <si>
    <t>9189.14万</t>
  </si>
  <si>
    <t>SZ300956</t>
  </si>
  <si>
    <t>英力股份</t>
  </si>
  <si>
    <t>9954.14万</t>
  </si>
  <si>
    <t>-3.82亿</t>
  </si>
  <si>
    <t>12.62亿</t>
  </si>
  <si>
    <t>10.38亿</t>
  </si>
  <si>
    <t>7788.41万</t>
  </si>
  <si>
    <t>SZ300968</t>
  </si>
  <si>
    <t>格林精密</t>
  </si>
  <si>
    <t>17.58亿</t>
  </si>
  <si>
    <t>10.66亿</t>
  </si>
  <si>
    <t>7233.93万</t>
  </si>
  <si>
    <t>SZ300976</t>
  </si>
  <si>
    <t>达瑞电子</t>
  </si>
  <si>
    <t>SZ301051</t>
  </si>
  <si>
    <t>信濠光电</t>
  </si>
  <si>
    <t>16.59亿</t>
  </si>
  <si>
    <t>11.18亿</t>
  </si>
  <si>
    <t>SZ301067</t>
  </si>
  <si>
    <t>6640.66万</t>
  </si>
  <si>
    <t>5175.13万</t>
  </si>
  <si>
    <t>2303.41万</t>
  </si>
  <si>
    <t>SH600130</t>
  </si>
  <si>
    <t>波导股份</t>
  </si>
  <si>
    <t>7.15亿</t>
  </si>
  <si>
    <t>5.37亿</t>
  </si>
  <si>
    <t>16.20亿</t>
  </si>
  <si>
    <t>SH600203</t>
  </si>
  <si>
    <t>福日电子</t>
  </si>
  <si>
    <t>130.34亿</t>
  </si>
  <si>
    <t>113.77亿</t>
  </si>
  <si>
    <t>109.89亿</t>
  </si>
  <si>
    <t>SH600898</t>
  </si>
  <si>
    <t>9.40亿</t>
  </si>
  <si>
    <t>26.38亿</t>
  </si>
  <si>
    <t>-8.51亿</t>
  </si>
  <si>
    <t>SH601138</t>
  </si>
  <si>
    <t>工业富联</t>
  </si>
  <si>
    <t>4317.86亿</t>
  </si>
  <si>
    <t>174.31亿</t>
  </si>
  <si>
    <t>4086.98亿</t>
  </si>
  <si>
    <t>4153.78亿</t>
  </si>
  <si>
    <t>186.06亿</t>
  </si>
  <si>
    <t>169.02亿</t>
  </si>
  <si>
    <t>SH601231</t>
  </si>
  <si>
    <t>环旭电子</t>
  </si>
  <si>
    <t>476.96亿</t>
  </si>
  <si>
    <t>372.04亿</t>
  </si>
  <si>
    <t>335.50亿</t>
  </si>
  <si>
    <t>5.00亿</t>
  </si>
  <si>
    <t>SH603327</t>
  </si>
  <si>
    <t>福蓉科技</t>
  </si>
  <si>
    <t>16.54亿</t>
  </si>
  <si>
    <t>12.99亿</t>
  </si>
  <si>
    <t>SH603380</t>
  </si>
  <si>
    <t>易德龙</t>
  </si>
  <si>
    <t>9.51亿</t>
  </si>
  <si>
    <t>SH603595</t>
  </si>
  <si>
    <t>东尼电子</t>
  </si>
  <si>
    <t>4783.32万</t>
  </si>
  <si>
    <t>8.72亿</t>
  </si>
  <si>
    <t>-1.48亿</t>
  </si>
  <si>
    <t>SH603626</t>
  </si>
  <si>
    <t>科森科技</t>
  </si>
  <si>
    <t>34.67亿</t>
  </si>
  <si>
    <t>-4762.47万</t>
  </si>
  <si>
    <t>21.27亿</t>
  </si>
  <si>
    <t>24.08亿</t>
  </si>
  <si>
    <t>10.90亿</t>
  </si>
  <si>
    <t>SH603629</t>
  </si>
  <si>
    <t>利通电子</t>
  </si>
  <si>
    <t>4635.88万</t>
  </si>
  <si>
    <t>15.95亿</t>
  </si>
  <si>
    <t>16.70亿</t>
  </si>
  <si>
    <t>6345.29万</t>
  </si>
  <si>
    <t>9244.65万</t>
  </si>
  <si>
    <t>SH603890</t>
  </si>
  <si>
    <t>春秋电子</t>
  </si>
  <si>
    <t>35.82亿</t>
  </si>
  <si>
    <t>17.75亿</t>
  </si>
  <si>
    <t>SH605277</t>
  </si>
  <si>
    <t>新亚电子</t>
  </si>
  <si>
    <t>9.29亿</t>
  </si>
  <si>
    <t>8.97亿</t>
  </si>
  <si>
    <t>SH688007</t>
  </si>
  <si>
    <t>光峰科技</t>
  </si>
  <si>
    <t>13.17亿</t>
  </si>
  <si>
    <t>19.49亿</t>
  </si>
  <si>
    <t>13.86亿</t>
  </si>
  <si>
    <t>SH688036</t>
  </si>
  <si>
    <t>传音控股</t>
  </si>
  <si>
    <t>377.92亿</t>
  </si>
  <si>
    <t>26.86亿</t>
  </si>
  <si>
    <t>253.46亿</t>
  </si>
  <si>
    <t>226.46亿</t>
  </si>
  <si>
    <t>17.93亿</t>
  </si>
  <si>
    <t>SH688260</t>
  </si>
  <si>
    <t>昀冢科技</t>
  </si>
  <si>
    <t>5613.81万</t>
  </si>
  <si>
    <t>5579.61万</t>
  </si>
  <si>
    <t>4372.60万</t>
  </si>
  <si>
    <t>13.31亿</t>
  </si>
  <si>
    <t>4.17亿</t>
  </si>
  <si>
    <t>SH688683</t>
  </si>
  <si>
    <t>莱尔科技</t>
  </si>
  <si>
    <t>6331.09万</t>
  </si>
  <si>
    <t>6102.56万</t>
  </si>
  <si>
    <t>5612.03万</t>
  </si>
  <si>
    <t>1.电源类快充营收增加迅速，但是毛利还偏低；公司的快速充电产品符合QC协议和PD协议；2.发行6亿的可转债，计划用于：越南消费电子产品扩产项目及补充流动资金项目；3.3天成交额接近5.4亿，总换手还是活跃，如果按照流通值接近30%的换手；分歧出现</t>
    <phoneticPr fontId="1" type="noConversion"/>
  </si>
  <si>
    <t>1.在越南政府下达的关于确保工业区新冠疫情防控安全的第680号公函中显示，海能实业等多家公司已暂停当地生产，部分公司业务也遭受波及；2.风险项：铜涨价，竞争加剧，成本上升，人才流失；</t>
    <phoneticPr fontId="1" type="noConversion"/>
  </si>
  <si>
    <r>
      <t>1.芯片短缺和原材料涨价对公司的毛利率影响不大。一方面是因为公司产品收入结构变化，其中扫地机器人智能控制器、汽车电子智能控制器、自行车灯等毛利率较高产品的销售收入比重有所提高带动利润的增长，综合毛利率不断上升。2.</t>
    </r>
    <r>
      <rPr>
        <sz val="9"/>
        <color rgb="FFFF0000"/>
        <rFont val="宋体"/>
        <family val="3"/>
        <charset val="134"/>
        <scheme val="minor"/>
      </rPr>
      <t>预计年报业绩：净利润1.402亿元至1.580亿元，增长幅度为57.00%至77.00%</t>
    </r>
    <phoneticPr fontId="1" type="noConversion"/>
  </si>
  <si>
    <t>代码</t>
  </si>
  <si>
    <t>涨幅%</t>
  </si>
  <si>
    <t>流通股本</t>
  </si>
  <si>
    <t>净利润[20201231]</t>
  </si>
  <si>
    <t>投入资本回报率roic%[20201231]</t>
  </si>
  <si>
    <t>净资产收益率%[20201231]</t>
  </si>
  <si>
    <t>164.88亿</t>
  </si>
  <si>
    <t>7.75亿</t>
  </si>
  <si>
    <t>48.15亿</t>
  </si>
  <si>
    <t>4013.68万</t>
  </si>
  <si>
    <t>75.87亿</t>
  </si>
  <si>
    <t>5.65亿</t>
  </si>
  <si>
    <t>77.67亿</t>
  </si>
  <si>
    <t>2.07亿</t>
  </si>
  <si>
    <t>782.21亿</t>
  </si>
  <si>
    <t>42.75亿</t>
  </si>
  <si>
    <t>23.04亿</t>
  </si>
  <si>
    <t>24.95亿</t>
  </si>
  <si>
    <t>-1.65亿</t>
  </si>
  <si>
    <t>59.86亿</t>
  </si>
  <si>
    <t>6.55亿</t>
  </si>
  <si>
    <t>1539.46亿</t>
  </si>
  <si>
    <t>70.71亿</t>
  </si>
  <si>
    <t>303.84亿</t>
  </si>
  <si>
    <t>38.84亿</t>
  </si>
  <si>
    <t>2.89亿</t>
  </si>
  <si>
    <t>9.37亿</t>
  </si>
  <si>
    <t>6555.36万</t>
  </si>
  <si>
    <t>6652.77万</t>
  </si>
  <si>
    <t>41.68亿</t>
  </si>
  <si>
    <t>-2.45亿</t>
  </si>
  <si>
    <t>15.00亿</t>
  </si>
  <si>
    <t>-3634.71万</t>
  </si>
  <si>
    <t>2595.46万</t>
  </si>
  <si>
    <t>10.93亿</t>
  </si>
  <si>
    <t>53.17亿</t>
  </si>
  <si>
    <t>3126.40万</t>
  </si>
  <si>
    <t>1.50亿</t>
  </si>
  <si>
    <t>3.43亿</t>
  </si>
  <si>
    <t>-4159.50万</t>
  </si>
  <si>
    <t>42.45亿</t>
  </si>
  <si>
    <t>18.88亿</t>
  </si>
  <si>
    <t>-1.02亿</t>
  </si>
  <si>
    <t>6.05亿</t>
  </si>
  <si>
    <t>110.47亿</t>
  </si>
  <si>
    <t>-6.05亿</t>
  </si>
  <si>
    <t>3.64亿</t>
  </si>
  <si>
    <t>75.81亿</t>
  </si>
  <si>
    <t>32.18亿</t>
  </si>
  <si>
    <t>-13.85亿</t>
  </si>
  <si>
    <t>51.71亿</t>
  </si>
  <si>
    <t>49.05亿</t>
  </si>
  <si>
    <t>-27.50亿</t>
  </si>
  <si>
    <t>-12.81亿</t>
  </si>
  <si>
    <t>20.60亿</t>
  </si>
  <si>
    <t>6127.50万</t>
  </si>
  <si>
    <t>3.42亿</t>
  </si>
  <si>
    <t>4787.25万</t>
  </si>
  <si>
    <t>452.68亿</t>
  </si>
  <si>
    <t>23.31亿</t>
  </si>
  <si>
    <t>30.58亿</t>
  </si>
  <si>
    <t>3009.39万</t>
  </si>
  <si>
    <t>2.36亿</t>
  </si>
  <si>
    <t>32.46亿</t>
  </si>
  <si>
    <t>4.89亿</t>
  </si>
  <si>
    <t>36.04亿</t>
  </si>
  <si>
    <t>27.34亿</t>
  </si>
  <si>
    <t>5250.37万</t>
  </si>
  <si>
    <t>10.81亿</t>
  </si>
  <si>
    <t>9.58亿</t>
  </si>
  <si>
    <t>125.74亿</t>
  </si>
  <si>
    <t>9.60亿</t>
  </si>
  <si>
    <t>6352.16万</t>
  </si>
  <si>
    <t>8914.08万</t>
  </si>
  <si>
    <t>12.14亿</t>
  </si>
  <si>
    <t>18.77亿</t>
  </si>
  <si>
    <t>3.46亿</t>
  </si>
  <si>
    <t>显盈科技</t>
  </si>
  <si>
    <t>5350.07万</t>
  </si>
  <si>
    <t>4.30亿</t>
  </si>
  <si>
    <t>SZ301086</t>
  </si>
  <si>
    <t>鸿富瀚</t>
  </si>
  <si>
    <t>8429.17万</t>
  </si>
  <si>
    <t>4784.58万</t>
  </si>
  <si>
    <t>SZ301123</t>
  </si>
  <si>
    <t>奕东电子</t>
  </si>
  <si>
    <t>10.55亿</t>
  </si>
  <si>
    <t>4552.03万</t>
  </si>
  <si>
    <t>SZ301135</t>
  </si>
  <si>
    <t>瑞德智能</t>
  </si>
  <si>
    <t>13.24亿</t>
  </si>
  <si>
    <t>8086.86万</t>
  </si>
  <si>
    <t>9.43亿</t>
  </si>
  <si>
    <t>7314.93万</t>
  </si>
  <si>
    <t>6082.72万</t>
  </si>
  <si>
    <t>3766.71万</t>
  </si>
  <si>
    <t>SZ301180</t>
  </si>
  <si>
    <t>万祥科技</t>
  </si>
  <si>
    <t>7.01亿</t>
  </si>
  <si>
    <t>7352.39万</t>
  </si>
  <si>
    <t>3780.95万</t>
  </si>
  <si>
    <t>SZ301182</t>
  </si>
  <si>
    <t>凯旺科技</t>
  </si>
  <si>
    <t>5466.68万</t>
  </si>
  <si>
    <t>4.38亿</t>
  </si>
  <si>
    <t>4071.77万</t>
  </si>
  <si>
    <t>4724.61万</t>
  </si>
  <si>
    <t>1698.40万</t>
  </si>
  <si>
    <t>SZ301189</t>
  </si>
  <si>
    <t>奥尼电子</t>
  </si>
  <si>
    <t>10.84亿</t>
  </si>
  <si>
    <t>5.28亿</t>
  </si>
  <si>
    <t>2.95亿</t>
  </si>
  <si>
    <t>2.15亿</t>
  </si>
  <si>
    <t>4877.22万</t>
  </si>
  <si>
    <t>259.33万</t>
  </si>
  <si>
    <t>-2.34亿</t>
  </si>
  <si>
    <t>2.97亿</t>
  </si>
  <si>
    <t>4395.57亿</t>
  </si>
  <si>
    <t>200.10亿</t>
  </si>
  <si>
    <t>553.00亿</t>
  </si>
  <si>
    <t>18.58亿</t>
  </si>
  <si>
    <t>3.11亿</t>
  </si>
  <si>
    <t>19.31亿</t>
  </si>
  <si>
    <t>17.52亿</t>
  </si>
  <si>
    <t>3341.41万</t>
  </si>
  <si>
    <t>41.47亿</t>
  </si>
  <si>
    <t>18.04亿</t>
  </si>
  <si>
    <t>5771.83万</t>
  </si>
  <si>
    <t>39.90亿</t>
  </si>
  <si>
    <t>14.74亿</t>
  </si>
  <si>
    <t>24.98亿</t>
  </si>
  <si>
    <t>2.33亿</t>
  </si>
  <si>
    <t>494.12亿</t>
  </si>
  <si>
    <t>39.09亿</t>
  </si>
  <si>
    <t>SH688210</t>
  </si>
  <si>
    <t>统联精密</t>
  </si>
  <si>
    <t>4743.73万</t>
  </si>
  <si>
    <t>3.36亿</t>
  </si>
  <si>
    <t>6869.38万</t>
  </si>
  <si>
    <t>1552.92万</t>
  </si>
  <si>
    <t>-45.17万</t>
  </si>
  <si>
    <t>1549.94万</t>
  </si>
  <si>
    <t>6774.48万</t>
  </si>
  <si>
    <t>消费电子零部件及组装</t>
  </si>
  <si>
    <t>4.52亿</t>
  </si>
  <si>
    <t xml:space="preserve">    名称</t>
  </si>
  <si>
    <t>净利润?</t>
  </si>
  <si>
    <t>研发费用总额[20220630]</t>
  </si>
  <si>
    <t>扣非净利润</t>
  </si>
  <si>
    <t>营业总收入[20201231]</t>
  </si>
  <si>
    <t>投入资本回报率roic%[20211231]</t>
  </si>
  <si>
    <t>净资产收益率%[20211231]</t>
  </si>
  <si>
    <t>单季营收增速</t>
  </si>
  <si>
    <t>单季利润增速</t>
  </si>
  <si>
    <t>4.87亿</t>
  </si>
  <si>
    <t>扭亏</t>
  </si>
  <si>
    <t>3.48亿</t>
  </si>
  <si>
    <t>亏损</t>
  </si>
  <si>
    <t>7.25亿</t>
  </si>
  <si>
    <t>2.12亿</t>
  </si>
  <si>
    <t>6.27亿</t>
  </si>
  <si>
    <t>2.48亿</t>
  </si>
  <si>
    <t>1.96亿</t>
  </si>
  <si>
    <t>13.83亿</t>
  </si>
  <si>
    <t>5.09亿</t>
  </si>
  <si>
    <t>4.31亿</t>
  </si>
  <si>
    <t>6.18亿</t>
  </si>
  <si>
    <t>2.54亿</t>
  </si>
  <si>
    <t>1.公司旗下手机品牌均搭载了基于Android系统平台二次开发、深度定制的智能终端操作系统(OS),包括HiOS、itelOS和XOS(以下统称"传音OS")。</t>
    <phoneticPr fontId="1" type="noConversion"/>
  </si>
  <si>
    <t>SZ002426</t>
  </si>
  <si>
    <t>胜利精密</t>
  </si>
  <si>
    <t>50.05亿</t>
  </si>
  <si>
    <t>3876.12万</t>
  </si>
  <si>
    <t>1.33亿</t>
  </si>
  <si>
    <t>95.95亿</t>
  </si>
  <si>
    <t>136.50亿</t>
  </si>
  <si>
    <t>172.79亿</t>
  </si>
  <si>
    <t>-30.70亿</t>
  </si>
  <si>
    <t>-8.03亿</t>
  </si>
  <si>
    <t>SZ002841</t>
  </si>
  <si>
    <t>视源股份</t>
  </si>
  <si>
    <t>16.99亿</t>
  </si>
  <si>
    <t>171.29亿</t>
  </si>
  <si>
    <t>170.53亿</t>
  </si>
  <si>
    <t>169.84亿</t>
  </si>
  <si>
    <t>19.02亿</t>
  </si>
  <si>
    <t>16.11亿</t>
  </si>
  <si>
    <t>10.04亿</t>
  </si>
  <si>
    <t>SH600363</t>
  </si>
  <si>
    <t>联创光电</t>
  </si>
  <si>
    <t>35.86亿</t>
  </si>
  <si>
    <t>4.59亿</t>
  </si>
  <si>
    <t>43.55亿</t>
  </si>
  <si>
    <t>34.46亿</t>
  </si>
  <si>
    <t>1.01亿</t>
  </si>
  <si>
    <t>公司主要从事以手机为核心的智能终端的设计、研发、生产、销售和品牌运营。公司的主要产品为TECNO、itel和Infinix三大品牌手机。销售区域主要集中在非洲、南亚、东南亚、中东和南美等全球新兴市场国家。
市值611亿，利润39.09亿，pe15.63，pb4.1；毛利24.8%，净利7.4%；2021营收增30.75%，利润增45.53%；2022Q1营收增-1.8%，利润增-0.7%；过往5年营收增35.4%，利润增247%;
2021：
亚洲等其他地区 242.98亿 49.17% 34.68% 15.02%
非洲 242.38亿 49.05% 64.05% 27.81%
其他业务 8.76亿 1.77% 1.28% 15.33%</t>
    <phoneticPr fontId="1" type="noConversion"/>
  </si>
  <si>
    <t>212.26亿</t>
  </si>
  <si>
    <t>30.92亿</t>
  </si>
  <si>
    <t>10.47亿</t>
  </si>
  <si>
    <t>19.20亿</t>
  </si>
  <si>
    <t>19.69亿</t>
  </si>
  <si>
    <t>70.61亿</t>
  </si>
  <si>
    <t>12.52亿</t>
  </si>
  <si>
    <t>公司的主营业务为液晶显示主控板卡和交互智能平板等显控产品的设计、研发与销售；公司的主要产品为液晶显示主控板卡、交互智能平板。
市值485亿，利润16.99亿，pe26.88，pb4.54；毛利26.42%，净利9.55%；2021营收增24%，利润增-10.67%；2022Q1营收增17.24%，利润增235%；过往5年营收增22.6%，利润增21.25%;
2021：
交互智能平板 109.31亿 51.50% 61.08% 30.10%
液晶显示主控 62.08亿 29.25% 16.34% 14.18%
其他 40.87亿 19.25% 22.57% 29.75%</t>
    <phoneticPr fontId="1" type="noConversion"/>
  </si>
  <si>
    <t>公司主营业务是音响电声类业务及锂电池业务。公司主要产品包括扬声器、蓝牙音箱、电脑周边音响、WiFi音箱、soundbar产品、锂电池。
市值55.27亿，利润0.4亿，pe100，pb2.78；毛利14.2%，净利4.4%；2021营收增13.18%，利润增-78.54%；2022Q1营收增1.2%，利润增-89%；过往5年营收增15.26%，利润增-3%;
2021:
音箱及扬声器 42.16亿 87.54% 74.98% 8.58%
电池 3.29亿 6.84% 13.87% 20.33%
电子零配件 2.13亿 4.43% 4.75% 10.75%
其他业务 5718.71万 1.19% 6.39% 53.89%</t>
    <phoneticPr fontId="1" type="noConversion"/>
  </si>
  <si>
    <r>
      <t>1.问：请介绍一下公司元宇宙相关业务。答：国光电器：公司目前为M客户等客户的VR产品供应声学模组，并与M客户一起开发AR产品的声学模组。除此之外，公司也在获得其他VR企业的合作。
公司看好此领域的产品及市场，</t>
    </r>
    <r>
      <rPr>
        <sz val="9"/>
        <color rgb="FFFF0000"/>
        <rFont val="宋体"/>
        <family val="3"/>
        <charset val="134"/>
        <scheme val="minor"/>
      </rPr>
      <t>有开展VR/AR整机生产的计划</t>
    </r>
    <r>
      <rPr>
        <sz val="9"/>
        <color theme="1"/>
        <rFont val="宋体"/>
        <family val="3"/>
        <charset val="134"/>
        <scheme val="minor"/>
      </rPr>
      <t>。2.问：请介绍一下公司汽车音响业务。答：国光电器：公司一直有汽车音响业务，公司目前已经是国内外汽车厂商的汽车扬声器供应商。</t>
    </r>
    <r>
      <rPr>
        <sz val="9"/>
        <color rgb="FFFF0000"/>
        <rFont val="宋体"/>
        <family val="3"/>
        <charset val="134"/>
        <scheme val="minor"/>
      </rPr>
      <t>汽车音响业务是公司业务发展重要方向</t>
    </r>
    <r>
      <rPr>
        <sz val="9"/>
        <color theme="1"/>
        <rFont val="宋体"/>
        <family val="3"/>
        <charset val="134"/>
        <scheme val="minor"/>
      </rPr>
      <t>，有巨大发展空间，公司已经在为扩大汽车音响业务积极布局、加大投入。</t>
    </r>
    <phoneticPr fontId="1" type="noConversion"/>
  </si>
  <si>
    <r>
      <t>1.汽车是连接器最大的市场之一，</t>
    </r>
    <r>
      <rPr>
        <sz val="9"/>
        <color rgb="FFFF0000"/>
        <rFont val="宋体"/>
        <family val="3"/>
        <charset val="134"/>
        <scheme val="minor"/>
      </rPr>
      <t>汽车连接器占全球连接器产业比例达22%</t>
    </r>
    <r>
      <rPr>
        <sz val="9"/>
        <color theme="1"/>
        <rFont val="宋体"/>
        <family val="3"/>
        <charset val="134"/>
        <scheme val="minor"/>
      </rPr>
      <t>，其中智能电动车是最大亮点;2.短期内公司将面向智能声学可穿戴产品及周边功能模块系统封装业务持续做进一步规划，未来长期将</t>
    </r>
    <r>
      <rPr>
        <sz val="9"/>
        <color rgb="FFFF0000"/>
        <rFont val="宋体"/>
        <family val="3"/>
        <charset val="134"/>
        <scheme val="minor"/>
      </rPr>
      <t>朝芯片/半导体模块封装</t>
    </r>
    <r>
      <rPr>
        <sz val="9"/>
        <color theme="1"/>
        <rFont val="宋体"/>
        <family val="3"/>
        <charset val="134"/>
        <scheme val="minor"/>
      </rPr>
      <t>方向发展；</t>
    </r>
    <phoneticPr fontId="1" type="noConversion"/>
  </si>
  <si>
    <t>1.问：钨丝的竞争对手及公司竞争优势？
答：钨丝竞争对手主要为日本企业及厦门钨业等国内企业。公司钨丝引进日本技术，通过自主研发改进，线径有望细至0.03mm左右。</t>
    <phoneticPr fontId="1" type="noConversion"/>
  </si>
  <si>
    <t>LY营业总收入[20211231]</t>
  </si>
  <si>
    <t>权益乘数[20220630]</t>
  </si>
  <si>
    <t>总资产周转率[20220630]</t>
  </si>
  <si>
    <t>净利润／营业总收入%[20220630]</t>
  </si>
  <si>
    <t>营业总成本[20220630]</t>
  </si>
  <si>
    <t>营业成本[20220630]</t>
  </si>
  <si>
    <t>管理费用[20220630]</t>
  </si>
  <si>
    <t>细分行业</t>
  </si>
  <si>
    <t>2.42亿</t>
  </si>
  <si>
    <t>1.30亿</t>
  </si>
  <si>
    <t>品牌消费电子</t>
  </si>
  <si>
    <t>7.54亿</t>
  </si>
  <si>
    <t>20.72亿</t>
  </si>
  <si>
    <t>2.90亿</t>
  </si>
  <si>
    <t>4.20亿</t>
  </si>
  <si>
    <t>2.08亿</t>
  </si>
  <si>
    <t>5.84亿</t>
  </si>
  <si>
    <t>3.01亿</t>
  </si>
  <si>
    <t>3.73亿</t>
  </si>
  <si>
    <t>3.00亿</t>
  </si>
  <si>
    <t>13.72亿</t>
  </si>
  <si>
    <t>4.94亿</t>
  </si>
  <si>
    <t>2.79亿</t>
  </si>
  <si>
    <t>8.11亿</t>
  </si>
  <si>
    <t>9.32亿</t>
  </si>
  <si>
    <t>5.97亿</t>
  </si>
  <si>
    <t>2.05亿</t>
  </si>
  <si>
    <t>4.48亿</t>
  </si>
  <si>
    <t>3.94亿</t>
  </si>
  <si>
    <t>7.18亿</t>
  </si>
  <si>
    <t>7.99亿</t>
  </si>
  <si>
    <t>9.54亿</t>
  </si>
  <si>
    <t>5.94亿</t>
  </si>
  <si>
    <t>7.05亿</t>
  </si>
  <si>
    <t>4.84亿</t>
  </si>
  <si>
    <t>1.65亿</t>
  </si>
  <si>
    <t>3.25亿</t>
  </si>
  <si>
    <t>SZ301326</t>
  </si>
  <si>
    <t>9528.32万</t>
  </si>
  <si>
    <t>6981.06万</t>
  </si>
  <si>
    <t>6855.57万</t>
  </si>
  <si>
    <t>-230.28万</t>
  </si>
  <si>
    <t>4.79亿</t>
  </si>
  <si>
    <t>13.39亿</t>
  </si>
  <si>
    <t>18.89亿</t>
  </si>
  <si>
    <t>SZ301285</t>
  </si>
  <si>
    <t>鸿日达</t>
  </si>
  <si>
    <t>6262.41万</t>
  </si>
  <si>
    <t>6018.15万</t>
  </si>
  <si>
    <t>3774.92万</t>
  </si>
  <si>
    <t>2491.39万</t>
  </si>
  <si>
    <t>2.25亿</t>
  </si>
  <si>
    <t>SH603052</t>
  </si>
  <si>
    <t>可川科技</t>
  </si>
  <si>
    <t>7.50亿</t>
  </si>
  <si>
    <t>7729.37万</t>
  </si>
  <si>
    <t>7530.04万</t>
  </si>
  <si>
    <t>7598.16万</t>
  </si>
  <si>
    <t>12.69亿</t>
  </si>
  <si>
    <t>成交量[20221209]</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</si>
  <si>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</si>
  <si>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</si>
  <si>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</si>
  <si>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</si>
  <si>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</si>
  <si>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</si>
  <si>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</si>
  <si>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</si>
  <si>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</si>
  <si>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</si>
  <si>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</si>
  <si>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</si>
  <si>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</si>
  <si>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</si>
  <si>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</si>
  <si>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</si>
  <si>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</si>
  <si>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</si>
  <si>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</si>
  <si>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</si>
  <si>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</si>
  <si>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</si>
  <si>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</si>
  <si>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</si>
  <si>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</si>
  <si>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</si>
  <si>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区间涨跌幅:前复权%[20221205-20221209]</t>
  </si>
  <si>
    <t>区间涨跌幅:前复权%[20221031-20221209]</t>
  </si>
  <si>
    <t>区间成交量[20221205-20221209]</t>
  </si>
  <si>
    <t>指数@区间成交量[20221031-20221209]</t>
  </si>
  <si>
    <t>市销率</t>
    <phoneticPr fontId="1" type="noConversion"/>
  </si>
  <si>
    <t>扣非对比净利润</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</si>
  <si>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</si>
  <si>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</si>
  <si>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</si>
  <si>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</si>
  <si>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</si>
  <si>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</si>
  <si>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</si>
  <si>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</si>
  <si>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</si>
  <si>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</si>
  <si>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</si>
  <si>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</si>
  <si>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</si>
  <si>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</si>
  <si>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</si>
  <si>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</si>
  <si>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</si>
  <si>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</si>
  <si>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</si>
  <si>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</si>
  <si>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</si>
  <si>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</si>
  <si>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</si>
  <si>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</si>
  <si>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</si>
  <si>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</si>
  <si>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</si>
  <si>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</si>
  <si>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</si>
  <si>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</si>
  <si>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</si>
  <si>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</si>
  <si>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</si>
  <si>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</si>
  <si>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</si>
  <si>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</si>
  <si>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</si>
  <si>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</si>
  <si>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</si>
  <si>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</si>
  <si>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7.00亿</t>
  </si>
  <si>
    <t>9.68亿</t>
  </si>
  <si>
    <t>4.56亿</t>
  </si>
  <si>
    <t>10派1.5元(含税)</t>
  </si>
  <si>
    <t>35.98亿</t>
  </si>
  <si>
    <t>不分配不转增</t>
  </si>
  <si>
    <t>4.05亿</t>
  </si>
  <si>
    <t/>
  </si>
  <si>
    <t>2.47亿</t>
  </si>
  <si>
    <t>10派0.5元(含税)</t>
  </si>
  <si>
    <t>10派2元(含税)</t>
  </si>
  <si>
    <t>3.80亿</t>
  </si>
  <si>
    <t>9.95亿</t>
  </si>
  <si>
    <t>10派1元(含税)</t>
  </si>
  <si>
    <t>9.27亿</t>
  </si>
  <si>
    <t>12.70亿</t>
  </si>
  <si>
    <t>6.96亿</t>
  </si>
  <si>
    <t>2.49亿</t>
  </si>
  <si>
    <t>1.53亿</t>
  </si>
  <si>
    <t>10.51亿</t>
  </si>
  <si>
    <t>10派0.6元(含税)</t>
  </si>
  <si>
    <t>11.24亿</t>
  </si>
  <si>
    <t>2.28亿</t>
  </si>
  <si>
    <t>6.93亿</t>
  </si>
  <si>
    <t>6.22亿</t>
  </si>
  <si>
    <t>5.98亿</t>
  </si>
  <si>
    <t>6.08亿</t>
  </si>
  <si>
    <t>10派3元(含税)</t>
  </si>
  <si>
    <t>6.15亿</t>
  </si>
  <si>
    <t>4.46亿</t>
  </si>
  <si>
    <t>14.17亿</t>
  </si>
  <si>
    <t>2.87亿</t>
  </si>
  <si>
    <t>21.18亿</t>
  </si>
  <si>
    <t>10派5元(含税)</t>
  </si>
  <si>
    <t>15.07亿</t>
  </si>
  <si>
    <t>5.24亿</t>
  </si>
  <si>
    <t>6.38亿</t>
  </si>
  <si>
    <t>3.79亿</t>
  </si>
  <si>
    <t>5.76亿</t>
  </si>
  <si>
    <t>11.89亿</t>
  </si>
  <si>
    <t>3.21亿</t>
  </si>
  <si>
    <t>3.76亿</t>
  </si>
  <si>
    <t>5.35亿</t>
  </si>
  <si>
    <t>SZ301280</t>
  </si>
  <si>
    <t>珠城科技</t>
  </si>
  <si>
    <t>3.58亿</t>
  </si>
  <si>
    <t>2.13亿</t>
  </si>
  <si>
    <t>6207.24万</t>
  </si>
  <si>
    <t>5274.97万</t>
  </si>
  <si>
    <t>捷邦科技</t>
  </si>
  <si>
    <t>4.32亿</t>
  </si>
  <si>
    <t>7.59亿</t>
  </si>
  <si>
    <t>SZ301389</t>
  </si>
  <si>
    <t>隆扬电子</t>
  </si>
  <si>
    <t>8.22亿</t>
  </si>
  <si>
    <t>5.36亿</t>
  </si>
  <si>
    <t>4.25亿</t>
  </si>
  <si>
    <t>8334.57万</t>
  </si>
  <si>
    <t>17.76亿</t>
  </si>
  <si>
    <t>1.79亿</t>
  </si>
  <si>
    <t>5.23亿</t>
  </si>
  <si>
    <t>6.64亿</t>
  </si>
  <si>
    <t>3.10亿</t>
  </si>
  <si>
    <t>15.50亿</t>
  </si>
  <si>
    <t>24.84亿</t>
  </si>
  <si>
    <t>-2.49亿</t>
  </si>
  <si>
    <t>SZ001314</t>
  </si>
  <si>
    <t>亿道信息</t>
  </si>
  <si>
    <t>1-1</t>
  </si>
  <si>
    <t>-1-0</t>
  </si>
  <si>
    <t>1-0</t>
  </si>
  <si>
    <t>1.家用雕刻机业务2022年下降较多，占公司整体收入比例为20%-30%；</t>
    <phoneticPr fontId="1" type="noConversion"/>
  </si>
  <si>
    <t>1.从经营趋势上看，家用雕刻机客户拥有良好的盈利模式，已经建立覆盖产品、耗材及内容为一体的产品和服务生态，且该客户的用户数和付费用户数都是在持续增长的，产品也符合国外的个性化需求。除此之外，该客户还在不断拓展国际市场，目前已在全球40多个国家或地区销售。2.水冷散热控制系统客户的订单情况是有在逐步改善的，预计2023年会有一定的增长；3.健康环境在2022年也拓展了一些新的品类，例如净水器等；4.2022年公司电子烟业务发展情况还不错，该年公司主要为客户提供的产品为电子烟精密塑胶部件，电子烟核心部件于2022年年底开始量产及小批量供货。2023年，随着电子烟核心部件的稳定量产及整机项目研发量产进度的推进，预计电子烟业务将快速增长，并呈现逐季向好的趋势。5.公司进入汽车电子领域多年，早期主要是在商用车领域，公司逐步进入乘用车车厂的供应链体系，电子防眩镜、控制模块等业务快速发展，市场竞争力不断增强，同时智能座舱项目也已量产供货；</t>
    <phoneticPr fontId="1" type="noConversion"/>
  </si>
  <si>
    <t>1.80亿</t>
  </si>
  <si>
    <t>2-0</t>
  </si>
  <si>
    <t>-1-1</t>
  </si>
  <si>
    <t>2.01亿</t>
  </si>
  <si>
    <t>5.83亿</t>
  </si>
  <si>
    <t>1.问：碳化硅验证情况？
答：碳化硅前期500片样片已交付，下游反馈良好，公司将根据下游验证情况推进后续量产。2.2020年9月8日公司在互动平台称：新建年产12万片碳化硅半导体材料项目是本公司的项目。</t>
    <phoneticPr fontId="1" type="noConversion"/>
  </si>
  <si>
    <t>77.41亿</t>
  </si>
  <si>
    <t>161.18亿</t>
  </si>
  <si>
    <t>6.59亿</t>
  </si>
  <si>
    <t>10派1.3元(含税)</t>
  </si>
  <si>
    <t>11.83亿</t>
  </si>
  <si>
    <t>27.54亿</t>
  </si>
  <si>
    <t>1.97亿</t>
  </si>
  <si>
    <t>6.09亿</t>
  </si>
  <si>
    <t>33.92亿</t>
  </si>
  <si>
    <t>19.11亿</t>
  </si>
  <si>
    <t>11.09亿</t>
  </si>
  <si>
    <t>10.62亿</t>
  </si>
  <si>
    <t>1.85亿</t>
  </si>
  <si>
    <t>5819.53万</t>
  </si>
  <si>
    <t>612.01万</t>
  </si>
  <si>
    <t>59.94亿</t>
  </si>
  <si>
    <t>4.51亿</t>
  </si>
  <si>
    <t>77.55亿</t>
  </si>
  <si>
    <t>4.09亿</t>
  </si>
  <si>
    <t>-1.18亿</t>
  </si>
  <si>
    <t>42.56亿</t>
  </si>
  <si>
    <t>88.75亿</t>
  </si>
  <si>
    <t>3.89亿</t>
  </si>
  <si>
    <t>3.60亿</t>
  </si>
  <si>
    <t>451.73亿</t>
  </si>
  <si>
    <t>1048.94亿</t>
  </si>
  <si>
    <t>17.49亿</t>
  </si>
  <si>
    <t>2.50亿</t>
  </si>
  <si>
    <t>21.02亿</t>
  </si>
  <si>
    <t>23.06亿</t>
  </si>
  <si>
    <t>22.14亿</t>
  </si>
  <si>
    <t>2-1</t>
  </si>
  <si>
    <t>8.98亿</t>
  </si>
  <si>
    <t>19.25亿</t>
  </si>
  <si>
    <t>-1.31亿</t>
  </si>
  <si>
    <t>59.65亿</t>
  </si>
  <si>
    <t>41.23亿</t>
  </si>
  <si>
    <t>979.71亿</t>
  </si>
  <si>
    <t>2140.28亿</t>
  </si>
  <si>
    <t>91.63亿</t>
  </si>
  <si>
    <t>152.89亿</t>
  </si>
  <si>
    <t>344.85亿</t>
  </si>
  <si>
    <t>15.96亿</t>
  </si>
  <si>
    <t>-3-0</t>
  </si>
  <si>
    <t>18.66亿</t>
  </si>
  <si>
    <t>41.99亿</t>
  </si>
  <si>
    <t>2.53亿</t>
  </si>
  <si>
    <t>1.39亿</t>
  </si>
  <si>
    <t>6.02亿</t>
  </si>
  <si>
    <t>2.84亿</t>
  </si>
  <si>
    <t>10派0.4元(含税)</t>
  </si>
  <si>
    <t>6.80亿</t>
  </si>
  <si>
    <t>15.43亿</t>
  </si>
  <si>
    <t>-1.28亿</t>
  </si>
  <si>
    <t>83.37亿</t>
  </si>
  <si>
    <t>209.90亿</t>
  </si>
  <si>
    <t>9.47亿</t>
  </si>
  <si>
    <t>-1.26亿</t>
  </si>
  <si>
    <t>7.77亿</t>
  </si>
  <si>
    <t>3.49亿</t>
  </si>
  <si>
    <t>2.20亿</t>
  </si>
  <si>
    <t>7.95亿</t>
  </si>
  <si>
    <t>19.99亿</t>
  </si>
  <si>
    <t>4.99亿</t>
  </si>
  <si>
    <t>3.26亿</t>
  </si>
  <si>
    <t>-1462.67万</t>
  </si>
  <si>
    <t>18.44亿</t>
  </si>
  <si>
    <t>43.45亿</t>
  </si>
  <si>
    <t>17.67亿</t>
  </si>
  <si>
    <t>4.04亿</t>
  </si>
  <si>
    <t>6.67亿</t>
  </si>
  <si>
    <t>15.48亿</t>
  </si>
  <si>
    <t>510.00万</t>
  </si>
  <si>
    <t>13.85亿</t>
  </si>
  <si>
    <t>5810.70万</t>
  </si>
  <si>
    <t>25.64亿</t>
  </si>
  <si>
    <t>20.16亿</t>
  </si>
  <si>
    <t>44.67亿</t>
  </si>
  <si>
    <t>2.58亿</t>
  </si>
  <si>
    <t>10.42亿</t>
  </si>
  <si>
    <t>16.43亿</t>
  </si>
  <si>
    <t>38.58亿</t>
  </si>
  <si>
    <t>5178.13万</t>
  </si>
  <si>
    <t>6.79亿</t>
  </si>
  <si>
    <t>10.44亿</t>
  </si>
  <si>
    <t>59.10亿</t>
  </si>
  <si>
    <t>152.03亿</t>
  </si>
  <si>
    <t>12.41亿</t>
  </si>
  <si>
    <t>33.45亿</t>
  </si>
  <si>
    <t>85.90亿</t>
  </si>
  <si>
    <t>星星科技</t>
  </si>
  <si>
    <t>6.26亿</t>
  </si>
  <si>
    <t>19.55亿</t>
  </si>
  <si>
    <t>-3.21亿</t>
  </si>
  <si>
    <t>4.62亿</t>
  </si>
  <si>
    <t>15.46亿</t>
  </si>
  <si>
    <t>-8660.52万</t>
  </si>
  <si>
    <t>6.30亿</t>
  </si>
  <si>
    <t>9.09亿</t>
  </si>
  <si>
    <t>19.54亿</t>
  </si>
  <si>
    <t>201.77亿</t>
  </si>
  <si>
    <t>466.99亿</t>
  </si>
  <si>
    <t>24.48亿</t>
  </si>
  <si>
    <t>3.02亿</t>
  </si>
  <si>
    <t>6.52亿</t>
  </si>
  <si>
    <t>17.41亿</t>
  </si>
  <si>
    <t>7446.68万</t>
  </si>
  <si>
    <t>17.78亿</t>
  </si>
  <si>
    <t>41.25亿</t>
  </si>
  <si>
    <t>9618.71万</t>
  </si>
  <si>
    <t>13.65亿</t>
  </si>
  <si>
    <t>29.70亿</t>
  </si>
  <si>
    <t>6.21亿</t>
  </si>
  <si>
    <t>17.45亿</t>
  </si>
  <si>
    <t>7.82亿</t>
  </si>
  <si>
    <t>25.08亿</t>
  </si>
  <si>
    <t>-2.32亿</t>
  </si>
  <si>
    <t>25.40亿</t>
  </si>
  <si>
    <t>41.80亿</t>
  </si>
  <si>
    <t>8.64亿</t>
  </si>
  <si>
    <t>23.86亿</t>
  </si>
  <si>
    <t>13.16亿</t>
  </si>
  <si>
    <t>11.34亿</t>
  </si>
  <si>
    <t>21.72亿</t>
  </si>
  <si>
    <t>SZ300812</t>
  </si>
  <si>
    <t>易天股份</t>
  </si>
  <si>
    <t>4429.11万</t>
  </si>
  <si>
    <t>7011.76万</t>
  </si>
  <si>
    <t>5895.64万</t>
  </si>
  <si>
    <t>9261.72万</t>
  </si>
  <si>
    <t>7333.21万</t>
  </si>
  <si>
    <t>4538.22万</t>
  </si>
  <si>
    <t>4.23亿</t>
  </si>
  <si>
    <t>-2-1</t>
  </si>
  <si>
    <t>11.70亿</t>
  </si>
  <si>
    <t>5975.19万</t>
  </si>
  <si>
    <t>2.39亿</t>
  </si>
  <si>
    <t>4000.00万</t>
  </si>
  <si>
    <t>18.40亿</t>
  </si>
  <si>
    <t>31.48亿</t>
  </si>
  <si>
    <t>5.87亿</t>
  </si>
  <si>
    <t>70.66亿</t>
  </si>
  <si>
    <t>142.51亿</t>
  </si>
  <si>
    <t>12.56亿</t>
  </si>
  <si>
    <t>12.91亿</t>
  </si>
  <si>
    <t>6.10亿</t>
  </si>
  <si>
    <t>4.18亿</t>
  </si>
  <si>
    <t>5.15亿</t>
  </si>
  <si>
    <t>5.74亿</t>
  </si>
  <si>
    <t>15.68亿</t>
  </si>
  <si>
    <t>3.15亿</t>
  </si>
  <si>
    <t>14.69亿</t>
  </si>
  <si>
    <t>21.71亿</t>
  </si>
  <si>
    <t>15.91亿</t>
  </si>
  <si>
    <t>-1.52亿</t>
  </si>
  <si>
    <t>3.20亿</t>
  </si>
  <si>
    <t>6.87亿</t>
  </si>
  <si>
    <t>7289.70万</t>
  </si>
  <si>
    <t>15.63亿</t>
  </si>
  <si>
    <t>10.34亿</t>
  </si>
  <si>
    <t>4447.36万</t>
  </si>
  <si>
    <t>4.69亿</t>
  </si>
  <si>
    <t>7.67亿</t>
  </si>
  <si>
    <t>4-1</t>
  </si>
  <si>
    <t>6.68亿</t>
  </si>
  <si>
    <t>3.90亿</t>
  </si>
  <si>
    <t>10派0.25元(含税)</t>
  </si>
  <si>
    <t>8583.98万</t>
  </si>
  <si>
    <t>10派4元(含税)</t>
  </si>
  <si>
    <t>SZ301329</t>
  </si>
  <si>
    <t>信音电子</t>
  </si>
  <si>
    <t>9643.56万</t>
  </si>
  <si>
    <t>5407.50万</t>
  </si>
  <si>
    <t>4006.92万</t>
  </si>
  <si>
    <t>4.41亿</t>
  </si>
  <si>
    <t>SZ301383</t>
  </si>
  <si>
    <t>天键股份</t>
  </si>
  <si>
    <t>11.26亿</t>
  </si>
  <si>
    <t>6685.17万</t>
  </si>
  <si>
    <t>14.11亿</t>
  </si>
  <si>
    <t>7535.77万</t>
  </si>
  <si>
    <t>827.95万</t>
  </si>
  <si>
    <t>1579.63万</t>
  </si>
  <si>
    <t>2.72亿</t>
  </si>
  <si>
    <t>SZ301387</t>
  </si>
  <si>
    <t>光大同创</t>
  </si>
  <si>
    <t>9.96亿</t>
  </si>
  <si>
    <t>9445.53万</t>
  </si>
  <si>
    <t>5795.05万</t>
  </si>
  <si>
    <t>SZ301486</t>
  </si>
  <si>
    <t>致尚科技</t>
  </si>
  <si>
    <t>9184.92万</t>
  </si>
  <si>
    <t>6552.44万</t>
  </si>
  <si>
    <t>3550.28万</t>
  </si>
  <si>
    <t>3770.57万</t>
  </si>
  <si>
    <t>1822.58万</t>
  </si>
  <si>
    <t>41.36亿</t>
  </si>
  <si>
    <t>165.50亿</t>
  </si>
  <si>
    <t>33.14亿</t>
  </si>
  <si>
    <t>2291.40万</t>
  </si>
  <si>
    <t>2067.76亿</t>
  </si>
  <si>
    <t>5118.50亿</t>
  </si>
  <si>
    <t>200.73亿</t>
  </si>
  <si>
    <t>268.66亿</t>
  </si>
  <si>
    <t>685.16亿</t>
  </si>
  <si>
    <t>30.60亿</t>
  </si>
  <si>
    <t>10转4股派5元(含税)</t>
  </si>
  <si>
    <t>SH603296</t>
  </si>
  <si>
    <t>华勤技术</t>
  </si>
  <si>
    <t>396.98亿</t>
  </si>
  <si>
    <t>926.46亿</t>
  </si>
  <si>
    <t>22.09亿</t>
  </si>
  <si>
    <t>837.59亿</t>
  </si>
  <si>
    <t>598.66亿</t>
  </si>
  <si>
    <t>353.00亿</t>
  </si>
  <si>
    <t>308.81亿</t>
  </si>
  <si>
    <t>18.93亿</t>
  </si>
  <si>
    <t>21.91亿</t>
  </si>
  <si>
    <t>501.08亿</t>
  </si>
  <si>
    <t>10.71亿</t>
  </si>
  <si>
    <t>22.54亿</t>
  </si>
  <si>
    <t>-1.12亿</t>
  </si>
  <si>
    <t>8.54亿</t>
  </si>
  <si>
    <t>19.73亿</t>
  </si>
  <si>
    <t>6.78亿</t>
  </si>
  <si>
    <t>9.91亿</t>
  </si>
  <si>
    <t>12.84亿</t>
  </si>
  <si>
    <t>34.24亿</t>
  </si>
  <si>
    <t>8677.86万</t>
  </si>
  <si>
    <t>20.25亿</t>
  </si>
  <si>
    <t>6591.65万</t>
  </si>
  <si>
    <t>5.40亿</t>
  </si>
  <si>
    <t>38.45亿</t>
  </si>
  <si>
    <t>15.16亿</t>
  </si>
  <si>
    <t>16.86亿</t>
  </si>
  <si>
    <t>10.73亿</t>
  </si>
  <si>
    <t>25.41亿</t>
  </si>
  <si>
    <t>250.29亿</t>
  </si>
  <si>
    <t>465.96亿</t>
  </si>
  <si>
    <t>-6811.65万</t>
  </si>
  <si>
    <t>5.89亿</t>
  </si>
  <si>
    <t>6582.64万</t>
  </si>
  <si>
    <t>7.35亿</t>
  </si>
  <si>
    <t>6440.07万</t>
  </si>
  <si>
    <t>11.00亿</t>
  </si>
  <si>
    <t>28.05亿</t>
  </si>
  <si>
    <t>4.24亿</t>
  </si>
  <si>
    <t>3.97亿</t>
  </si>
  <si>
    <t>700.01万</t>
  </si>
  <si>
    <t>4.34亿</t>
  </si>
  <si>
    <t>9.16亿</t>
  </si>
  <si>
    <t>13.99亿</t>
  </si>
  <si>
    <t>4.22亿</t>
  </si>
  <si>
    <t>13.87亿</t>
  </si>
  <si>
    <t>11.01亿</t>
  </si>
  <si>
    <t>2.11亿</t>
  </si>
  <si>
    <t>8.73亿</t>
  </si>
  <si>
    <t>6.60亿</t>
  </si>
  <si>
    <t>-9792.64万</t>
  </si>
  <si>
    <t>43.56亿</t>
  </si>
  <si>
    <t>12.26亿</t>
  </si>
  <si>
    <t>23.18亿</t>
  </si>
  <si>
    <t>4.37亿</t>
  </si>
  <si>
    <t>6.92亿</t>
  </si>
  <si>
    <t>6.19亿</t>
  </si>
  <si>
    <t>2434.96万</t>
  </si>
  <si>
    <t>5.91亿</t>
  </si>
  <si>
    <t>11.41亿</t>
  </si>
  <si>
    <t>4058.14万</t>
  </si>
  <si>
    <t>1.90亿</t>
  </si>
  <si>
    <t>12.04亿</t>
  </si>
  <si>
    <t>11.60亿</t>
  </si>
  <si>
    <t>-4688.86万</t>
  </si>
  <si>
    <t>5.80亿</t>
  </si>
  <si>
    <t>3.68亿</t>
  </si>
  <si>
    <t>-2280.92万</t>
  </si>
  <si>
    <t>4056.18万</t>
  </si>
  <si>
    <t>12.59亿</t>
  </si>
  <si>
    <t>2.45亿</t>
  </si>
  <si>
    <t>18.00亿</t>
  </si>
  <si>
    <t>4865.06万</t>
  </si>
  <si>
    <t>-221.68万</t>
  </si>
  <si>
    <t>7.60亿</t>
  </si>
  <si>
    <t>20.05亿</t>
  </si>
  <si>
    <t>9466.56万</t>
  </si>
  <si>
    <t>10.28亿</t>
  </si>
  <si>
    <t>3055.66万</t>
  </si>
  <si>
    <t>5.38亿</t>
  </si>
  <si>
    <t>9247.11万</t>
  </si>
  <si>
    <t>-1.57亿</t>
  </si>
  <si>
    <t>2290.52万</t>
  </si>
  <si>
    <t>-1.32亿</t>
  </si>
  <si>
    <t>6.90亿</t>
  </si>
  <si>
    <t>4.77亿</t>
  </si>
  <si>
    <t>-1.79亿</t>
  </si>
  <si>
    <t>14.30亿</t>
  </si>
  <si>
    <t>2082.17万</t>
  </si>
  <si>
    <t>9.65亿</t>
  </si>
  <si>
    <t>-1.29亿</t>
  </si>
  <si>
    <t>4.95亿</t>
  </si>
  <si>
    <t>10.07亿</t>
  </si>
  <si>
    <t>3349.68万</t>
  </si>
  <si>
    <t>23.66亿</t>
  </si>
  <si>
    <t>13.98亿</t>
  </si>
  <si>
    <t>401.89万</t>
  </si>
  <si>
    <t>3.39亿</t>
  </si>
  <si>
    <t>14.61亿</t>
  </si>
  <si>
    <t>-2.03亿</t>
  </si>
  <si>
    <t>4.13亿</t>
  </si>
  <si>
    <t>-1.20亿</t>
  </si>
  <si>
    <t>-3660.77万</t>
  </si>
  <si>
    <t>17.16亿</t>
  </si>
  <si>
    <t>8.65亿</t>
  </si>
  <si>
    <t>6753.16万</t>
  </si>
  <si>
    <t>16.30亿</t>
  </si>
  <si>
    <t>14.72亿</t>
  </si>
  <si>
    <t>5.49亿</t>
  </si>
  <si>
    <t>17.91亿</t>
  </si>
  <si>
    <t>9267.96万</t>
  </si>
  <si>
    <t>2137.19万</t>
  </si>
  <si>
    <t>6.99亿</t>
  </si>
  <si>
    <t>5.66亿</t>
  </si>
  <si>
    <t>3338.53万</t>
  </si>
  <si>
    <t>7.23亿</t>
  </si>
  <si>
    <t>6.54亿</t>
  </si>
  <si>
    <t>4375.90万</t>
  </si>
  <si>
    <t>8.20亿</t>
  </si>
  <si>
    <t>8.30亿</t>
  </si>
  <si>
    <t>4.96亿</t>
  </si>
  <si>
    <t>3075.19万</t>
  </si>
  <si>
    <t>8.83亿</t>
  </si>
  <si>
    <t>2.52亿</t>
  </si>
  <si>
    <t>-2597.99万</t>
  </si>
  <si>
    <t>3.17亿</t>
  </si>
  <si>
    <t>7.81亿</t>
  </si>
  <si>
    <t>3568.13万</t>
  </si>
  <si>
    <t>6.81亿</t>
  </si>
  <si>
    <t>9.17亿</t>
  </si>
  <si>
    <t>1755.51万</t>
  </si>
  <si>
    <t>3.63亿</t>
  </si>
  <si>
    <t>1063.66万</t>
  </si>
  <si>
    <t>-1.63亿</t>
  </si>
  <si>
    <t>1243.03万</t>
  </si>
  <si>
    <t>5863.59万</t>
  </si>
  <si>
    <t>2.30亿</t>
  </si>
  <si>
    <t>-2.42亿</t>
  </si>
  <si>
    <t>1025.36万</t>
  </si>
  <si>
    <t>7.34亿</t>
  </si>
  <si>
    <t>1825.82万</t>
  </si>
  <si>
    <t>4.92亿</t>
  </si>
  <si>
    <t>9.36亿</t>
  </si>
  <si>
    <t>2324.44万</t>
  </si>
  <si>
    <t>-2002.35万</t>
  </si>
  <si>
    <t>4.16亿</t>
  </si>
  <si>
    <t>5.13亿</t>
  </si>
  <si>
    <t>-94.45万</t>
  </si>
  <si>
    <t>58.02万</t>
  </si>
  <si>
    <t>7476.13万</t>
  </si>
  <si>
    <t>4.02亿</t>
  </si>
  <si>
    <t>3.67亿</t>
  </si>
  <si>
    <t>419.72万</t>
  </si>
  <si>
    <t>13.74亿</t>
  </si>
  <si>
    <t>5.22亿</t>
  </si>
  <si>
    <t>4.12亿</t>
  </si>
  <si>
    <t>-7755.72万</t>
  </si>
  <si>
    <t>-1015.64万</t>
  </si>
  <si>
    <t>5.16亿</t>
  </si>
  <si>
    <t>4.26亿</t>
  </si>
  <si>
    <t>3809.81万</t>
  </si>
  <si>
    <t>5387.66万</t>
  </si>
  <si>
    <t>5346.55万</t>
  </si>
  <si>
    <t>22.13亿</t>
  </si>
  <si>
    <t>5282.14万</t>
  </si>
  <si>
    <t>14.09亿</t>
  </si>
  <si>
    <t>4224.45万</t>
  </si>
  <si>
    <t>3.56亿</t>
  </si>
  <si>
    <t>906.53万</t>
  </si>
  <si>
    <t>-1.24亿</t>
  </si>
  <si>
    <t>20.06亿</t>
  </si>
  <si>
    <t>9.12亿</t>
  </si>
  <si>
    <t>-3371.19万</t>
  </si>
  <si>
    <t>71.61亿</t>
  </si>
  <si>
    <t>8.76亿</t>
  </si>
  <si>
    <t>4161.63万</t>
  </si>
  <si>
    <t>383.01亿</t>
  </si>
  <si>
    <t>200.52亿</t>
  </si>
  <si>
    <t>648.85亿</t>
  </si>
  <si>
    <t>626.86亿</t>
  </si>
  <si>
    <t>575.20亿</t>
  </si>
  <si>
    <t>15.92亿</t>
  </si>
  <si>
    <t>-73850405亿</t>
  </si>
  <si>
    <t>433.03万</t>
  </si>
  <si>
    <t>1653029000亿</t>
  </si>
  <si>
    <t>161.55亿</t>
  </si>
  <si>
    <t>19623662000亿</t>
  </si>
  <si>
    <t>4098.93万</t>
  </si>
  <si>
    <t>45417093000亿</t>
  </si>
  <si>
    <t>48.61亿</t>
  </si>
  <si>
    <t>67.97亿</t>
  </si>
  <si>
    <t>214.76亿</t>
  </si>
  <si>
    <t>360.15亿</t>
  </si>
  <si>
    <t>16.98亿</t>
  </si>
  <si>
    <t>-20.09亿</t>
  </si>
  <si>
    <t>60.79亿</t>
  </si>
  <si>
    <t>712.42亿</t>
  </si>
  <si>
    <t>12.82亿</t>
  </si>
  <si>
    <t>11.71亿</t>
  </si>
  <si>
    <t>-6.59亿</t>
  </si>
  <si>
    <t>13.63亿</t>
  </si>
  <si>
    <t>6641.91万</t>
  </si>
  <si>
    <t>-6816.99万</t>
  </si>
  <si>
    <t>7.43亿</t>
  </si>
  <si>
    <t>-6920.89万</t>
  </si>
  <si>
    <t>7.28亿</t>
  </si>
  <si>
    <t>2719.05万</t>
  </si>
  <si>
    <t>6.23亿</t>
  </si>
  <si>
    <t>30.45亿</t>
  </si>
  <si>
    <t>-1528.29万</t>
  </si>
  <si>
    <t>15.45亿</t>
  </si>
  <si>
    <t>-1.33亿</t>
  </si>
  <si>
    <t>8145.71万</t>
  </si>
  <si>
    <t>7491.46万</t>
  </si>
  <si>
    <t>1023.22万</t>
  </si>
  <si>
    <t>4.47亿</t>
  </si>
  <si>
    <t>4.86亿</t>
  </si>
  <si>
    <t>-4880.70万</t>
  </si>
  <si>
    <t>SH688678</t>
  </si>
  <si>
    <t>福立旺</t>
  </si>
  <si>
    <t>2.91亿</t>
  </si>
  <si>
    <t>4927.63万</t>
  </si>
  <si>
    <t>2407.09万</t>
  </si>
  <si>
    <t>4769.46万</t>
  </si>
  <si>
    <t>3.05亿</t>
  </si>
  <si>
    <t>1652.30万</t>
  </si>
  <si>
    <t>-2-0</t>
  </si>
  <si>
    <t>-5-0</t>
  </si>
  <si>
    <t>-5-1</t>
  </si>
  <si>
    <t>SZ301567</t>
  </si>
  <si>
    <t>贝隆精密</t>
  </si>
  <si>
    <t>3.50亿</t>
  </si>
  <si>
    <t>6056.43万</t>
  </si>
  <si>
    <t>2.24亿</t>
  </si>
  <si>
    <t>n/a</t>
  </si>
  <si>
    <t>SH603341</t>
  </si>
  <si>
    <t>293.43亿</t>
  </si>
  <si>
    <t>13.46亿</t>
  </si>
  <si>
    <t>245.96亿</t>
  </si>
  <si>
    <t>164.21亿</t>
  </si>
  <si>
    <t>99.74亿</t>
  </si>
  <si>
    <t>2.98亿</t>
  </si>
  <si>
    <t>9761.67万</t>
  </si>
  <si>
    <t>108.00亿</t>
  </si>
  <si>
    <t>4-0</t>
  </si>
  <si>
    <r>
      <t>1.第一大客户营收占比74.09%；2.2018年底到2020年</t>
    </r>
    <r>
      <rPr>
        <sz val="9"/>
        <color rgb="FFFF0000"/>
        <rFont val="宋体"/>
        <family val="3"/>
        <charset val="134"/>
        <scheme val="minor"/>
      </rPr>
      <t>8倍的涨幅过于透支了未来的利润增速</t>
    </r>
    <r>
      <rPr>
        <sz val="9"/>
        <color theme="1"/>
        <rFont val="宋体"/>
        <family val="3"/>
        <charset val="134"/>
        <scheme val="minor"/>
      </rPr>
      <t>；</t>
    </r>
    <phoneticPr fontId="1" type="noConversion"/>
  </si>
  <si>
    <t>5.08亿</t>
  </si>
  <si>
    <t>龙旗科技</t>
  </si>
  <si>
    <t>-4-0</t>
  </si>
  <si>
    <t>18.18亿</t>
  </si>
  <si>
    <t>9-0</t>
  </si>
  <si>
    <t>SZ300647</t>
  </si>
  <si>
    <t>超频三</t>
  </si>
  <si>
    <t>11.50亿</t>
  </si>
  <si>
    <t>1935.80万</t>
  </si>
  <si>
    <t>-1.95亿</t>
  </si>
  <si>
    <t>-1.62亿</t>
  </si>
  <si>
    <t>1544.17万</t>
  </si>
  <si>
    <t>1163.18万</t>
  </si>
  <si>
    <t>996.29万</t>
  </si>
  <si>
    <t>-2876.63万</t>
  </si>
  <si>
    <t>3.09亿</t>
  </si>
  <si>
    <t>3-0</t>
  </si>
  <si>
    <t>6-0</t>
  </si>
  <si>
    <t>*ST美讯</t>
  </si>
  <si>
    <t>403.77万</t>
  </si>
  <si>
    <t>1164.57万</t>
  </si>
  <si>
    <t>9312.24万</t>
  </si>
  <si>
    <t>1.问：除了已有成熟品类外，公司还有哪些新品推出？答：公司认为消费电子行业是个“速生速死”的赛道，因此不主张把未来押宝在某一个品类或产品上，而是持续在消费电子全行业寻找可以切入的赛道和机会。2.2024Q1营业总收入43.78亿元增长30.09%;净利润3.11亿元增长1.6%;2023年175.07亿增22.85%；利润16.15亿增41.22%；</t>
    <phoneticPr fontId="1" type="noConversion"/>
  </si>
  <si>
    <t>3735.46万</t>
  </si>
  <si>
    <t>146.01亿</t>
  </si>
  <si>
    <t>128.81亿</t>
  </si>
  <si>
    <t>31.26亿</t>
  </si>
  <si>
    <t>29.32亿</t>
  </si>
  <si>
    <t>26.07亿</t>
  </si>
  <si>
    <t>2737.33万</t>
  </si>
  <si>
    <t>-3034773亿</t>
  </si>
  <si>
    <t>136.71万</t>
  </si>
  <si>
    <t>104672589亿</t>
  </si>
  <si>
    <t>99.00亿</t>
  </si>
  <si>
    <t>3457422100亿</t>
  </si>
  <si>
    <t>315.91万</t>
  </si>
  <si>
    <t>17180141000亿</t>
  </si>
  <si>
    <t>77.49亿</t>
  </si>
  <si>
    <t>827.63万</t>
  </si>
  <si>
    <t>143.65亿</t>
  </si>
  <si>
    <t>-4.02亿</t>
  </si>
  <si>
    <t>142.65亿</t>
  </si>
  <si>
    <t>0122000000</t>
  </si>
  <si>
    <t>0366000000</t>
  </si>
  <si>
    <t>0732000000</t>
  </si>
  <si>
    <t>01220000000</t>
  </si>
  <si>
    <t>02440000000</t>
  </si>
  <si>
    <t>228.27万</t>
  </si>
  <si>
    <t>20.65亿</t>
  </si>
  <si>
    <t>-822.94万</t>
  </si>
  <si>
    <t>2419.64万</t>
  </si>
  <si>
    <t>2642.07万</t>
  </si>
  <si>
    <t>2409239亿</t>
  </si>
  <si>
    <t>26.02万</t>
  </si>
  <si>
    <t>-12566994亿</t>
  </si>
  <si>
    <t>10.95亿</t>
  </si>
  <si>
    <t>154331600亿</t>
  </si>
  <si>
    <t>9229.74万</t>
  </si>
  <si>
    <t>2425717300亿</t>
  </si>
  <si>
    <t>1025.29万</t>
  </si>
  <si>
    <t>9476.57万</t>
  </si>
  <si>
    <t>8591.19万</t>
  </si>
  <si>
    <t>8.90亿</t>
  </si>
  <si>
    <t>-7.50亿</t>
  </si>
  <si>
    <t>8853.32万</t>
  </si>
  <si>
    <t>25.94亿</t>
  </si>
  <si>
    <t>10派3.311644元(含税)</t>
  </si>
  <si>
    <t>1230.45万</t>
  </si>
  <si>
    <t>-3-1</t>
  </si>
  <si>
    <t>1222.87万</t>
  </si>
  <si>
    <t>39.74亿</t>
  </si>
  <si>
    <t>2917.00万</t>
  </si>
  <si>
    <t>12.66亿</t>
  </si>
  <si>
    <t>11.25亿</t>
  </si>
  <si>
    <t>1758.67万</t>
  </si>
  <si>
    <t>5650.36万</t>
  </si>
  <si>
    <t>1913035亿</t>
  </si>
  <si>
    <t>174.20万</t>
  </si>
  <si>
    <t>8619574亿</t>
  </si>
  <si>
    <t>27.93亿</t>
  </si>
  <si>
    <t>1043127920亿</t>
  </si>
  <si>
    <t>1828.65万</t>
  </si>
  <si>
    <t>4921604000亿</t>
  </si>
  <si>
    <t>7761.32万</t>
  </si>
  <si>
    <t>10.83亿</t>
  </si>
  <si>
    <t>11.49亿</t>
  </si>
  <si>
    <t>159.55万</t>
  </si>
  <si>
    <t>29.58亿</t>
  </si>
  <si>
    <t>4.07亿</t>
  </si>
  <si>
    <t>-6426.08万</t>
  </si>
  <si>
    <t>59.33亿</t>
  </si>
  <si>
    <t>029170000</t>
  </si>
  <si>
    <t>087510000</t>
  </si>
  <si>
    <t>0175020000</t>
  </si>
  <si>
    <t>0291700000</t>
  </si>
  <si>
    <t>0583400000</t>
  </si>
  <si>
    <t>4415.20万</t>
  </si>
  <si>
    <t>53.57亿</t>
  </si>
  <si>
    <t>24.50亿</t>
  </si>
  <si>
    <t>13.00亿</t>
  </si>
  <si>
    <t>-2715.93万</t>
  </si>
  <si>
    <t>10.69亿</t>
  </si>
  <si>
    <t>2630.34万</t>
  </si>
  <si>
    <t>1.54亿</t>
  </si>
  <si>
    <t>386499亿</t>
  </si>
  <si>
    <t>190.40万</t>
  </si>
  <si>
    <t>-34335603亿</t>
  </si>
  <si>
    <t>1626477500亿</t>
  </si>
  <si>
    <t>4.44亿</t>
  </si>
  <si>
    <t>3986974000亿</t>
  </si>
  <si>
    <t>5115.83万</t>
  </si>
  <si>
    <t>21.10亿</t>
  </si>
  <si>
    <t>33.87亿</t>
  </si>
  <si>
    <t>-1.34亿</t>
  </si>
  <si>
    <t>7657.64万</t>
  </si>
  <si>
    <t>-2.53亿</t>
  </si>
  <si>
    <t>59.87亿</t>
  </si>
  <si>
    <t>16.19亿</t>
  </si>
  <si>
    <t>2241.57万</t>
  </si>
  <si>
    <t>64.80亿</t>
  </si>
  <si>
    <t>21.23亿</t>
  </si>
  <si>
    <t>8105.05万</t>
  </si>
  <si>
    <t>8515.07万</t>
  </si>
  <si>
    <t>-835580亿</t>
  </si>
  <si>
    <t>43.63万</t>
  </si>
  <si>
    <t>169367240亿</t>
  </si>
  <si>
    <t>22.64亿</t>
  </si>
  <si>
    <t>2435555100亿</t>
  </si>
  <si>
    <t>6438.68万</t>
  </si>
  <si>
    <t>7906311900亿</t>
  </si>
  <si>
    <t>6.53亿</t>
  </si>
  <si>
    <t>10.77亿</t>
  </si>
  <si>
    <t>21.57亿</t>
  </si>
  <si>
    <t>351.38万</t>
  </si>
  <si>
    <t>50.61亿</t>
  </si>
  <si>
    <t>5.62亿</t>
  </si>
  <si>
    <t>9947.10万</t>
  </si>
  <si>
    <t>-7218.93万</t>
  </si>
  <si>
    <t>6.89亿</t>
  </si>
  <si>
    <t>89.92亿</t>
  </si>
  <si>
    <t>6.32亿</t>
  </si>
  <si>
    <t>5724.85万</t>
  </si>
  <si>
    <t>422.17亿</t>
  </si>
  <si>
    <t>314.24亿</t>
  </si>
  <si>
    <t>193.12亿</t>
  </si>
  <si>
    <t>190.83亿</t>
  </si>
  <si>
    <t>175.36亿</t>
  </si>
  <si>
    <t>4.58亿</t>
  </si>
  <si>
    <t>-4495579亿</t>
  </si>
  <si>
    <t>1585.32万</t>
  </si>
  <si>
    <t>275495410亿</t>
  </si>
  <si>
    <t>168.94亿</t>
  </si>
  <si>
    <t>7351563200亿</t>
  </si>
  <si>
    <t>3348.99万</t>
  </si>
  <si>
    <t>37838900000亿</t>
  </si>
  <si>
    <t>17.72亿</t>
  </si>
  <si>
    <t>66.43亿</t>
  </si>
  <si>
    <t>38.83亿</t>
  </si>
  <si>
    <t>143.69亿</t>
  </si>
  <si>
    <t>309.59亿</t>
  </si>
  <si>
    <t>60.92亿</t>
  </si>
  <si>
    <t>15.35亿</t>
  </si>
  <si>
    <t>-5.29亿</t>
  </si>
  <si>
    <t>985.74亿</t>
  </si>
  <si>
    <t>10.88亿</t>
  </si>
  <si>
    <t>22.02亿</t>
  </si>
  <si>
    <t>2505.27万</t>
  </si>
  <si>
    <t>6.62亿</t>
  </si>
  <si>
    <t>27.22亿</t>
  </si>
  <si>
    <t>7870.03万</t>
  </si>
  <si>
    <t>1903.04万</t>
  </si>
  <si>
    <t>1365417亿</t>
  </si>
  <si>
    <t>1.02万</t>
  </si>
  <si>
    <t>107153856亿</t>
  </si>
  <si>
    <t>16.17亿</t>
  </si>
  <si>
    <t>209070650亿</t>
  </si>
  <si>
    <t>348.72万</t>
  </si>
  <si>
    <t>2700858400亿</t>
  </si>
  <si>
    <t>15.41万</t>
  </si>
  <si>
    <t>366.47万</t>
  </si>
  <si>
    <t>9161.82万</t>
  </si>
  <si>
    <t>2830.58万</t>
  </si>
  <si>
    <t>-2836.93万</t>
  </si>
  <si>
    <t>26.94亿</t>
  </si>
  <si>
    <t>993.81万</t>
  </si>
  <si>
    <t>18.75亿</t>
  </si>
  <si>
    <t>-4606.41万</t>
  </si>
  <si>
    <t>4.75亿</t>
  </si>
  <si>
    <t>382.64万</t>
  </si>
  <si>
    <t>3344.57万</t>
  </si>
  <si>
    <t>7.81万</t>
  </si>
  <si>
    <t>-48134285亿</t>
  </si>
  <si>
    <t>347070240亿</t>
  </si>
  <si>
    <t>774657730亿</t>
  </si>
  <si>
    <t>6895.26万</t>
  </si>
  <si>
    <t>5007.64万</t>
  </si>
  <si>
    <t>9266.78万</t>
  </si>
  <si>
    <t>5.61亿</t>
  </si>
  <si>
    <t>153.28万</t>
  </si>
  <si>
    <t>-558.59万</t>
  </si>
  <si>
    <t>3764.17万</t>
  </si>
  <si>
    <t>-1.21亿</t>
  </si>
  <si>
    <t>-4.11亿</t>
  </si>
  <si>
    <t>5286.48万</t>
  </si>
  <si>
    <t>1120.24万</t>
  </si>
  <si>
    <t>46.81亿</t>
  </si>
  <si>
    <t>53.64亿</t>
  </si>
  <si>
    <t>19.82亿</t>
  </si>
  <si>
    <t>9657.25万</t>
  </si>
  <si>
    <t>19.13亿</t>
  </si>
  <si>
    <t>4130.50万</t>
  </si>
  <si>
    <t>7925.11万</t>
  </si>
  <si>
    <t>-3759556亿</t>
  </si>
  <si>
    <t>22.00万</t>
  </si>
  <si>
    <t>82458787亿</t>
  </si>
  <si>
    <t>10.35亿</t>
  </si>
  <si>
    <t>2204818200亿</t>
  </si>
  <si>
    <t>6415531400亿</t>
  </si>
  <si>
    <t>21.13亿</t>
  </si>
  <si>
    <t>47.42亿</t>
  </si>
  <si>
    <t>-1.49亿</t>
  </si>
  <si>
    <t>-2.08亿</t>
  </si>
  <si>
    <t>75.07亿</t>
  </si>
  <si>
    <t>10派1.507108元(含税)</t>
  </si>
  <si>
    <t>5746.92万</t>
  </si>
  <si>
    <t>4046.40万</t>
  </si>
  <si>
    <t>41.32亿</t>
  </si>
  <si>
    <t>33.90亿</t>
  </si>
  <si>
    <t>8.24亿</t>
  </si>
  <si>
    <t>4431.87万</t>
  </si>
  <si>
    <t>8.23亿</t>
  </si>
  <si>
    <t>7.03亿</t>
  </si>
  <si>
    <t>1142.44万</t>
  </si>
  <si>
    <t>5468.86万</t>
  </si>
  <si>
    <t>53916890亿</t>
  </si>
  <si>
    <t>970.88万</t>
  </si>
  <si>
    <t>-25060481亿</t>
  </si>
  <si>
    <t>935794730亿</t>
  </si>
  <si>
    <t>2822879000亿</t>
  </si>
  <si>
    <t>17.03亿</t>
  </si>
  <si>
    <t>3336.36万</t>
  </si>
  <si>
    <t>18.51亿</t>
  </si>
  <si>
    <t>37.93亿</t>
  </si>
  <si>
    <t>2326.96万</t>
  </si>
  <si>
    <t>-8347.66万</t>
  </si>
  <si>
    <t>34.52亿</t>
  </si>
  <si>
    <t>-9.28亿</t>
  </si>
  <si>
    <t>11.68亿</t>
  </si>
  <si>
    <t>044318700</t>
  </si>
  <si>
    <t>0132956100</t>
  </si>
  <si>
    <t>0265912200</t>
  </si>
  <si>
    <t>0443187000</t>
  </si>
  <si>
    <t>0886374000</t>
  </si>
  <si>
    <t>6735.66万</t>
  </si>
  <si>
    <t>917.07亿</t>
  </si>
  <si>
    <t>730.97亿</t>
  </si>
  <si>
    <t>524.07亿</t>
  </si>
  <si>
    <t>24.71亿</t>
  </si>
  <si>
    <t>502.48亿</t>
  </si>
  <si>
    <t>467.76亿</t>
  </si>
  <si>
    <t>10.75亿</t>
  </si>
  <si>
    <t>590770860亿</t>
  </si>
  <si>
    <t>1109.10万</t>
  </si>
  <si>
    <t>2183139400亿</t>
  </si>
  <si>
    <t>431.13亿</t>
  </si>
  <si>
    <t>22744886000亿</t>
  </si>
  <si>
    <t>102141781000亿</t>
  </si>
  <si>
    <t>23.44亿</t>
  </si>
  <si>
    <t>292.87亿</t>
  </si>
  <si>
    <t>359.65亿</t>
  </si>
  <si>
    <t>736.04亿</t>
  </si>
  <si>
    <t>184.49亿</t>
  </si>
  <si>
    <t>-8.44亿</t>
  </si>
  <si>
    <t>-51.23亿</t>
  </si>
  <si>
    <t>166.68亿</t>
  </si>
  <si>
    <t>2319.05亿</t>
  </si>
  <si>
    <t>109.53亿</t>
  </si>
  <si>
    <t>10派2.989461元(含税)</t>
  </si>
  <si>
    <t>188.77亿</t>
  </si>
  <si>
    <t>187.61亿</t>
  </si>
  <si>
    <t>97.99亿</t>
  </si>
  <si>
    <t>4.61亿</t>
  </si>
  <si>
    <t>92.49亿</t>
  </si>
  <si>
    <t>83.31亿</t>
  </si>
  <si>
    <t>7612.27万</t>
  </si>
  <si>
    <t>6713219亿</t>
  </si>
  <si>
    <t>197.06万</t>
  </si>
  <si>
    <t>351780090亿</t>
  </si>
  <si>
    <t>41.35亿</t>
  </si>
  <si>
    <t>8819136400亿</t>
  </si>
  <si>
    <t>19392900000亿</t>
  </si>
  <si>
    <t>13.67亿</t>
  </si>
  <si>
    <t>68.89亿</t>
  </si>
  <si>
    <t>22.71万</t>
  </si>
  <si>
    <t>117.40亿</t>
  </si>
  <si>
    <t>56.58亿</t>
  </si>
  <si>
    <t>10.74亿</t>
  </si>
  <si>
    <t>-8.57亿</t>
  </si>
  <si>
    <t>341.24亿</t>
  </si>
  <si>
    <t>20.51亿</t>
  </si>
  <si>
    <t>10派0.3元(含税)</t>
  </si>
  <si>
    <t>66.81亿</t>
  </si>
  <si>
    <t>0461000000</t>
  </si>
  <si>
    <t>01383000000</t>
  </si>
  <si>
    <t>02766000000</t>
  </si>
  <si>
    <t>04610000000</t>
  </si>
  <si>
    <t>09220000000</t>
  </si>
  <si>
    <t>1017.70万</t>
  </si>
  <si>
    <t>22.33亿</t>
  </si>
  <si>
    <t>58.69亿</t>
  </si>
  <si>
    <t>11.63亿</t>
  </si>
  <si>
    <t>10.82亿</t>
  </si>
  <si>
    <t>2111.98万</t>
  </si>
  <si>
    <t>7996.82万</t>
  </si>
  <si>
    <t>6517938亿</t>
  </si>
  <si>
    <t>15.58万</t>
  </si>
  <si>
    <t>91422904亿</t>
  </si>
  <si>
    <t>1363335800亿</t>
  </si>
  <si>
    <t>248.11万</t>
  </si>
  <si>
    <t>3963097500亿</t>
  </si>
  <si>
    <t>2.34亿</t>
  </si>
  <si>
    <t>1996.09万</t>
  </si>
  <si>
    <t>9329.57万</t>
  </si>
  <si>
    <t>45.17亿</t>
  </si>
  <si>
    <t>5528.50万</t>
  </si>
  <si>
    <t>0105000000</t>
  </si>
  <si>
    <t>0315000000</t>
  </si>
  <si>
    <t>0630000000</t>
  </si>
  <si>
    <t>01050000000</t>
  </si>
  <si>
    <t>02100000000</t>
  </si>
  <si>
    <t>755.22万</t>
  </si>
  <si>
    <t>1717.48万</t>
  </si>
  <si>
    <t>557.06万</t>
  </si>
  <si>
    <t>1823.90万</t>
  </si>
  <si>
    <t>3.06万</t>
  </si>
  <si>
    <t>15144443亿</t>
  </si>
  <si>
    <t>399702730亿</t>
  </si>
  <si>
    <t>3471.62万</t>
  </si>
  <si>
    <t>987453220亿</t>
  </si>
  <si>
    <t>3206.62万</t>
  </si>
  <si>
    <t>6653.69万</t>
  </si>
  <si>
    <t>3.78亿</t>
  </si>
  <si>
    <t>7.07亿</t>
  </si>
  <si>
    <t>8400.00万</t>
  </si>
  <si>
    <t>-1135.71万</t>
  </si>
  <si>
    <t>-2887.91万</t>
  </si>
  <si>
    <t>2557.35万</t>
  </si>
  <si>
    <t>10.03亿</t>
  </si>
  <si>
    <t>5605.62万</t>
  </si>
  <si>
    <t>9.98亿</t>
  </si>
  <si>
    <t>5566.94万</t>
  </si>
  <si>
    <t>4712.73万</t>
  </si>
  <si>
    <t>6.04亿</t>
  </si>
  <si>
    <t>017174800</t>
  </si>
  <si>
    <t>051524400</t>
  </si>
  <si>
    <t>0103048800</t>
  </si>
  <si>
    <t>0171748000</t>
  </si>
  <si>
    <t>0343496000</t>
  </si>
  <si>
    <t>424.52万</t>
  </si>
  <si>
    <t>12.92亿</t>
  </si>
  <si>
    <t>1195.47万</t>
  </si>
  <si>
    <t>1510.47万</t>
  </si>
  <si>
    <t>2443.57万</t>
  </si>
  <si>
    <t>-87510亿</t>
  </si>
  <si>
    <t>11677522亿</t>
  </si>
  <si>
    <t>401240320亿</t>
  </si>
  <si>
    <t>7274.47万</t>
  </si>
  <si>
    <t>1407709300亿</t>
  </si>
  <si>
    <t>8001.23万</t>
  </si>
  <si>
    <t>5616.75万</t>
  </si>
  <si>
    <t>2.80亿</t>
  </si>
  <si>
    <t>5.25亿</t>
  </si>
  <si>
    <t>-502.76万</t>
  </si>
  <si>
    <t>-1.71亿</t>
  </si>
  <si>
    <t>4642.28万</t>
  </si>
  <si>
    <t>8493.42万</t>
  </si>
  <si>
    <t>13.29亿</t>
  </si>
  <si>
    <t>7656.52万</t>
  </si>
  <si>
    <t>2096.90万</t>
  </si>
  <si>
    <t>011954700</t>
  </si>
  <si>
    <t>035864100</t>
  </si>
  <si>
    <t>071728200</t>
  </si>
  <si>
    <t>0119547000</t>
  </si>
  <si>
    <t>0239094000</t>
  </si>
  <si>
    <t>1393.15万</t>
  </si>
  <si>
    <t>22.63亿</t>
  </si>
  <si>
    <t>23.12亿</t>
  </si>
  <si>
    <t>6.56亿</t>
  </si>
  <si>
    <t>2197.43万</t>
  </si>
  <si>
    <t>2668.64万</t>
  </si>
  <si>
    <t>6136.50万</t>
  </si>
  <si>
    <t>1393268亿</t>
  </si>
  <si>
    <t>155.59万</t>
  </si>
  <si>
    <t>13739193亿</t>
  </si>
  <si>
    <t>7.83亿</t>
  </si>
  <si>
    <t>564172350亿</t>
  </si>
  <si>
    <t>45.00万</t>
  </si>
  <si>
    <t>1809268600亿</t>
  </si>
  <si>
    <t>6609.62万</t>
  </si>
  <si>
    <t>8.18万</t>
  </si>
  <si>
    <t>14.48亿</t>
  </si>
  <si>
    <t>7522.22万</t>
  </si>
  <si>
    <t>1459.41万</t>
  </si>
  <si>
    <t>28.74亿</t>
  </si>
  <si>
    <t>883.07万</t>
  </si>
  <si>
    <t>28.91亿</t>
  </si>
  <si>
    <t>13.62亿</t>
  </si>
  <si>
    <t>4465.14万</t>
  </si>
  <si>
    <t>8314.07万</t>
  </si>
  <si>
    <t>9133.17万</t>
  </si>
  <si>
    <t>6.39亿</t>
  </si>
  <si>
    <t>021974300</t>
  </si>
  <si>
    <t>065922900</t>
  </si>
  <si>
    <t>0131845800</t>
  </si>
  <si>
    <t>0219743000</t>
  </si>
  <si>
    <t>0439486000</t>
  </si>
  <si>
    <t>165.95万</t>
  </si>
  <si>
    <t>89.39亿</t>
  </si>
  <si>
    <t>129.21亿</t>
  </si>
  <si>
    <t>44.95亿</t>
  </si>
  <si>
    <t>43.13亿</t>
  </si>
  <si>
    <t>35.10亿</t>
  </si>
  <si>
    <t>28678747亿</t>
  </si>
  <si>
    <t>151.06万</t>
  </si>
  <si>
    <t>142071800亿</t>
  </si>
  <si>
    <t>36.63亿</t>
  </si>
  <si>
    <t>290960840亿</t>
  </si>
  <si>
    <t>3331.70万</t>
  </si>
  <si>
    <t>12630907800亿</t>
  </si>
  <si>
    <t>21.98亿</t>
  </si>
  <si>
    <t>2.44亿</t>
  </si>
  <si>
    <t>32.12亿</t>
  </si>
  <si>
    <t>78.97亿</t>
  </si>
  <si>
    <t>5.03亿</t>
  </si>
  <si>
    <t>-5.02亿</t>
  </si>
  <si>
    <t>-3.15亿</t>
  </si>
  <si>
    <t>201.73亿</t>
  </si>
  <si>
    <t>13.70亿</t>
  </si>
  <si>
    <t>10派8.5元(含税)</t>
  </si>
  <si>
    <t>1012.00万</t>
  </si>
  <si>
    <t>0178000000</t>
  </si>
  <si>
    <t>0534000000</t>
  </si>
  <si>
    <t>01068000000</t>
  </si>
  <si>
    <t>01780000000</t>
  </si>
  <si>
    <t>03560000000</t>
  </si>
  <si>
    <t>694.75万</t>
  </si>
  <si>
    <t>12.51亿</t>
  </si>
  <si>
    <t>8.53亿</t>
  </si>
  <si>
    <t>-5027.72万</t>
  </si>
  <si>
    <t>613.27万</t>
  </si>
  <si>
    <t>4425.83万</t>
  </si>
  <si>
    <t>-136264亿</t>
  </si>
  <si>
    <t>5.04万</t>
  </si>
  <si>
    <t>-51930773亿</t>
  </si>
  <si>
    <t>225506540亿</t>
  </si>
  <si>
    <t>3301.94万</t>
  </si>
  <si>
    <t>730265370亿</t>
  </si>
  <si>
    <t>2839.99万</t>
  </si>
  <si>
    <t>6843.63万</t>
  </si>
  <si>
    <t>57.80万</t>
  </si>
  <si>
    <t>8.34亿</t>
  </si>
  <si>
    <t>-5000.17万</t>
  </si>
  <si>
    <t>-1557.92万</t>
  </si>
  <si>
    <t>2728.93万</t>
  </si>
  <si>
    <t>-1.19亿</t>
  </si>
  <si>
    <t>4222.06万</t>
  </si>
  <si>
    <t>1948.82万</t>
  </si>
  <si>
    <t>-802.78万</t>
  </si>
  <si>
    <t>520.87万</t>
  </si>
  <si>
    <t>2026.35万</t>
  </si>
  <si>
    <t>1558488亿</t>
  </si>
  <si>
    <t>-9454316亿</t>
  </si>
  <si>
    <t>9580.81万</t>
  </si>
  <si>
    <t>147117990亿</t>
  </si>
  <si>
    <t>657996070亿</t>
  </si>
  <si>
    <t>3000.43万</t>
  </si>
  <si>
    <t>-869.30万</t>
  </si>
  <si>
    <t>-5020.28万</t>
  </si>
  <si>
    <t>1013.89万</t>
  </si>
  <si>
    <t>-7903.48万</t>
  </si>
  <si>
    <t>350.57万</t>
  </si>
  <si>
    <t>20.82亿</t>
  </si>
  <si>
    <t>1347.26万</t>
  </si>
  <si>
    <t>2206.74万</t>
  </si>
  <si>
    <t>3648.94万</t>
  </si>
  <si>
    <t>1986808亿</t>
  </si>
  <si>
    <t>22.68万</t>
  </si>
  <si>
    <t>10060639亿</t>
  </si>
  <si>
    <t>552112030亿</t>
  </si>
  <si>
    <t>1930467800亿</t>
  </si>
  <si>
    <t>7.11亿</t>
  </si>
  <si>
    <t>18.43亿</t>
  </si>
  <si>
    <t>6481.13万</t>
  </si>
  <si>
    <t>984.10万</t>
  </si>
  <si>
    <t>6262.09万</t>
  </si>
  <si>
    <t>17.74亿</t>
  </si>
  <si>
    <t>4174.59万</t>
  </si>
  <si>
    <t>10派0.15元(含税)</t>
  </si>
  <si>
    <t>1657.89万</t>
  </si>
  <si>
    <t>013472600</t>
  </si>
  <si>
    <t>040417800</t>
  </si>
  <si>
    <t>080835600</t>
  </si>
  <si>
    <t>0134726000</t>
  </si>
  <si>
    <t>0269452000</t>
  </si>
  <si>
    <t>175.40万</t>
  </si>
  <si>
    <t>6.65亿</t>
  </si>
  <si>
    <t>14.60亿</t>
  </si>
  <si>
    <t>646.69万</t>
  </si>
  <si>
    <t>5.67亿</t>
  </si>
  <si>
    <t>1312.56万</t>
  </si>
  <si>
    <t>1254.86万</t>
  </si>
  <si>
    <t>-2525522亿</t>
  </si>
  <si>
    <t>5098971亿</t>
  </si>
  <si>
    <t>595242320亿</t>
  </si>
  <si>
    <t>583.68万</t>
  </si>
  <si>
    <t>2062717100亿</t>
  </si>
  <si>
    <t>4508.61万</t>
  </si>
  <si>
    <t>10.97亿</t>
  </si>
  <si>
    <t>1725.69万</t>
  </si>
  <si>
    <t>-214.21万</t>
  </si>
  <si>
    <t>21.47亿</t>
  </si>
  <si>
    <t>6450.90万</t>
  </si>
  <si>
    <t>971.70万</t>
  </si>
  <si>
    <t>415.82万</t>
  </si>
  <si>
    <t>6388.46万</t>
  </si>
  <si>
    <t>4365.71万</t>
  </si>
  <si>
    <t>-326.99万</t>
  </si>
  <si>
    <t>4714.89万</t>
  </si>
  <si>
    <t>2834.89万</t>
  </si>
  <si>
    <t>602.59万</t>
  </si>
  <si>
    <t>702.55万</t>
  </si>
  <si>
    <t>946805亿</t>
  </si>
  <si>
    <t>1.79万</t>
  </si>
  <si>
    <t>-4012008亿</t>
  </si>
  <si>
    <t>2785.32万</t>
  </si>
  <si>
    <t>4594102亿</t>
  </si>
  <si>
    <t>273485050亿</t>
  </si>
  <si>
    <t>2451.20万</t>
  </si>
  <si>
    <t>2713.13万</t>
  </si>
  <si>
    <t>25.99万</t>
  </si>
  <si>
    <t>5241.23万</t>
  </si>
  <si>
    <t>273.36万</t>
  </si>
  <si>
    <t>-174.42万</t>
  </si>
  <si>
    <t>-19.38万</t>
  </si>
  <si>
    <t>-550.65万</t>
  </si>
  <si>
    <t>10派0.68元(含税)</t>
  </si>
  <si>
    <t>2524.73万</t>
  </si>
  <si>
    <t>407.94万</t>
  </si>
  <si>
    <t>21.26亿</t>
  </si>
  <si>
    <t>52.54亿</t>
  </si>
  <si>
    <t>7.64亿</t>
  </si>
  <si>
    <t>5561.18万</t>
  </si>
  <si>
    <t>1670.51万</t>
  </si>
  <si>
    <t>5848.42万</t>
  </si>
  <si>
    <t>-580031亿</t>
  </si>
  <si>
    <t>88.05万</t>
  </si>
  <si>
    <t>43338195亿</t>
  </si>
  <si>
    <t>964758860亿</t>
  </si>
  <si>
    <t>5206.84万</t>
  </si>
  <si>
    <t>4000818000亿</t>
  </si>
  <si>
    <t>1526.64万</t>
  </si>
  <si>
    <t>1893.21万</t>
  </si>
  <si>
    <t>54.90万</t>
  </si>
  <si>
    <t>-5242.50万</t>
  </si>
  <si>
    <t>38.60亿</t>
  </si>
  <si>
    <t>10派4.6元(含税)</t>
  </si>
  <si>
    <t>2651.54万</t>
  </si>
  <si>
    <t>055611800</t>
  </si>
  <si>
    <t>0166835400</t>
  </si>
  <si>
    <t>0333670800</t>
  </si>
  <si>
    <t>0556118000</t>
  </si>
  <si>
    <t>01112236000</t>
  </si>
  <si>
    <t>489.34万</t>
  </si>
  <si>
    <t>7258.38万</t>
  </si>
  <si>
    <t>1215.28万</t>
  </si>
  <si>
    <t>3212.18万</t>
  </si>
  <si>
    <t>19639亿</t>
  </si>
  <si>
    <t>71404065亿</t>
  </si>
  <si>
    <t>404704890亿</t>
  </si>
  <si>
    <t>1418879400亿</t>
  </si>
  <si>
    <t>9997.77万</t>
  </si>
  <si>
    <t>4.57亿</t>
  </si>
  <si>
    <t>850.50万</t>
  </si>
  <si>
    <t>1164.87万</t>
  </si>
  <si>
    <t>-5557.31万</t>
  </si>
  <si>
    <t>3174.52万</t>
  </si>
  <si>
    <t>072583800</t>
  </si>
  <si>
    <t>0217751400</t>
  </si>
  <si>
    <t>0435502800</t>
  </si>
  <si>
    <t>0725838000</t>
  </si>
  <si>
    <t>01451676000</t>
  </si>
  <si>
    <t>569.52万</t>
  </si>
  <si>
    <t>21.46亿</t>
  </si>
  <si>
    <t>7040.55万</t>
  </si>
  <si>
    <t>1146.49万</t>
  </si>
  <si>
    <t>2083.41万</t>
  </si>
  <si>
    <t>381951亿</t>
  </si>
  <si>
    <t>68958148亿</t>
  </si>
  <si>
    <t>697491120亿</t>
  </si>
  <si>
    <t>1113.75万</t>
  </si>
  <si>
    <t>1985423400亿</t>
  </si>
  <si>
    <t>4747.92万</t>
  </si>
  <si>
    <t>943.97万</t>
  </si>
  <si>
    <t>9980.74万</t>
  </si>
  <si>
    <t>4.70亿</t>
  </si>
  <si>
    <t>70.00万</t>
  </si>
  <si>
    <t>-9678.48万</t>
  </si>
  <si>
    <t>-3030.45万</t>
  </si>
  <si>
    <t>4454.72万</t>
  </si>
  <si>
    <t>135.38万</t>
  </si>
  <si>
    <t>2.85亿</t>
  </si>
  <si>
    <t>862.99万</t>
  </si>
  <si>
    <t>850.55万</t>
  </si>
  <si>
    <t>3065.87万</t>
  </si>
  <si>
    <t>-153765亿</t>
  </si>
  <si>
    <t>35.19万</t>
  </si>
  <si>
    <t>9060148亿</t>
  </si>
  <si>
    <t>291675350亿</t>
  </si>
  <si>
    <t>651053960亿</t>
  </si>
  <si>
    <t>7001.47万</t>
  </si>
  <si>
    <t>6480.00万</t>
  </si>
  <si>
    <t>-4982.12万</t>
  </si>
  <si>
    <t>-4031.47万</t>
  </si>
  <si>
    <t>1881.29万</t>
  </si>
  <si>
    <t>10转4股派3.7元(含税)</t>
  </si>
  <si>
    <t>891.64万</t>
  </si>
  <si>
    <t>6265.67万</t>
  </si>
  <si>
    <t>251.25万</t>
  </si>
  <si>
    <t>35.44亿</t>
  </si>
  <si>
    <t>49.96亿</t>
  </si>
  <si>
    <t>12.50亿</t>
  </si>
  <si>
    <t>4548.09万</t>
  </si>
  <si>
    <t>6828.38万</t>
  </si>
  <si>
    <t>13637816亿</t>
  </si>
  <si>
    <t>13.15万</t>
  </si>
  <si>
    <t>99720587亿</t>
  </si>
  <si>
    <t>25.32亿</t>
  </si>
  <si>
    <t>1504940400亿</t>
  </si>
  <si>
    <t>6810.34万</t>
  </si>
  <si>
    <t>6269730500亿</t>
  </si>
  <si>
    <t>6109.08万</t>
  </si>
  <si>
    <t>6338.68万</t>
  </si>
  <si>
    <t>16.07亿</t>
  </si>
  <si>
    <t>9520.00万</t>
  </si>
  <si>
    <t>-1.74亿</t>
  </si>
  <si>
    <t>485.69万</t>
  </si>
  <si>
    <t>51.74亿</t>
  </si>
  <si>
    <t>10派6元(含税)</t>
  </si>
  <si>
    <t>1480.15万</t>
  </si>
  <si>
    <t>43.90万</t>
  </si>
  <si>
    <t>16.25亿</t>
  </si>
  <si>
    <t>3973.55万</t>
  </si>
  <si>
    <t>2.16亿</t>
  </si>
  <si>
    <t>459.46万</t>
  </si>
  <si>
    <t>721.95万</t>
  </si>
  <si>
    <t>808015亿</t>
  </si>
  <si>
    <t>2.24万</t>
  </si>
  <si>
    <t>35439290亿</t>
  </si>
  <si>
    <t>278213320亿</t>
  </si>
  <si>
    <t>4926.52万</t>
  </si>
  <si>
    <t>1824175400亿</t>
  </si>
  <si>
    <t>400.89万</t>
  </si>
  <si>
    <t>4558.69万</t>
  </si>
  <si>
    <t>1155.43万</t>
  </si>
  <si>
    <t>253.64万</t>
  </si>
  <si>
    <t>1839.84万</t>
  </si>
  <si>
    <t>1469.33万</t>
  </si>
  <si>
    <t>12.71亿</t>
  </si>
  <si>
    <t>2.78亿</t>
  </si>
  <si>
    <t>-888.02万</t>
  </si>
  <si>
    <t>2.43亿</t>
  </si>
  <si>
    <t>767.42万</t>
  </si>
  <si>
    <t>2851.04万</t>
  </si>
  <si>
    <t>6105691亿</t>
  </si>
  <si>
    <t>37.42万</t>
  </si>
  <si>
    <t>-22204371亿</t>
  </si>
  <si>
    <t>261054030亿</t>
  </si>
  <si>
    <t>1464.20万</t>
  </si>
  <si>
    <t>900382790亿</t>
  </si>
  <si>
    <t>3.40亿</t>
  </si>
  <si>
    <t>5.92万</t>
  </si>
  <si>
    <t>7.51亿</t>
  </si>
  <si>
    <t>-1896.71万</t>
  </si>
  <si>
    <t>26.67亿</t>
  </si>
  <si>
    <t>-3.79亿</t>
  </si>
  <si>
    <t>5985.34万</t>
  </si>
  <si>
    <t>4917.43万</t>
  </si>
  <si>
    <t>124.41亿</t>
  </si>
  <si>
    <t>64.30亿</t>
  </si>
  <si>
    <t>39.40亿</t>
  </si>
  <si>
    <t>37.96亿</t>
  </si>
  <si>
    <t>32.43亿</t>
  </si>
  <si>
    <t>3254.34万</t>
  </si>
  <si>
    <t>177299060亿</t>
  </si>
  <si>
    <t>10.43万</t>
  </si>
  <si>
    <t>126580622亿</t>
  </si>
  <si>
    <t>25.91亿</t>
  </si>
  <si>
    <t>2661496300亿</t>
  </si>
  <si>
    <t>566.09万</t>
  </si>
  <si>
    <t>10017718700亿</t>
  </si>
  <si>
    <t>10.43亿</t>
  </si>
  <si>
    <t>38.21亿</t>
  </si>
  <si>
    <t>30.29亿</t>
  </si>
  <si>
    <t>96.97亿</t>
  </si>
  <si>
    <t>-4.39亿</t>
  </si>
  <si>
    <t>4237.81万</t>
  </si>
  <si>
    <t>137.22亿</t>
  </si>
  <si>
    <t>8570.28万</t>
  </si>
  <si>
    <t>0309000000</t>
  </si>
  <si>
    <t>0927000000</t>
  </si>
  <si>
    <t>01854000000</t>
  </si>
  <si>
    <t>03090000000</t>
  </si>
  <si>
    <t>06180000000</t>
  </si>
  <si>
    <t>2537.30万</t>
  </si>
  <si>
    <t>57.82亿</t>
  </si>
  <si>
    <t>72.02亿</t>
  </si>
  <si>
    <t>17.31亿</t>
  </si>
  <si>
    <t>14.81亿</t>
  </si>
  <si>
    <t>2222.35万</t>
  </si>
  <si>
    <t>7411.84万</t>
  </si>
  <si>
    <t>-2539383亿</t>
  </si>
  <si>
    <t>160.52万</t>
  </si>
  <si>
    <t>118222561亿</t>
  </si>
  <si>
    <t>22.74亿</t>
  </si>
  <si>
    <t>1659365000亿</t>
  </si>
  <si>
    <t>7182503200亿</t>
  </si>
  <si>
    <t>3.44亿</t>
  </si>
  <si>
    <t>13.60亿</t>
  </si>
  <si>
    <t>39.33亿</t>
  </si>
  <si>
    <t>-1.97亿</t>
  </si>
  <si>
    <t>6.49亿</t>
  </si>
  <si>
    <t>75.48亿</t>
  </si>
  <si>
    <t>0152000000</t>
  </si>
  <si>
    <t>0456000000</t>
  </si>
  <si>
    <t>0912000000</t>
  </si>
  <si>
    <t>01520000000</t>
  </si>
  <si>
    <t>03040000000</t>
  </si>
  <si>
    <t>4268.76万</t>
  </si>
  <si>
    <t>14.26亿</t>
  </si>
  <si>
    <t>-2930.69万</t>
  </si>
  <si>
    <t>888.78万</t>
  </si>
  <si>
    <t>4036.60万</t>
  </si>
  <si>
    <t>4.93万</t>
  </si>
  <si>
    <t>-32831046亿</t>
  </si>
  <si>
    <t>5.43亿</t>
  </si>
  <si>
    <t>174313600亿</t>
  </si>
  <si>
    <t>270.54万</t>
  </si>
  <si>
    <t>1093828870亿</t>
  </si>
  <si>
    <t>424.12万</t>
  </si>
  <si>
    <t>2189.29万</t>
  </si>
  <si>
    <t>6.14亿</t>
  </si>
  <si>
    <t>2927.97万</t>
  </si>
  <si>
    <t>-350.30万</t>
  </si>
  <si>
    <t>-399.61万</t>
  </si>
  <si>
    <t>-5.03亿</t>
  </si>
  <si>
    <t>7.41亿</t>
  </si>
  <si>
    <t>567.51万</t>
  </si>
  <si>
    <t>9.26亿</t>
  </si>
  <si>
    <t>5.30亿</t>
  </si>
  <si>
    <t>828.72万</t>
  </si>
  <si>
    <t>1175.51万</t>
  </si>
  <si>
    <t>2374.22万</t>
  </si>
  <si>
    <t>-18141602亿</t>
  </si>
  <si>
    <t>7463291亿</t>
  </si>
  <si>
    <t>524246320亿</t>
  </si>
  <si>
    <t>5722.52万</t>
  </si>
  <si>
    <t>1567545700亿</t>
  </si>
  <si>
    <t>2529.38万</t>
  </si>
  <si>
    <t>12.63亿</t>
  </si>
  <si>
    <t>3378.44万</t>
  </si>
  <si>
    <t>-2258.91万</t>
  </si>
  <si>
    <t>3513.32万</t>
  </si>
  <si>
    <t>4477.74万</t>
  </si>
  <si>
    <t>3552.22万</t>
  </si>
  <si>
    <t>08287200</t>
  </si>
  <si>
    <t>024861600</t>
  </si>
  <si>
    <t>049723200</t>
  </si>
  <si>
    <t>082872000</t>
  </si>
  <si>
    <t>0165744000</t>
  </si>
  <si>
    <t>4033.58万</t>
  </si>
  <si>
    <t>17.90亿</t>
  </si>
  <si>
    <t>3.65亿</t>
  </si>
  <si>
    <t>-825.08万</t>
  </si>
  <si>
    <t>3.82亿</t>
  </si>
  <si>
    <t>982.16万</t>
  </si>
  <si>
    <t>4610.86万</t>
  </si>
  <si>
    <t>182149亿</t>
  </si>
  <si>
    <t>1.10万</t>
  </si>
  <si>
    <t>-8463159亿</t>
  </si>
  <si>
    <t>435816860亿</t>
  </si>
  <si>
    <t>1517146600亿</t>
  </si>
  <si>
    <t>2887.40万</t>
  </si>
  <si>
    <t>5014.13万</t>
  </si>
  <si>
    <t>13.84亿</t>
  </si>
  <si>
    <t>3210.80万</t>
  </si>
  <si>
    <t>-2214.18万</t>
  </si>
  <si>
    <t>-4276.53万</t>
  </si>
  <si>
    <t>16.53亿</t>
  </si>
  <si>
    <t>7404.98万</t>
  </si>
  <si>
    <t>309.48亿</t>
  </si>
  <si>
    <t>468.20亿</t>
  </si>
  <si>
    <t>154.98亿</t>
  </si>
  <si>
    <t>151.41亿</t>
  </si>
  <si>
    <t>135.58亿</t>
  </si>
  <si>
    <t>59493647亿</t>
  </si>
  <si>
    <t>1260.42万</t>
  </si>
  <si>
    <t>235066730亿</t>
  </si>
  <si>
    <t>98.50亿</t>
  </si>
  <si>
    <t>7828184100亿</t>
  </si>
  <si>
    <t>995.21万</t>
  </si>
  <si>
    <t>25953141000亿</t>
  </si>
  <si>
    <t>103.06亿</t>
  </si>
  <si>
    <t>170.84亿</t>
  </si>
  <si>
    <t>101.29亿</t>
  </si>
  <si>
    <t>20.30亿</t>
  </si>
  <si>
    <t>-11.45亿</t>
  </si>
  <si>
    <t>-15.36亿</t>
  </si>
  <si>
    <t>544.91亿</t>
  </si>
  <si>
    <t>30.21亿</t>
  </si>
  <si>
    <t>15.44亿</t>
  </si>
  <si>
    <t>526.90万</t>
  </si>
  <si>
    <t>873.70万</t>
  </si>
  <si>
    <t>441.80万</t>
  </si>
  <si>
    <t>2143.68万</t>
  </si>
  <si>
    <t>592500亿</t>
  </si>
  <si>
    <t>4.58万</t>
  </si>
  <si>
    <t>7018164亿</t>
  </si>
  <si>
    <t>267087690亿</t>
  </si>
  <si>
    <t>2384.52万</t>
  </si>
  <si>
    <t>1274297010亿</t>
  </si>
  <si>
    <t>4279.73万</t>
  </si>
  <si>
    <t>6173.05万</t>
  </si>
  <si>
    <t>-5006.59万</t>
  </si>
  <si>
    <t>-3816.49万</t>
  </si>
  <si>
    <t>856.91万</t>
  </si>
  <si>
    <t>13.34亿</t>
  </si>
  <si>
    <t>4001.91万</t>
  </si>
  <si>
    <t>3446.94万</t>
  </si>
  <si>
    <t>08737000</t>
  </si>
  <si>
    <t>026211000</t>
  </si>
  <si>
    <t>052422000</t>
  </si>
  <si>
    <t>087370000</t>
  </si>
  <si>
    <t>0174740000</t>
  </si>
  <si>
    <t>1041.67万</t>
  </si>
  <si>
    <t>35.74亿</t>
  </si>
  <si>
    <t>38.15亿</t>
  </si>
  <si>
    <t>2363.50万</t>
  </si>
  <si>
    <t>8.16亿</t>
  </si>
  <si>
    <t>2663.10万</t>
  </si>
  <si>
    <t>6466.19万</t>
  </si>
  <si>
    <t>-4732002亿</t>
  </si>
  <si>
    <t>17.40万</t>
  </si>
  <si>
    <t>20377764亿</t>
  </si>
  <si>
    <t>10.08亿</t>
  </si>
  <si>
    <t>1471842700亿</t>
  </si>
  <si>
    <t>3993934200亿</t>
  </si>
  <si>
    <t>10.94亿</t>
  </si>
  <si>
    <t>25.07亿</t>
  </si>
  <si>
    <t>-1624.09万</t>
  </si>
  <si>
    <t>-1.01亿</t>
  </si>
  <si>
    <t>43.46亿</t>
  </si>
  <si>
    <t>10派0.328886元(含税)</t>
  </si>
  <si>
    <t>5898.39万</t>
  </si>
  <si>
    <t>2904.55万</t>
  </si>
  <si>
    <t>13.81亿</t>
  </si>
  <si>
    <t>316.58万</t>
  </si>
  <si>
    <t>713.96万</t>
  </si>
  <si>
    <t>1984.79万</t>
  </si>
  <si>
    <t>1.17万</t>
  </si>
  <si>
    <t>4048896亿</t>
  </si>
  <si>
    <t>423322780亿</t>
  </si>
  <si>
    <t>6734.12万</t>
  </si>
  <si>
    <t>1158941830亿</t>
  </si>
  <si>
    <t>-6678.76万</t>
  </si>
  <si>
    <t>-3837.78万</t>
  </si>
  <si>
    <t>5476.21万</t>
  </si>
  <si>
    <t>-2.39亿</t>
  </si>
  <si>
    <t>17.62亿</t>
  </si>
  <si>
    <t>561.28万</t>
  </si>
  <si>
    <t>16.16亿</t>
  </si>
  <si>
    <t>48.56亿</t>
  </si>
  <si>
    <t>6.73亿</t>
  </si>
  <si>
    <t>2588.32万</t>
  </si>
  <si>
    <t>7450.02万</t>
  </si>
  <si>
    <t>16057072亿</t>
  </si>
  <si>
    <t>12.76万</t>
  </si>
  <si>
    <t>150697520亿</t>
  </si>
  <si>
    <t>1233675520亿</t>
  </si>
  <si>
    <t>3620229100亿</t>
  </si>
  <si>
    <t>7.27亿</t>
  </si>
  <si>
    <t>26.32万</t>
  </si>
  <si>
    <t>14.84亿</t>
  </si>
  <si>
    <t>6426.45万</t>
  </si>
  <si>
    <t>-3.24亿</t>
  </si>
  <si>
    <t>-8067.41万</t>
  </si>
  <si>
    <t>31.29亿</t>
  </si>
  <si>
    <t>10派3.58元(含税)</t>
  </si>
  <si>
    <t>3180.07万</t>
  </si>
  <si>
    <t>1721.77万</t>
  </si>
  <si>
    <t>11.97亿</t>
  </si>
  <si>
    <t>11.64亿</t>
  </si>
  <si>
    <t>-3586.09万</t>
  </si>
  <si>
    <t>614.20万</t>
  </si>
  <si>
    <t>2216.70万</t>
  </si>
  <si>
    <t>1262526亿</t>
  </si>
  <si>
    <t>11.56万</t>
  </si>
  <si>
    <t>-38112026亿</t>
  </si>
  <si>
    <t>378476220亿</t>
  </si>
  <si>
    <t>2933.66万</t>
  </si>
  <si>
    <t>1354027700亿</t>
  </si>
  <si>
    <t>2859.81万</t>
  </si>
  <si>
    <t>9610.46万</t>
  </si>
  <si>
    <t>51.36万</t>
  </si>
  <si>
    <t>11.02亿</t>
  </si>
  <si>
    <t>5401.25万</t>
  </si>
  <si>
    <t>-804.22万</t>
  </si>
  <si>
    <t>1402.17万</t>
  </si>
  <si>
    <t>5723.97万</t>
  </si>
  <si>
    <t>-2.54亿</t>
  </si>
  <si>
    <t>6394.06万</t>
  </si>
  <si>
    <t>421.49万</t>
  </si>
  <si>
    <t>20.14亿</t>
  </si>
  <si>
    <t>-2710.43万</t>
  </si>
  <si>
    <t>869.30万</t>
  </si>
  <si>
    <t>4276.99万</t>
  </si>
  <si>
    <t>542889亿</t>
  </si>
  <si>
    <t>-31491299亿</t>
  </si>
  <si>
    <t>5.06亿</t>
  </si>
  <si>
    <t>529585650亿</t>
  </si>
  <si>
    <t>5157.53万</t>
  </si>
  <si>
    <t>1771845400亿</t>
  </si>
  <si>
    <t>1396.52万</t>
  </si>
  <si>
    <t>1087.86万</t>
  </si>
  <si>
    <t>6473.75万</t>
  </si>
  <si>
    <t>-1.98亿</t>
  </si>
  <si>
    <t>-89.63万</t>
  </si>
  <si>
    <t>21.96亿</t>
  </si>
  <si>
    <t>10派1.6元(含税)</t>
  </si>
  <si>
    <t>2202.26万</t>
  </si>
  <si>
    <t>-6-0</t>
  </si>
  <si>
    <t>1923.77万</t>
  </si>
  <si>
    <t>23.52亿</t>
  </si>
  <si>
    <t>52.59亿</t>
  </si>
  <si>
    <t>16.62亿</t>
  </si>
  <si>
    <t>5941.38万</t>
  </si>
  <si>
    <t>14.50亿</t>
  </si>
  <si>
    <t>769.44万</t>
  </si>
  <si>
    <t>8871.82万</t>
  </si>
  <si>
    <t>58956亿</t>
  </si>
  <si>
    <t>37.56万</t>
  </si>
  <si>
    <t>36670187亿</t>
  </si>
  <si>
    <t>34.37亿</t>
  </si>
  <si>
    <t>1207473780亿</t>
  </si>
  <si>
    <t>1586.41万</t>
  </si>
  <si>
    <t>5460010700亿</t>
  </si>
  <si>
    <t>50.00万</t>
  </si>
  <si>
    <t>14.71亿</t>
  </si>
  <si>
    <t>6.36亿</t>
  </si>
  <si>
    <t>54.02亿</t>
  </si>
  <si>
    <t>10派2.5元(含税)</t>
  </si>
  <si>
    <t>7.80亿</t>
  </si>
  <si>
    <t>SZ300784</t>
  </si>
  <si>
    <t>利安科技</t>
  </si>
  <si>
    <t>298.41万</t>
  </si>
  <si>
    <t>1795.40万</t>
  </si>
  <si>
    <t>9509.46万</t>
  </si>
  <si>
    <t>7665.02万</t>
  </si>
  <si>
    <t>99.44万</t>
  </si>
  <si>
    <t>1031.72万</t>
  </si>
  <si>
    <t>29.34万</t>
  </si>
  <si>
    <t>16095171亿</t>
  </si>
  <si>
    <t>135411880亿</t>
  </si>
  <si>
    <t>587.71万</t>
  </si>
  <si>
    <t>301420600亿</t>
  </si>
  <si>
    <t>2525.94万</t>
  </si>
  <si>
    <t>2036.03万</t>
  </si>
  <si>
    <t>9466.11万</t>
  </si>
  <si>
    <t>8796.83万</t>
  </si>
  <si>
    <t>1878.67万</t>
  </si>
  <si>
    <t>-4212.35万</t>
  </si>
  <si>
    <t>1834.07万</t>
  </si>
  <si>
    <t>4.36亿</t>
  </si>
  <si>
    <t>7921.04万</t>
  </si>
  <si>
    <t>6710.45万</t>
  </si>
  <si>
    <t>7064.37万</t>
  </si>
  <si>
    <t>3310.55万</t>
  </si>
  <si>
    <t>7570.22万</t>
  </si>
  <si>
    <t>2954.39万</t>
  </si>
  <si>
    <t>1701.21万</t>
  </si>
  <si>
    <t>456.27万</t>
  </si>
  <si>
    <t>4.08亿</t>
  </si>
  <si>
    <t>819.79万</t>
  </si>
  <si>
    <t>2455.81万</t>
  </si>
  <si>
    <t>3426.05万</t>
  </si>
  <si>
    <t>-86508亿</t>
  </si>
  <si>
    <t>18.55万</t>
  </si>
  <si>
    <t>6665398亿</t>
  </si>
  <si>
    <t>9.30亿</t>
  </si>
  <si>
    <t>411277170亿</t>
  </si>
  <si>
    <t>402.79万</t>
  </si>
  <si>
    <t>1764259700亿</t>
  </si>
  <si>
    <t>11.77亿</t>
  </si>
  <si>
    <t>-8336.77万</t>
  </si>
  <si>
    <t>-3800.80万</t>
  </si>
  <si>
    <t>-14.44万</t>
  </si>
  <si>
    <t>19.03亿</t>
  </si>
  <si>
    <t>10转2股派2.8元(含税)</t>
  </si>
  <si>
    <t>2832.40万</t>
  </si>
  <si>
    <t>536.35万</t>
  </si>
  <si>
    <t>7.58亿</t>
  </si>
  <si>
    <t>1465.67万</t>
  </si>
  <si>
    <t>466.77万</t>
  </si>
  <si>
    <t>2751.68万</t>
  </si>
  <si>
    <t>-514538亿</t>
  </si>
  <si>
    <t>10895140亿</t>
  </si>
  <si>
    <t>430119390亿</t>
  </si>
  <si>
    <t>3006497200亿</t>
  </si>
  <si>
    <t>269.80万</t>
  </si>
  <si>
    <t>8039.51万</t>
  </si>
  <si>
    <t>-9.32亿</t>
  </si>
  <si>
    <t>23.77亿</t>
  </si>
  <si>
    <t>5471.11万</t>
  </si>
  <si>
    <t>014656700</t>
  </si>
  <si>
    <t>043970100</t>
  </si>
  <si>
    <t>087940200</t>
  </si>
  <si>
    <t>0146567000</t>
  </si>
  <si>
    <t>0293134000</t>
  </si>
  <si>
    <t>394.57万</t>
  </si>
  <si>
    <t>8.69亿</t>
  </si>
  <si>
    <t>7406.62万</t>
  </si>
  <si>
    <t>-1331.85万</t>
  </si>
  <si>
    <t>9233.32万</t>
  </si>
  <si>
    <t>5318.14万</t>
  </si>
  <si>
    <t>1501.49万</t>
  </si>
  <si>
    <t>884.45万</t>
  </si>
  <si>
    <t>-478656亿</t>
  </si>
  <si>
    <t>7.71万</t>
  </si>
  <si>
    <t>-13491404亿</t>
  </si>
  <si>
    <t>225937140亿</t>
  </si>
  <si>
    <t>404.31万</t>
  </si>
  <si>
    <t>1177178140亿</t>
  </si>
  <si>
    <t>1.94万</t>
  </si>
  <si>
    <t>8110.71万</t>
  </si>
  <si>
    <t>440.00万</t>
  </si>
  <si>
    <t>-423.15万</t>
  </si>
  <si>
    <t>-562.35万</t>
  </si>
  <si>
    <t>7051.98万</t>
  </si>
  <si>
    <t>2166.14万</t>
  </si>
  <si>
    <t>2836.06万</t>
  </si>
  <si>
    <t>756.02万</t>
  </si>
  <si>
    <t>1670.68万</t>
  </si>
  <si>
    <t>771.35万</t>
  </si>
  <si>
    <t>1786.32万</t>
  </si>
  <si>
    <t>15492042亿</t>
  </si>
  <si>
    <t>198675310亿</t>
  </si>
  <si>
    <t>878112720亿</t>
  </si>
  <si>
    <t>-1552.47万</t>
  </si>
  <si>
    <t>-1467.53万</t>
  </si>
  <si>
    <t>-1250.68万</t>
  </si>
  <si>
    <t>4760.68万</t>
  </si>
  <si>
    <t>10转3股派1元(含税)</t>
  </si>
  <si>
    <t>4705.10万</t>
  </si>
  <si>
    <t>016706800</t>
  </si>
  <si>
    <t>050120400</t>
  </si>
  <si>
    <t>0100240800</t>
  </si>
  <si>
    <t>0167068000</t>
  </si>
  <si>
    <t>0334136000</t>
  </si>
  <si>
    <t>738.94万</t>
  </si>
  <si>
    <t>2177.39万</t>
  </si>
  <si>
    <t>889.22万</t>
  </si>
  <si>
    <t>1939.11万</t>
  </si>
  <si>
    <t>2794610亿</t>
  </si>
  <si>
    <t>3.64万</t>
  </si>
  <si>
    <t>20301714亿</t>
  </si>
  <si>
    <t>448573880亿</t>
  </si>
  <si>
    <t>1306294020亿</t>
  </si>
  <si>
    <t>2998.39万</t>
  </si>
  <si>
    <t>9055.13万</t>
  </si>
  <si>
    <t>1381.82万</t>
  </si>
  <si>
    <t>-683.34万</t>
  </si>
  <si>
    <t>-1011.19万</t>
  </si>
  <si>
    <t>7651.90万</t>
  </si>
  <si>
    <t>10派0.982848元(含税)</t>
  </si>
  <si>
    <t>3783.76万</t>
  </si>
  <si>
    <t>021773900</t>
  </si>
  <si>
    <t>065321700</t>
  </si>
  <si>
    <t>0130643400</t>
  </si>
  <si>
    <t>0217739000</t>
  </si>
  <si>
    <t>0435478000</t>
  </si>
  <si>
    <t>753.59万</t>
  </si>
  <si>
    <t>26.75亿</t>
  </si>
  <si>
    <t>26.01亿</t>
  </si>
  <si>
    <t>17.59亿</t>
  </si>
  <si>
    <t>15.49亿</t>
  </si>
  <si>
    <t>558.15万</t>
  </si>
  <si>
    <t>2775.48万</t>
  </si>
  <si>
    <t>-3569232亿</t>
  </si>
  <si>
    <t>162316910亿</t>
  </si>
  <si>
    <t>17.07亿</t>
  </si>
  <si>
    <t>1246761530亿</t>
  </si>
  <si>
    <t>1000.00万</t>
  </si>
  <si>
    <t>4750702300亿</t>
  </si>
  <si>
    <t>1804.61万</t>
  </si>
  <si>
    <t>28.18亿</t>
  </si>
  <si>
    <t>5738.79万</t>
  </si>
  <si>
    <t>-1.11亿</t>
  </si>
  <si>
    <t>46.58亿</t>
  </si>
  <si>
    <t>10派1.12元(含税)</t>
  </si>
  <si>
    <t>4998.81万</t>
  </si>
  <si>
    <t>223.35万</t>
  </si>
  <si>
    <t>46.15亿</t>
  </si>
  <si>
    <t>85.41亿</t>
  </si>
  <si>
    <t>43.78亿</t>
  </si>
  <si>
    <t>39.46亿</t>
  </si>
  <si>
    <t>24.02亿</t>
  </si>
  <si>
    <t>9.78亿</t>
  </si>
  <si>
    <t>7502560亿</t>
  </si>
  <si>
    <t>236.56万</t>
  </si>
  <si>
    <t>315422980亿</t>
  </si>
  <si>
    <t>23.50亿</t>
  </si>
  <si>
    <t>1361227000亿</t>
  </si>
  <si>
    <t>9744045700亿</t>
  </si>
  <si>
    <t>3.62亿</t>
  </si>
  <si>
    <t>11.86亿</t>
  </si>
  <si>
    <t>34.09亿</t>
  </si>
  <si>
    <t>-3.44亿</t>
  </si>
  <si>
    <t>175.07亿</t>
  </si>
  <si>
    <t>16.15亿</t>
  </si>
  <si>
    <t>10转3股派20元(含税)</t>
  </si>
  <si>
    <t>1454.84万</t>
  </si>
  <si>
    <t>7952.12万</t>
  </si>
  <si>
    <t>161.53万</t>
  </si>
  <si>
    <t>4027.46万</t>
  </si>
  <si>
    <t>334.03万</t>
  </si>
  <si>
    <t>901.53万</t>
  </si>
  <si>
    <t>2758714亿</t>
  </si>
  <si>
    <t>36137547亿</t>
  </si>
  <si>
    <t>441714110亿</t>
  </si>
  <si>
    <t>535.44万</t>
  </si>
  <si>
    <t>1685001700亿</t>
  </si>
  <si>
    <t>7537.38万</t>
  </si>
  <si>
    <t>4188.30万</t>
  </si>
  <si>
    <t>-9207.37万</t>
  </si>
  <si>
    <t>-2466.39万</t>
  </si>
  <si>
    <t>10.29亿</t>
  </si>
  <si>
    <t>964.18万</t>
  </si>
  <si>
    <t>9648.34万</t>
  </si>
  <si>
    <t>323.78万</t>
  </si>
  <si>
    <t>23.23亿</t>
  </si>
  <si>
    <t>5982.73万</t>
  </si>
  <si>
    <t>786.37万</t>
  </si>
  <si>
    <t>2373.43万</t>
  </si>
  <si>
    <t>2035641亿</t>
  </si>
  <si>
    <t>54223901亿</t>
  </si>
  <si>
    <t>11.35亿</t>
  </si>
  <si>
    <t>613980810亿</t>
  </si>
  <si>
    <t>2427275100亿</t>
  </si>
  <si>
    <t>8006.66万</t>
  </si>
  <si>
    <t>-735.04万</t>
  </si>
  <si>
    <t>16.87亿</t>
  </si>
  <si>
    <t>10转4股派10元(含税)</t>
  </si>
  <si>
    <t>1733.18万</t>
  </si>
  <si>
    <t>1036.93万</t>
  </si>
  <si>
    <t>11.27亿</t>
  </si>
  <si>
    <t>361.71万</t>
  </si>
  <si>
    <t>439.52万</t>
  </si>
  <si>
    <t>1517.14万</t>
  </si>
  <si>
    <t>-1110838亿</t>
  </si>
  <si>
    <t>1.91万</t>
  </si>
  <si>
    <t>5950756亿</t>
  </si>
  <si>
    <t>481473130亿</t>
  </si>
  <si>
    <t>372.39万</t>
  </si>
  <si>
    <t>1302028610亿</t>
  </si>
  <si>
    <t>2.77亿</t>
  </si>
  <si>
    <t>175.92万</t>
  </si>
  <si>
    <t>10.16亿</t>
  </si>
  <si>
    <t>209.74万</t>
  </si>
  <si>
    <t>-2542.57万</t>
  </si>
  <si>
    <t>-557.30万</t>
  </si>
  <si>
    <t>16.31亿</t>
  </si>
  <si>
    <t>-2784.97万</t>
  </si>
  <si>
    <t>-3501.33万</t>
  </si>
  <si>
    <t>10转2股派0.5元(含税)</t>
  </si>
  <si>
    <t>7773.34万</t>
  </si>
  <si>
    <t>03617100</t>
  </si>
  <si>
    <t>010851300</t>
  </si>
  <si>
    <t>021702600</t>
  </si>
  <si>
    <t>036171000</t>
  </si>
  <si>
    <t>072342000</t>
  </si>
  <si>
    <t>731.55万</t>
  </si>
  <si>
    <t>823.25万</t>
  </si>
  <si>
    <t>398.41万</t>
  </si>
  <si>
    <t>1651.40万</t>
  </si>
  <si>
    <t>601137亿</t>
  </si>
  <si>
    <t>1.55万</t>
  </si>
  <si>
    <t>7964117亿</t>
  </si>
  <si>
    <t>248017690亿</t>
  </si>
  <si>
    <t>2634.87万</t>
  </si>
  <si>
    <t>1474597500亿</t>
  </si>
  <si>
    <t>1423.52万</t>
  </si>
  <si>
    <t>5612.52万</t>
  </si>
  <si>
    <t>844.31万</t>
  </si>
  <si>
    <t>-6326.30万</t>
  </si>
  <si>
    <t>-243.44万</t>
  </si>
  <si>
    <t>1297.86万</t>
  </si>
  <si>
    <t>4285.80万</t>
  </si>
  <si>
    <t>08232500</t>
  </si>
  <si>
    <t>024697500</t>
  </si>
  <si>
    <t>049395000</t>
  </si>
  <si>
    <t>082325000</t>
  </si>
  <si>
    <t>0164650000</t>
  </si>
  <si>
    <t>90.36万</t>
  </si>
  <si>
    <t>4.42亿</t>
  </si>
  <si>
    <t>32.34亿</t>
  </si>
  <si>
    <t>4.53亿</t>
  </si>
  <si>
    <t>3103.57万</t>
  </si>
  <si>
    <t>1822.99万</t>
  </si>
  <si>
    <t>3290.70万</t>
  </si>
  <si>
    <t>4439845亿</t>
  </si>
  <si>
    <t>69.10万</t>
  </si>
  <si>
    <t>25693503亿</t>
  </si>
  <si>
    <t>307792440亿</t>
  </si>
  <si>
    <t>3797.09万</t>
  </si>
  <si>
    <t>2480424700亿</t>
  </si>
  <si>
    <t>2804.90万</t>
  </si>
  <si>
    <t>4.74亿</t>
  </si>
  <si>
    <t>897.84万</t>
  </si>
  <si>
    <t>-355.97万</t>
  </si>
  <si>
    <t>7336.88万</t>
  </si>
  <si>
    <t>10派2.3元(含税)</t>
  </si>
  <si>
    <t>767.97万</t>
  </si>
  <si>
    <t>5054.50万</t>
  </si>
  <si>
    <t>134.44万</t>
  </si>
  <si>
    <t>28.24亿</t>
  </si>
  <si>
    <t>-2842.30万</t>
  </si>
  <si>
    <t>4.90亿</t>
  </si>
  <si>
    <t>3.54亿</t>
  </si>
  <si>
    <t>2057.17万</t>
  </si>
  <si>
    <t>4328.06万</t>
  </si>
  <si>
    <t>5220789亿</t>
  </si>
  <si>
    <t>-33546432亿</t>
  </si>
  <si>
    <t>8.26亿</t>
  </si>
  <si>
    <t>647563790亿</t>
  </si>
  <si>
    <t>1076.61万</t>
  </si>
  <si>
    <t>2636479000亿</t>
  </si>
  <si>
    <t>4145.14万</t>
  </si>
  <si>
    <t>18.31亿</t>
  </si>
  <si>
    <t>126.97万</t>
  </si>
  <si>
    <t>-728.72万</t>
  </si>
  <si>
    <t>17.35亿</t>
  </si>
  <si>
    <t>4050.02万</t>
  </si>
  <si>
    <t>10转4股派2元(含税)</t>
  </si>
  <si>
    <t>1047.64万</t>
  </si>
  <si>
    <t>5059.86万</t>
  </si>
  <si>
    <t>-4-1</t>
  </si>
  <si>
    <t>1582.27万</t>
  </si>
  <si>
    <t>62.90万</t>
  </si>
  <si>
    <t>488.55万</t>
  </si>
  <si>
    <t>1616.48万</t>
  </si>
  <si>
    <t>511456亿</t>
  </si>
  <si>
    <t>-2384363亿</t>
  </si>
  <si>
    <t>175250610亿</t>
  </si>
  <si>
    <t>13.36万</t>
  </si>
  <si>
    <t>527677090亿</t>
  </si>
  <si>
    <t>8277.04万</t>
  </si>
  <si>
    <t>3.24亿</t>
  </si>
  <si>
    <t>4393.48万</t>
  </si>
  <si>
    <t>809.56万</t>
  </si>
  <si>
    <t>-3292.90万</t>
  </si>
  <si>
    <t>5389.31万</t>
  </si>
  <si>
    <t>6.82亿</t>
  </si>
  <si>
    <t>2069.28万</t>
  </si>
  <si>
    <t>5562.58万</t>
  </si>
  <si>
    <t>0629000</t>
  </si>
  <si>
    <t>01887000</t>
  </si>
  <si>
    <t>03774000</t>
  </si>
  <si>
    <t>06290000</t>
  </si>
  <si>
    <t>012580000</t>
  </si>
  <si>
    <t>141.13万</t>
  </si>
  <si>
    <t>2779.22万</t>
  </si>
  <si>
    <t>7917.38万</t>
  </si>
  <si>
    <t>553.39万</t>
  </si>
  <si>
    <t>1348.19万</t>
  </si>
  <si>
    <t>1081140亿</t>
  </si>
  <si>
    <t>23453242亿</t>
  </si>
  <si>
    <t>301735380亿</t>
  </si>
  <si>
    <t>1340.63万</t>
  </si>
  <si>
    <t>1306864060亿</t>
  </si>
  <si>
    <t>7236.94万</t>
  </si>
  <si>
    <t>8309.29万</t>
  </si>
  <si>
    <t>3193.89万</t>
  </si>
  <si>
    <t>-7205.40万</t>
  </si>
  <si>
    <t>4130.66万</t>
  </si>
  <si>
    <t>10派9元(含税)</t>
  </si>
  <si>
    <t>861.99万</t>
  </si>
  <si>
    <t>9674.30万</t>
  </si>
  <si>
    <t>388.93万</t>
  </si>
  <si>
    <t>30.10亿</t>
  </si>
  <si>
    <t>1971.50万</t>
  </si>
  <si>
    <t>504.72万</t>
  </si>
  <si>
    <t>2719.90万</t>
  </si>
  <si>
    <t>57675亿</t>
  </si>
  <si>
    <t>2.96万</t>
  </si>
  <si>
    <t>18407643亿</t>
  </si>
  <si>
    <t>611748750亿</t>
  </si>
  <si>
    <t>2221614400亿</t>
  </si>
  <si>
    <t>9.62亿</t>
  </si>
  <si>
    <t>583.70万</t>
  </si>
  <si>
    <t>8.40亿</t>
  </si>
  <si>
    <t>423.04万</t>
  </si>
  <si>
    <t>-8126.31万</t>
  </si>
  <si>
    <t>-130.26万</t>
  </si>
  <si>
    <t>14.70亿</t>
  </si>
  <si>
    <t>214.24万</t>
  </si>
  <si>
    <t>2489.20万</t>
  </si>
  <si>
    <t>019715000</t>
  </si>
  <si>
    <t>059145000</t>
  </si>
  <si>
    <t>0118290000</t>
  </si>
  <si>
    <t>0197150000</t>
  </si>
  <si>
    <t>0394300000</t>
  </si>
  <si>
    <t>228.58万</t>
  </si>
  <si>
    <t>289.25万</t>
  </si>
  <si>
    <t>728.25万</t>
  </si>
  <si>
    <t>2511.15万</t>
  </si>
  <si>
    <t>7.46万</t>
  </si>
  <si>
    <t>1178018亿</t>
  </si>
  <si>
    <t>337914560亿</t>
  </si>
  <si>
    <t>2279.24万</t>
  </si>
  <si>
    <t>1249185440亿</t>
  </si>
  <si>
    <t>9375.68万</t>
  </si>
  <si>
    <t>9225.35万</t>
  </si>
  <si>
    <t>-4124.40万</t>
  </si>
  <si>
    <t>-5318.97万</t>
  </si>
  <si>
    <t>-5306.00万</t>
  </si>
  <si>
    <t>4087.88万</t>
  </si>
  <si>
    <t>1600.01万</t>
  </si>
  <si>
    <t>9646.03万</t>
  </si>
  <si>
    <t>02892500</t>
  </si>
  <si>
    <t>08677500</t>
  </si>
  <si>
    <t>017355000</t>
  </si>
  <si>
    <t>028925000</t>
  </si>
  <si>
    <t>057850000</t>
  </si>
  <si>
    <t>548.42万</t>
  </si>
  <si>
    <t>13.27亿</t>
  </si>
  <si>
    <t>17.42万</t>
  </si>
  <si>
    <t>511.33万</t>
  </si>
  <si>
    <t>1616.46万</t>
  </si>
  <si>
    <t>1674104亿</t>
  </si>
  <si>
    <t>21.18万</t>
  </si>
  <si>
    <t>-10486932亿</t>
  </si>
  <si>
    <t>287697350亿</t>
  </si>
  <si>
    <t>716756760亿</t>
  </si>
  <si>
    <t>16.59万</t>
  </si>
  <si>
    <t>4473.59万</t>
  </si>
  <si>
    <t>-1.04亿</t>
  </si>
  <si>
    <t>-102.41万</t>
  </si>
  <si>
    <t>2508.45万</t>
  </si>
  <si>
    <t>3912.15万</t>
  </si>
  <si>
    <t>0174200</t>
  </si>
  <si>
    <t>0522600</t>
  </si>
  <si>
    <t>01045200</t>
  </si>
  <si>
    <t>01742000</t>
  </si>
  <si>
    <t>03484000</t>
  </si>
  <si>
    <t>1035.41万</t>
  </si>
  <si>
    <t>-675.08万</t>
  </si>
  <si>
    <t>517.53万</t>
  </si>
  <si>
    <t>1106.93万</t>
  </si>
  <si>
    <t>848419亿</t>
  </si>
  <si>
    <t>4.09万</t>
  </si>
  <si>
    <t>-15434905亿</t>
  </si>
  <si>
    <t>240761910亿</t>
  </si>
  <si>
    <t>1395.83万</t>
  </si>
  <si>
    <t>895953830亿</t>
  </si>
  <si>
    <t>904.76万</t>
  </si>
  <si>
    <t>8872.37万</t>
  </si>
  <si>
    <t>2.86亿</t>
  </si>
  <si>
    <t>26.55万</t>
  </si>
  <si>
    <t>-3584.25万</t>
  </si>
  <si>
    <t>-6987.96万</t>
  </si>
  <si>
    <t>3225.59万</t>
  </si>
  <si>
    <t>5.46亿</t>
  </si>
  <si>
    <t>-5682.02万</t>
  </si>
  <si>
    <t>7247.61万</t>
  </si>
  <si>
    <t>217.97万</t>
  </si>
  <si>
    <t>22.55亿</t>
  </si>
  <si>
    <t>-687.42万</t>
  </si>
  <si>
    <t>8795.97万</t>
  </si>
  <si>
    <t>1334.85万</t>
  </si>
  <si>
    <t>1410.38万</t>
  </si>
  <si>
    <t>431714亿</t>
  </si>
  <si>
    <t>52.24万</t>
  </si>
  <si>
    <t>-9721352亿</t>
  </si>
  <si>
    <t>8756.36万</t>
  </si>
  <si>
    <t>70541646亿</t>
  </si>
  <si>
    <t>219.45万</t>
  </si>
  <si>
    <t>1283234680亿</t>
  </si>
  <si>
    <t>51.67万</t>
  </si>
  <si>
    <t>2924.47万</t>
  </si>
  <si>
    <t>-3182.82万</t>
  </si>
  <si>
    <t>-2506.03万</t>
  </si>
  <si>
    <t>-343.26万</t>
  </si>
  <si>
    <t>6387.57万</t>
  </si>
  <si>
    <t>-2257.66万</t>
  </si>
  <si>
    <t>1357.56万</t>
  </si>
  <si>
    <t>9793.94万</t>
  </si>
  <si>
    <t>100.56万</t>
  </si>
  <si>
    <t>4793.55万</t>
  </si>
  <si>
    <t>2.65亿</t>
  </si>
  <si>
    <t>996.16万</t>
  </si>
  <si>
    <t>1248.84万</t>
  </si>
  <si>
    <t>-115760亿</t>
  </si>
  <si>
    <t>46708588亿</t>
  </si>
  <si>
    <t>549569510亿</t>
  </si>
  <si>
    <t>2059203100亿</t>
  </si>
  <si>
    <t>2605.36万</t>
  </si>
  <si>
    <t>5391.77万</t>
  </si>
  <si>
    <t>157.57万</t>
  </si>
  <si>
    <t>-5088.99万</t>
  </si>
  <si>
    <t>1946.09万</t>
  </si>
  <si>
    <t>12.16亿</t>
  </si>
  <si>
    <t>10派10元(含税)</t>
  </si>
  <si>
    <t>697.72万</t>
  </si>
  <si>
    <t>4117.59万</t>
  </si>
  <si>
    <t>278.97万</t>
  </si>
  <si>
    <t>439.90万</t>
  </si>
  <si>
    <t>1.49亿</t>
  </si>
  <si>
    <t>467.66万</t>
  </si>
  <si>
    <t>1610.75万</t>
  </si>
  <si>
    <t>1638191亿</t>
  </si>
  <si>
    <t>2522156亿</t>
  </si>
  <si>
    <t>3.77亿</t>
  </si>
  <si>
    <t>205084900亿</t>
  </si>
  <si>
    <t>6867.90万</t>
  </si>
  <si>
    <t>1079284880亿</t>
  </si>
  <si>
    <t>3263.79万</t>
  </si>
  <si>
    <t>7601.77万</t>
  </si>
  <si>
    <t>7.68亿</t>
  </si>
  <si>
    <t>4813.00万</t>
  </si>
  <si>
    <t>1313.64万</t>
  </si>
  <si>
    <t>-1.72亿</t>
  </si>
  <si>
    <t>3056.39万</t>
  </si>
  <si>
    <t>4919.29万</t>
  </si>
  <si>
    <t>3099.81万</t>
  </si>
  <si>
    <t>10派0.930078元(含税)</t>
  </si>
  <si>
    <t>1871.54万</t>
  </si>
  <si>
    <t>04399000</t>
  </si>
  <si>
    <t>013197000</t>
  </si>
  <si>
    <t>026394000</t>
  </si>
  <si>
    <t>043990000</t>
  </si>
  <si>
    <t>087980000</t>
  </si>
  <si>
    <t>275.02万</t>
  </si>
  <si>
    <t>13.53亿</t>
  </si>
  <si>
    <t>-507.81万</t>
  </si>
  <si>
    <t>886.51万</t>
  </si>
  <si>
    <t>2290.56万</t>
  </si>
  <si>
    <t>1959429亿</t>
  </si>
  <si>
    <t>-7649201亿</t>
  </si>
  <si>
    <t>217782700亿</t>
  </si>
  <si>
    <t>100.76万</t>
  </si>
  <si>
    <t>843227820亿</t>
  </si>
  <si>
    <t>5291.98万</t>
  </si>
  <si>
    <t>8568.98万</t>
  </si>
  <si>
    <t>-358.83万</t>
  </si>
  <si>
    <t>-3554.18万</t>
  </si>
  <si>
    <t>-598.42万</t>
  </si>
  <si>
    <t>-5580.34万</t>
  </si>
  <si>
    <t>2651.21万</t>
  </si>
  <si>
    <t>9106.38万</t>
  </si>
  <si>
    <t>718.37万</t>
  </si>
  <si>
    <t>2.17亿</t>
  </si>
  <si>
    <t>15.76亿</t>
  </si>
  <si>
    <t>1736.09万</t>
  </si>
  <si>
    <t>1295.75万</t>
  </si>
  <si>
    <t>986.19万</t>
  </si>
  <si>
    <t>1728098亿</t>
  </si>
  <si>
    <t>107.25万</t>
  </si>
  <si>
    <t>18403888亿</t>
  </si>
  <si>
    <t>10.68亿</t>
  </si>
  <si>
    <t>260580560亿</t>
  </si>
  <si>
    <t>199.33万</t>
  </si>
  <si>
    <t>1567232900亿</t>
  </si>
  <si>
    <t>305.66万</t>
  </si>
  <si>
    <t>71.32万</t>
  </si>
  <si>
    <t>1874.93万</t>
  </si>
  <si>
    <t>-1.41亿</t>
  </si>
  <si>
    <t>-200.46万</t>
  </si>
  <si>
    <t>7255.07万</t>
  </si>
  <si>
    <t>10派2.4元(含税)</t>
  </si>
  <si>
    <t>2113.56万</t>
  </si>
  <si>
    <t>017360900</t>
  </si>
  <si>
    <t>052082700</t>
  </si>
  <si>
    <t>0104165400</t>
  </si>
  <si>
    <t>0173609000</t>
  </si>
  <si>
    <t>0347218000</t>
  </si>
  <si>
    <t>193.37万</t>
  </si>
  <si>
    <t>6.85亿</t>
  </si>
  <si>
    <t>19.17亿</t>
  </si>
  <si>
    <t>4034.72万</t>
  </si>
  <si>
    <t>3.93亿</t>
  </si>
  <si>
    <t>304.65万</t>
  </si>
  <si>
    <t>2087.28万</t>
  </si>
  <si>
    <t>1863836亿</t>
  </si>
  <si>
    <t>38.48万</t>
  </si>
  <si>
    <t>24638728亿</t>
  </si>
  <si>
    <t>364469130亿</t>
  </si>
  <si>
    <t>1987864900亿</t>
  </si>
  <si>
    <t>1040.37万</t>
  </si>
  <si>
    <t>3822.67万</t>
  </si>
  <si>
    <t>3.95亿</t>
  </si>
  <si>
    <t>2.62万</t>
  </si>
  <si>
    <t>-4207.50万</t>
  </si>
  <si>
    <t>148.26万</t>
  </si>
  <si>
    <t>17.56亿</t>
  </si>
  <si>
    <t>10转4股派3.6元(含税)</t>
  </si>
  <si>
    <t>1729.78万</t>
  </si>
  <si>
    <t>8569.90万</t>
  </si>
  <si>
    <t>193.22万</t>
  </si>
  <si>
    <t>4.06亿</t>
  </si>
  <si>
    <t>16.58亿</t>
  </si>
  <si>
    <t>1139.43万</t>
  </si>
  <si>
    <t>762.27万</t>
  </si>
  <si>
    <t>2979.38万</t>
  </si>
  <si>
    <t>-94538亿</t>
  </si>
  <si>
    <t>11.28万</t>
  </si>
  <si>
    <t>11175272亿</t>
  </si>
  <si>
    <t>419051720亿</t>
  </si>
  <si>
    <t>1275454540亿</t>
  </si>
  <si>
    <t>4159.32万</t>
  </si>
  <si>
    <t>224.59万</t>
  </si>
  <si>
    <t>6138.70万</t>
  </si>
  <si>
    <t>3349.87万</t>
  </si>
  <si>
    <t>-2153.31万</t>
  </si>
  <si>
    <t>-423.78万</t>
  </si>
  <si>
    <t>1208.91万</t>
  </si>
  <si>
    <t>547.83万</t>
  </si>
  <si>
    <t>7394.98万</t>
  </si>
  <si>
    <t>21.60亿</t>
  </si>
  <si>
    <t>5908.83万</t>
  </si>
  <si>
    <t>1780.80万</t>
  </si>
  <si>
    <t>3997.66万</t>
  </si>
  <si>
    <t>3563.59万</t>
  </si>
  <si>
    <t>382.53万</t>
  </si>
  <si>
    <t>463.80万</t>
  </si>
  <si>
    <t>17026376亿</t>
  </si>
  <si>
    <t>70029945亿</t>
  </si>
  <si>
    <t>38.45万</t>
  </si>
  <si>
    <t>2075919300亿</t>
  </si>
  <si>
    <t>1238.12万</t>
  </si>
  <si>
    <t>454.82万</t>
  </si>
  <si>
    <t>4795.00万</t>
  </si>
  <si>
    <t>1697.32万</t>
  </si>
  <si>
    <t>1611.69万</t>
  </si>
  <si>
    <t>-738.35万</t>
  </si>
  <si>
    <t>9676.27万</t>
  </si>
  <si>
    <t>3909.79万</t>
  </si>
  <si>
    <t>017808000</t>
  </si>
  <si>
    <t>053424000</t>
  </si>
  <si>
    <t>0106848000</t>
  </si>
  <si>
    <t>0178080000</t>
  </si>
  <si>
    <t>0356160000</t>
  </si>
  <si>
    <t>237.90万</t>
  </si>
  <si>
    <t>26.33亿</t>
  </si>
  <si>
    <t>1433.15万</t>
  </si>
  <si>
    <t>721.01万</t>
  </si>
  <si>
    <t>2118.17万</t>
  </si>
  <si>
    <t>3497420亿</t>
  </si>
  <si>
    <t>13009977亿</t>
  </si>
  <si>
    <t>8.59亿</t>
  </si>
  <si>
    <t>243464400亿</t>
  </si>
  <si>
    <t>2136.89万</t>
  </si>
  <si>
    <t>2147140900亿</t>
  </si>
  <si>
    <t>8127.95万</t>
  </si>
  <si>
    <t>1935.25万</t>
  </si>
  <si>
    <t>3601.53万</t>
  </si>
  <si>
    <t>8962.65万</t>
  </si>
  <si>
    <t>-2156.29万</t>
  </si>
  <si>
    <t>5.02亿</t>
  </si>
  <si>
    <t>7300.74万</t>
  </si>
  <si>
    <t>1338.97万</t>
  </si>
  <si>
    <t>014331500</t>
  </si>
  <si>
    <t>042994500</t>
  </si>
  <si>
    <t>085989000</t>
  </si>
  <si>
    <t>0143315000</t>
  </si>
  <si>
    <t>0286630000</t>
  </si>
  <si>
    <t>237.64万</t>
  </si>
  <si>
    <t>9362.33万</t>
  </si>
  <si>
    <t>833.04万</t>
  </si>
  <si>
    <t>8738.62万</t>
  </si>
  <si>
    <t>7139.93万</t>
  </si>
  <si>
    <t>249.52万</t>
  </si>
  <si>
    <t>544.60万</t>
  </si>
  <si>
    <t>27929亿</t>
  </si>
  <si>
    <t>6820724亿</t>
  </si>
  <si>
    <t>124406048亿</t>
  </si>
  <si>
    <t>1219.11万</t>
  </si>
  <si>
    <t>395387040亿</t>
  </si>
  <si>
    <t>4765.86万</t>
  </si>
  <si>
    <t>1.83亿</t>
  </si>
  <si>
    <t>3339.77万</t>
  </si>
  <si>
    <t>-2893.44万</t>
  </si>
  <si>
    <t>3.35亿</t>
  </si>
  <si>
    <t>5588.94万</t>
  </si>
  <si>
    <t>5190.80万</t>
  </si>
  <si>
    <t>5695.73万</t>
  </si>
  <si>
    <t>2873.56万</t>
  </si>
  <si>
    <t>5808.58万</t>
  </si>
  <si>
    <t>2241.00万</t>
  </si>
  <si>
    <t>10派2.8元(含税)</t>
  </si>
  <si>
    <t>1296.35万</t>
  </si>
  <si>
    <t>8460.17万</t>
  </si>
  <si>
    <t>22-1</t>
  </si>
  <si>
    <t>838.03万</t>
  </si>
  <si>
    <t>7551.98万</t>
  </si>
  <si>
    <t>330.51万</t>
  </si>
  <si>
    <t>2488573亿</t>
  </si>
  <si>
    <t>-432404亿</t>
  </si>
  <si>
    <t>66097892亿</t>
  </si>
  <si>
    <t>933448290亿</t>
  </si>
  <si>
    <t>6908.48万</t>
  </si>
  <si>
    <t>188.82万</t>
  </si>
  <si>
    <t>-2371.67万</t>
  </si>
  <si>
    <t>-2.27亿</t>
  </si>
  <si>
    <t>1395.36万</t>
  </si>
  <si>
    <t>4968.94万</t>
  </si>
  <si>
    <t>03305100</t>
  </si>
  <si>
    <t>09915300</t>
  </si>
  <si>
    <t>019830600</t>
  </si>
  <si>
    <t>033051000</t>
  </si>
  <si>
    <t>066102000</t>
  </si>
  <si>
    <t>1493.12万</t>
  </si>
  <si>
    <t>56.55亿</t>
  </si>
  <si>
    <t>20.50亿</t>
  </si>
  <si>
    <t>23.37亿</t>
  </si>
  <si>
    <t>-9342.48万</t>
  </si>
  <si>
    <t>-18924201亿</t>
  </si>
  <si>
    <t>211.06万</t>
  </si>
  <si>
    <t>-106456165亿</t>
  </si>
  <si>
    <t>1836368200亿</t>
  </si>
  <si>
    <t>4997755500亿</t>
  </si>
  <si>
    <t>2800.79万</t>
  </si>
  <si>
    <t>8.15亿</t>
  </si>
  <si>
    <t>13.50亿</t>
  </si>
  <si>
    <t>-4.45亿</t>
  </si>
  <si>
    <t>-6475.88万</t>
  </si>
  <si>
    <t>-3.14亿</t>
  </si>
  <si>
    <t>106.41亿</t>
  </si>
  <si>
    <t>-2.86亿</t>
  </si>
  <si>
    <t>8842.62万</t>
  </si>
  <si>
    <t>311.85万</t>
  </si>
  <si>
    <t>47.09亿</t>
  </si>
  <si>
    <t>1598.99万</t>
  </si>
  <si>
    <t>5411.25万</t>
  </si>
  <si>
    <t>93836362亿</t>
  </si>
  <si>
    <t>14.80万</t>
  </si>
  <si>
    <t>97935221亿</t>
  </si>
  <si>
    <t>16.27亿</t>
  </si>
  <si>
    <t>970828890亿</t>
  </si>
  <si>
    <t>3724717600亿</t>
  </si>
  <si>
    <t>8934.33万</t>
  </si>
  <si>
    <t>25.69亿</t>
  </si>
  <si>
    <t>-4243.99万</t>
  </si>
  <si>
    <t>-2169.91万</t>
  </si>
  <si>
    <t>32.40亿</t>
  </si>
  <si>
    <t>10派0.7522元(含税)</t>
  </si>
  <si>
    <t>1589.51万</t>
  </si>
  <si>
    <t>240.25万</t>
  </si>
  <si>
    <t>-2943.26万</t>
  </si>
  <si>
    <t>387.13万</t>
  </si>
  <si>
    <t>-1131.40万</t>
  </si>
  <si>
    <t>1598.47万</t>
  </si>
  <si>
    <t>796.99万</t>
  </si>
  <si>
    <t>42.60万</t>
  </si>
  <si>
    <t>569.82万</t>
  </si>
  <si>
    <t>0.130亿</t>
  </si>
  <si>
    <t>-11439443亿</t>
  </si>
  <si>
    <t>502.72万</t>
  </si>
  <si>
    <t>5.61万</t>
  </si>
  <si>
    <t>47993680亿</t>
  </si>
  <si>
    <t>6807.54万</t>
  </si>
  <si>
    <t>8083.22万</t>
  </si>
  <si>
    <t>22.02万</t>
  </si>
  <si>
    <t>-21.08万</t>
  </si>
  <si>
    <t>-158.06万</t>
  </si>
  <si>
    <t>-8137.30万</t>
  </si>
  <si>
    <t>-5947.45万</t>
  </si>
  <si>
    <t>3907.26万</t>
  </si>
  <si>
    <t>1857.04万</t>
  </si>
  <si>
    <t>8815.40万</t>
  </si>
  <si>
    <t>1471.10亿</t>
  </si>
  <si>
    <t>1458.54亿</t>
  </si>
  <si>
    <t>1186.88亿</t>
  </si>
  <si>
    <t>41.85亿</t>
  </si>
  <si>
    <t>1132.35亿</t>
  </si>
  <si>
    <t>1096.22亿</t>
  </si>
  <si>
    <t>12.07亿</t>
  </si>
  <si>
    <t>138257000亿</t>
  </si>
  <si>
    <t>437.20万</t>
  </si>
  <si>
    <t>4272066000亿</t>
  </si>
  <si>
    <t>798.94亿</t>
  </si>
  <si>
    <t>81191636000亿</t>
  </si>
  <si>
    <t>1217.00万</t>
  </si>
  <si>
    <t>241227470000亿</t>
  </si>
  <si>
    <t>24.53亿</t>
  </si>
  <si>
    <t>344.45亿</t>
  </si>
  <si>
    <t>667.59亿</t>
  </si>
  <si>
    <t>1248.50亿</t>
  </si>
  <si>
    <t>36.28亿</t>
  </si>
  <si>
    <t>52.05亿</t>
  </si>
  <si>
    <t>-15.75亿</t>
  </si>
  <si>
    <t>-78.33亿</t>
  </si>
  <si>
    <t>4763.40亿</t>
  </si>
  <si>
    <t>210.40亿</t>
  </si>
  <si>
    <t>10派5.8元(含税)</t>
  </si>
  <si>
    <t>42.73亿</t>
  </si>
  <si>
    <t>04185000000</t>
  </si>
  <si>
    <t>012555000000</t>
  </si>
  <si>
    <t>025110000000</t>
  </si>
  <si>
    <t>041850000000</t>
  </si>
  <si>
    <t>083700000000</t>
  </si>
  <si>
    <t>1796.44万</t>
  </si>
  <si>
    <t>222.17亿</t>
  </si>
  <si>
    <t>173.12亿</t>
  </si>
  <si>
    <t>134.92亿</t>
  </si>
  <si>
    <t>131.65亿</t>
  </si>
  <si>
    <t>122.04亿</t>
  </si>
  <si>
    <t>3.28亿</t>
  </si>
  <si>
    <t>41379773亿</t>
  </si>
  <si>
    <t>777.45万</t>
  </si>
  <si>
    <t>286600180亿</t>
  </si>
  <si>
    <t>127.33亿</t>
  </si>
  <si>
    <t>8141887400亿</t>
  </si>
  <si>
    <t>6392.74万</t>
  </si>
  <si>
    <t>30722627000亿</t>
  </si>
  <si>
    <t>7.04亿</t>
  </si>
  <si>
    <t>50.58亿</t>
  </si>
  <si>
    <t>93.99亿</t>
  </si>
  <si>
    <t>174.07亿</t>
  </si>
  <si>
    <t>4229.68万</t>
  </si>
  <si>
    <t>11.46亿</t>
  </si>
  <si>
    <t>-3.30亿</t>
  </si>
  <si>
    <t>607.92亿</t>
  </si>
  <si>
    <t>19.48亿</t>
  </si>
  <si>
    <t>10派2.7元(含税)</t>
  </si>
  <si>
    <t>7920.27万</t>
  </si>
  <si>
    <t>0335000000</t>
  </si>
  <si>
    <t>01005000000</t>
  </si>
  <si>
    <t>02010000000</t>
  </si>
  <si>
    <t>03350000000</t>
  </si>
  <si>
    <t>06700000000</t>
  </si>
  <si>
    <t>68.02万</t>
  </si>
  <si>
    <t>11.69亿</t>
  </si>
  <si>
    <t>2104.05万</t>
  </si>
  <si>
    <t>343.31万</t>
  </si>
  <si>
    <t>650.21万</t>
  </si>
  <si>
    <t>2520049亿</t>
  </si>
  <si>
    <t>17381762亿</t>
  </si>
  <si>
    <t>311025010亿</t>
  </si>
  <si>
    <t>1317732720亿</t>
  </si>
  <si>
    <t>5082.52万</t>
  </si>
  <si>
    <t>4652.27万</t>
  </si>
  <si>
    <t>-67.80万</t>
  </si>
  <si>
    <t>9533.08万</t>
  </si>
  <si>
    <t>534.65万</t>
  </si>
  <si>
    <t>5632.32万</t>
  </si>
  <si>
    <t>1081.78万</t>
  </si>
  <si>
    <t>13.20亿</t>
  </si>
  <si>
    <t>20.57亿</t>
  </si>
  <si>
    <t>4.78亿</t>
  </si>
  <si>
    <t>6321.99万</t>
  </si>
  <si>
    <t>931.21万</t>
  </si>
  <si>
    <t>873.85万</t>
  </si>
  <si>
    <t>633072亿</t>
  </si>
  <si>
    <t>2501.27万</t>
  </si>
  <si>
    <t>42450876亿</t>
  </si>
  <si>
    <t>326298010亿</t>
  </si>
  <si>
    <t>1016.83万</t>
  </si>
  <si>
    <t>1559000100亿</t>
  </si>
  <si>
    <t>-4.04亿</t>
  </si>
  <si>
    <t>-146.17万</t>
  </si>
  <si>
    <t>19.06亿</t>
  </si>
  <si>
    <t>10转1股派3元(含税)</t>
  </si>
  <si>
    <t>9096.16万</t>
  </si>
  <si>
    <t>222.33万</t>
  </si>
  <si>
    <t>160.14亿</t>
  </si>
  <si>
    <t>53.95亿</t>
  </si>
  <si>
    <t>103.37亿</t>
  </si>
  <si>
    <t>102.23亿</t>
  </si>
  <si>
    <t>96.12亿</t>
  </si>
  <si>
    <t>1847.85万</t>
  </si>
  <si>
    <t>3259264亿</t>
  </si>
  <si>
    <t>36.10万</t>
  </si>
  <si>
    <t>85331923亿</t>
  </si>
  <si>
    <t>75.90亿</t>
  </si>
  <si>
    <t>9459368600亿</t>
  </si>
  <si>
    <t>20084947000亿</t>
  </si>
  <si>
    <t>9.76亿</t>
  </si>
  <si>
    <t>57.78亿</t>
  </si>
  <si>
    <t>92.93亿</t>
  </si>
  <si>
    <t>174.94亿</t>
  </si>
  <si>
    <t>-2.63亿</t>
  </si>
  <si>
    <t>17.17亿</t>
  </si>
  <si>
    <t>271.85亿</t>
  </si>
  <si>
    <t>1390.73万</t>
  </si>
  <si>
    <t>202.23万</t>
  </si>
  <si>
    <t>3112.85万</t>
  </si>
  <si>
    <t>565.31万</t>
  </si>
  <si>
    <t>3430.62万</t>
  </si>
  <si>
    <t>28.73万</t>
  </si>
  <si>
    <t>29630082亿</t>
  </si>
  <si>
    <t>434804960亿</t>
  </si>
  <si>
    <t>828.23万</t>
  </si>
  <si>
    <t>1494364400亿</t>
  </si>
  <si>
    <t>741.27万</t>
  </si>
  <si>
    <t>3580.70万</t>
  </si>
  <si>
    <t>5.78亿</t>
  </si>
  <si>
    <t>8.17亿</t>
  </si>
  <si>
    <t>6231.50万</t>
  </si>
  <si>
    <t>2349.46万</t>
  </si>
  <si>
    <t>-1157.71万</t>
  </si>
  <si>
    <t>-691.46万</t>
  </si>
  <si>
    <t>10派2.60元(含税)</t>
  </si>
  <si>
    <t>687.14万</t>
  </si>
  <si>
    <t>4765.09万</t>
  </si>
  <si>
    <t>295.23万</t>
  </si>
  <si>
    <t>35.12亿</t>
  </si>
  <si>
    <t>1286.76万</t>
  </si>
  <si>
    <t>152.54万</t>
  </si>
  <si>
    <t>2103.53万</t>
  </si>
  <si>
    <t>2078.06万</t>
  </si>
  <si>
    <t>-26417921亿</t>
  </si>
  <si>
    <t>9557.66万</t>
  </si>
  <si>
    <t>613125990亿</t>
  </si>
  <si>
    <t>1573515800亿</t>
  </si>
  <si>
    <t>1290.07万</t>
  </si>
  <si>
    <t>24.54亿</t>
  </si>
  <si>
    <t>-7769.46万</t>
  </si>
  <si>
    <t>-1.82亿</t>
  </si>
  <si>
    <t>7896.74万</t>
  </si>
  <si>
    <t>18.36亿</t>
  </si>
  <si>
    <t>-6.07亿</t>
  </si>
  <si>
    <t>1736.63万</t>
  </si>
  <si>
    <t>907.12万</t>
  </si>
  <si>
    <t>24.58亿</t>
  </si>
  <si>
    <t>27.31亿</t>
  </si>
  <si>
    <t>-7099.03万</t>
  </si>
  <si>
    <t>8.45亿</t>
  </si>
  <si>
    <t>1160.73万</t>
  </si>
  <si>
    <t>6982.99万</t>
  </si>
  <si>
    <t>30675亿</t>
  </si>
  <si>
    <t>39.65万</t>
  </si>
  <si>
    <t>-77998357亿</t>
  </si>
  <si>
    <t>1163974950亿</t>
  </si>
  <si>
    <t>150.06万</t>
  </si>
  <si>
    <t>2046498100亿</t>
  </si>
  <si>
    <t>9370.47万</t>
  </si>
  <si>
    <t>15.83亿</t>
  </si>
  <si>
    <t>8.39亿</t>
  </si>
  <si>
    <t>-3715.85万</t>
  </si>
  <si>
    <t>-9686.59万</t>
  </si>
  <si>
    <t>9347.52万</t>
  </si>
  <si>
    <t>25.97亿</t>
  </si>
  <si>
    <t>-2.81亿</t>
  </si>
  <si>
    <t>5099.28万</t>
  </si>
  <si>
    <t>5-0</t>
  </si>
  <si>
    <t>468.12万</t>
  </si>
  <si>
    <t>19.58亿</t>
  </si>
  <si>
    <t>16.84亿</t>
  </si>
  <si>
    <t>3309.53万</t>
  </si>
  <si>
    <t>623.46万</t>
  </si>
  <si>
    <t>4543.39万</t>
  </si>
  <si>
    <t>-804453亿</t>
  </si>
  <si>
    <t>14.82万</t>
  </si>
  <si>
    <t>29536413亿</t>
  </si>
  <si>
    <t>13.40亿</t>
  </si>
  <si>
    <t>480343080亿</t>
  </si>
  <si>
    <t>9429.44万</t>
  </si>
  <si>
    <t>3013831300亿</t>
  </si>
  <si>
    <t>8378.90万</t>
  </si>
  <si>
    <t>9006.15万</t>
  </si>
  <si>
    <t>25.80亿</t>
  </si>
  <si>
    <t>-5675.55万</t>
  </si>
  <si>
    <t>4020.23万</t>
  </si>
  <si>
    <t>10派0.9元(含税)</t>
  </si>
  <si>
    <t>1951.69万</t>
  </si>
  <si>
    <t>033095300</t>
  </si>
  <si>
    <t>099285900</t>
  </si>
  <si>
    <t>0198571800</t>
  </si>
  <si>
    <t>0330953000</t>
  </si>
  <si>
    <t>0661906000</t>
  </si>
  <si>
    <t>1078.30万</t>
  </si>
  <si>
    <t>29.03亿</t>
  </si>
  <si>
    <t>28.52亿</t>
  </si>
  <si>
    <t>1445.90万</t>
  </si>
  <si>
    <t>1235.13万</t>
  </si>
  <si>
    <t>3748.45万</t>
  </si>
  <si>
    <t>318225亿</t>
  </si>
  <si>
    <t>44.95万</t>
  </si>
  <si>
    <t>6046833亿</t>
  </si>
  <si>
    <t>8.85亿</t>
  </si>
  <si>
    <t>1162967010亿</t>
  </si>
  <si>
    <t>5313.98万</t>
  </si>
  <si>
    <t>3528172700亿</t>
  </si>
  <si>
    <t>4824.09万</t>
  </si>
  <si>
    <t>-369.12万</t>
  </si>
  <si>
    <t>658.34万</t>
  </si>
  <si>
    <t>32.57亿</t>
  </si>
  <si>
    <t>2674.67万</t>
  </si>
  <si>
    <t>8147.16万</t>
  </si>
  <si>
    <t>9.46亿</t>
  </si>
  <si>
    <t>414.47万</t>
  </si>
  <si>
    <t>17.14亿</t>
  </si>
  <si>
    <t>3978.21万</t>
  </si>
  <si>
    <t>6.50亿</t>
  </si>
  <si>
    <t>1736.70万</t>
  </si>
  <si>
    <t>2753.51万</t>
  </si>
  <si>
    <t>1858837亿</t>
  </si>
  <si>
    <t>34761371亿</t>
  </si>
  <si>
    <t>713388900亿</t>
  </si>
  <si>
    <t>1825816200亿</t>
  </si>
  <si>
    <t>6884.65万</t>
  </si>
  <si>
    <t>6.24亿</t>
  </si>
  <si>
    <t>4599.41万</t>
  </si>
  <si>
    <t>-2689.72万</t>
  </si>
  <si>
    <t>31.86亿</t>
  </si>
  <si>
    <t>10转2股派2元(含税)</t>
  </si>
  <si>
    <t>2710.83万</t>
  </si>
  <si>
    <t>318.46万</t>
  </si>
  <si>
    <t>14.24亿</t>
  </si>
  <si>
    <t>4454.33万</t>
  </si>
  <si>
    <t>4406.77万</t>
  </si>
  <si>
    <t>3923.19万</t>
  </si>
  <si>
    <t>15035444亿</t>
  </si>
  <si>
    <t>1.53万</t>
  </si>
  <si>
    <t>622946亿</t>
  </si>
  <si>
    <t>12.95亿</t>
  </si>
  <si>
    <t>191013150亿</t>
  </si>
  <si>
    <t>824.55万</t>
  </si>
  <si>
    <t>2885022200亿</t>
  </si>
  <si>
    <t>5003.61万</t>
  </si>
  <si>
    <t>8424.15万</t>
  </si>
  <si>
    <t>1222.48万</t>
  </si>
  <si>
    <t>-2831.72万</t>
  </si>
  <si>
    <t>-8150.19万</t>
  </si>
  <si>
    <t>10派0.6986元(含税)</t>
  </si>
  <si>
    <t>2241.47万</t>
  </si>
  <si>
    <t>044543300</t>
  </si>
  <si>
    <t>0133629900</t>
  </si>
  <si>
    <t>0267259800</t>
  </si>
  <si>
    <t>0445433000</t>
  </si>
  <si>
    <t>0890866000</t>
  </si>
  <si>
    <t>493.50万</t>
  </si>
  <si>
    <t>279.44亿</t>
  </si>
  <si>
    <t>200.07亿</t>
  </si>
  <si>
    <t>174.43亿</t>
  </si>
  <si>
    <t>158.35亿</t>
  </si>
  <si>
    <t>135.79亿</t>
  </si>
  <si>
    <t>12.79亿</t>
  </si>
  <si>
    <t>71769416亿</t>
  </si>
  <si>
    <t>93.62万</t>
  </si>
  <si>
    <t>1353567200亿</t>
  </si>
  <si>
    <t>104.70亿</t>
  </si>
  <si>
    <t>2165874700亿</t>
  </si>
  <si>
    <t>41666026000亿</t>
  </si>
  <si>
    <t>419.60万</t>
  </si>
  <si>
    <t>21.09亿</t>
  </si>
  <si>
    <t>53.80亿</t>
  </si>
  <si>
    <t>133.57亿</t>
  </si>
  <si>
    <t>237.23亿</t>
  </si>
  <si>
    <t>-1.08亿</t>
  </si>
  <si>
    <t>-26.22亿</t>
  </si>
  <si>
    <t>622.95亿</t>
  </si>
  <si>
    <t>55.37亿</t>
  </si>
  <si>
    <t>10转4股派30元(含税)</t>
  </si>
  <si>
    <t>2427.88万</t>
  </si>
  <si>
    <t>130.56万</t>
  </si>
  <si>
    <t>8.18亿</t>
  </si>
  <si>
    <t>12.24亿</t>
  </si>
  <si>
    <t>1467.23万</t>
  </si>
  <si>
    <t>7741.81万</t>
  </si>
  <si>
    <t>202.41万</t>
  </si>
  <si>
    <t>1653.70万</t>
  </si>
  <si>
    <t>-88207亿</t>
  </si>
  <si>
    <t>13898884亿</t>
  </si>
  <si>
    <t>194425090亿</t>
  </si>
  <si>
    <t>1050644640亿</t>
  </si>
  <si>
    <t>9034.30万</t>
  </si>
  <si>
    <t>6531.25万</t>
  </si>
  <si>
    <t>-4106.01万</t>
  </si>
  <si>
    <t>969.15万</t>
  </si>
  <si>
    <t>9490.35万</t>
  </si>
  <si>
    <t>5877.16万</t>
  </si>
  <si>
    <t>739.13万</t>
  </si>
  <si>
    <t>6231.51万</t>
  </si>
  <si>
    <t>247.68万</t>
  </si>
  <si>
    <t>-3041.93万</t>
  </si>
  <si>
    <t>653.79万</t>
  </si>
  <si>
    <t>1506.17万</t>
  </si>
  <si>
    <t>-322693亿</t>
  </si>
  <si>
    <t>-34212994亿</t>
  </si>
  <si>
    <t>4004.86万</t>
  </si>
  <si>
    <t>230342200亿</t>
  </si>
  <si>
    <t>4085.04万</t>
  </si>
  <si>
    <t>508439170亿</t>
  </si>
  <si>
    <t>1300.00万</t>
  </si>
  <si>
    <t>7.31亿</t>
  </si>
  <si>
    <t>-2849.68万</t>
  </si>
  <si>
    <t>-4688.44万</t>
  </si>
  <si>
    <t>9307.41万</t>
  </si>
  <si>
    <t>1440.89万</t>
  </si>
  <si>
    <t>243.51万</t>
  </si>
  <si>
    <t>16.45亿</t>
  </si>
  <si>
    <t>2712.07万</t>
  </si>
  <si>
    <t>461.31万</t>
  </si>
  <si>
    <t>1568.38万</t>
  </si>
  <si>
    <t>1804108亿</t>
  </si>
  <si>
    <t>19976382亿</t>
  </si>
  <si>
    <t>496888110亿</t>
  </si>
  <si>
    <t>4207.78万</t>
  </si>
  <si>
    <t>1803000400亿</t>
  </si>
  <si>
    <t>5086.67万</t>
  </si>
  <si>
    <t>4798.04万</t>
  </si>
  <si>
    <t>8981.21万</t>
  </si>
  <si>
    <t>8849.30万</t>
  </si>
  <si>
    <t>10转4股派3元(含税)</t>
  </si>
  <si>
    <t>1299.04万</t>
  </si>
  <si>
    <t>9223.75万</t>
  </si>
  <si>
    <t>-6-1</t>
  </si>
  <si>
    <t>32.68万</t>
  </si>
  <si>
    <t>10.64亿</t>
  </si>
  <si>
    <t>9957.88万</t>
  </si>
  <si>
    <t>833.37万</t>
  </si>
  <si>
    <t>9301.09万</t>
  </si>
  <si>
    <t>7558.30万</t>
  </si>
  <si>
    <t>441.75万</t>
  </si>
  <si>
    <t>796.21万</t>
  </si>
  <si>
    <t>-40080亿</t>
  </si>
  <si>
    <t>6603873亿</t>
  </si>
  <si>
    <t>194583030亿</t>
  </si>
  <si>
    <t>528652350亿</t>
  </si>
  <si>
    <t>1611.26万</t>
  </si>
  <si>
    <t>647.75万</t>
  </si>
  <si>
    <t>5694.72万</t>
  </si>
  <si>
    <t>610.63万</t>
  </si>
  <si>
    <t>402.40万</t>
  </si>
  <si>
    <t>-7087.73万</t>
  </si>
  <si>
    <t>172.23万</t>
  </si>
  <si>
    <t>2925.49万</t>
  </si>
  <si>
    <t>10派0.65元(含税)</t>
  </si>
  <si>
    <t>150.70万</t>
  </si>
  <si>
    <t>1226.75万</t>
  </si>
  <si>
    <t>08333700</t>
  </si>
  <si>
    <t>025001100</t>
  </si>
  <si>
    <t>050002200</t>
  </si>
  <si>
    <t>083337000</t>
  </si>
  <si>
    <t>0166674000</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</si>
</sst>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1"/>
      <color theme="1"/>
      <name val="宋体"/>
      <family val="2"/>
      <charset val="134"/>
      <scheme val="minor"/>
    </font>
    <font>
      <sz val="9"/>
      <name val="宋体"/>
      <family val="2"/>
      <charset val="134"/>
      <scheme val="minor"/>
    </font>
    <font>
      <sz val="11"/>
      <color indexed="8"/>
      <name val="Calibri"/>
      <family val="2"/>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9"/>
      <color theme="1"/>
      <name val="宋体"/>
      <family val="3"/>
      <charset val="134"/>
      <scheme val="minor"/>
    </font>
    <font>
      <sz val="9"/>
      <color theme="1"/>
      <name val="宋体"/>
      <family val="2"/>
      <charset val="134"/>
      <scheme val="minor"/>
    </font>
    <font>
      <sz val="9"/>
      <color rgb="FFFF0000"/>
      <name val="宋体"/>
      <family val="3"/>
      <charset val="134"/>
      <scheme val="minor"/>
    </font>
    <font>
      <sz val="11"/>
      <name val="宋体"/>
      <family val="2"/>
      <charset val="134"/>
      <scheme val="minor"/>
    </font>
    <font>
      <sz val="11"/>
      <color rgb="FF000000"/>
      <name val="宋体"/>
      <family val="3"/>
      <charset val="134"/>
    </font>
  </fonts>
  <fills count="37">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5"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2" fillId="0" borderId="0" applyFill="0" applyProtection="0"/>
    <xf numFmtId="0" fontId="2" fillId="0" borderId="0" applyFill="0" applyProtection="0"/>
    <xf numFmtId="0" fontId="4" fillId="0" borderId="0" applyNumberFormat="0" applyFill="0" applyBorder="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7" fillId="0" borderId="4" applyNumberFormat="0" applyFill="0" applyAlignment="0" applyProtection="0">
      <alignment vertical="center"/>
    </xf>
    <xf numFmtId="0" fontId="7" fillId="0" borderId="0" applyNumberFormat="0" applyFill="0" applyBorder="0" applyAlignment="0" applyProtection="0">
      <alignment vertical="center"/>
    </xf>
    <xf numFmtId="0" fontId="8" fillId="4" borderId="0" applyNumberFormat="0" applyBorder="0" applyAlignment="0" applyProtection="0">
      <alignment vertical="center"/>
    </xf>
    <xf numFmtId="0" fontId="9" fillId="5" borderId="0" applyNumberFormat="0" applyBorder="0" applyAlignment="0" applyProtection="0">
      <alignment vertical="center"/>
    </xf>
    <xf numFmtId="0" fontId="10" fillId="6" borderId="0" applyNumberFormat="0" applyBorder="0" applyAlignment="0" applyProtection="0">
      <alignment vertical="center"/>
    </xf>
    <xf numFmtId="0" fontId="11" fillId="7" borderId="5" applyNumberFormat="0" applyAlignment="0" applyProtection="0">
      <alignment vertical="center"/>
    </xf>
    <xf numFmtId="0" fontId="12" fillId="8" borderId="6" applyNumberFormat="0" applyAlignment="0" applyProtection="0">
      <alignment vertical="center"/>
    </xf>
    <xf numFmtId="0" fontId="13" fillId="8" borderId="5" applyNumberFormat="0" applyAlignment="0" applyProtection="0">
      <alignment vertical="center"/>
    </xf>
    <xf numFmtId="0" fontId="14" fillId="0" borderId="7" applyNumberFormat="0" applyFill="0" applyAlignment="0" applyProtection="0">
      <alignment vertical="center"/>
    </xf>
    <xf numFmtId="0" fontId="15" fillId="9" borderId="8" applyNumberFormat="0" applyAlignment="0" applyProtection="0">
      <alignment vertical="center"/>
    </xf>
    <xf numFmtId="0" fontId="16" fillId="0" borderId="0" applyNumberFormat="0" applyFill="0" applyBorder="0" applyAlignment="0" applyProtection="0">
      <alignment vertical="center"/>
    </xf>
    <xf numFmtId="0" fontId="3" fillId="10" borderId="9" applyNumberFormat="0" applyFont="0" applyAlignment="0" applyProtection="0">
      <alignment vertical="center"/>
    </xf>
    <xf numFmtId="0" fontId="17" fillId="0" borderId="0" applyNumberFormat="0" applyFill="0" applyBorder="0" applyAlignment="0" applyProtection="0">
      <alignment vertical="center"/>
    </xf>
    <xf numFmtId="0" fontId="18" fillId="0" borderId="10" applyNumberFormat="0" applyFill="0" applyAlignment="0" applyProtection="0">
      <alignment vertical="center"/>
    </xf>
    <xf numFmtId="0" fontId="19" fillId="11" borderId="0" applyNumberFormat="0" applyBorder="0" applyAlignment="0" applyProtection="0">
      <alignment vertical="center"/>
    </xf>
    <xf numFmtId="0" fontId="3" fillId="12" borderId="0" applyNumberFormat="0" applyBorder="0" applyAlignment="0" applyProtection="0">
      <alignment vertical="center"/>
    </xf>
    <xf numFmtId="0" fontId="3" fillId="13" borderId="0" applyNumberFormat="0" applyBorder="0" applyAlignment="0" applyProtection="0">
      <alignment vertical="center"/>
    </xf>
    <xf numFmtId="0" fontId="19" fillId="14" borderId="0" applyNumberFormat="0" applyBorder="0" applyAlignment="0" applyProtection="0">
      <alignment vertical="center"/>
    </xf>
    <xf numFmtId="0" fontId="19"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3" fillId="20" borderId="0" applyNumberFormat="0" applyBorder="0" applyAlignment="0" applyProtection="0">
      <alignment vertical="center"/>
    </xf>
    <xf numFmtId="0" fontId="3" fillId="21" borderId="0" applyNumberFormat="0" applyBorder="0" applyAlignment="0" applyProtection="0">
      <alignment vertical="center"/>
    </xf>
    <xf numFmtId="0" fontId="19" fillId="22" borderId="0" applyNumberFormat="0" applyBorder="0" applyAlignment="0" applyProtection="0">
      <alignment vertical="center"/>
    </xf>
    <xf numFmtId="0" fontId="19" fillId="23" borderId="0" applyNumberFormat="0" applyBorder="0" applyAlignment="0" applyProtection="0">
      <alignment vertical="center"/>
    </xf>
    <xf numFmtId="0" fontId="3" fillId="24" borderId="0" applyNumberFormat="0" applyBorder="0" applyAlignment="0" applyProtection="0">
      <alignment vertical="center"/>
    </xf>
    <xf numFmtId="0" fontId="3"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3" fillId="28" borderId="0" applyNumberFormat="0" applyBorder="0" applyAlignment="0" applyProtection="0">
      <alignment vertical="center"/>
    </xf>
    <xf numFmtId="0" fontId="3" fillId="29" borderId="0" applyNumberFormat="0" applyBorder="0" applyAlignment="0" applyProtection="0">
      <alignment vertical="center"/>
    </xf>
    <xf numFmtId="0" fontId="19" fillId="30" borderId="0" applyNumberFormat="0" applyBorder="0" applyAlignment="0" applyProtection="0">
      <alignment vertical="center"/>
    </xf>
    <xf numFmtId="0" fontId="19" fillId="31" borderId="0" applyNumberFormat="0" applyBorder="0" applyAlignment="0" applyProtection="0">
      <alignment vertical="center"/>
    </xf>
    <xf numFmtId="0" fontId="3" fillId="32" borderId="0" applyNumberFormat="0" applyBorder="0" applyAlignment="0" applyProtection="0">
      <alignment vertical="center"/>
    </xf>
    <xf numFmtId="0" fontId="3" fillId="33" borderId="0" applyNumberFormat="0" applyBorder="0" applyAlignment="0" applyProtection="0">
      <alignment vertical="center"/>
    </xf>
    <xf numFmtId="0" fontId="19" fillId="34" borderId="0" applyNumberFormat="0" applyBorder="0" applyAlignment="0" applyProtection="0">
      <alignment vertical="center"/>
    </xf>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lignment vertical="center"/>
    </xf>
    <xf numFmtId="9" fontId="0" fillId="0" borderId="0" xfId="0" applyNumberFormat="1">
      <alignment vertical="center"/>
    </xf>
    <xf numFmtId="10" fontId="0" fillId="0" borderId="0" xfId="0" applyNumberFormat="1">
      <alignment vertical="center"/>
    </xf>
    <xf numFmtId="0" fontId="0" fillId="0" borderId="1" xfId="0" applyNumberFormat="1" applyFill="1" applyBorder="1" applyAlignment="1">
      <alignment vertical="center" wrapText="1"/>
    </xf>
    <xf numFmtId="0" fontId="20" fillId="0" borderId="0" xfId="0" applyFont="1" applyAlignment="1">
      <alignment vertical="center" wrapText="1"/>
    </xf>
    <xf numFmtId="0" fontId="0" fillId="3" borderId="1" xfId="0" applyNumberFormat="1" applyFill="1" applyBorder="1" applyAlignment="1">
      <alignment vertical="center" wrapText="1"/>
    </xf>
    <xf numFmtId="0" fontId="21" fillId="0" borderId="0" xfId="0" applyFont="1" applyAlignment="1">
      <alignment vertical="center" wrapText="1"/>
    </xf>
    <xf numFmtId="0" fontId="0" fillId="35" borderId="0" xfId="0" applyFill="1">
      <alignment vertical="center"/>
    </xf>
    <xf numFmtId="0" fontId="0" fillId="36" borderId="0" xfId="0" applyFill="1">
      <alignment vertical="center"/>
    </xf>
    <xf numFmtId="0" fontId="23" fillId="0" borderId="0" xfId="0" applyFont="1">
      <alignment vertical="center"/>
    </xf>
    <xf numFmtId="0" fontId="16" fillId="0" borderId="0" xfId="0" applyFont="1">
      <alignment vertical="center"/>
    </xf>
    <xf numFmtId="0" fontId="23"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44">
    <cellStyle name="20% - 着色 1" xfId="21" builtinId="30" customBuiltin="1"/>
    <cellStyle name="20% - 着色 2" xfId="25" builtinId="34" customBuiltin="1"/>
    <cellStyle name="20% - 着色 3" xfId="29" builtinId="38" customBuiltin="1"/>
    <cellStyle name="20% - 着色 4" xfId="33" builtinId="42" customBuiltin="1"/>
    <cellStyle name="20% - 着色 5" xfId="37" builtinId="46" customBuiltin="1"/>
    <cellStyle name="20% - 着色 6" xfId="41" builtinId="50" customBuiltin="1"/>
    <cellStyle name="40% - 着色 1" xfId="22" builtinId="31" customBuiltin="1"/>
    <cellStyle name="40% - 着色 2" xfId="26" builtinId="35" customBuiltin="1"/>
    <cellStyle name="40% - 着色 3" xfId="30" builtinId="39" customBuiltin="1"/>
    <cellStyle name="40% - 着色 4" xfId="34" builtinId="43" customBuiltin="1"/>
    <cellStyle name="40% - 着色 5" xfId="38" builtinId="47" customBuiltin="1"/>
    <cellStyle name="40% - 着色 6" xfId="42" builtinId="51" customBuiltin="1"/>
    <cellStyle name="60% - 着色 1" xfId="23" builtinId="32" customBuiltin="1"/>
    <cellStyle name="60% - 着色 2" xfId="27" builtinId="36" customBuiltin="1"/>
    <cellStyle name="60% - 着色 3" xfId="31" builtinId="40" customBuiltin="1"/>
    <cellStyle name="60% - 着色 4" xfId="35" builtinId="44" customBuiltin="1"/>
    <cellStyle name="60% - 着色 5" xfId="39" builtinId="48" customBuiltin="1"/>
    <cellStyle name="60% - 着色 6" xfId="43" builtinId="52" customBuiltin="1"/>
    <cellStyle name="Normal 2" xfId="2"/>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9" builtinId="27" customBuiltin="1"/>
    <cellStyle name="常规" xfId="0" builtinId="0"/>
    <cellStyle name="常规 2" xfId="1"/>
    <cellStyle name="好" xfId="8" builtinId="26" customBuiltin="1"/>
    <cellStyle name="汇总" xfId="19" builtinId="25" customBuiltin="1"/>
    <cellStyle name="计算" xfId="13" builtinId="22" customBuiltin="1"/>
    <cellStyle name="检查单元格" xfId="15" builtinId="23" customBuiltin="1"/>
    <cellStyle name="解释性文本" xfId="18" builtinId="53" customBuiltin="1"/>
    <cellStyle name="警告文本" xfId="16" builtinId="11" customBuiltin="1"/>
    <cellStyle name="链接单元格" xfId="14" builtinId="24" customBuiltin="1"/>
    <cellStyle name="适中" xfId="10" builtinId="28" customBuiltin="1"/>
    <cellStyle name="输出" xfId="12" builtinId="21" customBuiltin="1"/>
    <cellStyle name="输入" xfId="11" builtinId="20" customBuiltin="1"/>
    <cellStyle name="着色 1" xfId="20" builtinId="29" customBuiltin="1"/>
    <cellStyle name="着色 2" xfId="24" builtinId="33" customBuiltin="1"/>
    <cellStyle name="着色 3" xfId="28" builtinId="37" customBuiltin="1"/>
    <cellStyle name="着色 4" xfId="32" builtinId="41" customBuiltin="1"/>
    <cellStyle name="着色 5" xfId="36" builtinId="45" customBuiltin="1"/>
    <cellStyle name="着色 6" xfId="40" builtinId="49" customBuiltin="1"/>
    <cellStyle name="注释" xfId="17"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215900</xdr:colOff>
          <xdr:row>0</xdr:row>
          <xdr:rowOff>146050</xdr:rowOff>
        </xdr:from>
        <xdr:to>
          <xdr:col>147</xdr:col>
          <xdr:colOff>1136650</xdr:colOff>
          <xdr:row>0</xdr:row>
          <xdr:rowOff>565150</xdr:rowOff>
        </xdr:to>
        <xdr:sp macro="" textlink="">
          <xdr:nvSpPr>
            <xdr:cNvPr id="2053" name="Button 5" descr="更新基本面按钮&#10;"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39"/>
  <sheetViews>
    <sheetView tabSelected="1" zoomScale="85" zoomScaleNormal="85" workbookViewId="0">
      <pane xSplit="5" ySplit="1" topLeftCell="F89" activePane="bottomRight" state="frozen"/>
      <selection pane="topRight" activeCell="F1" sqref="F1"/>
      <selection pane="bottomLeft" activeCell="A2" sqref="A2"/>
      <selection pane="bottomRight" activeCell="C43" sqref="C43:C44"/>
    </sheetView>
  </sheetViews>
  <sheetFormatPr defaultColWidth="8.81640625" defaultRowHeight="14" x14ac:dyDescent="0.25"/>
  <cols>
    <col min="1" max="1" width="37.81640625" style="7" customWidth="1"/>
    <col min="2" max="2" width="37.36328125" style="7" customWidth="1"/>
    <col min="3" max="3" width="46.1796875" style="7" customWidth="1"/>
    <col min="4" max="4" width="8.81640625" style="3"/>
    <col min="5" max="5" width="14.54296875" style="3" customWidth="1"/>
    <col min="6" max="8" width="8.81640625" style="3"/>
    <col min="9" max="9" width="14.1796875" style="3" customWidth="1"/>
    <col min="10" max="13" width="8.81640625" style="3"/>
    <col min="14" max="14" width="10.54296875" style="3" customWidth="1"/>
    <col min="15" max="15" width="10.36328125" style="3" customWidth="1"/>
    <col min="16" max="16" width="12.453125" style="3" customWidth="1"/>
    <col min="17" max="18" width="8.81640625" style="3"/>
    <col min="19" max="19" width="16.453125" style="3" customWidth="1"/>
    <col min="20" max="21" width="8.81640625" style="3"/>
    <col min="22" max="22" width="9.54296875" style="3" customWidth="1"/>
    <col min="23" max="26" width="8.81640625" style="3"/>
    <col min="27" max="27" width="14" style="3" customWidth="1"/>
    <col min="28" max="33" width="8.81640625" style="3"/>
    <col min="34" max="34" width="13.36328125" style="3" customWidth="1"/>
    <col min="35" max="147" width="8.81640625" style="3"/>
    <col min="148" max="148" width="18.90625" style="3" customWidth="1"/>
    <col min="149" max="16384" width="8.81640625" style="3"/>
  </cols>
  <sheetData>
    <row r="1" spans="1:146" ht="53.5" customHeight="1" x14ac:dyDescent="0.25">
      <c r="A1" s="6" t="s">
        <v>87</v>
      </c>
      <c r="B1" s="8" t="s">
        <v>88</v>
      </c>
      <c r="C1" s="6" t="s">
        <v>86</v>
      </c>
      <c r="D1" s="3" t="s">
        <v>697</v>
      </c>
      <c r="E1" s="3" t="s">
        <v>843</v>
      </c>
      <c r="F1" s="3" t="s">
        <v>12</v>
      </c>
      <c r="G1" s="3" t="s">
        <v>698</v>
      </c>
      <c r="H1" s="3" t="s">
        <v>965</v>
      </c>
      <c r="I1" s="3" t="s">
        <v>9</v>
      </c>
      <c r="J1" s="3" t="s">
        <v>10</v>
      </c>
      <c r="K1" s="3" t="s">
        <v>3</v>
      </c>
      <c r="L1" s="3" t="s">
        <v>11</v>
      </c>
      <c r="M1" s="3" t="s">
        <v>13</v>
      </c>
      <c r="N1" s="3" t="s">
        <v>14</v>
      </c>
      <c r="O1" s="3" t="s">
        <v>31</v>
      </c>
      <c r="P1" s="3" t="s">
        <v>966</v>
      </c>
      <c r="Q1" s="3" t="s">
        <v>906</v>
      </c>
      <c r="R1" s="3" t="s">
        <v>844</v>
      </c>
      <c r="S1" s="3" t="s">
        <v>15</v>
      </c>
      <c r="T1" s="3" t="s">
        <v>967</v>
      </c>
      <c r="U1" s="3" t="s">
        <v>699</v>
      </c>
      <c r="V1" s="3" t="s">
        <v>16</v>
      </c>
      <c r="W1" s="3" t="s">
        <v>907</v>
      </c>
      <c r="X1" s="3" t="s">
        <v>908</v>
      </c>
      <c r="Y1" s="3" t="s">
        <v>909</v>
      </c>
      <c r="Z1" s="3" t="s">
        <v>910</v>
      </c>
      <c r="AA1" s="3" t="s">
        <v>911</v>
      </c>
      <c r="AB1" s="3" t="s">
        <v>968</v>
      </c>
      <c r="AC1" s="3" t="s">
        <v>912</v>
      </c>
      <c r="AD1" s="3" t="s">
        <v>845</v>
      </c>
      <c r="AE1" s="3" t="s">
        <v>17</v>
      </c>
      <c r="AF1" s="3" t="s">
        <v>18</v>
      </c>
      <c r="AG1" s="3" t="s">
        <v>969</v>
      </c>
      <c r="AH1" s="3" t="s">
        <v>846</v>
      </c>
      <c r="AI1" s="3" t="s">
        <v>970</v>
      </c>
      <c r="AJ1" s="3" t="s">
        <v>19</v>
      </c>
      <c r="AK1" s="3" t="s">
        <v>971</v>
      </c>
      <c r="AL1" s="3" t="s">
        <v>146</v>
      </c>
      <c r="AM1" s="3" t="s">
        <v>972</v>
      </c>
      <c r="AN1" s="3" t="s">
        <v>973</v>
      </c>
      <c r="AO1" s="3" t="s">
        <v>974</v>
      </c>
      <c r="AP1" s="3" t="s">
        <v>975</v>
      </c>
      <c r="AQ1" s="3" t="s">
        <v>976</v>
      </c>
      <c r="AR1" s="3" t="s">
        <v>977</v>
      </c>
      <c r="AS1" s="3" t="s">
        <v>978</v>
      </c>
      <c r="AT1" s="3" t="s">
        <v>979</v>
      </c>
      <c r="AU1" s="3" t="s">
        <v>980</v>
      </c>
      <c r="AV1" s="3" t="s">
        <v>981</v>
      </c>
      <c r="AW1" s="3" t="s">
        <v>982</v>
      </c>
      <c r="AX1" s="3" t="s">
        <v>847</v>
      </c>
      <c r="AY1" s="3" t="s">
        <v>147</v>
      </c>
      <c r="AZ1" s="3" t="s">
        <v>148</v>
      </c>
      <c r="BA1" s="3" t="s">
        <v>149</v>
      </c>
      <c r="BB1" s="3" t="s">
        <v>150</v>
      </c>
      <c r="BC1" s="3" t="s">
        <v>700</v>
      </c>
      <c r="BD1" s="3" t="s">
        <v>151</v>
      </c>
      <c r="BE1" s="3" t="s">
        <v>152</v>
      </c>
      <c r="BF1" s="3" t="s">
        <v>153</v>
      </c>
      <c r="BG1" s="3" t="s">
        <v>154</v>
      </c>
      <c r="BH1" s="3" t="s">
        <v>983</v>
      </c>
      <c r="BI1" s="3" t="s">
        <v>984</v>
      </c>
      <c r="BJ1" s="3" t="s">
        <v>985</v>
      </c>
      <c r="BK1" s="3" t="s">
        <v>986</v>
      </c>
      <c r="BL1" s="3" t="s">
        <v>987</v>
      </c>
      <c r="BM1" s="3" t="s">
        <v>988</v>
      </c>
      <c r="BN1" s="3" t="s">
        <v>848</v>
      </c>
      <c r="BO1" s="3" t="s">
        <v>701</v>
      </c>
      <c r="BP1" s="3" t="s">
        <v>155</v>
      </c>
      <c r="BQ1" s="3" t="s">
        <v>849</v>
      </c>
      <c r="BR1" s="3" t="s">
        <v>702</v>
      </c>
      <c r="BS1" s="3" t="s">
        <v>156</v>
      </c>
      <c r="BT1" s="3" t="s">
        <v>989</v>
      </c>
      <c r="BU1" s="3" t="s">
        <v>913</v>
      </c>
      <c r="BV1" s="3" t="s">
        <v>990</v>
      </c>
      <c r="BW1" s="3" t="s">
        <v>250</v>
      </c>
      <c r="BX1" s="3" t="s">
        <v>157</v>
      </c>
      <c r="BY1" s="3" t="s">
        <v>991</v>
      </c>
      <c r="BZ1" s="3" t="s">
        <v>251</v>
      </c>
      <c r="CA1" s="3" t="s">
        <v>158</v>
      </c>
      <c r="CB1" s="3" t="s">
        <v>992</v>
      </c>
      <c r="CC1" s="3" t="s">
        <v>993</v>
      </c>
      <c r="CD1" s="3" t="s">
        <v>994</v>
      </c>
      <c r="CE1" s="3" t="s">
        <v>995</v>
      </c>
      <c r="CF1" s="1" t="s">
        <v>850</v>
      </c>
      <c r="CG1" s="1" t="s">
        <v>851</v>
      </c>
      <c r="CH1" s="1" t="s">
        <v>205</v>
      </c>
      <c r="CI1" s="1" t="s">
        <v>206</v>
      </c>
      <c r="CJ1" s="1" t="s">
        <v>207</v>
      </c>
      <c r="CK1" s="1" t="s">
        <v>208</v>
      </c>
      <c r="CL1" s="1" t="s">
        <v>209</v>
      </c>
      <c r="CM1" s="1" t="s">
        <v>210</v>
      </c>
      <c r="CN1" s="1" t="s">
        <v>211</v>
      </c>
      <c r="CO1" s="1" t="s">
        <v>212</v>
      </c>
      <c r="CP1" s="1" t="s">
        <v>213</v>
      </c>
      <c r="CQ1" s="1" t="s">
        <v>214</v>
      </c>
      <c r="CR1" s="1" t="s">
        <v>996</v>
      </c>
      <c r="CS1" s="1" t="s">
        <v>997</v>
      </c>
      <c r="CT1" s="1" t="s">
        <v>998</v>
      </c>
      <c r="CU1" s="1" t="s">
        <v>999</v>
      </c>
      <c r="CV1" s="1" t="s">
        <v>1000</v>
      </c>
      <c r="CW1" s="1" t="s">
        <v>1001</v>
      </c>
      <c r="CX1" s="3">
        <v>1</v>
      </c>
      <c r="CY1" s="3" t="s">
        <v>1002</v>
      </c>
      <c r="CZ1" s="3" t="s">
        <v>1003</v>
      </c>
      <c r="DA1" s="3">
        <v>3</v>
      </c>
      <c r="DB1" s="3" t="s">
        <v>1004</v>
      </c>
      <c r="DC1" s="3" t="s">
        <v>1005</v>
      </c>
      <c r="DD1" s="3">
        <v>6</v>
      </c>
      <c r="DE1" s="3" t="s">
        <v>1006</v>
      </c>
      <c r="DF1" s="3" t="s">
        <v>1007</v>
      </c>
      <c r="DG1" s="3">
        <v>10</v>
      </c>
      <c r="DH1" s="3" t="s">
        <v>1008</v>
      </c>
      <c r="DI1" s="3" t="s">
        <v>1009</v>
      </c>
      <c r="DJ1" s="3">
        <v>20</v>
      </c>
      <c r="DK1" s="3" t="s">
        <v>1010</v>
      </c>
      <c r="DL1" s="3" t="s">
        <v>215</v>
      </c>
      <c r="DM1" s="3" t="s">
        <v>216</v>
      </c>
      <c r="DN1" s="2" t="s">
        <v>217</v>
      </c>
      <c r="DO1" s="3" t="s">
        <v>1011</v>
      </c>
      <c r="DP1" s="3" t="s">
        <v>1012</v>
      </c>
      <c r="DQ1" s="14" t="s">
        <v>1013</v>
      </c>
      <c r="DR1" s="1" t="s">
        <v>1014</v>
      </c>
      <c r="DS1" s="1" t="s">
        <v>1015</v>
      </c>
      <c r="DT1" s="3" t="s">
        <v>1016</v>
      </c>
      <c r="DU1" s="3" t="s">
        <v>1017</v>
      </c>
      <c r="DV1" s="3" t="s">
        <v>1018</v>
      </c>
      <c r="DW1" s="3" t="s">
        <v>1019</v>
      </c>
      <c r="DX1" s="3" t="s">
        <v>1020</v>
      </c>
      <c r="DY1" s="3" t="s">
        <v>1021</v>
      </c>
      <c r="DZ1" s="3" t="s">
        <v>1022</v>
      </c>
      <c r="EA1" s="3" t="s">
        <v>1023</v>
      </c>
      <c r="EB1" s="3" t="s">
        <v>1024</v>
      </c>
      <c r="EC1" s="3" t="s">
        <v>1025</v>
      </c>
      <c r="ED1" s="3" t="s">
        <v>1026</v>
      </c>
      <c r="EE1" s="3" t="s">
        <v>1027</v>
      </c>
      <c r="EF1" s="3" t="s">
        <v>1028</v>
      </c>
      <c r="EG1" s="3" t="s">
        <v>1029</v>
      </c>
      <c r="EH1" s="3" t="s">
        <v>1030</v>
      </c>
      <c r="EI1" s="3" t="s">
        <v>1031</v>
      </c>
      <c r="EK1" s="15" t="s">
        <v>1032</v>
      </c>
      <c r="EL1" s="3" t="s">
        <v>1033</v>
      </c>
      <c r="EM1" s="3" t="s">
        <v>1034</v>
      </c>
      <c r="EN1" s="3" t="s">
        <v>1035</v>
      </c>
      <c r="EO1" s="3" t="s">
        <v>1036</v>
      </c>
      <c r="EP1" s="3" t="s">
        <v>1037</v>
      </c>
    </row>
    <row r="2" spans="1:146" ht="96" x14ac:dyDescent="0.25">
      <c r="C2" s="7" t="str">
        <f>""&amp;CHAR(10)&amp;Basic_Fundamental_Information_Constructure(F2)&amp;CHAR(10)&amp;Basic_Fundamental_Information_Concatenate("")</f>
        <v xml:space="preserve">
市值222.38373亿, 利润1.22亿; PE33.42; 平均PE39.95; 平均PEG2.59, PB2.02; ROIC3.4433%; ROE6.54%; 股利率.9123%; 毛利12.77%; 净利5.0367%; 上一年度营收增-80.61%, 利润增-81.49%; 当季营收增-59.62%, 利润增-58.99%; 过往5年营收增-15.43%, 利润增-.27%
Income profile:
</v>
      </c>
      <c r="D2" s="3" t="s">
        <v>283</v>
      </c>
      <c r="E2" s="3" t="s">
        <v>284</v>
      </c>
      <c r="F2" s="3">
        <v>14.25</v>
      </c>
      <c r="G2" s="3">
        <v>0.28000000000000003</v>
      </c>
      <c r="H2" s="3" t="s">
        <v>1594</v>
      </c>
      <c r="I2" s="3">
        <v>22238373000</v>
      </c>
      <c r="J2" s="3">
        <v>33.42</v>
      </c>
      <c r="K2" s="3">
        <v>2.02</v>
      </c>
      <c r="L2" s="3" t="s">
        <v>285</v>
      </c>
      <c r="M2" s="3" t="s">
        <v>1595</v>
      </c>
      <c r="N2" s="3" t="s">
        <v>1596</v>
      </c>
      <c r="O2" s="3" t="s">
        <v>1597</v>
      </c>
      <c r="P2" s="3">
        <v>-20.52</v>
      </c>
      <c r="Q2" s="3" t="s">
        <v>1597</v>
      </c>
      <c r="R2" s="3">
        <v>121793822</v>
      </c>
      <c r="S2" s="5">
        <v>0.20569999999999999</v>
      </c>
      <c r="T2" s="3" t="s">
        <v>47</v>
      </c>
      <c r="U2" s="3">
        <v>1559998400</v>
      </c>
      <c r="V2" s="3">
        <v>1560587600</v>
      </c>
      <c r="W2" s="3">
        <v>2.2400000000000002</v>
      </c>
      <c r="X2" s="3">
        <v>0.11</v>
      </c>
      <c r="Y2" s="3">
        <v>5.55</v>
      </c>
      <c r="Z2" s="3" t="s">
        <v>1598</v>
      </c>
      <c r="AA2" s="3" t="s">
        <v>1599</v>
      </c>
      <c r="AB2" s="3" t="s">
        <v>1600</v>
      </c>
      <c r="AC2" s="3" t="s">
        <v>50</v>
      </c>
      <c r="AD2" s="3" t="s">
        <v>4</v>
      </c>
      <c r="AE2" s="3">
        <v>31395698</v>
      </c>
      <c r="AF2" s="3" t="s">
        <v>1601</v>
      </c>
      <c r="AG2" s="3" t="s">
        <v>1602</v>
      </c>
      <c r="AH2" s="3" t="s">
        <v>1603</v>
      </c>
      <c r="AI2" s="3" t="s">
        <v>1604</v>
      </c>
      <c r="AJ2" s="3" t="s">
        <v>1605</v>
      </c>
      <c r="AK2" s="3" t="s">
        <v>1606</v>
      </c>
      <c r="AL2" s="3" t="s">
        <v>1607</v>
      </c>
      <c r="AM2" s="3" t="s">
        <v>4</v>
      </c>
      <c r="AN2" s="3" t="s">
        <v>1574</v>
      </c>
      <c r="AO2" s="3" t="s">
        <v>1608</v>
      </c>
      <c r="AP2" s="3" t="s">
        <v>1038</v>
      </c>
      <c r="AQ2" s="3" t="s">
        <v>1495</v>
      </c>
      <c r="AR2" s="3" t="s">
        <v>1609</v>
      </c>
      <c r="AS2" s="3" t="s">
        <v>1610</v>
      </c>
      <c r="AT2" s="3" t="s">
        <v>1371</v>
      </c>
      <c r="AU2" s="3" t="s">
        <v>842</v>
      </c>
      <c r="AV2" s="3" t="s">
        <v>1611</v>
      </c>
      <c r="AW2" s="3" t="s">
        <v>1262</v>
      </c>
      <c r="AX2" s="3" t="s">
        <v>1118</v>
      </c>
      <c r="AY2" s="3" t="s">
        <v>703</v>
      </c>
      <c r="AZ2" s="3" t="s">
        <v>286</v>
      </c>
      <c r="BA2" s="3" t="s">
        <v>289</v>
      </c>
      <c r="BB2" s="3" t="s">
        <v>290</v>
      </c>
      <c r="BC2" s="3" t="s">
        <v>1119</v>
      </c>
      <c r="BD2" s="3" t="s">
        <v>704</v>
      </c>
      <c r="BE2" s="3" t="s">
        <v>287</v>
      </c>
      <c r="BF2" s="3" t="s">
        <v>274</v>
      </c>
      <c r="BG2" s="3" t="s">
        <v>291</v>
      </c>
      <c r="BH2" s="3" t="s">
        <v>1612</v>
      </c>
      <c r="BI2" s="3" t="s">
        <v>1117</v>
      </c>
      <c r="BJ2" s="3" t="s">
        <v>1118</v>
      </c>
      <c r="BK2" s="3" t="s">
        <v>255</v>
      </c>
      <c r="BL2" s="3" t="s">
        <v>814</v>
      </c>
      <c r="BM2" s="3" t="s">
        <v>1119</v>
      </c>
      <c r="BN2" s="3">
        <v>2.79</v>
      </c>
      <c r="BO2" s="3">
        <v>3.12</v>
      </c>
      <c r="BP2" s="3">
        <v>4.42</v>
      </c>
      <c r="BQ2" s="3">
        <v>4.41</v>
      </c>
      <c r="BR2" s="3">
        <v>6.54</v>
      </c>
      <c r="BS2" s="3">
        <v>8.67</v>
      </c>
      <c r="BT2" s="3" t="s">
        <v>1120</v>
      </c>
      <c r="BU2" s="3" t="s">
        <v>841</v>
      </c>
      <c r="BV2" s="3">
        <v>16.649999999999999</v>
      </c>
      <c r="BW2" s="3">
        <v>12.02</v>
      </c>
      <c r="BX2" s="3">
        <v>9.64</v>
      </c>
      <c r="BY2" s="3">
        <v>5.78</v>
      </c>
      <c r="BZ2" s="3">
        <v>4.2699999999999996</v>
      </c>
      <c r="CA2" s="3">
        <v>5.0599999999999996</v>
      </c>
      <c r="CB2" s="3">
        <v>-5.75</v>
      </c>
      <c r="CC2" s="3">
        <v>9.8699999999999992</v>
      </c>
      <c r="CD2" s="3" t="s">
        <v>1253</v>
      </c>
      <c r="CE2" s="3" t="s">
        <v>482</v>
      </c>
      <c r="CF2" s="10">
        <v>-0.59617620462472554</v>
      </c>
      <c r="CG2" s="11">
        <v>-0.58991979124579119</v>
      </c>
      <c r="CH2" s="10">
        <v>-0.80605536699295044</v>
      </c>
      <c r="CI2" s="10">
        <v>-2.2440556436777115E-2</v>
      </c>
      <c r="CJ2" s="10">
        <v>0.10162353515625</v>
      </c>
      <c r="CK2" s="10">
        <v>0.13180585205554962</v>
      </c>
      <c r="CL2" s="10">
        <v>-0.17663908004760742</v>
      </c>
      <c r="CM2" s="11">
        <v>-0.81487101316452026</v>
      </c>
      <c r="CN2" s="11">
        <v>-0.14967742562294006</v>
      </c>
      <c r="CO2" s="11">
        <v>-9.5682613551616669E-2</v>
      </c>
      <c r="CP2" s="11">
        <v>1.4346591234207153</v>
      </c>
      <c r="CQ2" s="11">
        <v>-0.38782608509063721</v>
      </c>
      <c r="CR2" s="3">
        <v>39.949173053892217</v>
      </c>
      <c r="CS2" s="3">
        <v>2.5883686869622413</v>
      </c>
      <c r="CT2" s="3">
        <v>0.91228070175438603</v>
      </c>
      <c r="CU2" s="10">
        <v>-0.15434112325310706</v>
      </c>
      <c r="CV2" s="11">
        <v>-2.6796028017997743E-3</v>
      </c>
      <c r="CW2" s="3">
        <v>0.06</v>
      </c>
      <c r="CX2" s="3">
        <v>196.38010655737705</v>
      </c>
      <c r="CY2" s="3" t="s">
        <v>1613</v>
      </c>
      <c r="CZ2" s="3">
        <v>-0.15434112325310706</v>
      </c>
      <c r="DA2" s="3">
        <v>65.460035519125682</v>
      </c>
      <c r="DB2" s="3" t="s">
        <v>1614</v>
      </c>
      <c r="DC2" s="3">
        <v>-0.1466240670904517</v>
      </c>
      <c r="DD2" s="3">
        <v>32.730017759562841</v>
      </c>
      <c r="DE2" s="3" t="s">
        <v>1615</v>
      </c>
      <c r="DF2" s="3">
        <v>-0.13582018846273422</v>
      </c>
      <c r="DG2" s="3">
        <v>19.638010655737705</v>
      </c>
      <c r="DH2" s="3" t="s">
        <v>1616</v>
      </c>
      <c r="DI2" s="3">
        <v>-0.12347289860248566</v>
      </c>
      <c r="DJ2" s="3">
        <v>9.8190053278688527</v>
      </c>
      <c r="DK2" s="3" t="s">
        <v>1617</v>
      </c>
      <c r="DL2" s="3">
        <v>-0.10803878627717493</v>
      </c>
      <c r="DM2" s="3">
        <v>122000000</v>
      </c>
      <c r="DN2" s="3">
        <v>-0.15434112325310706</v>
      </c>
      <c r="DO2" s="3">
        <v>23958373000</v>
      </c>
      <c r="DP2" s="3">
        <v>2815141000</v>
      </c>
      <c r="DQ2" s="3">
        <v>16</v>
      </c>
      <c r="DR2" s="3">
        <v>-0.44183508137161848</v>
      </c>
      <c r="DS2" s="3">
        <v>-0.5872401884439914</v>
      </c>
      <c r="DT2" s="12">
        <v>-0.87333333333333341</v>
      </c>
      <c r="DU2" s="3">
        <v>-0.42</v>
      </c>
      <c r="DV2" s="3">
        <v>-1.2933333333333334</v>
      </c>
      <c r="DW2" s="3">
        <v>-6.3681177976952625</v>
      </c>
      <c r="DX2" s="3">
        <v>0.28626945611438287</v>
      </c>
      <c r="DY2" s="3">
        <v>-6.0391196781470997</v>
      </c>
      <c r="DZ2" s="3">
        <v>2159</v>
      </c>
      <c r="EA2" s="3">
        <v>-6.0225914227420922</v>
      </c>
      <c r="EB2" s="3">
        <v>6</v>
      </c>
      <c r="EC2" s="3">
        <v>0.15314744266838978</v>
      </c>
      <c r="ED2" s="3">
        <v>1.4411238433523372</v>
      </c>
      <c r="EE2" s="13">
        <v>6.0015000000000001</v>
      </c>
      <c r="EF2" s="3">
        <v>6.0042</v>
      </c>
      <c r="EG2" s="3">
        <v>18.106269456114383</v>
      </c>
      <c r="EH2" s="3" t="s">
        <v>1588</v>
      </c>
      <c r="EI2" s="3">
        <v>0</v>
      </c>
      <c r="EJ2" s="3">
        <v>0</v>
      </c>
      <c r="EK2" s="15">
        <v>45470</v>
      </c>
      <c r="EL2" s="16">
        <v>-2.0499999999999998</v>
      </c>
      <c r="EM2" s="16">
        <v>-3.14</v>
      </c>
      <c r="EN2" s="16">
        <v>-3.45</v>
      </c>
      <c r="EO2" s="16">
        <v>3.01</v>
      </c>
      <c r="EP2" s="16">
        <v>0.27</v>
      </c>
    </row>
    <row r="3" spans="1:146" ht="96" x14ac:dyDescent="0.25">
      <c r="A3" s="3"/>
      <c r="B3" s="3"/>
      <c r="C3" s="7" t="str">
        <f>""&amp;CHAR(10)&amp;Basic_Fundamental_Information_Constructure(F3)&amp;CHAR(10)&amp;Basic_Fundamental_Information_Concatenate("")</f>
        <v xml:space="preserve">
市值50.270992亿, 利润-822.94万; PE52.98; 平均PE45.35; 平均PEG4.29, PB2.45; ROIC19.9833%; ROE14.895%; 股利率.9321%; 毛利18.11%; 净利6.3033%; 上一年度营收增-82.61%, 利润增-104.18%; 当季营收增-59.51%, 利润增-112.5%; 过往5年营收增10.57%, 利润增194.82%
Income profile:
</v>
      </c>
      <c r="D3" s="3" t="s">
        <v>1104</v>
      </c>
      <c r="E3" s="3" t="s">
        <v>1105</v>
      </c>
      <c r="F3" s="3">
        <v>35.53</v>
      </c>
      <c r="G3" s="3">
        <v>-0.06</v>
      </c>
      <c r="H3" s="3" t="s">
        <v>1618</v>
      </c>
      <c r="I3" s="3">
        <v>5027099200</v>
      </c>
      <c r="J3" s="3">
        <v>52.98</v>
      </c>
      <c r="K3" s="3">
        <v>2.4500000000000002</v>
      </c>
      <c r="L3" s="3" t="s">
        <v>285</v>
      </c>
      <c r="M3" s="3" t="s">
        <v>1175</v>
      </c>
      <c r="N3" s="3" t="s">
        <v>1619</v>
      </c>
      <c r="O3" s="3" t="s">
        <v>948</v>
      </c>
      <c r="P3" s="5">
        <v>8.0399999999999991</v>
      </c>
      <c r="Q3" s="3" t="s">
        <v>948</v>
      </c>
      <c r="R3" s="3">
        <v>-8229358</v>
      </c>
      <c r="S3" s="3">
        <v>-1.32</v>
      </c>
      <c r="T3" s="3" t="s">
        <v>1620</v>
      </c>
      <c r="U3" s="3">
        <v>51763654</v>
      </c>
      <c r="V3" s="3">
        <v>141488860</v>
      </c>
      <c r="W3" s="3">
        <v>1.46</v>
      </c>
      <c r="X3" s="3">
        <v>0.16</v>
      </c>
      <c r="Y3" s="3">
        <v>-1.78</v>
      </c>
      <c r="Z3" s="3" t="s">
        <v>1416</v>
      </c>
      <c r="AA3" s="3" t="s">
        <v>364</v>
      </c>
      <c r="AB3" s="3" t="s">
        <v>1621</v>
      </c>
      <c r="AC3" s="3" t="s">
        <v>1622</v>
      </c>
      <c r="AD3" s="3" t="s">
        <v>4</v>
      </c>
      <c r="AE3" s="3">
        <v>-1123832</v>
      </c>
      <c r="AF3" s="3" t="s">
        <v>1623</v>
      </c>
      <c r="AG3" s="3" t="s">
        <v>1624</v>
      </c>
      <c r="AH3" s="3" t="s">
        <v>1625</v>
      </c>
      <c r="AI3" s="3" t="s">
        <v>1626</v>
      </c>
      <c r="AJ3" s="3" t="s">
        <v>1627</v>
      </c>
      <c r="AK3" s="3" t="s">
        <v>1628</v>
      </c>
      <c r="AL3" s="3" t="s">
        <v>1629</v>
      </c>
      <c r="AM3" s="3" t="s">
        <v>4</v>
      </c>
      <c r="AN3" s="3" t="s">
        <v>1630</v>
      </c>
      <c r="AO3" s="3" t="s">
        <v>1631</v>
      </c>
      <c r="AP3" s="3" t="s">
        <v>1632</v>
      </c>
      <c r="AQ3" s="3" t="s">
        <v>185</v>
      </c>
      <c r="AR3" s="3" t="s">
        <v>4</v>
      </c>
      <c r="AS3" s="3" t="s">
        <v>1633</v>
      </c>
      <c r="AT3" s="3" t="s">
        <v>4</v>
      </c>
      <c r="AU3" s="3" t="s">
        <v>1536</v>
      </c>
      <c r="AV3" s="3" t="s">
        <v>1634</v>
      </c>
      <c r="AW3" s="3" t="s">
        <v>1635</v>
      </c>
      <c r="AX3" s="3" t="s">
        <v>1122</v>
      </c>
      <c r="AY3" s="3" t="s">
        <v>1125</v>
      </c>
      <c r="AZ3" s="3" t="s">
        <v>1126</v>
      </c>
      <c r="BA3" s="3" t="s">
        <v>1127</v>
      </c>
      <c r="BB3" s="3" t="s">
        <v>1128</v>
      </c>
      <c r="BC3" s="3" t="s">
        <v>1123</v>
      </c>
      <c r="BD3" s="3" t="s">
        <v>42</v>
      </c>
      <c r="BE3" s="3" t="s">
        <v>1129</v>
      </c>
      <c r="BF3" s="3" t="s">
        <v>1130</v>
      </c>
      <c r="BG3" s="3" t="s">
        <v>1131</v>
      </c>
      <c r="BH3" s="3" t="s">
        <v>1636</v>
      </c>
      <c r="BI3" s="3" t="s">
        <v>1121</v>
      </c>
      <c r="BJ3" s="3" t="s">
        <v>1122</v>
      </c>
      <c r="BK3" s="3" t="s">
        <v>35</v>
      </c>
      <c r="BL3" s="3" t="s">
        <v>1358</v>
      </c>
      <c r="BM3" s="3" t="s">
        <v>1123</v>
      </c>
      <c r="BN3" s="3">
        <v>5.08</v>
      </c>
      <c r="BO3" s="3">
        <v>20.22</v>
      </c>
      <c r="BP3" s="3">
        <v>34.65</v>
      </c>
      <c r="BQ3" s="3">
        <v>5.35</v>
      </c>
      <c r="BR3" s="3">
        <v>24.44</v>
      </c>
      <c r="BS3" s="3" t="s">
        <v>4</v>
      </c>
      <c r="BT3" s="3" t="s">
        <v>1637</v>
      </c>
      <c r="BU3" s="3" t="s">
        <v>841</v>
      </c>
      <c r="BV3" s="3">
        <v>17.82</v>
      </c>
      <c r="BW3" s="3">
        <v>19.350000000000001</v>
      </c>
      <c r="BX3" s="3">
        <v>17.16</v>
      </c>
      <c r="BY3" s="3">
        <v>4.96</v>
      </c>
      <c r="BZ3" s="3">
        <v>7.25</v>
      </c>
      <c r="CA3" s="3">
        <v>6.7</v>
      </c>
      <c r="CB3" s="3">
        <v>-7.55</v>
      </c>
      <c r="CC3" s="1">
        <v>-20.39</v>
      </c>
      <c r="CD3" s="1" t="s">
        <v>1638</v>
      </c>
      <c r="CE3" s="1" t="s">
        <v>1111</v>
      </c>
      <c r="CF3" s="10">
        <v>-0.59509721048182584</v>
      </c>
      <c r="CG3" s="11">
        <v>-1.125016072578783</v>
      </c>
      <c r="CH3" s="10">
        <v>-0.82607114315032959</v>
      </c>
      <c r="CI3" s="10">
        <v>-0.18808965384960175</v>
      </c>
      <c r="CJ3" s="10">
        <v>0.7749868631362915</v>
      </c>
      <c r="CK3" s="10">
        <v>0.72317421436309814</v>
      </c>
      <c r="CL3" s="10">
        <v>4.4256061315536499E-2</v>
      </c>
      <c r="CM3" s="11">
        <v>-1.0417736768722534</v>
      </c>
      <c r="CN3" s="11">
        <v>-0.13215859234333038</v>
      </c>
      <c r="CO3" s="11">
        <v>0.22702702879905701</v>
      </c>
      <c r="CP3" s="11">
        <v>2.1789510250091553</v>
      </c>
      <c r="CQ3" s="11">
        <v>8.508880615234375</v>
      </c>
      <c r="CR3" s="1">
        <v>45.351421019236611</v>
      </c>
      <c r="CS3" s="1">
        <v>4.2925581227683134</v>
      </c>
      <c r="CT3" s="3">
        <v>0.93206980016887131</v>
      </c>
      <c r="CU3" s="10">
        <v>0.10565126836299896</v>
      </c>
      <c r="CV3" s="11">
        <v>1.9481852799654007</v>
      </c>
      <c r="CW3" s="3">
        <v>0.06</v>
      </c>
      <c r="CX3" s="3" t="e">
        <v>#VALUE!</v>
      </c>
      <c r="CY3" s="3" t="s">
        <v>855</v>
      </c>
      <c r="CZ3" s="3">
        <v>0.10565126836299896</v>
      </c>
      <c r="DA3" s="3" t="e">
        <v>#VALUE!</v>
      </c>
      <c r="DB3" s="3" t="s">
        <v>853</v>
      </c>
      <c r="DC3" s="3">
        <v>0.10036870494484901</v>
      </c>
      <c r="DD3" s="3" t="e">
        <v>#VALUE!</v>
      </c>
      <c r="DE3" s="3" t="s">
        <v>853</v>
      </c>
      <c r="DF3" s="3">
        <v>9.2973116159439081E-2</v>
      </c>
      <c r="DG3" s="3" t="e">
        <v>#VALUE!</v>
      </c>
      <c r="DH3" s="3" t="s">
        <v>853</v>
      </c>
      <c r="DI3" s="3">
        <v>8.4521014690399174E-2</v>
      </c>
      <c r="DJ3" s="3" t="e">
        <v>#VALUE!</v>
      </c>
      <c r="DK3" s="3" t="s">
        <v>853</v>
      </c>
      <c r="DL3" s="3">
        <v>7.3955887854099261E-2</v>
      </c>
      <c r="DM3" s="3">
        <v>-8229400.0000000009</v>
      </c>
      <c r="DN3" s="3">
        <v>0.10565126836299896</v>
      </c>
      <c r="DO3" s="3">
        <v>3739099200</v>
      </c>
      <c r="DP3" s="3">
        <v>1535717300</v>
      </c>
      <c r="DQ3" s="12">
        <v>485</v>
      </c>
      <c r="DR3" s="3">
        <v>-0.70074847884482483</v>
      </c>
      <c r="DS3" s="3">
        <v>-3.0732013525441837</v>
      </c>
      <c r="DT3" s="3">
        <v>-0.42333333333333334</v>
      </c>
      <c r="DU3" s="3">
        <v>-0.69450000000000012</v>
      </c>
      <c r="DV3" s="3">
        <v>-1.1178333333333335</v>
      </c>
      <c r="DW3" s="3">
        <v>-9.3702795487984307</v>
      </c>
      <c r="DX3" s="3">
        <v>0.28835833333333238</v>
      </c>
      <c r="DY3" s="3">
        <v>-9.0253116928232799</v>
      </c>
      <c r="DZ3" s="3">
        <v>1899</v>
      </c>
      <c r="EA3" s="3">
        <v>-9.0159052535529458</v>
      </c>
      <c r="EB3" s="13">
        <v>9</v>
      </c>
      <c r="EC3" s="13">
        <v>8.6964443702493607E-2</v>
      </c>
      <c r="ED3" s="3">
        <v>1.2721849621235197</v>
      </c>
      <c r="EE3" s="3">
        <v>-3.0123099999999998</v>
      </c>
      <c r="EF3" s="3">
        <v>-3.0235099999999999</v>
      </c>
      <c r="EG3" s="3">
        <v>22.068358333333332</v>
      </c>
      <c r="EH3" s="15" t="s">
        <v>1639</v>
      </c>
      <c r="EI3" s="16">
        <v>0</v>
      </c>
      <c r="EJ3" s="16">
        <v>0</v>
      </c>
      <c r="EK3" s="16">
        <v>45470</v>
      </c>
      <c r="EL3" s="16">
        <v>-1.01</v>
      </c>
      <c r="EM3" s="16">
        <v>-4.7</v>
      </c>
      <c r="EN3" s="16">
        <v>0.21</v>
      </c>
      <c r="EO3" s="16">
        <v>2.42</v>
      </c>
      <c r="EP3" s="16">
        <v>-1.1200000000000001</v>
      </c>
    </row>
    <row r="4" spans="1:146" ht="132" x14ac:dyDescent="0.25">
      <c r="A4" s="7" t="s">
        <v>903</v>
      </c>
      <c r="C4" s="7" t="s">
        <v>902</v>
      </c>
      <c r="D4" s="3" t="s">
        <v>292</v>
      </c>
      <c r="E4" s="3" t="s">
        <v>293</v>
      </c>
      <c r="F4" s="3">
        <v>12.16</v>
      </c>
      <c r="G4" s="3">
        <v>-0.25</v>
      </c>
      <c r="H4" s="3" t="s">
        <v>1640</v>
      </c>
      <c r="I4" s="3">
        <v>6908130400</v>
      </c>
      <c r="J4" s="3">
        <v>18.05</v>
      </c>
      <c r="K4" s="3">
        <v>1.74</v>
      </c>
      <c r="L4" s="3" t="s">
        <v>285</v>
      </c>
      <c r="M4" s="3" t="s">
        <v>1533</v>
      </c>
      <c r="N4" s="3" t="s">
        <v>1641</v>
      </c>
      <c r="O4" s="3" t="s">
        <v>964</v>
      </c>
      <c r="P4" s="3">
        <v>16.78</v>
      </c>
      <c r="Q4" s="3" t="s">
        <v>964</v>
      </c>
      <c r="R4" s="3">
        <v>104500000</v>
      </c>
      <c r="S4" s="5">
        <v>3.0790000000000002</v>
      </c>
      <c r="T4" s="3" t="s">
        <v>1642</v>
      </c>
      <c r="U4" s="3">
        <v>467733660</v>
      </c>
      <c r="V4" s="3">
        <v>568102830</v>
      </c>
      <c r="W4" s="3">
        <v>1.81</v>
      </c>
      <c r="X4" s="3">
        <v>0.18</v>
      </c>
      <c r="Y4" s="3">
        <v>2.31</v>
      </c>
      <c r="Z4" s="3" t="s">
        <v>1643</v>
      </c>
      <c r="AA4" s="3" t="s">
        <v>1644</v>
      </c>
      <c r="AB4" s="3" t="s">
        <v>1645</v>
      </c>
      <c r="AC4" s="3" t="s">
        <v>1646</v>
      </c>
      <c r="AD4" s="3" t="s">
        <v>4</v>
      </c>
      <c r="AE4" s="3">
        <v>-21923084</v>
      </c>
      <c r="AF4" s="3" t="s">
        <v>1647</v>
      </c>
      <c r="AG4" s="3" t="s">
        <v>1648</v>
      </c>
      <c r="AH4" s="3" t="s">
        <v>1649</v>
      </c>
      <c r="AI4" s="3" t="s">
        <v>1650</v>
      </c>
      <c r="AJ4" s="3" t="s">
        <v>1651</v>
      </c>
      <c r="AK4" s="3" t="s">
        <v>1652</v>
      </c>
      <c r="AL4" s="3" t="s">
        <v>1653</v>
      </c>
      <c r="AM4" s="3" t="s">
        <v>4</v>
      </c>
      <c r="AN4" s="3" t="s">
        <v>1654</v>
      </c>
      <c r="AO4" s="3" t="s">
        <v>1655</v>
      </c>
      <c r="AP4" s="3" t="s">
        <v>107</v>
      </c>
      <c r="AQ4" s="3" t="s">
        <v>1656</v>
      </c>
      <c r="AR4" s="3" t="s">
        <v>1657</v>
      </c>
      <c r="AS4" s="3" t="s">
        <v>1658</v>
      </c>
      <c r="AT4" s="3" t="s">
        <v>932</v>
      </c>
      <c r="AU4" s="3" t="s">
        <v>1659</v>
      </c>
      <c r="AV4" s="3" t="s">
        <v>1458</v>
      </c>
      <c r="AW4" s="3" t="s">
        <v>1660</v>
      </c>
      <c r="AX4" s="3" t="s">
        <v>1132</v>
      </c>
      <c r="AY4" s="3" t="s">
        <v>705</v>
      </c>
      <c r="AZ4" s="3" t="s">
        <v>294</v>
      </c>
      <c r="BA4" s="3" t="s">
        <v>295</v>
      </c>
      <c r="BB4" s="3" t="s">
        <v>296</v>
      </c>
      <c r="BC4" s="3" t="s">
        <v>243</v>
      </c>
      <c r="BD4" s="3" t="s">
        <v>706</v>
      </c>
      <c r="BE4" s="3" t="s">
        <v>161</v>
      </c>
      <c r="BF4" s="3" t="s">
        <v>233</v>
      </c>
      <c r="BG4" s="3" t="s">
        <v>297</v>
      </c>
      <c r="BH4" s="3" t="s">
        <v>1661</v>
      </c>
      <c r="BI4" s="3" t="s">
        <v>828</v>
      </c>
      <c r="BJ4" s="3" t="s">
        <v>1132</v>
      </c>
      <c r="BK4" s="3" t="s">
        <v>225</v>
      </c>
      <c r="BL4" s="3" t="s">
        <v>1360</v>
      </c>
      <c r="BM4" s="3" t="s">
        <v>243</v>
      </c>
      <c r="BN4" s="3">
        <v>7.84</v>
      </c>
      <c r="BO4" s="3">
        <v>6.17</v>
      </c>
      <c r="BP4" s="3">
        <v>3.17</v>
      </c>
      <c r="BQ4" s="3">
        <v>13.61</v>
      </c>
      <c r="BR4" s="3">
        <v>8.61</v>
      </c>
      <c r="BS4" s="3">
        <v>2</v>
      </c>
      <c r="BT4" s="3" t="s">
        <v>1043</v>
      </c>
      <c r="BU4" s="3" t="s">
        <v>916</v>
      </c>
      <c r="BV4" s="3">
        <v>15.06</v>
      </c>
      <c r="BW4" s="3">
        <v>12.3</v>
      </c>
      <c r="BX4" s="3">
        <v>10.02</v>
      </c>
      <c r="BY4" s="3">
        <v>6.08</v>
      </c>
      <c r="BZ4" s="3">
        <v>2.99</v>
      </c>
      <c r="CA4" s="3">
        <v>0.83</v>
      </c>
      <c r="CB4" s="3">
        <v>-10.79</v>
      </c>
      <c r="CC4" s="3">
        <v>0</v>
      </c>
      <c r="CD4" s="3" t="s">
        <v>96</v>
      </c>
      <c r="CE4" s="3" t="s">
        <v>1135</v>
      </c>
      <c r="CF4" s="10">
        <v>-0.49199359487590072</v>
      </c>
      <c r="CG4" s="11">
        <v>0.62265316991896047</v>
      </c>
      <c r="CH4" s="10">
        <v>-0.78828835487365723</v>
      </c>
      <c r="CI4" s="10">
        <v>0.24485976994037628</v>
      </c>
      <c r="CJ4" s="10">
        <v>0.13187585771083832</v>
      </c>
      <c r="CK4" s="10">
        <v>-4.3184883892536163E-2</v>
      </c>
      <c r="CL4" s="10">
        <v>9.9950589239597321E-2</v>
      </c>
      <c r="CM4" s="11">
        <v>-0.83612358570098877</v>
      </c>
      <c r="CN4" s="11">
        <v>3.4348328113555908</v>
      </c>
      <c r="CO4" s="11">
        <v>-0.78536468744277954</v>
      </c>
      <c r="CP4" s="11">
        <v>-0.47025495767593384</v>
      </c>
      <c r="CQ4" s="11">
        <v>2.6118721961975098</v>
      </c>
      <c r="CR4" s="3">
        <v>72.933813918819908</v>
      </c>
      <c r="CS4" s="3">
        <v>10.278534644995812</v>
      </c>
      <c r="CT4" s="3">
        <v>0</v>
      </c>
      <c r="CU4" s="10">
        <v>-7.0957404375076291E-2</v>
      </c>
      <c r="CV4" s="11">
        <v>0.79099235534667967</v>
      </c>
      <c r="CW4" s="3">
        <v>0.06</v>
      </c>
      <c r="CX4" s="3">
        <v>204.97533081933494</v>
      </c>
      <c r="CY4" s="3" t="s">
        <v>1662</v>
      </c>
      <c r="CZ4" s="3">
        <v>-7.0957404375076291E-2</v>
      </c>
      <c r="DA4" s="3">
        <v>68.325110273111648</v>
      </c>
      <c r="DB4" s="3" t="s">
        <v>1663</v>
      </c>
      <c r="DC4" s="3">
        <v>-6.7409534156322476E-2</v>
      </c>
      <c r="DD4" s="3">
        <v>34.162555136555824</v>
      </c>
      <c r="DE4" s="3" t="s">
        <v>1664</v>
      </c>
      <c r="DF4" s="3">
        <v>-6.2442515850067139E-2</v>
      </c>
      <c r="DG4" s="3">
        <v>20.497533081933494</v>
      </c>
      <c r="DH4" s="3" t="s">
        <v>1665</v>
      </c>
      <c r="DI4" s="3">
        <v>-5.6765923500061037E-2</v>
      </c>
      <c r="DJ4" s="3">
        <v>10.248766540966747</v>
      </c>
      <c r="DK4" s="3" t="s">
        <v>1666</v>
      </c>
      <c r="DL4" s="3">
        <v>-4.96701830625534E-2</v>
      </c>
      <c r="DM4" s="3">
        <v>29170000</v>
      </c>
      <c r="DN4" s="3">
        <v>-7.0957404375076291E-2</v>
      </c>
      <c r="DO4" s="3">
        <v>5979130400</v>
      </c>
      <c r="DP4" s="3">
        <v>1963604000</v>
      </c>
      <c r="DQ4" s="3">
        <v>563</v>
      </c>
      <c r="DR4" s="3">
        <v>-0.42103619050082441</v>
      </c>
      <c r="DS4" s="3">
        <v>-0.1683391854277192</v>
      </c>
      <c r="DT4" s="12">
        <v>-0.62333333333333341</v>
      </c>
      <c r="DU4" s="3">
        <v>0.46499999999999986</v>
      </c>
      <c r="DV4" s="3">
        <v>-0.15833333333333355</v>
      </c>
      <c r="DW4" s="3">
        <v>-5</v>
      </c>
      <c r="DX4" s="3">
        <v>0.37449877750611293</v>
      </c>
      <c r="DY4" s="3">
        <v>-5</v>
      </c>
      <c r="DZ4" s="3">
        <v>214</v>
      </c>
      <c r="EA4" s="3">
        <v>-5</v>
      </c>
      <c r="EB4" s="3">
        <v>5</v>
      </c>
      <c r="EC4" s="3">
        <v>0.17602447078110842</v>
      </c>
      <c r="ED4" s="3">
        <v>0.71994008549473343</v>
      </c>
      <c r="EE4" s="13">
        <v>-3.0853000000000002</v>
      </c>
      <c r="EF4" s="3">
        <v>-3.0682999999999998</v>
      </c>
      <c r="EG4" s="3">
        <v>13.244498777506113</v>
      </c>
      <c r="EH4" s="3" t="s">
        <v>1160</v>
      </c>
      <c r="EI4" s="3">
        <v>0</v>
      </c>
      <c r="EJ4" s="3">
        <v>1</v>
      </c>
      <c r="EK4" s="15">
        <v>45470</v>
      </c>
      <c r="EL4" s="16">
        <v>3</v>
      </c>
      <c r="EM4" s="16">
        <v>-3.54</v>
      </c>
      <c r="EN4" s="16">
        <v>4.8099999999999996</v>
      </c>
      <c r="EO4" s="16">
        <v>5.37</v>
      </c>
      <c r="EP4" s="16">
        <v>-1.7</v>
      </c>
    </row>
    <row r="5" spans="1:146" ht="96" x14ac:dyDescent="0.25">
      <c r="C5" s="7" t="str">
        <f>""&amp;CHAR(10)&amp;Basic_Fundamental_Information_Constructure(F5)&amp;CHAR(10)&amp;Basic_Fundamental_Information_Concatenate("")</f>
        <v xml:space="preserve">
市值40.500831亿, 利润-2715.93万; PE; 平均PE-16; 平均PEG-1.01, PB1.57; ROIC-7.21%; ROE-14.5733%; 股利率0%; 毛利15.0833%; 净利-6.5067%; 上一年度营收增-83.24%, 利润增89.39%; 当季营收增-61.41%, 利润增-487.98%; 过往5年营收增-15.82%, 利润增-55.46%
Income profile:
</v>
      </c>
      <c r="D5" s="3" t="s">
        <v>299</v>
      </c>
      <c r="E5" s="3" t="s">
        <v>300</v>
      </c>
      <c r="F5" s="3">
        <v>6.7</v>
      </c>
      <c r="G5" s="3">
        <v>1.67</v>
      </c>
      <c r="H5" s="3" t="s">
        <v>1667</v>
      </c>
      <c r="I5" s="3">
        <v>4050083100</v>
      </c>
      <c r="K5" s="3">
        <v>1.57</v>
      </c>
      <c r="L5" s="3" t="s">
        <v>285</v>
      </c>
      <c r="M5" s="3" t="s">
        <v>1668</v>
      </c>
      <c r="N5" s="3" t="s">
        <v>1669</v>
      </c>
      <c r="O5" s="3" t="s">
        <v>1670</v>
      </c>
      <c r="P5" s="3">
        <v>-27.98</v>
      </c>
      <c r="Q5" s="3" t="s">
        <v>1670</v>
      </c>
      <c r="R5" s="3">
        <v>-27159326</v>
      </c>
      <c r="S5" s="5">
        <v>0.30609999999999998</v>
      </c>
      <c r="T5" s="3" t="s">
        <v>1671</v>
      </c>
      <c r="U5" s="3">
        <v>589330250</v>
      </c>
      <c r="V5" s="3">
        <v>604490020</v>
      </c>
      <c r="W5" s="3">
        <v>3.13</v>
      </c>
      <c r="X5" s="3">
        <v>0.17</v>
      </c>
      <c r="Y5" s="3">
        <v>-4.6100000000000003</v>
      </c>
      <c r="Z5" s="3" t="s">
        <v>1478</v>
      </c>
      <c r="AA5" s="3" t="s">
        <v>1672</v>
      </c>
      <c r="AB5" s="3" t="s">
        <v>1673</v>
      </c>
      <c r="AC5" s="3" t="s">
        <v>1674</v>
      </c>
      <c r="AD5" s="3" t="s">
        <v>4</v>
      </c>
      <c r="AE5" s="3">
        <v>53496731</v>
      </c>
      <c r="AF5" s="3" t="s">
        <v>1675</v>
      </c>
      <c r="AG5" s="3" t="s">
        <v>1676</v>
      </c>
      <c r="AH5" s="3" t="s">
        <v>1677</v>
      </c>
      <c r="AI5" s="3" t="s">
        <v>49</v>
      </c>
      <c r="AJ5" s="3" t="s">
        <v>1678</v>
      </c>
      <c r="AK5" s="3" t="s">
        <v>1679</v>
      </c>
      <c r="AL5" s="3" t="s">
        <v>1680</v>
      </c>
      <c r="AM5" s="3" t="s">
        <v>4</v>
      </c>
      <c r="AN5" s="3" t="s">
        <v>1681</v>
      </c>
      <c r="AO5" s="3" t="s">
        <v>429</v>
      </c>
      <c r="AP5" s="3" t="s">
        <v>24</v>
      </c>
      <c r="AQ5" s="3" t="s">
        <v>1682</v>
      </c>
      <c r="AR5" s="3" t="s">
        <v>4</v>
      </c>
      <c r="AS5" s="3" t="s">
        <v>1683</v>
      </c>
      <c r="AT5" s="3" t="s">
        <v>127</v>
      </c>
      <c r="AU5" s="3" t="s">
        <v>1684</v>
      </c>
      <c r="AV5" s="3" t="s">
        <v>139</v>
      </c>
      <c r="AW5" s="3" t="s">
        <v>1685</v>
      </c>
      <c r="AX5" s="3" t="s">
        <v>1134</v>
      </c>
      <c r="AY5" s="3" t="s">
        <v>707</v>
      </c>
      <c r="AZ5" s="3" t="s">
        <v>301</v>
      </c>
      <c r="BA5" s="3" t="s">
        <v>302</v>
      </c>
      <c r="BB5" s="3" t="s">
        <v>303</v>
      </c>
      <c r="BC5" s="3" t="s">
        <v>383</v>
      </c>
      <c r="BD5" s="3" t="s">
        <v>1524</v>
      </c>
      <c r="BE5" s="3" t="s">
        <v>1686</v>
      </c>
      <c r="BF5" s="3" t="s">
        <v>304</v>
      </c>
      <c r="BG5" s="3" t="s">
        <v>232</v>
      </c>
      <c r="BH5" s="3" t="s">
        <v>1687</v>
      </c>
      <c r="BI5" s="3" t="s">
        <v>471</v>
      </c>
      <c r="BJ5" s="3" t="s">
        <v>1134</v>
      </c>
      <c r="BK5" s="3" t="s">
        <v>1424</v>
      </c>
      <c r="BL5" s="3" t="s">
        <v>1365</v>
      </c>
      <c r="BM5" s="3" t="s">
        <v>383</v>
      </c>
      <c r="BN5" s="3">
        <v>-7.21</v>
      </c>
      <c r="BO5" s="3" t="s">
        <v>4</v>
      </c>
      <c r="BP5" s="3" t="s">
        <v>4</v>
      </c>
      <c r="BQ5" s="3">
        <v>0.28999999999999998</v>
      </c>
      <c r="BR5" s="3">
        <v>-8.64</v>
      </c>
      <c r="BS5" s="3">
        <v>-35.369999999999997</v>
      </c>
      <c r="BT5" s="3" t="s">
        <v>1043</v>
      </c>
      <c r="BU5" s="3" t="s">
        <v>841</v>
      </c>
      <c r="BV5" s="3">
        <v>17.77</v>
      </c>
      <c r="BW5" s="3">
        <v>14.29</v>
      </c>
      <c r="BX5" s="3">
        <v>13.19</v>
      </c>
      <c r="BY5" s="3">
        <v>-5.21</v>
      </c>
      <c r="BZ5" s="3">
        <v>-3.98</v>
      </c>
      <c r="CA5" s="3">
        <v>-10.33</v>
      </c>
      <c r="CB5" s="3">
        <v>-0.45</v>
      </c>
      <c r="CC5" s="3">
        <v>5.68</v>
      </c>
      <c r="CD5" s="3" t="s">
        <v>117</v>
      </c>
      <c r="CE5" s="3" t="s">
        <v>1688</v>
      </c>
      <c r="CF5" s="10">
        <v>-0.61412882160878601</v>
      </c>
      <c r="CG5" s="11">
        <v>-4.8798482878816021</v>
      </c>
      <c r="CH5" s="10">
        <v>-0.8323662281036377</v>
      </c>
      <c r="CI5" s="10">
        <v>2.2143140435218811E-2</v>
      </c>
      <c r="CJ5" s="10">
        <v>4.3316803872585297E-2</v>
      </c>
      <c r="CK5" s="10">
        <v>-2.858671173453331E-2</v>
      </c>
      <c r="CL5" s="10">
        <v>4.2929970659315586E-3</v>
      </c>
      <c r="CM5" s="11">
        <v>0.89390897750854492</v>
      </c>
      <c r="CN5" s="11">
        <v>0.61153262853622437</v>
      </c>
      <c r="CO5" s="11">
        <v>-1.6047431230545044</v>
      </c>
      <c r="CP5" s="11">
        <v>0.56752139329910278</v>
      </c>
      <c r="CQ5" s="11">
        <v>-3.2413792610168457</v>
      </c>
      <c r="CR5" s="3">
        <v>-15.996017402519934</v>
      </c>
      <c r="CS5" s="3">
        <v>-1.0108706669340926</v>
      </c>
      <c r="CT5" s="3">
        <v>0</v>
      </c>
      <c r="CU5" s="10">
        <v>-0.15823999969288707</v>
      </c>
      <c r="CV5" s="11">
        <v>-0.55463187694549565</v>
      </c>
      <c r="CW5" s="3">
        <v>0.06</v>
      </c>
      <c r="CX5" s="3" t="e">
        <v>#VALUE!</v>
      </c>
      <c r="CY5" s="3" t="s">
        <v>855</v>
      </c>
      <c r="CZ5" s="3">
        <v>-0.15823999969288707</v>
      </c>
      <c r="DA5" s="3" t="e">
        <v>#VALUE!</v>
      </c>
      <c r="DB5" s="3" t="s">
        <v>853</v>
      </c>
      <c r="DC5" s="3">
        <v>-0.1503279997082427</v>
      </c>
      <c r="DD5" s="3" t="e">
        <v>#VALUE!</v>
      </c>
      <c r="DE5" s="3" t="s">
        <v>853</v>
      </c>
      <c r="DF5" s="3">
        <v>-0.13925119972974062</v>
      </c>
      <c r="DG5" s="3" t="e">
        <v>#VALUE!</v>
      </c>
      <c r="DH5" s="3" t="s">
        <v>853</v>
      </c>
      <c r="DI5" s="3">
        <v>-0.12659199975430965</v>
      </c>
      <c r="DJ5" s="3" t="e">
        <v>#VALUE!</v>
      </c>
      <c r="DK5" s="3" t="s">
        <v>853</v>
      </c>
      <c r="DL5" s="3">
        <v>-0.11076799978502094</v>
      </c>
      <c r="DM5" s="3">
        <v>-27159300</v>
      </c>
      <c r="DN5" s="3">
        <v>-0.15823999969288707</v>
      </c>
      <c r="DO5" s="3">
        <v>6957083100</v>
      </c>
      <c r="DP5" s="3">
        <v>599974000.00000048</v>
      </c>
      <c r="DQ5" s="3">
        <v>573</v>
      </c>
      <c r="DR5" s="3">
        <v>-0.45588882191589897</v>
      </c>
      <c r="DS5" s="3">
        <v>-4.3252164109361066</v>
      </c>
      <c r="DT5" s="12">
        <v>-0.77333333333333332</v>
      </c>
      <c r="DU5" s="3">
        <v>-2.6983333333333328</v>
      </c>
      <c r="DV5" s="3">
        <v>-3.4716666666666662</v>
      </c>
      <c r="DW5" s="3">
        <v>1.0568</v>
      </c>
      <c r="DX5" s="3">
        <v>0.35553427387634656</v>
      </c>
      <c r="DY5" s="3">
        <v>1.0094023467561766</v>
      </c>
      <c r="DZ5" s="3">
        <v>4632</v>
      </c>
      <c r="EA5" s="3">
        <v>1.0008795150194623</v>
      </c>
      <c r="EB5" s="3">
        <v>1</v>
      </c>
      <c r="EC5" s="3">
        <v>0.44334892410630705</v>
      </c>
      <c r="ED5" s="3">
        <v>2.678290701970564</v>
      </c>
      <c r="EE5" s="13">
        <v>-3.0137</v>
      </c>
      <c r="EF5" s="3">
        <v>-3.0240100000000001</v>
      </c>
      <c r="EG5" s="3">
        <v>19.165534273876347</v>
      </c>
      <c r="EH5" s="3" t="s">
        <v>1639</v>
      </c>
      <c r="EI5" s="3">
        <v>0</v>
      </c>
      <c r="EJ5" s="3">
        <v>0</v>
      </c>
      <c r="EK5" s="15">
        <v>45470</v>
      </c>
      <c r="EL5" s="16">
        <v>-0.63</v>
      </c>
      <c r="EM5" s="16">
        <v>-4.2699999999999996</v>
      </c>
      <c r="EN5" s="16">
        <v>0.99</v>
      </c>
      <c r="EO5" s="16">
        <v>3.92</v>
      </c>
      <c r="EP5" s="16">
        <v>-3.77</v>
      </c>
    </row>
    <row r="6" spans="1:146" ht="96" x14ac:dyDescent="0.25">
      <c r="C6" s="7" t="str">
        <f>""&amp;CHAR(10)&amp;Basic_Fundamental_Information_Constructure(F6)&amp;CHAR(10)&amp;Basic_Fundamental_Information_Concatenate("")</f>
        <v xml:space="preserve">
市值132.787926亿, 利润1.76亿; PE22.32; 平均PE33.34; 平均PEG4.63, PB2.11; ROIC8.43%; ROE10.0933%; 股利率.5634%; 毛利21.2433%; 净利6.54%; 上一年度营收增-73.88%, 利润增-69.81%; 当季营收增-45.54%, 利润增50.02%; 过往5年营收增7.21%, 利润增12.05%
Income profile:
</v>
      </c>
      <c r="D6" s="3" t="s">
        <v>305</v>
      </c>
      <c r="E6" s="3" t="s">
        <v>306</v>
      </c>
      <c r="F6" s="3">
        <v>10.65</v>
      </c>
      <c r="G6" s="3">
        <v>-0.47</v>
      </c>
      <c r="H6" s="3" t="s">
        <v>1689</v>
      </c>
      <c r="I6" s="3">
        <v>13278792600</v>
      </c>
      <c r="J6" s="3">
        <v>22.32</v>
      </c>
      <c r="K6" s="3">
        <v>2.11</v>
      </c>
      <c r="L6" s="3" t="s">
        <v>285</v>
      </c>
      <c r="M6" s="3" t="s">
        <v>705</v>
      </c>
      <c r="N6" s="3" t="s">
        <v>1690</v>
      </c>
      <c r="O6" s="3" t="s">
        <v>1378</v>
      </c>
      <c r="P6" s="3">
        <v>16.2</v>
      </c>
      <c r="Q6" s="3" t="s">
        <v>1378</v>
      </c>
      <c r="R6" s="3">
        <v>387061050</v>
      </c>
      <c r="S6" s="5">
        <v>0.82289999999999996</v>
      </c>
      <c r="T6" s="3" t="s">
        <v>82</v>
      </c>
      <c r="U6" s="3">
        <v>1071401700</v>
      </c>
      <c r="V6" s="3">
        <v>1246834990</v>
      </c>
      <c r="W6" s="3">
        <v>1.89</v>
      </c>
      <c r="X6" s="3">
        <v>0.2</v>
      </c>
      <c r="Y6" s="3">
        <v>7.5</v>
      </c>
      <c r="Z6" s="3" t="s">
        <v>1691</v>
      </c>
      <c r="AA6" s="3" t="s">
        <v>414</v>
      </c>
      <c r="AB6" s="3" t="s">
        <v>1692</v>
      </c>
      <c r="AC6" s="3" t="s">
        <v>1693</v>
      </c>
      <c r="AD6" s="3" t="s">
        <v>4</v>
      </c>
      <c r="AE6" s="3">
        <v>-10530228</v>
      </c>
      <c r="AF6" s="3" t="s">
        <v>1694</v>
      </c>
      <c r="AG6" s="3" t="s">
        <v>1695</v>
      </c>
      <c r="AH6" s="3" t="s">
        <v>1696</v>
      </c>
      <c r="AI6" s="3" t="s">
        <v>1697</v>
      </c>
      <c r="AJ6" s="3" t="s">
        <v>1698</v>
      </c>
      <c r="AK6" s="3" t="s">
        <v>1699</v>
      </c>
      <c r="AL6" s="3" t="s">
        <v>1700</v>
      </c>
      <c r="AM6" s="3" t="s">
        <v>4</v>
      </c>
      <c r="AN6" s="3" t="s">
        <v>1701</v>
      </c>
      <c r="AO6" s="3" t="s">
        <v>1454</v>
      </c>
      <c r="AP6" s="3" t="s">
        <v>1702</v>
      </c>
      <c r="AQ6" s="3" t="s">
        <v>1703</v>
      </c>
      <c r="AR6" s="3" t="s">
        <v>1704</v>
      </c>
      <c r="AS6" s="3" t="s">
        <v>1705</v>
      </c>
      <c r="AT6" s="3" t="s">
        <v>1706</v>
      </c>
      <c r="AU6" s="3" t="s">
        <v>1707</v>
      </c>
      <c r="AV6" s="3" t="s">
        <v>1708</v>
      </c>
      <c r="AW6" s="3" t="s">
        <v>1709</v>
      </c>
      <c r="AX6" s="3" t="s">
        <v>1138</v>
      </c>
      <c r="AY6" s="3" t="s">
        <v>709</v>
      </c>
      <c r="AZ6" s="3" t="s">
        <v>307</v>
      </c>
      <c r="BA6" s="3" t="s">
        <v>308</v>
      </c>
      <c r="BB6" s="3" t="s">
        <v>309</v>
      </c>
      <c r="BC6" s="3" t="s">
        <v>1115</v>
      </c>
      <c r="BD6" s="3" t="s">
        <v>708</v>
      </c>
      <c r="BE6" s="3" t="s">
        <v>189</v>
      </c>
      <c r="BF6" s="3" t="s">
        <v>469</v>
      </c>
      <c r="BG6" s="3" t="s">
        <v>710</v>
      </c>
      <c r="BH6" s="3" t="s">
        <v>1710</v>
      </c>
      <c r="BI6" s="3" t="s">
        <v>1137</v>
      </c>
      <c r="BJ6" s="3" t="s">
        <v>1138</v>
      </c>
      <c r="BK6" s="3" t="s">
        <v>1483</v>
      </c>
      <c r="BL6" s="3" t="s">
        <v>1195</v>
      </c>
      <c r="BM6" s="3" t="s">
        <v>1115</v>
      </c>
      <c r="BN6" s="3">
        <v>4.4800000000000004</v>
      </c>
      <c r="BO6" s="3">
        <v>9.26</v>
      </c>
      <c r="BP6" s="3">
        <v>11.55</v>
      </c>
      <c r="BQ6" s="3">
        <v>6.32</v>
      </c>
      <c r="BR6" s="3">
        <v>10.85</v>
      </c>
      <c r="BS6" s="3">
        <v>13.11</v>
      </c>
      <c r="BT6" s="3" t="s">
        <v>1058</v>
      </c>
      <c r="BU6" s="3" t="s">
        <v>841</v>
      </c>
      <c r="BV6" s="3">
        <v>22.31</v>
      </c>
      <c r="BW6" s="3">
        <v>20.14</v>
      </c>
      <c r="BX6" s="3">
        <v>21.28</v>
      </c>
      <c r="BY6" s="3">
        <v>5.69</v>
      </c>
      <c r="BZ6" s="3">
        <v>6.56</v>
      </c>
      <c r="CA6" s="3">
        <v>7.37</v>
      </c>
      <c r="CB6" s="3">
        <v>0.28000000000000003</v>
      </c>
      <c r="CC6" s="3">
        <v>5.76</v>
      </c>
      <c r="CD6" s="3" t="s">
        <v>41</v>
      </c>
      <c r="CE6" s="3" t="s">
        <v>1711</v>
      </c>
      <c r="CF6" s="10">
        <v>-0.45535714285714285</v>
      </c>
      <c r="CG6" s="11">
        <v>0.50023662790697676</v>
      </c>
      <c r="CH6" s="10">
        <v>-0.73881685733795166</v>
      </c>
      <c r="CI6" s="10">
        <v>0.14265479147434235</v>
      </c>
      <c r="CJ6" s="10">
        <v>0.39694246649742126</v>
      </c>
      <c r="CK6" s="10">
        <v>0.35642838478088379</v>
      </c>
      <c r="CL6" s="10">
        <v>0.20311123132705688</v>
      </c>
      <c r="CM6" s="11">
        <v>-0.69811320304870605</v>
      </c>
      <c r="CN6" s="11">
        <v>3.1858406960964203E-2</v>
      </c>
      <c r="CO6" s="11">
        <v>6.203007698059082E-2</v>
      </c>
      <c r="CP6" s="11">
        <v>0.62691134214401245</v>
      </c>
      <c r="CQ6" s="11">
        <v>0.57971012592315674</v>
      </c>
      <c r="CR6" s="3">
        <v>33.335881004184102</v>
      </c>
      <c r="CS6" s="3">
        <v>4.6258713720137949</v>
      </c>
      <c r="CT6" s="3">
        <v>0.56338028169014076</v>
      </c>
      <c r="CU6" s="10">
        <v>7.206400334835053E-2</v>
      </c>
      <c r="CV6" s="11">
        <v>0.12047934979200363</v>
      </c>
      <c r="CW6" s="3">
        <v>0.06</v>
      </c>
      <c r="CX6" s="3">
        <v>65.244896958908612</v>
      </c>
      <c r="CY6" s="3">
        <v>178003079.80123556</v>
      </c>
      <c r="CZ6" s="3">
        <v>7.206400334835053E-2</v>
      </c>
      <c r="DA6" s="3">
        <v>21.648386601860135</v>
      </c>
      <c r="DB6" s="3">
        <v>536473817.36069357</v>
      </c>
      <c r="DC6" s="3">
        <v>6.8460803180933005E-2</v>
      </c>
      <c r="DD6" s="3">
        <v>10.874579956602437</v>
      </c>
      <c r="DE6" s="3">
        <v>1067976201.9634382</v>
      </c>
      <c r="DF6" s="3">
        <v>6.3416322946548462E-2</v>
      </c>
      <c r="DG6" s="3">
        <v>6.6796125192869038</v>
      </c>
      <c r="DH6" s="3">
        <v>1738692561.3523245</v>
      </c>
      <c r="DI6" s="3">
        <v>5.765120267868043E-2</v>
      </c>
      <c r="DJ6" s="3">
        <v>3.6235323042230712</v>
      </c>
      <c r="DK6" s="3">
        <v>3205102542.197464</v>
      </c>
      <c r="DL6" s="3">
        <v>5.0444802343845366E-2</v>
      </c>
      <c r="DM6" s="3">
        <v>176000000</v>
      </c>
      <c r="DN6" s="3">
        <v>7.206400334835053E-2</v>
      </c>
      <c r="DO6" s="3">
        <v>11613792600</v>
      </c>
      <c r="DP6" s="3">
        <v>2845311900</v>
      </c>
      <c r="DQ6" s="3">
        <v>651</v>
      </c>
      <c r="DR6" s="3">
        <v>-0.52742114620549341</v>
      </c>
      <c r="DS6" s="3">
        <v>0.37975727811497312</v>
      </c>
      <c r="DT6" s="12">
        <v>-0.42333333333333339</v>
      </c>
      <c r="DU6" s="3">
        <v>0.44</v>
      </c>
      <c r="DV6" s="3">
        <v>1.6666666666666607E-2</v>
      </c>
      <c r="DW6" s="3">
        <v>1.0576000000000001</v>
      </c>
      <c r="DX6" s="3">
        <v>0.42056962025316447</v>
      </c>
      <c r="DY6" s="3">
        <v>1.0155848101265823</v>
      </c>
      <c r="DZ6" s="3">
        <v>759</v>
      </c>
      <c r="EA6" s="3">
        <v>1.0132699625950605</v>
      </c>
      <c r="EB6" s="3">
        <v>1</v>
      </c>
      <c r="EC6" s="3">
        <v>0.1371472579543184</v>
      </c>
      <c r="ED6" s="3">
        <v>0.50688343290718851</v>
      </c>
      <c r="EE6" s="13">
        <v>2.2899999999999997E-2</v>
      </c>
      <c r="EF6" s="3">
        <v>6.6999999999999976E-3</v>
      </c>
      <c r="EG6" s="3">
        <v>15.270569620253164</v>
      </c>
      <c r="EH6" s="3" t="s">
        <v>1045</v>
      </c>
      <c r="EI6" s="3">
        <v>0</v>
      </c>
      <c r="EJ6" s="3">
        <v>1</v>
      </c>
      <c r="EK6" s="15">
        <v>45470</v>
      </c>
      <c r="EL6" s="16">
        <v>0.56999999999999995</v>
      </c>
      <c r="EM6" s="16">
        <v>-1.98</v>
      </c>
      <c r="EN6" s="16">
        <v>-2.02</v>
      </c>
      <c r="EO6" s="16">
        <v>3.34</v>
      </c>
      <c r="EP6" s="16">
        <v>-1.62</v>
      </c>
    </row>
    <row r="7" spans="1:146" ht="96" x14ac:dyDescent="0.25">
      <c r="C7" s="7" t="str">
        <f>""&amp;CHAR(10)&amp;Basic_Fundamental_Information_Constructure(F7)&amp;CHAR(10)&amp;Basic_Fundamental_Information_Concatenate("")</f>
        <v xml:space="preserve">
市值668.04981亿, 利润3.80亿; PE49.07; 平均PE35.16; 平均PEG1.75, PB2.17; ROIC7.1567%; ROE8.91%; 股利率.5115%; 毛利11.4%; 净利2.75%; 上一年度营收增-81.59%, 利润增-78.27%; 当季营收增-57.25%, 利润增-10.06%; 过往5年营收增20.05%, 利润增16.53%
Income profile:
</v>
      </c>
      <c r="D7" s="3" t="s">
        <v>310</v>
      </c>
      <c r="E7" s="3" t="s">
        <v>311</v>
      </c>
      <c r="F7" s="3">
        <v>19.55</v>
      </c>
      <c r="G7" s="3">
        <v>0.62</v>
      </c>
      <c r="H7" s="3" t="s">
        <v>1712</v>
      </c>
      <c r="I7" s="3">
        <v>66804981000</v>
      </c>
      <c r="J7" s="3">
        <v>49.07</v>
      </c>
      <c r="K7" s="3">
        <v>2.17</v>
      </c>
      <c r="L7" s="3" t="s">
        <v>285</v>
      </c>
      <c r="M7" s="3" t="s">
        <v>1713</v>
      </c>
      <c r="N7" s="3" t="s">
        <v>1714</v>
      </c>
      <c r="O7" s="3" t="s">
        <v>1715</v>
      </c>
      <c r="P7" s="3">
        <v>-19.940000000000001</v>
      </c>
      <c r="Q7" s="3" t="s">
        <v>1715</v>
      </c>
      <c r="R7" s="3">
        <v>379545540</v>
      </c>
      <c r="S7" s="5">
        <v>2.5750000000000002</v>
      </c>
      <c r="T7" s="3" t="s">
        <v>1049</v>
      </c>
      <c r="U7" s="3">
        <v>3009973800</v>
      </c>
      <c r="V7" s="3">
        <v>3417134600</v>
      </c>
      <c r="W7" s="3">
        <v>2.25</v>
      </c>
      <c r="X7" s="3">
        <v>0.27</v>
      </c>
      <c r="Y7" s="3">
        <v>1.89</v>
      </c>
      <c r="Z7" s="3" t="s">
        <v>1716</v>
      </c>
      <c r="AA7" s="3" t="s">
        <v>1717</v>
      </c>
      <c r="AB7" s="3" t="s">
        <v>56</v>
      </c>
      <c r="AC7" s="3" t="s">
        <v>1718</v>
      </c>
      <c r="AD7" s="3" t="s">
        <v>4</v>
      </c>
      <c r="AE7" s="3">
        <v>35544029</v>
      </c>
      <c r="AF7" s="3" t="s">
        <v>1719</v>
      </c>
      <c r="AG7" s="3" t="s">
        <v>1720</v>
      </c>
      <c r="AH7" s="3" t="s">
        <v>1721</v>
      </c>
      <c r="AI7" s="3" t="s">
        <v>1722</v>
      </c>
      <c r="AJ7" s="3" t="s">
        <v>1723</v>
      </c>
      <c r="AK7" s="3" t="s">
        <v>1724</v>
      </c>
      <c r="AL7" s="3" t="s">
        <v>1725</v>
      </c>
      <c r="AM7" s="3" t="s">
        <v>4</v>
      </c>
      <c r="AN7" s="3" t="s">
        <v>1726</v>
      </c>
      <c r="AO7" s="3" t="s">
        <v>1727</v>
      </c>
      <c r="AP7" s="3" t="s">
        <v>1728</v>
      </c>
      <c r="AQ7" s="3" t="s">
        <v>1729</v>
      </c>
      <c r="AR7" s="3" t="s">
        <v>4</v>
      </c>
      <c r="AS7" s="3" t="s">
        <v>1730</v>
      </c>
      <c r="AT7" s="3" t="s">
        <v>1731</v>
      </c>
      <c r="AU7" s="3" t="s">
        <v>1732</v>
      </c>
      <c r="AV7" s="3" t="s">
        <v>1733</v>
      </c>
      <c r="AW7" s="3" t="s">
        <v>603</v>
      </c>
      <c r="AX7" s="3" t="s">
        <v>1142</v>
      </c>
      <c r="AY7" s="3" t="s">
        <v>711</v>
      </c>
      <c r="AZ7" s="3" t="s">
        <v>312</v>
      </c>
      <c r="BA7" s="3" t="s">
        <v>314</v>
      </c>
      <c r="BB7" s="3" t="s">
        <v>315</v>
      </c>
      <c r="BC7" s="3" t="s">
        <v>1143</v>
      </c>
      <c r="BD7" s="3" t="s">
        <v>712</v>
      </c>
      <c r="BE7" s="3" t="s">
        <v>313</v>
      </c>
      <c r="BF7" s="3" t="s">
        <v>267</v>
      </c>
      <c r="BG7" s="3" t="s">
        <v>234</v>
      </c>
      <c r="BH7" s="3" t="s">
        <v>1734</v>
      </c>
      <c r="BI7" s="3" t="s">
        <v>1141</v>
      </c>
      <c r="BJ7" s="3" t="s">
        <v>1142</v>
      </c>
      <c r="BK7" s="3" t="s">
        <v>1735</v>
      </c>
      <c r="BL7" s="3" t="s">
        <v>1369</v>
      </c>
      <c r="BM7" s="3" t="s">
        <v>1143</v>
      </c>
      <c r="BN7" s="3">
        <v>2.52</v>
      </c>
      <c r="BO7" s="3">
        <v>5.08</v>
      </c>
      <c r="BP7" s="3">
        <v>13.87</v>
      </c>
      <c r="BQ7" s="3">
        <v>2.95</v>
      </c>
      <c r="BR7" s="3">
        <v>6.17</v>
      </c>
      <c r="BS7" s="3">
        <v>17.61</v>
      </c>
      <c r="BT7" s="3" t="s">
        <v>1051</v>
      </c>
      <c r="BU7" s="3" t="s">
        <v>841</v>
      </c>
      <c r="BV7" s="3">
        <v>8.9499999999999993</v>
      </c>
      <c r="BW7" s="3">
        <v>11.12</v>
      </c>
      <c r="BX7" s="3">
        <v>14.13</v>
      </c>
      <c r="BY7" s="3">
        <v>1.03</v>
      </c>
      <c r="BZ7" s="3">
        <v>1.71</v>
      </c>
      <c r="CA7" s="3">
        <v>5.51</v>
      </c>
      <c r="CB7" s="3">
        <v>0.21</v>
      </c>
      <c r="CC7" s="3">
        <v>17.84</v>
      </c>
      <c r="CD7" s="3" t="s">
        <v>1083</v>
      </c>
      <c r="CE7" s="3" t="s">
        <v>1736</v>
      </c>
      <c r="CF7" s="10">
        <v>-0.57248799061386224</v>
      </c>
      <c r="CG7" s="11">
        <v>-0.10060298578199052</v>
      </c>
      <c r="CH7" s="10">
        <v>-0.81589031219482422</v>
      </c>
      <c r="CI7" s="10">
        <v>0.34099534153938293</v>
      </c>
      <c r="CJ7" s="10">
        <v>0.3546404242515564</v>
      </c>
      <c r="CK7" s="10">
        <v>0.6428530216217041</v>
      </c>
      <c r="CL7" s="10">
        <v>0.47985354065895081</v>
      </c>
      <c r="CM7" s="11">
        <v>-0.78273296356201172</v>
      </c>
      <c r="CN7" s="11">
        <v>-0.5908772349357605</v>
      </c>
      <c r="CO7" s="11">
        <v>0.50105339288711548</v>
      </c>
      <c r="CP7" s="11">
        <v>1.223263144493103</v>
      </c>
      <c r="CQ7" s="11">
        <v>0.47580638527870178</v>
      </c>
      <c r="CR7" s="3">
        <v>35.157432330497322</v>
      </c>
      <c r="CS7" s="3">
        <v>1.7535718305552879</v>
      </c>
      <c r="CT7" s="3">
        <v>0.51150895140664965</v>
      </c>
      <c r="CU7" s="10">
        <v>0.20049040317535399</v>
      </c>
      <c r="CV7" s="11">
        <v>0.16530254483222961</v>
      </c>
      <c r="CW7" s="3">
        <v>0.06</v>
      </c>
      <c r="CX7" s="3">
        <v>180.30758544577114</v>
      </c>
      <c r="CY7" s="3">
        <v>430364484.15720242</v>
      </c>
      <c r="CZ7" s="3">
        <v>0.20049040317535399</v>
      </c>
      <c r="DA7" s="3">
        <v>53.724833272580604</v>
      </c>
      <c r="DB7" s="3">
        <v>1444359642.8916881</v>
      </c>
      <c r="DC7" s="3">
        <v>0.19046588301658629</v>
      </c>
      <c r="DD7" s="3">
        <v>23.261986697533619</v>
      </c>
      <c r="DE7" s="3">
        <v>3335827760.9292684</v>
      </c>
      <c r="DF7" s="3">
        <v>0.17643155479431152</v>
      </c>
      <c r="DG7" s="3">
        <v>12.004751403137549</v>
      </c>
      <c r="DH7" s="3">
        <v>6463939018.3222847</v>
      </c>
      <c r="DI7" s="3">
        <v>0.16039232254028321</v>
      </c>
      <c r="DJ7" s="3">
        <v>4.3450990196635528</v>
      </c>
      <c r="DK7" s="3">
        <v>17858737084.893528</v>
      </c>
      <c r="DL7" s="3">
        <v>0.14034328222274778</v>
      </c>
      <c r="DM7" s="3">
        <v>380000000</v>
      </c>
      <c r="DN7" s="3">
        <v>0.20049040317535399</v>
      </c>
      <c r="DO7" s="3">
        <v>77597981000</v>
      </c>
      <c r="DP7" s="3">
        <v>6879900000.0000038</v>
      </c>
      <c r="DQ7" s="3">
        <v>750</v>
      </c>
      <c r="DR7" s="3">
        <v>-0.77297839378921629</v>
      </c>
      <c r="DS7" s="3">
        <v>-0.26590553061422012</v>
      </c>
      <c r="DT7" s="12">
        <v>-0.15666666666666673</v>
      </c>
      <c r="DU7" s="3">
        <v>-1.666666666666668E-2</v>
      </c>
      <c r="DV7" s="3">
        <v>-0.17333333333333342</v>
      </c>
      <c r="DW7" s="3">
        <v>3.0208095238095236</v>
      </c>
      <c r="DX7" s="3">
        <v>0.35257948265675637</v>
      </c>
      <c r="DY7" s="3">
        <v>3.0033832016152857</v>
      </c>
      <c r="DZ7" s="3">
        <v>644</v>
      </c>
      <c r="EA7" s="3">
        <v>3.0029568255213044</v>
      </c>
      <c r="EB7" s="3">
        <v>3</v>
      </c>
      <c r="EC7" s="3">
        <v>0.10476613944326336</v>
      </c>
      <c r="ED7" s="3">
        <v>0.6443995504303518</v>
      </c>
      <c r="EE7" s="13">
        <v>2.1143000000000001</v>
      </c>
      <c r="EF7" s="3">
        <v>2.1230000000000002</v>
      </c>
      <c r="EG7" s="3">
        <v>19.162579482656756</v>
      </c>
      <c r="EH7" s="3" t="s">
        <v>1112</v>
      </c>
      <c r="EI7" s="3">
        <v>0</v>
      </c>
      <c r="EJ7" s="3">
        <v>1</v>
      </c>
      <c r="EK7" s="15">
        <v>45470</v>
      </c>
      <c r="EL7" s="16">
        <v>1.7</v>
      </c>
      <c r="EM7" s="16">
        <v>-1.89</v>
      </c>
      <c r="EN7" s="16">
        <v>-2.15</v>
      </c>
      <c r="EO7" s="16">
        <v>3.82</v>
      </c>
      <c r="EP7" s="16">
        <v>0.87</v>
      </c>
    </row>
    <row r="8" spans="1:146" ht="156" x14ac:dyDescent="0.25">
      <c r="C8" s="7" t="str">
        <f>"公司是一家从事音响生产与销售的企业，其主要产品包括了各种多媒体音箱、专业音响和汽车音响；"&amp;CHAR(10)&amp;Basic_Fundamental_Information_Constructure(F8)&amp;CHAR(10)&amp;Basic_Fundamental_Information_Concatenate("耳机 15.07亿 65.42% 64.27% 31.84%
音响 7.10亿 30.81% 31.91% 33.57%
其他业务 4562.63万 1.98% 1.73% 28.25%
其他 2092.43万 0.91% 1.16% 41.55%
汽车音响 2037.82万 0.88% 0.93% 34.17%")</f>
        <v>公司是一家从事音响生产与销售的企业，其主要产品包括了各种多媒体音箱、专业音响和汽车音响；
市值111.316196亿, 利润1.09亿; PE24.59; 平均PE59.4; 平均PEG6.98, PB4.21; ROIC12.7433%; ROE12.5067%; 股利率1.5974%; 毛利34.5233%; 净利14.44%; 上一年度营收增-69.33%, 利润增-55.87%; 当季营收增-42.89%, 利润增-37.18%; 过往5年营收增8.51%, 利润增38.31%
Income profile:
耳机 15.07亿 65.42% 64.27% 31.84%
音响 7.10亿 30.81% 31.91% 33.57%
其他业务 4562.63万 1.98% 1.73% 28.25%
其他 2092.43万 0.91% 1.16% 41.55%
汽车音响 2037.82万 0.88% 0.93% 34.17%</v>
      </c>
      <c r="D8" s="3" t="s">
        <v>316</v>
      </c>
      <c r="E8" s="3" t="s">
        <v>317</v>
      </c>
      <c r="F8" s="3">
        <v>12.52</v>
      </c>
      <c r="G8" s="3">
        <v>0.24</v>
      </c>
      <c r="H8" s="3" t="s">
        <v>1737</v>
      </c>
      <c r="I8" s="3">
        <v>11131619600</v>
      </c>
      <c r="J8" s="3">
        <v>24.59</v>
      </c>
      <c r="K8" s="3">
        <v>4.21</v>
      </c>
      <c r="L8" s="3" t="s">
        <v>285</v>
      </c>
      <c r="M8" s="3" t="s">
        <v>1738</v>
      </c>
      <c r="N8" s="3" t="s">
        <v>1739</v>
      </c>
      <c r="O8" s="3" t="s">
        <v>1200</v>
      </c>
      <c r="P8" s="3">
        <v>25.08</v>
      </c>
      <c r="Q8" s="3" t="s">
        <v>1200</v>
      </c>
      <c r="R8" s="3">
        <v>109308077</v>
      </c>
      <c r="S8" s="5">
        <v>0.43440000000000001</v>
      </c>
      <c r="T8" s="3" t="s">
        <v>71</v>
      </c>
      <c r="U8" s="3">
        <v>521049050</v>
      </c>
      <c r="V8" s="3">
        <v>889107000</v>
      </c>
      <c r="W8" s="3">
        <v>1.18</v>
      </c>
      <c r="X8" s="3">
        <v>0.21</v>
      </c>
      <c r="Y8" s="3">
        <v>18.18</v>
      </c>
      <c r="Z8" s="3" t="s">
        <v>1348</v>
      </c>
      <c r="AA8" s="3" t="s">
        <v>1659</v>
      </c>
      <c r="AB8" s="3" t="s">
        <v>1740</v>
      </c>
      <c r="AC8" s="3" t="s">
        <v>1741</v>
      </c>
      <c r="AD8" s="3" t="s">
        <v>4</v>
      </c>
      <c r="AE8" s="3">
        <v>-11355198</v>
      </c>
      <c r="AF8" s="3" t="s">
        <v>1742</v>
      </c>
      <c r="AG8" s="3" t="s">
        <v>1743</v>
      </c>
      <c r="AH8" s="3" t="s">
        <v>1744</v>
      </c>
      <c r="AI8" s="3" t="s">
        <v>1745</v>
      </c>
      <c r="AJ8" s="3" t="s">
        <v>1746</v>
      </c>
      <c r="AK8" s="3" t="s">
        <v>1747</v>
      </c>
      <c r="AL8" s="3" t="s">
        <v>1748</v>
      </c>
      <c r="AM8" s="3" t="s">
        <v>4</v>
      </c>
      <c r="AN8" s="3" t="s">
        <v>1749</v>
      </c>
      <c r="AO8" s="3" t="s">
        <v>4</v>
      </c>
      <c r="AP8" s="3" t="s">
        <v>4</v>
      </c>
      <c r="AQ8" s="3" t="s">
        <v>65</v>
      </c>
      <c r="AR8" s="3" t="s">
        <v>4</v>
      </c>
      <c r="AS8" s="3" t="s">
        <v>1040</v>
      </c>
      <c r="AT8" s="3" t="s">
        <v>1750</v>
      </c>
      <c r="AU8" s="3" t="s">
        <v>1751</v>
      </c>
      <c r="AV8" s="3" t="s">
        <v>1752</v>
      </c>
      <c r="AW8" s="3" t="s">
        <v>1753</v>
      </c>
      <c r="AX8" s="3" t="s">
        <v>1147</v>
      </c>
      <c r="AY8" s="3" t="s">
        <v>713</v>
      </c>
      <c r="AZ8" s="3" t="s">
        <v>318</v>
      </c>
      <c r="BA8" s="3" t="s">
        <v>319</v>
      </c>
      <c r="BB8" s="3" t="s">
        <v>320</v>
      </c>
      <c r="BC8" s="3" t="s">
        <v>1046</v>
      </c>
      <c r="BD8" s="3" t="s">
        <v>220</v>
      </c>
      <c r="BE8" s="3" t="s">
        <v>165</v>
      </c>
      <c r="BF8" s="3" t="s">
        <v>29</v>
      </c>
      <c r="BG8" s="3" t="s">
        <v>323</v>
      </c>
      <c r="BH8" s="3" t="s">
        <v>1754</v>
      </c>
      <c r="BI8" s="3" t="s">
        <v>1077</v>
      </c>
      <c r="BJ8" s="3" t="s">
        <v>1147</v>
      </c>
      <c r="BK8" s="3" t="s">
        <v>920</v>
      </c>
      <c r="BL8" s="3" t="s">
        <v>78</v>
      </c>
      <c r="BM8" s="3" t="s">
        <v>1046</v>
      </c>
      <c r="BN8" s="3">
        <v>11.91</v>
      </c>
      <c r="BO8" s="3">
        <v>11.24</v>
      </c>
      <c r="BP8" s="3">
        <v>15.08</v>
      </c>
      <c r="BQ8" s="3">
        <v>11.73</v>
      </c>
      <c r="BR8" s="3">
        <v>10.97</v>
      </c>
      <c r="BS8" s="3">
        <v>14.82</v>
      </c>
      <c r="BT8" s="3" t="s">
        <v>1048</v>
      </c>
      <c r="BU8" s="3" t="s">
        <v>916</v>
      </c>
      <c r="BV8" s="3">
        <v>38.159999999999997</v>
      </c>
      <c r="BW8" s="3">
        <v>33</v>
      </c>
      <c r="BX8" s="3">
        <v>32.409999999999997</v>
      </c>
      <c r="BY8" s="3">
        <v>17.059999999999999</v>
      </c>
      <c r="BZ8" s="3">
        <v>12.05</v>
      </c>
      <c r="CA8" s="3">
        <v>14.21</v>
      </c>
      <c r="CB8" s="3">
        <v>-4.79</v>
      </c>
      <c r="CC8" s="3">
        <v>-2.8</v>
      </c>
      <c r="CD8" s="3" t="s">
        <v>60</v>
      </c>
      <c r="CE8" s="3" t="s">
        <v>409</v>
      </c>
      <c r="CF8" s="10">
        <v>-0.42893187552565182</v>
      </c>
      <c r="CG8" s="11">
        <v>-0.37179266091954022</v>
      </c>
      <c r="CH8" s="10">
        <v>-0.69331526756286621</v>
      </c>
      <c r="CI8" s="10">
        <v>-3.9062444120645523E-2</v>
      </c>
      <c r="CJ8" s="10">
        <v>0.19131334125995636</v>
      </c>
      <c r="CK8" s="10">
        <v>0.55591303110122681</v>
      </c>
      <c r="CL8" s="10">
        <v>0.41089677810668945</v>
      </c>
      <c r="CM8" s="11">
        <v>-0.5587044358253479</v>
      </c>
      <c r="CN8" s="11">
        <v>-0.21835443377494812</v>
      </c>
      <c r="CO8" s="11">
        <v>0.14492753148078918</v>
      </c>
      <c r="CP8" s="11">
        <v>1.2439024448394775</v>
      </c>
      <c r="CQ8" s="11">
        <v>1.3039617538452148</v>
      </c>
      <c r="CR8" s="3">
        <v>59.401041794977402</v>
      </c>
      <c r="CS8" s="3">
        <v>6.9761219244751436</v>
      </c>
      <c r="CT8" s="3">
        <v>1.5974440894568691</v>
      </c>
      <c r="CU8" s="10">
        <v>8.5149087756872174E-2</v>
      </c>
      <c r="CV8" s="11">
        <v>0.3831465721130371</v>
      </c>
      <c r="CW8" s="3">
        <v>0.06</v>
      </c>
      <c r="CX8" s="3">
        <v>81.297050293487715</v>
      </c>
      <c r="CY8" s="3">
        <v>111586085.43915007</v>
      </c>
      <c r="CZ8" s="3">
        <v>8.5149087756872174E-2</v>
      </c>
      <c r="DA8" s="3">
        <v>26.67653108435308</v>
      </c>
      <c r="DB8" s="3">
        <v>340059941.50119805</v>
      </c>
      <c r="DC8" s="3">
        <v>8.0891633369028562E-2</v>
      </c>
      <c r="DD8" s="3">
        <v>13.20448184182422</v>
      </c>
      <c r="DE8" s="3">
        <v>687010645.98129976</v>
      </c>
      <c r="DF8" s="3">
        <v>7.4931197226047519E-2</v>
      </c>
      <c r="DG8" s="3">
        <v>7.9786178194151747</v>
      </c>
      <c r="DH8" s="3">
        <v>1136991369.3478479</v>
      </c>
      <c r="DI8" s="3">
        <v>6.8119270205497739E-2</v>
      </c>
      <c r="DJ8" s="3">
        <v>4.1776271339737665</v>
      </c>
      <c r="DK8" s="3">
        <v>2171476608.3901458</v>
      </c>
      <c r="DL8" s="3">
        <v>5.9604361429810515E-2</v>
      </c>
      <c r="DM8" s="3">
        <v>109000000.00000001</v>
      </c>
      <c r="DN8" s="3">
        <v>8.5149087756872174E-2</v>
      </c>
      <c r="DO8" s="3">
        <v>9071619600</v>
      </c>
      <c r="DP8" s="3">
        <v>2244858400</v>
      </c>
      <c r="DQ8" s="3">
        <v>858</v>
      </c>
      <c r="DR8" s="3">
        <v>-0.51408096328252395</v>
      </c>
      <c r="DS8" s="3">
        <v>-0.75493923303257726</v>
      </c>
      <c r="DT8" s="12">
        <v>-0.42333333333333339</v>
      </c>
      <c r="DU8" s="3">
        <v>-0.10333333333333339</v>
      </c>
      <c r="DV8" s="3">
        <v>-0.52666666666666684</v>
      </c>
      <c r="DW8" s="3">
        <v>-4.5845511482254695</v>
      </c>
      <c r="DX8" s="3">
        <v>0.44792079207920721</v>
      </c>
      <c r="DY8" s="3">
        <v>-4.1215403377498498</v>
      </c>
      <c r="DZ8" s="3">
        <v>268</v>
      </c>
      <c r="EA8" s="3">
        <v>-4.1151660108385073</v>
      </c>
      <c r="EB8" s="3">
        <v>4</v>
      </c>
      <c r="EC8" s="3">
        <v>0.14171522662626657</v>
      </c>
      <c r="ED8" s="3">
        <v>0.68158275663109169</v>
      </c>
      <c r="EE8" s="13">
        <v>1.01851</v>
      </c>
      <c r="EF8" s="3">
        <v>1.0196000000000001</v>
      </c>
      <c r="EG8" s="3">
        <v>24.207920792079207</v>
      </c>
      <c r="EH8" s="3" t="s">
        <v>1108</v>
      </c>
      <c r="EI8" s="3">
        <v>0</v>
      </c>
      <c r="EJ8" s="3">
        <v>1</v>
      </c>
      <c r="EK8" s="15">
        <v>45470</v>
      </c>
      <c r="EL8" s="16">
        <v>0.16</v>
      </c>
      <c r="EM8" s="16">
        <v>-2.9</v>
      </c>
      <c r="EN8" s="16">
        <v>-2.58</v>
      </c>
      <c r="EO8" s="16">
        <v>4.3899999999999997</v>
      </c>
      <c r="EP8" s="16">
        <v>3.81</v>
      </c>
    </row>
    <row r="9" spans="1:146" ht="144" x14ac:dyDescent="0.25">
      <c r="C9" s="7" t="str">
        <f>"公司主要从事网络通讯、消费电子、智能终端类产品的研发、制造与销售。公司的主要产品包括网络通讯终端类和便携式消费电子类两大类。"&amp;CHAR(10)&amp;Basic_Fundamental_Information_Constructure(F9)&amp;CHAR(10)&amp;Basic_Fundamental_Information_Concatenate("网络通讯终端类 6.94亿 77.34% 30.80% -1.54%
便携式消费电子类 1.64亿 18.26% 101.83% -21.54%
其他类 3957.96万 4.41% -32.63% 28.59%")</f>
        <v>公司主要从事网络通讯、消费电子、智能终端类产品的研发、制造与销售。公司的主要产品包括网络通讯终端类和便携式消费电子类两大类。
市值20.183644亿, 利润-4606.41万; PE; 平均PE-12.32; 平均PEG-.51, PB3.16; ROIC0%; ROE-14.31%; 股利率0%; 毛利3.8367%; 净利-13.31%; 上一年度营收增-78.13%, 利润增61.93%; 当季营收增-53.12%, 利润增64.01%; 过往5年营收增-24.34%, 利润增-213.28%
Income profile:
网络通讯终端类 6.94亿 77.34% 30.80% -1.54%
便携式消费电子类 1.64亿 18.26% 101.83% -21.54%
其他类 3957.96万 4.41% -32.63% 28.59%</v>
      </c>
      <c r="D9" s="3" t="s">
        <v>324</v>
      </c>
      <c r="E9" s="3" t="s">
        <v>325</v>
      </c>
      <c r="F9" s="3">
        <v>3.56</v>
      </c>
      <c r="G9" s="3">
        <v>2.0099999999999998</v>
      </c>
      <c r="H9" s="3" t="s">
        <v>1755</v>
      </c>
      <c r="I9" s="3">
        <v>2018364400</v>
      </c>
      <c r="K9" s="3">
        <v>3.16</v>
      </c>
      <c r="L9" s="3" t="s">
        <v>285</v>
      </c>
      <c r="M9" s="3" t="s">
        <v>1756</v>
      </c>
      <c r="N9" s="3" t="s">
        <v>1074</v>
      </c>
      <c r="O9" s="3" t="s">
        <v>242</v>
      </c>
      <c r="P9" s="3">
        <v>19.739999999999998</v>
      </c>
      <c r="Q9" s="3" t="s">
        <v>242</v>
      </c>
      <c r="R9" s="3">
        <v>-46064080</v>
      </c>
      <c r="S9" s="4">
        <v>9.3600000000000003E-2</v>
      </c>
      <c r="T9" s="3" t="s">
        <v>1757</v>
      </c>
      <c r="U9" s="3">
        <v>565650700</v>
      </c>
      <c r="V9" s="3">
        <v>566956280</v>
      </c>
      <c r="W9" s="3">
        <v>3.8</v>
      </c>
      <c r="X9" s="3">
        <v>0.17</v>
      </c>
      <c r="Y9" s="3">
        <v>-11.03</v>
      </c>
      <c r="Z9" s="3" t="s">
        <v>1758</v>
      </c>
      <c r="AA9" s="3" t="s">
        <v>1425</v>
      </c>
      <c r="AB9" s="3" t="s">
        <v>1759</v>
      </c>
      <c r="AC9" s="3" t="s">
        <v>1760</v>
      </c>
      <c r="AD9" s="3" t="s">
        <v>4</v>
      </c>
      <c r="AE9" s="3">
        <v>10072027</v>
      </c>
      <c r="AF9" s="3" t="s">
        <v>21</v>
      </c>
      <c r="AG9" s="3" t="s">
        <v>1761</v>
      </c>
      <c r="AH9" s="3" t="s">
        <v>1762</v>
      </c>
      <c r="AI9" s="3" t="s">
        <v>177</v>
      </c>
      <c r="AJ9" s="3" t="s">
        <v>1763</v>
      </c>
      <c r="AK9" s="3" t="s">
        <v>4</v>
      </c>
      <c r="AL9" s="3" t="s">
        <v>1764</v>
      </c>
      <c r="AM9" s="3" t="s">
        <v>4</v>
      </c>
      <c r="AN9" s="3" t="s">
        <v>1765</v>
      </c>
      <c r="AO9" s="3" t="s">
        <v>1766</v>
      </c>
      <c r="AP9" s="3" t="s">
        <v>1767</v>
      </c>
      <c r="AQ9" s="3" t="s">
        <v>1768</v>
      </c>
      <c r="AR9" s="3" t="s">
        <v>4</v>
      </c>
      <c r="AS9" s="3" t="s">
        <v>1496</v>
      </c>
      <c r="AT9" s="3" t="s">
        <v>4</v>
      </c>
      <c r="AU9" s="3" t="s">
        <v>1769</v>
      </c>
      <c r="AV9" s="3" t="s">
        <v>1770</v>
      </c>
      <c r="AW9" s="3" t="s">
        <v>1771</v>
      </c>
      <c r="AX9" s="3" t="s">
        <v>1150</v>
      </c>
      <c r="AY9" s="3" t="s">
        <v>714</v>
      </c>
      <c r="AZ9" s="3" t="s">
        <v>326</v>
      </c>
      <c r="BA9" s="3" t="s">
        <v>328</v>
      </c>
      <c r="BB9" s="3" t="s">
        <v>329</v>
      </c>
      <c r="BC9" s="3" t="s">
        <v>1772</v>
      </c>
      <c r="BD9" s="3" t="s">
        <v>715</v>
      </c>
      <c r="BE9" s="3" t="s">
        <v>327</v>
      </c>
      <c r="BF9" s="3" t="s">
        <v>331</v>
      </c>
      <c r="BG9" s="3" t="s">
        <v>332</v>
      </c>
      <c r="BH9" s="3" t="s">
        <v>1188</v>
      </c>
      <c r="BI9" s="3" t="s">
        <v>1149</v>
      </c>
      <c r="BJ9" s="3" t="s">
        <v>1150</v>
      </c>
      <c r="BK9" s="3" t="s">
        <v>1773</v>
      </c>
      <c r="BL9" s="3" t="s">
        <v>1170</v>
      </c>
      <c r="BM9" s="3" t="s">
        <v>1772</v>
      </c>
      <c r="BN9" s="3" t="s">
        <v>4</v>
      </c>
      <c r="BO9" s="3" t="s">
        <v>4</v>
      </c>
      <c r="BP9" s="3" t="s">
        <v>4</v>
      </c>
      <c r="BQ9" s="3">
        <v>-18.96</v>
      </c>
      <c r="BR9" s="3">
        <v>-11.34</v>
      </c>
      <c r="BS9" s="3">
        <v>-12.63</v>
      </c>
      <c r="BT9" s="3" t="s">
        <v>1043</v>
      </c>
      <c r="BU9" s="3" t="s">
        <v>841</v>
      </c>
      <c r="BV9" s="3">
        <v>-2.5</v>
      </c>
      <c r="BW9" s="3">
        <v>2.06</v>
      </c>
      <c r="BX9" s="3">
        <v>11.95</v>
      </c>
      <c r="BY9" s="3">
        <v>-26.52</v>
      </c>
      <c r="BZ9" s="3">
        <v>-6.81</v>
      </c>
      <c r="CA9" s="3">
        <v>-6.6</v>
      </c>
      <c r="CB9" s="3">
        <v>-3.52</v>
      </c>
      <c r="CC9" s="3">
        <v>-14.63</v>
      </c>
      <c r="CD9" s="3" t="s">
        <v>1774</v>
      </c>
      <c r="CE9" s="3" t="s">
        <v>1049</v>
      </c>
      <c r="CF9" s="10">
        <v>-0.5311804008908686</v>
      </c>
      <c r="CG9" s="11">
        <v>0.64012437499999997</v>
      </c>
      <c r="CH9" s="10">
        <v>-0.78129875659942627</v>
      </c>
      <c r="CI9" s="10">
        <v>-0.22845695912837982</v>
      </c>
      <c r="CJ9" s="10">
        <v>-0.17954616248607635</v>
      </c>
      <c r="CK9" s="10">
        <v>-9.0338058769702911E-2</v>
      </c>
      <c r="CL9" s="10">
        <v>6.261926144361496E-2</v>
      </c>
      <c r="CM9" s="11">
        <v>0.61930501461029053</v>
      </c>
      <c r="CN9" s="11">
        <v>0.26666668057441711</v>
      </c>
      <c r="CO9" s="11">
        <v>0.72636818885803223</v>
      </c>
      <c r="CP9" s="11">
        <v>-13.771581649780273</v>
      </c>
      <c r="CQ9" s="11">
        <v>1.4950970411300659</v>
      </c>
      <c r="CR9" s="3">
        <v>-12.316946046504249</v>
      </c>
      <c r="CS9" s="3">
        <v>-0.50602862769933799</v>
      </c>
      <c r="CT9" s="3">
        <v>0</v>
      </c>
      <c r="CU9" s="10">
        <v>-0.24340413510799408</v>
      </c>
      <c r="CV9" s="11">
        <v>-2.1328289449214934</v>
      </c>
      <c r="CW9" s="3">
        <v>0.06</v>
      </c>
      <c r="CX9" s="3" t="e">
        <v>#VALUE!</v>
      </c>
      <c r="CY9" s="3" t="s">
        <v>855</v>
      </c>
      <c r="CZ9" s="3">
        <v>-0.24340413510799408</v>
      </c>
      <c r="DA9" s="3" t="e">
        <v>#VALUE!</v>
      </c>
      <c r="DB9" s="3" t="s">
        <v>853</v>
      </c>
      <c r="DC9" s="3">
        <v>-0.23123392835259438</v>
      </c>
      <c r="DD9" s="3" t="e">
        <v>#VALUE!</v>
      </c>
      <c r="DE9" s="3" t="s">
        <v>853</v>
      </c>
      <c r="DF9" s="3">
        <v>-0.21419563889503479</v>
      </c>
      <c r="DG9" s="3" t="e">
        <v>#VALUE!</v>
      </c>
      <c r="DH9" s="3" t="s">
        <v>853</v>
      </c>
      <c r="DI9" s="3">
        <v>-0.19472330808639526</v>
      </c>
      <c r="DJ9" s="3" t="e">
        <v>#VALUE!</v>
      </c>
      <c r="DK9" s="3" t="s">
        <v>853</v>
      </c>
      <c r="DL9" s="3">
        <v>-0.17038289457559586</v>
      </c>
      <c r="DM9" s="3">
        <v>-46064100</v>
      </c>
      <c r="DN9" s="3">
        <v>-0.24340413510799408</v>
      </c>
      <c r="DO9" s="3">
        <v>3255364400</v>
      </c>
      <c r="DP9" s="3">
        <v>-137342269.99999988</v>
      </c>
      <c r="DQ9" s="3">
        <v>875</v>
      </c>
      <c r="DR9" s="3">
        <v>-0.28777626578287452</v>
      </c>
      <c r="DS9" s="3">
        <v>2.7729533199214935</v>
      </c>
      <c r="DT9" s="12">
        <v>-1.0566666666666666</v>
      </c>
      <c r="DU9" s="3">
        <v>-1.8483333333333334</v>
      </c>
      <c r="DV9" s="3">
        <v>-2.9050000000000002</v>
      </c>
      <c r="DW9" s="3">
        <v>-8.2406015037593985</v>
      </c>
      <c r="DX9" s="3">
        <v>0.36911789473684165</v>
      </c>
      <c r="DY9" s="3">
        <v>-8.0334719746735264</v>
      </c>
      <c r="DZ9" s="3">
        <v>5011</v>
      </c>
      <c r="EA9" s="3">
        <v>-8.0006484785699961</v>
      </c>
      <c r="EB9" s="3">
        <v>8</v>
      </c>
      <c r="EC9" s="3">
        <v>9.3243168591412365E-2</v>
      </c>
      <c r="ED9" s="3">
        <v>0.6702456845526078</v>
      </c>
      <c r="EE9" s="13">
        <v>-1.01051</v>
      </c>
      <c r="EF9" s="3">
        <v>-1.0215099999999999</v>
      </c>
      <c r="EG9" s="3">
        <v>23.139117894736842</v>
      </c>
      <c r="EH9" s="3" t="s">
        <v>1113</v>
      </c>
      <c r="EI9" s="3">
        <v>0</v>
      </c>
      <c r="EJ9" s="3">
        <v>0</v>
      </c>
      <c r="EK9" s="15">
        <v>45470</v>
      </c>
      <c r="EL9" s="16">
        <v>-0.82</v>
      </c>
      <c r="EM9" s="16">
        <v>-5.22</v>
      </c>
      <c r="EN9" s="16">
        <v>-0.57999999999999996</v>
      </c>
      <c r="EO9" s="16">
        <v>6.12</v>
      </c>
      <c r="EP9" s="16">
        <v>-1.1000000000000001</v>
      </c>
    </row>
    <row r="10" spans="1:146" ht="96" x14ac:dyDescent="0.25">
      <c r="C10" s="7" t="str">
        <f>""&amp;CHAR(10)&amp;Basic_Fundamental_Information_Constructure(F10)&amp;CHAR(10)&amp;Basic_Fundamental_Information_Concatenate("")</f>
        <v xml:space="preserve">
市值93.98741亿, 利润9657.25万; PE27.15; 平均PE28.08; 平均PEG5.47, PB2.03; ROIC10.4067%; ROE11.9%; 股利率1.4937%; 毛利20.2333%; 净利7.83%; 上一年度营收增-66.77%, 利润增-77.95%; 当季营收增-44.91%, 利润增-50.22%; 过往5年营收增5.13%, 利润增1.62%
Income profile:
</v>
      </c>
      <c r="D10" s="3" t="s">
        <v>333</v>
      </c>
      <c r="E10" s="3" t="s">
        <v>334</v>
      </c>
      <c r="F10" s="3">
        <v>10.09</v>
      </c>
      <c r="G10" s="3">
        <v>-0.39</v>
      </c>
      <c r="H10" s="3" t="s">
        <v>1775</v>
      </c>
      <c r="I10" s="3">
        <v>9398741000</v>
      </c>
      <c r="J10" s="3">
        <v>27.15</v>
      </c>
      <c r="K10" s="3">
        <v>2.0299999999999998</v>
      </c>
      <c r="L10" s="3" t="s">
        <v>285</v>
      </c>
      <c r="M10" s="3" t="s">
        <v>1776</v>
      </c>
      <c r="N10" s="3" t="s">
        <v>1777</v>
      </c>
      <c r="O10" s="3" t="s">
        <v>1778</v>
      </c>
      <c r="P10" s="3">
        <v>20.51</v>
      </c>
      <c r="Q10" s="3" t="s">
        <v>1778</v>
      </c>
      <c r="R10" s="3">
        <v>96572467</v>
      </c>
      <c r="S10" s="5">
        <v>0.18060000000000001</v>
      </c>
      <c r="T10" s="3" t="s">
        <v>1779</v>
      </c>
      <c r="U10" s="3">
        <v>807329650</v>
      </c>
      <c r="V10" s="3">
        <v>931490690</v>
      </c>
      <c r="W10" s="3">
        <v>1.92</v>
      </c>
      <c r="X10" s="3">
        <v>0.2</v>
      </c>
      <c r="Y10" s="3">
        <v>4.26</v>
      </c>
      <c r="Z10" s="3" t="s">
        <v>1780</v>
      </c>
      <c r="AA10" s="3" t="s">
        <v>439</v>
      </c>
      <c r="AB10" s="3" t="s">
        <v>1781</v>
      </c>
      <c r="AC10" s="3" t="s">
        <v>1782</v>
      </c>
      <c r="AD10" s="3" t="s">
        <v>4</v>
      </c>
      <c r="AE10" s="3">
        <v>20485838</v>
      </c>
      <c r="AF10" s="3" t="s">
        <v>1783</v>
      </c>
      <c r="AG10" s="3" t="s">
        <v>1784</v>
      </c>
      <c r="AH10" s="3" t="s">
        <v>1785</v>
      </c>
      <c r="AI10" s="3" t="s">
        <v>1786</v>
      </c>
      <c r="AJ10" s="3" t="s">
        <v>1787</v>
      </c>
      <c r="AK10" s="3" t="s">
        <v>1195</v>
      </c>
      <c r="AL10" s="3" t="s">
        <v>1788</v>
      </c>
      <c r="AM10" s="3" t="s">
        <v>4</v>
      </c>
      <c r="AN10" s="3" t="s">
        <v>65</v>
      </c>
      <c r="AO10" s="3" t="s">
        <v>184</v>
      </c>
      <c r="AP10" s="3" t="s">
        <v>1523</v>
      </c>
      <c r="AQ10" s="3" t="s">
        <v>1789</v>
      </c>
      <c r="AR10" s="3" t="s">
        <v>4</v>
      </c>
      <c r="AS10" s="3" t="s">
        <v>1790</v>
      </c>
      <c r="AT10" s="3" t="s">
        <v>4</v>
      </c>
      <c r="AU10" s="3" t="s">
        <v>1791</v>
      </c>
      <c r="AV10" s="3" t="s">
        <v>1792</v>
      </c>
      <c r="AW10" s="3" t="s">
        <v>68</v>
      </c>
      <c r="AX10" s="3" t="s">
        <v>1152</v>
      </c>
      <c r="AY10" s="3" t="s">
        <v>716</v>
      </c>
      <c r="AZ10" s="3" t="s">
        <v>335</v>
      </c>
      <c r="BA10" s="3" t="s">
        <v>336</v>
      </c>
      <c r="BB10" s="3" t="s">
        <v>263</v>
      </c>
      <c r="BC10" s="3" t="s">
        <v>801</v>
      </c>
      <c r="BD10" s="3" t="s">
        <v>134</v>
      </c>
      <c r="BE10" s="3" t="s">
        <v>136</v>
      </c>
      <c r="BF10" s="3" t="s">
        <v>65</v>
      </c>
      <c r="BG10" s="3" t="s">
        <v>89</v>
      </c>
      <c r="BH10" s="3" t="s">
        <v>1793</v>
      </c>
      <c r="BI10" s="3" t="s">
        <v>1042</v>
      </c>
      <c r="BJ10" s="3" t="s">
        <v>1152</v>
      </c>
      <c r="BK10" s="3" t="s">
        <v>163</v>
      </c>
      <c r="BL10" s="3" t="s">
        <v>76</v>
      </c>
      <c r="BM10" s="3" t="s">
        <v>801</v>
      </c>
      <c r="BN10" s="3">
        <v>6.22</v>
      </c>
      <c r="BO10" s="3">
        <v>10.42</v>
      </c>
      <c r="BP10" s="3">
        <v>14.58</v>
      </c>
      <c r="BQ10" s="3">
        <v>7.76</v>
      </c>
      <c r="BR10" s="3">
        <v>11.28</v>
      </c>
      <c r="BS10" s="3">
        <v>16.66</v>
      </c>
      <c r="BT10" s="3" t="s">
        <v>1794</v>
      </c>
      <c r="BU10" s="3" t="s">
        <v>841</v>
      </c>
      <c r="BV10" s="3">
        <v>19.579999999999998</v>
      </c>
      <c r="BW10" s="3">
        <v>20.149999999999999</v>
      </c>
      <c r="BX10" s="3">
        <v>20.97</v>
      </c>
      <c r="BY10" s="3">
        <v>4.63</v>
      </c>
      <c r="BZ10" s="3">
        <v>8.49</v>
      </c>
      <c r="CA10" s="3">
        <v>10.37</v>
      </c>
      <c r="CB10" s="3">
        <v>-5.79</v>
      </c>
      <c r="CC10" s="3">
        <v>-12.94</v>
      </c>
      <c r="CD10" s="3" t="s">
        <v>1795</v>
      </c>
      <c r="CE10" s="3" t="s">
        <v>119</v>
      </c>
      <c r="CF10" s="10">
        <v>-0.44913841022790429</v>
      </c>
      <c r="CG10" s="11">
        <v>-0.50220377835051544</v>
      </c>
      <c r="CH10" s="10">
        <v>-0.66772842407226563</v>
      </c>
      <c r="CI10" s="10">
        <v>-3.508132416754961E-3</v>
      </c>
      <c r="CJ10" s="10">
        <v>0.28289756178855896</v>
      </c>
      <c r="CK10" s="10">
        <v>0.27870649099349976</v>
      </c>
      <c r="CL10" s="10">
        <v>0.36615493893623352</v>
      </c>
      <c r="CM10" s="11">
        <v>-0.77951490879058838</v>
      </c>
      <c r="CN10" s="11">
        <v>-0.20795659720897675</v>
      </c>
      <c r="CO10" s="11">
        <v>0.39646464586257935</v>
      </c>
      <c r="CP10" s="11">
        <v>0.30693069100379944</v>
      </c>
      <c r="CQ10" s="11">
        <v>0.36486485600471497</v>
      </c>
      <c r="CR10" s="3">
        <v>28.075882747573218</v>
      </c>
      <c r="CS10" s="3">
        <v>5.4724029737359778</v>
      </c>
      <c r="CT10" s="3">
        <v>1.4936650148662041</v>
      </c>
      <c r="CU10" s="10">
        <v>5.130448704585433E-2</v>
      </c>
      <c r="CV10" s="11">
        <v>1.6157737374305724E-2</v>
      </c>
      <c r="CW10" s="3">
        <v>0.06</v>
      </c>
      <c r="CX10" s="3">
        <v>90.997233503770616</v>
      </c>
      <c r="CY10" s="3">
        <v>95780285.448335633</v>
      </c>
      <c r="CZ10" s="3">
        <v>5.130448704585433E-2</v>
      </c>
      <c r="DA10" s="3">
        <v>30.731923981248347</v>
      </c>
      <c r="DB10" s="3">
        <v>283605445.76766723</v>
      </c>
      <c r="DC10" s="3">
        <v>4.8739262693561609E-2</v>
      </c>
      <c r="DD10" s="3">
        <v>15.798717070980885</v>
      </c>
      <c r="DE10" s="3">
        <v>551673972.05999029</v>
      </c>
      <c r="DF10" s="3">
        <v>4.514794860035181E-2</v>
      </c>
      <c r="DG10" s="3">
        <v>9.9533866670915998</v>
      </c>
      <c r="DH10" s="3">
        <v>875655823.64206064</v>
      </c>
      <c r="DI10" s="3">
        <v>4.1043589636683468E-2</v>
      </c>
      <c r="DJ10" s="3">
        <v>5.6941561302959123</v>
      </c>
      <c r="DK10" s="3">
        <v>1530646649.0491302</v>
      </c>
      <c r="DL10" s="3">
        <v>3.5913140932098027E-2</v>
      </c>
      <c r="DM10" s="3">
        <v>96572500</v>
      </c>
      <c r="DN10" s="3">
        <v>5.130448704585433E-2</v>
      </c>
      <c r="DO10" s="3">
        <v>8715741000</v>
      </c>
      <c r="DP10" s="3">
        <v>1673531400</v>
      </c>
      <c r="DQ10" s="3">
        <v>908</v>
      </c>
      <c r="DR10" s="3">
        <v>-0.50044289727375868</v>
      </c>
      <c r="DS10" s="3">
        <v>-0.51836151572482114</v>
      </c>
      <c r="DT10" s="12">
        <v>-0.42333333333333339</v>
      </c>
      <c r="DU10" s="3">
        <v>-0.35333333333333333</v>
      </c>
      <c r="DV10" s="3">
        <v>-0.77666666666666673</v>
      </c>
      <c r="DW10" s="3">
        <v>-8.447449768160741</v>
      </c>
      <c r="DX10" s="3">
        <v>0.38367299999999971</v>
      </c>
      <c r="DY10" s="3">
        <v>-8.0642864505409584</v>
      </c>
      <c r="DZ10" s="3">
        <v>993</v>
      </c>
      <c r="EA10" s="3">
        <v>-8.0517939954749753</v>
      </c>
      <c r="EB10" s="3">
        <v>8</v>
      </c>
      <c r="EC10" s="3">
        <v>6.1695946741024327E-2</v>
      </c>
      <c r="ED10" s="3">
        <v>0.42941921405569816</v>
      </c>
      <c r="EE10" s="13">
        <v>-2.0049100000000002</v>
      </c>
      <c r="EF10" s="3">
        <v>-2.02921</v>
      </c>
      <c r="EG10" s="3">
        <v>24.143673</v>
      </c>
      <c r="EH10" s="3" t="s">
        <v>1250</v>
      </c>
      <c r="EI10" s="3">
        <v>0</v>
      </c>
      <c r="EJ10" s="3">
        <v>1</v>
      </c>
      <c r="EK10" s="15">
        <v>45470</v>
      </c>
      <c r="EL10" s="16">
        <v>-0.27</v>
      </c>
      <c r="EM10" s="16">
        <v>-4.04</v>
      </c>
      <c r="EN10" s="16">
        <v>-2.29</v>
      </c>
      <c r="EO10" s="16">
        <v>4.79</v>
      </c>
      <c r="EP10" s="16">
        <v>-2.4300000000000002</v>
      </c>
    </row>
    <row r="11" spans="1:146" ht="96" x14ac:dyDescent="0.25">
      <c r="C11" s="7" t="str">
        <f>""&amp;CHAR(10)&amp;Basic_Fundamental_Information_Constructure(F11)&amp;CHAR(10)&amp;Basic_Fundamental_Information_Concatenate("")</f>
        <v xml:space="preserve">
市值53.942345亿, 利润4431.87万; PE; 平均PE-8.86; 平均PEG-.23, PB1.59; ROIC1.99%; ROE-2.76%; 股利率0%; 毛利8.4367%; 净利-10.71%; 上一年度营收增-80.01%, 利润增117.8%; 当季营收增-45.32%, 利润增145.26%; 过往5年营收增-39.24%, 利润增-176.86%
Income profile:
</v>
      </c>
      <c r="D11" s="3" t="s">
        <v>867</v>
      </c>
      <c r="E11" s="3" t="s">
        <v>868</v>
      </c>
      <c r="F11" s="3">
        <v>1.57</v>
      </c>
      <c r="G11" s="3">
        <v>0</v>
      </c>
      <c r="H11" s="3" t="s">
        <v>1796</v>
      </c>
      <c r="I11" s="3">
        <v>5394234500</v>
      </c>
      <c r="K11" s="3">
        <v>1.59</v>
      </c>
      <c r="L11" s="3" t="s">
        <v>285</v>
      </c>
      <c r="M11" s="3" t="s">
        <v>1797</v>
      </c>
      <c r="N11" s="3" t="s">
        <v>1798</v>
      </c>
      <c r="O11" s="3" t="s">
        <v>1799</v>
      </c>
      <c r="P11" s="3">
        <v>6.18</v>
      </c>
      <c r="Q11" s="3" t="s">
        <v>1799</v>
      </c>
      <c r="R11" s="3">
        <v>44318721</v>
      </c>
      <c r="S11" s="5">
        <v>1.577</v>
      </c>
      <c r="T11" s="3" t="s">
        <v>1800</v>
      </c>
      <c r="U11" s="3">
        <v>3410078900</v>
      </c>
      <c r="V11" s="3">
        <v>3435818200</v>
      </c>
      <c r="W11" s="3">
        <v>2.19</v>
      </c>
      <c r="X11" s="3">
        <v>0.11</v>
      </c>
      <c r="Y11" s="3">
        <v>5.43</v>
      </c>
      <c r="Z11" s="3" t="s">
        <v>1801</v>
      </c>
      <c r="AA11" s="3" t="s">
        <v>1802</v>
      </c>
      <c r="AB11" s="3" t="s">
        <v>1803</v>
      </c>
      <c r="AC11" s="3" t="s">
        <v>1804</v>
      </c>
      <c r="AD11" s="3" t="s">
        <v>4</v>
      </c>
      <c r="AE11" s="3">
        <v>8492698</v>
      </c>
      <c r="AF11" s="3" t="s">
        <v>1805</v>
      </c>
      <c r="AG11" s="3" t="s">
        <v>1806</v>
      </c>
      <c r="AH11" s="3" t="s">
        <v>1807</v>
      </c>
      <c r="AI11" s="3" t="s">
        <v>842</v>
      </c>
      <c r="AJ11" s="3" t="s">
        <v>1808</v>
      </c>
      <c r="AK11" s="3" t="s">
        <v>4</v>
      </c>
      <c r="AL11" s="3" t="s">
        <v>1809</v>
      </c>
      <c r="AM11" s="3" t="s">
        <v>4</v>
      </c>
      <c r="AN11" s="3" t="s">
        <v>931</v>
      </c>
      <c r="AO11" s="3" t="s">
        <v>1810</v>
      </c>
      <c r="AP11" s="3" t="s">
        <v>1811</v>
      </c>
      <c r="AQ11" s="3" t="s">
        <v>1812</v>
      </c>
      <c r="AR11" s="3" t="s">
        <v>4</v>
      </c>
      <c r="AS11" s="3" t="s">
        <v>1813</v>
      </c>
      <c r="AT11" s="3" t="s">
        <v>197</v>
      </c>
      <c r="AU11" s="3" t="s">
        <v>67</v>
      </c>
      <c r="AV11" s="3" t="s">
        <v>1814</v>
      </c>
      <c r="AW11" s="3" t="s">
        <v>1815</v>
      </c>
      <c r="AX11" s="3" t="s">
        <v>1153</v>
      </c>
      <c r="AY11" s="3" t="s">
        <v>869</v>
      </c>
      <c r="AZ11" s="3" t="s">
        <v>872</v>
      </c>
      <c r="BA11" s="3" t="s">
        <v>873</v>
      </c>
      <c r="BB11" s="3" t="s">
        <v>874</v>
      </c>
      <c r="BC11" s="3" t="s">
        <v>1103</v>
      </c>
      <c r="BD11" s="3" t="s">
        <v>870</v>
      </c>
      <c r="BE11" s="3" t="s">
        <v>265</v>
      </c>
      <c r="BF11" s="3" t="s">
        <v>875</v>
      </c>
      <c r="BG11" s="3" t="s">
        <v>876</v>
      </c>
      <c r="BH11" s="3" t="s">
        <v>1816</v>
      </c>
      <c r="BI11" s="3" t="s">
        <v>1072</v>
      </c>
      <c r="BJ11" s="3" t="s">
        <v>1153</v>
      </c>
      <c r="BK11" s="3" t="s">
        <v>1817</v>
      </c>
      <c r="BL11" s="3" t="s">
        <v>1375</v>
      </c>
      <c r="BM11" s="3" t="s">
        <v>1103</v>
      </c>
      <c r="BN11" s="3" t="s">
        <v>4</v>
      </c>
      <c r="BO11" s="3" t="s">
        <v>4</v>
      </c>
      <c r="BP11" s="3">
        <v>1.99</v>
      </c>
      <c r="BQ11" s="3">
        <v>-3.51</v>
      </c>
      <c r="BR11" s="3">
        <v>-5.62</v>
      </c>
      <c r="BS11" s="3">
        <v>0.85</v>
      </c>
      <c r="BT11" s="3" t="s">
        <v>1043</v>
      </c>
      <c r="BU11" s="3" t="s">
        <v>841</v>
      </c>
      <c r="BV11" s="3">
        <v>4.67</v>
      </c>
      <c r="BW11" s="3">
        <v>8.5399999999999991</v>
      </c>
      <c r="BX11" s="3">
        <v>12.1</v>
      </c>
      <c r="BY11" s="3">
        <v>-26.87</v>
      </c>
      <c r="BZ11" s="3">
        <v>-6.04</v>
      </c>
      <c r="CA11" s="3">
        <v>0.78</v>
      </c>
      <c r="CB11" s="3">
        <v>-0.63</v>
      </c>
      <c r="CC11" s="3">
        <v>-8.19</v>
      </c>
      <c r="CD11" s="3" t="s">
        <v>92</v>
      </c>
      <c r="CE11" s="3" t="s">
        <v>1818</v>
      </c>
      <c r="CF11" s="10">
        <v>-0.45321831453218314</v>
      </c>
      <c r="CG11" s="11">
        <v>1.4525717375498333</v>
      </c>
      <c r="CH11" s="10">
        <v>-0.80014550685882568</v>
      </c>
      <c r="CI11" s="10">
        <v>-0.17622379958629608</v>
      </c>
      <c r="CJ11" s="10">
        <v>-0.47837412357330322</v>
      </c>
      <c r="CK11" s="10">
        <v>-0.29706960916519165</v>
      </c>
      <c r="CL11" s="10">
        <v>-0.21002376079559326</v>
      </c>
      <c r="CM11" s="11">
        <v>1.177986741065979</v>
      </c>
      <c r="CN11" s="11">
        <v>-7.4239501953125</v>
      </c>
      <c r="CO11" s="11">
        <v>-0.89984184503555298</v>
      </c>
      <c r="CP11" s="11">
        <v>1.1260586977005005</v>
      </c>
      <c r="CQ11" s="11">
        <v>-2.8231632709503174</v>
      </c>
      <c r="CR11" s="3">
        <v>-8.8625725957147861</v>
      </c>
      <c r="CS11" s="3">
        <v>-0.22587435906515529</v>
      </c>
      <c r="CT11" s="3">
        <v>0</v>
      </c>
      <c r="CU11" s="10">
        <v>-0.39236735999584199</v>
      </c>
      <c r="CV11" s="11">
        <v>-1.7685819745063782</v>
      </c>
      <c r="CW11" s="3">
        <v>0.06</v>
      </c>
      <c r="CX11" s="3">
        <v>138.45700573347142</v>
      </c>
      <c r="CY11" s="3" t="s">
        <v>1819</v>
      </c>
      <c r="CZ11" s="3">
        <v>-0.39236735999584199</v>
      </c>
      <c r="DA11" s="3">
        <v>46.152335244490473</v>
      </c>
      <c r="DB11" s="3" t="s">
        <v>1820</v>
      </c>
      <c r="DC11" s="3">
        <v>-0.37274899199604988</v>
      </c>
      <c r="DD11" s="3">
        <v>23.076167622245237</v>
      </c>
      <c r="DE11" s="3" t="s">
        <v>1821</v>
      </c>
      <c r="DF11" s="3">
        <v>-0.34528327679634097</v>
      </c>
      <c r="DG11" s="3">
        <v>13.845700573347143</v>
      </c>
      <c r="DH11" s="3" t="s">
        <v>1822</v>
      </c>
      <c r="DI11" s="3">
        <v>-0.31389388799667362</v>
      </c>
      <c r="DJ11" s="3">
        <v>6.9228502866735715</v>
      </c>
      <c r="DK11" s="3" t="s">
        <v>1823</v>
      </c>
      <c r="DL11" s="3">
        <v>-0.2746571519970894</v>
      </c>
      <c r="DM11" s="3">
        <v>44318700</v>
      </c>
      <c r="DN11" s="3">
        <v>-0.39236735999584199</v>
      </c>
      <c r="DO11" s="3">
        <v>6136234500</v>
      </c>
      <c r="DP11" s="3">
        <v>-970121000</v>
      </c>
      <c r="DQ11" s="3">
        <v>930</v>
      </c>
      <c r="DR11" s="3">
        <v>-6.0850954536341151E-2</v>
      </c>
      <c r="DS11" s="3">
        <v>3.2211537120562115</v>
      </c>
      <c r="DT11" s="12">
        <v>-1.2733333333333332</v>
      </c>
      <c r="DU11" s="3">
        <v>-0.43333333333333357</v>
      </c>
      <c r="DV11" s="3">
        <v>-1.7066666666666668</v>
      </c>
      <c r="DW11" s="3">
        <v>-2.0819000000000001</v>
      </c>
      <c r="DX11" s="3">
        <v>0.40376712328767256</v>
      </c>
      <c r="DY11" s="3">
        <v>-2.0166885273972603</v>
      </c>
      <c r="DZ11" s="3">
        <v>4825</v>
      </c>
      <c r="EA11" s="3">
        <v>-2.0009307691405516</v>
      </c>
      <c r="EB11" s="3">
        <v>2</v>
      </c>
      <c r="EC11" s="3">
        <v>6.9270254171189843E-2</v>
      </c>
      <c r="ED11" s="3">
        <v>0.33994813811743591</v>
      </c>
      <c r="EE11" s="13">
        <v>-2.1086100000000001</v>
      </c>
      <c r="EF11" s="3">
        <v>-2.1278100000000002</v>
      </c>
      <c r="EG11" s="3">
        <v>20.203767123287673</v>
      </c>
      <c r="EH11" s="3" t="s">
        <v>1250</v>
      </c>
      <c r="EI11" s="3">
        <v>0</v>
      </c>
      <c r="EJ11" s="3">
        <v>0</v>
      </c>
      <c r="EK11" s="15">
        <v>45470</v>
      </c>
      <c r="EL11" s="16">
        <v>-1.27</v>
      </c>
      <c r="EM11" s="16">
        <v>-2.56</v>
      </c>
      <c r="EN11" s="16">
        <v>-1.32</v>
      </c>
      <c r="EO11" s="16">
        <v>4</v>
      </c>
      <c r="EP11" s="16">
        <v>-1.92</v>
      </c>
    </row>
    <row r="12" spans="1:146" ht="168" x14ac:dyDescent="0.25">
      <c r="A12" s="7" t="s">
        <v>904</v>
      </c>
      <c r="B12" s="7" t="s">
        <v>1570</v>
      </c>
      <c r="C12" s="7" t="str">
        <f>"公司是一家专注于连接器的研发、生产和销售的公司。公司的核心产品为电脑连接器，同时公司正逐步进入汽车连接器、通讯连接器和高端消费电子连接器领域，拓展新的产品市场。"&amp;CHAR(10)&amp;Basic_Fundamental_Information_Constructure(F12)&amp;CHAR(10)&amp;Basic_Fundamental_Information_Concatenate("消费性电子 1796.67亿 83.95% 78.96% 11.47%
通讯互联产品及精密组件 128.34亿 6.00% 5.47% 11.13%
电脑互联产品及精密组件 112.80亿 5.27% 8.77% 20.29%
汽车互联产品及精密组件 61.49亿 2.87% 3.79% 16.09%
其他连接器及其他业务 40.98亿 1.91% 3.00% 19.13%")</f>
        <v>公司是一家专注于连接器的研发、生产和销售的公司。公司的核心产品为电脑连接器，同时公司正逐步进入汽车连接器、通讯连接器和高端消费电子连接器领域，拓展新的产品市场。
市值2789.8441亿, 利润24.71亿; PE24.46; 平均PE50.17; 平均PEG1.65, PB4.75; ROIC12.5733%; ROE20.1333%; 股利率.7719%; 毛利12.0167%; 净利5.0867%; 上一年度营收增-75.51%, 利润增-73.03%; 当季营收增-46.51%, 利润增22.49%; 过往5年营收增30.46%, 利润增16.16%
Income profile:
消费性电子 1796.67亿 83.95% 78.96% 11.47%
通讯互联产品及精密组件 128.34亿 6.00% 5.47% 11.13%
电脑互联产品及精密组件 112.80亿 5.27% 8.77% 20.29%
汽车互联产品及精密组件 61.49亿 2.87% 3.79% 16.09%
其他连接器及其他业务 40.98亿 1.91% 3.00% 19.13%</v>
      </c>
      <c r="D12" s="3" t="s">
        <v>338</v>
      </c>
      <c r="E12" s="3" t="s">
        <v>339</v>
      </c>
      <c r="F12" s="3">
        <v>38.729999999999997</v>
      </c>
      <c r="G12" s="3">
        <v>-0.33</v>
      </c>
      <c r="H12" s="3" t="s">
        <v>1824</v>
      </c>
      <c r="I12" s="3">
        <v>278984410000</v>
      </c>
      <c r="J12" s="3">
        <v>24.46</v>
      </c>
      <c r="K12" s="3">
        <v>4.75</v>
      </c>
      <c r="L12" s="3" t="s">
        <v>285</v>
      </c>
      <c r="M12" s="3" t="s">
        <v>1825</v>
      </c>
      <c r="N12" s="3" t="s">
        <v>1826</v>
      </c>
      <c r="O12" s="3" t="s">
        <v>1827</v>
      </c>
      <c r="P12" s="3">
        <v>4.93</v>
      </c>
      <c r="Q12" s="3" t="s">
        <v>1827</v>
      </c>
      <c r="R12" s="3">
        <v>5335764300</v>
      </c>
      <c r="S12" s="5">
        <v>0.22450000000000001</v>
      </c>
      <c r="T12" s="3" t="s">
        <v>1828</v>
      </c>
      <c r="U12" s="3">
        <v>7187746200</v>
      </c>
      <c r="V12" s="3">
        <v>7203315600</v>
      </c>
      <c r="W12" s="3">
        <v>2.33</v>
      </c>
      <c r="X12" s="3">
        <v>0.32</v>
      </c>
      <c r="Y12" s="3">
        <v>4.91</v>
      </c>
      <c r="Z12" s="3" t="s">
        <v>1829</v>
      </c>
      <c r="AA12" s="3" t="s">
        <v>1830</v>
      </c>
      <c r="AB12" s="3" t="s">
        <v>1372</v>
      </c>
      <c r="AC12" s="3" t="s">
        <v>1831</v>
      </c>
      <c r="AD12" s="3" t="s">
        <v>4</v>
      </c>
      <c r="AE12" s="3">
        <v>101753715</v>
      </c>
      <c r="AF12" s="3" t="s">
        <v>1832</v>
      </c>
      <c r="AG12" s="3" t="s">
        <v>1833</v>
      </c>
      <c r="AH12" s="3" t="s">
        <v>1834</v>
      </c>
      <c r="AI12" s="3" t="s">
        <v>1835</v>
      </c>
      <c r="AJ12" s="3" t="s">
        <v>1836</v>
      </c>
      <c r="AK12" s="3" t="s">
        <v>957</v>
      </c>
      <c r="AL12" s="3" t="s">
        <v>1837</v>
      </c>
      <c r="AM12" s="3" t="s">
        <v>4</v>
      </c>
      <c r="AN12" s="3" t="s">
        <v>1838</v>
      </c>
      <c r="AO12" s="3" t="s">
        <v>1839</v>
      </c>
      <c r="AP12" s="3" t="s">
        <v>7</v>
      </c>
      <c r="AQ12" s="3" t="s">
        <v>1840</v>
      </c>
      <c r="AR12" s="3" t="s">
        <v>4</v>
      </c>
      <c r="AS12" s="3" t="s">
        <v>1841</v>
      </c>
      <c r="AT12" s="3" t="s">
        <v>1842</v>
      </c>
      <c r="AU12" s="3" t="s">
        <v>1843</v>
      </c>
      <c r="AV12" s="3" t="s">
        <v>1844</v>
      </c>
      <c r="AW12" s="3" t="s">
        <v>1845</v>
      </c>
      <c r="AX12" s="3" t="s">
        <v>1155</v>
      </c>
      <c r="AY12" s="3" t="s">
        <v>718</v>
      </c>
      <c r="AZ12" s="3" t="s">
        <v>340</v>
      </c>
      <c r="BA12" s="3" t="s">
        <v>342</v>
      </c>
      <c r="BB12" s="3" t="s">
        <v>343</v>
      </c>
      <c r="BC12" s="3" t="s">
        <v>1156</v>
      </c>
      <c r="BD12" s="3" t="s">
        <v>719</v>
      </c>
      <c r="BE12" s="3" t="s">
        <v>341</v>
      </c>
      <c r="BF12" s="3" t="s">
        <v>344</v>
      </c>
      <c r="BG12" s="3" t="s">
        <v>345</v>
      </c>
      <c r="BH12" s="3" t="s">
        <v>1846</v>
      </c>
      <c r="BI12" s="3" t="s">
        <v>1154</v>
      </c>
      <c r="BJ12" s="3" t="s">
        <v>1155</v>
      </c>
      <c r="BK12" s="3" t="s">
        <v>1847</v>
      </c>
      <c r="BL12" s="3" t="s">
        <v>1376</v>
      </c>
      <c r="BM12" s="3" t="s">
        <v>1156</v>
      </c>
      <c r="BN12" s="3">
        <v>8.39</v>
      </c>
      <c r="BO12" s="3">
        <v>14.4</v>
      </c>
      <c r="BP12" s="3">
        <v>14.93</v>
      </c>
      <c r="BQ12" s="3">
        <v>15.05</v>
      </c>
      <c r="BR12" s="3">
        <v>23</v>
      </c>
      <c r="BS12" s="3">
        <v>22.35</v>
      </c>
      <c r="BT12" s="3" t="s">
        <v>1848</v>
      </c>
      <c r="BU12" s="3" t="s">
        <v>841</v>
      </c>
      <c r="BV12" s="3">
        <v>11.58</v>
      </c>
      <c r="BW12" s="3">
        <v>12.19</v>
      </c>
      <c r="BX12" s="3">
        <v>12.28</v>
      </c>
      <c r="BY12" s="3">
        <v>5.28</v>
      </c>
      <c r="BZ12" s="3">
        <v>4.9000000000000004</v>
      </c>
      <c r="CA12" s="3">
        <v>5.08</v>
      </c>
      <c r="CB12" s="3">
        <v>-1.48</v>
      </c>
      <c r="CC12" s="3">
        <v>19.13</v>
      </c>
      <c r="CD12" s="3" t="s">
        <v>1100</v>
      </c>
      <c r="CE12" s="3" t="s">
        <v>1828</v>
      </c>
      <c r="CF12" s="10">
        <v>-0.46507640015923074</v>
      </c>
      <c r="CG12" s="11">
        <v>0.22492293388429752</v>
      </c>
      <c r="CH12" s="10">
        <v>-0.75513947010040283</v>
      </c>
      <c r="CI12" s="10">
        <v>0.39027968049049377</v>
      </c>
      <c r="CJ12" s="10">
        <v>0.66426306962966919</v>
      </c>
      <c r="CK12" s="10">
        <v>0.47963723540306091</v>
      </c>
      <c r="CL12" s="10">
        <v>0.74382150173187256</v>
      </c>
      <c r="CM12" s="11">
        <v>-0.73032850027084351</v>
      </c>
      <c r="CN12" s="11">
        <v>0.29585626721382141</v>
      </c>
      <c r="CO12" s="11">
        <v>-2.1314861252903938E-2</v>
      </c>
      <c r="CP12" s="11">
        <v>0.53266865015029907</v>
      </c>
      <c r="CQ12" s="11">
        <v>0.73117876052856445</v>
      </c>
      <c r="CR12" s="3">
        <v>50.166525609134773</v>
      </c>
      <c r="CS12" s="3">
        <v>1.6471132986449295</v>
      </c>
      <c r="CT12" s="3">
        <v>0.77187219209914804</v>
      </c>
      <c r="CU12" s="10">
        <v>0.30457240343093872</v>
      </c>
      <c r="CV12" s="11">
        <v>0.16161206327378749</v>
      </c>
      <c r="CW12" s="3">
        <v>0.06</v>
      </c>
      <c r="CX12" s="3">
        <v>97.856505243098738</v>
      </c>
      <c r="CY12" s="3">
        <v>3041130574.4130654</v>
      </c>
      <c r="CZ12" s="3">
        <v>0.30457240343093872</v>
      </c>
      <c r="DA12" s="3">
        <v>26.789776898205048</v>
      </c>
      <c r="DB12" s="3">
        <v>11108506469.86684</v>
      </c>
      <c r="DC12" s="3">
        <v>0.28934378325939175</v>
      </c>
      <c r="DD12" s="3">
        <v>10.234977926751434</v>
      </c>
      <c r="DE12" s="3">
        <v>29076214148.168274</v>
      </c>
      <c r="DF12" s="3">
        <v>0.26802371501922606</v>
      </c>
      <c r="DG12" s="3">
        <v>4.5111153905604979</v>
      </c>
      <c r="DH12" s="3">
        <v>65969141605.802383</v>
      </c>
      <c r="DI12" s="3">
        <v>0.24365792274475098</v>
      </c>
      <c r="DJ12" s="3">
        <v>1.0958794422435489</v>
      </c>
      <c r="DK12" s="3">
        <v>271557617132.36194</v>
      </c>
      <c r="DL12" s="3">
        <v>0.2132006824016571</v>
      </c>
      <c r="DM12" s="3">
        <v>2471000000</v>
      </c>
      <c r="DN12" s="3">
        <v>0.30457240343093872</v>
      </c>
      <c r="DO12" s="3">
        <v>297594410000</v>
      </c>
      <c r="DP12" s="3">
        <v>28537781000</v>
      </c>
      <c r="DQ12" s="3">
        <v>974</v>
      </c>
      <c r="DR12" s="3">
        <v>-0.76964880359016941</v>
      </c>
      <c r="DS12" s="3">
        <v>6.3310870610510023E-2</v>
      </c>
      <c r="DT12" s="12">
        <v>-3.9999999999999959E-2</v>
      </c>
      <c r="DU12" s="3">
        <v>0.35333333333333328</v>
      </c>
      <c r="DV12" s="3">
        <v>0.3133333333333333</v>
      </c>
      <c r="DW12" s="3">
        <v>3.0353988095238096</v>
      </c>
      <c r="DX12" s="3">
        <v>0.39545527801329827</v>
      </c>
      <c r="DY12" s="3">
        <v>3.0044409674901495</v>
      </c>
      <c r="DZ12" s="3">
        <v>75</v>
      </c>
      <c r="EA12" s="3">
        <v>3.0043757869496877</v>
      </c>
      <c r="EB12" s="3">
        <v>3</v>
      </c>
      <c r="EC12" s="3">
        <v>4.3035737598391494E-2</v>
      </c>
      <c r="ED12" s="3">
        <v>0.34303647614717869</v>
      </c>
      <c r="EE12" s="13">
        <v>1.0924100000000001</v>
      </c>
      <c r="EF12" s="3">
        <v>1.07541</v>
      </c>
      <c r="EG12" s="3">
        <v>27.125455278013298</v>
      </c>
      <c r="EH12" s="3" t="s">
        <v>1106</v>
      </c>
      <c r="EI12" s="3">
        <v>0</v>
      </c>
      <c r="EJ12" s="3">
        <v>1</v>
      </c>
      <c r="EK12" s="15">
        <v>45470</v>
      </c>
      <c r="EL12" s="16">
        <v>1.23</v>
      </c>
      <c r="EM12" s="16">
        <v>0.42</v>
      </c>
      <c r="EN12" s="16">
        <v>-1.9</v>
      </c>
      <c r="EO12" s="16">
        <v>2.8</v>
      </c>
      <c r="EP12" s="16">
        <v>1.7</v>
      </c>
    </row>
    <row r="13" spans="1:146" ht="96" x14ac:dyDescent="0.25">
      <c r="C13" s="7" t="str">
        <f>""&amp;CHAR(10)&amp;Basic_Fundamental_Information_Constructure(F13)&amp;CHAR(10)&amp;Basic_Fundamental_Information_Concatenate("")</f>
        <v xml:space="preserve">
市值461.1381亿, 利润4.61亿; PE24.72; 平均PE41.19; 平均PEG7.87, PB2.47; ROIC6.9333%; ROE9.32%; 股利率.4559%; 毛利19%; 净利4.8367%; 上一年度营收增-71.58%, 利润增-71.12%; 当季营收增-35.91%, 利润增-41.51%; 过往5年营收增-5.23%, 利润增62.89%
Income profile:
</v>
      </c>
      <c r="D13" s="3" t="s">
        <v>348</v>
      </c>
      <c r="E13" s="3" t="s">
        <v>349</v>
      </c>
      <c r="F13" s="3">
        <v>6.58</v>
      </c>
      <c r="G13" s="3">
        <v>2.4900000000000002</v>
      </c>
      <c r="H13" s="3" t="s">
        <v>1267</v>
      </c>
      <c r="I13" s="3">
        <v>46113810000</v>
      </c>
      <c r="J13" s="3">
        <v>24.72</v>
      </c>
      <c r="K13" s="3">
        <v>2.4700000000000002</v>
      </c>
      <c r="L13" s="3" t="s">
        <v>285</v>
      </c>
      <c r="M13" s="3" t="s">
        <v>1849</v>
      </c>
      <c r="N13" s="3" t="s">
        <v>1850</v>
      </c>
      <c r="O13" s="3" t="s">
        <v>1851</v>
      </c>
      <c r="P13" s="3">
        <v>35.83</v>
      </c>
      <c r="Q13" s="3" t="s">
        <v>1851</v>
      </c>
      <c r="R13" s="3">
        <v>730000000</v>
      </c>
      <c r="S13" s="5">
        <v>-0.28720000000000001</v>
      </c>
      <c r="T13" s="3" t="s">
        <v>1852</v>
      </c>
      <c r="U13" s="3">
        <v>6893537500</v>
      </c>
      <c r="V13" s="3">
        <v>7008177800</v>
      </c>
      <c r="W13" s="3">
        <v>2.0099999999999998</v>
      </c>
      <c r="X13" s="3">
        <v>0.26</v>
      </c>
      <c r="Y13" s="3">
        <v>4.6900000000000004</v>
      </c>
      <c r="Z13" s="3" t="s">
        <v>1853</v>
      </c>
      <c r="AA13" s="3" t="s">
        <v>1854</v>
      </c>
      <c r="AB13" s="3" t="s">
        <v>1855</v>
      </c>
      <c r="AC13" s="3" t="s">
        <v>1450</v>
      </c>
      <c r="AD13" s="3" t="s">
        <v>4</v>
      </c>
      <c r="AE13" s="3">
        <v>56667257</v>
      </c>
      <c r="AF13" s="3" t="s">
        <v>1856</v>
      </c>
      <c r="AG13" s="3" t="s">
        <v>1857</v>
      </c>
      <c r="AH13" s="3" t="s">
        <v>1858</v>
      </c>
      <c r="AI13" s="3" t="s">
        <v>1859</v>
      </c>
      <c r="AJ13" s="3" t="s">
        <v>1860</v>
      </c>
      <c r="AK13" s="3" t="s">
        <v>1164</v>
      </c>
      <c r="AL13" s="3" t="s">
        <v>1861</v>
      </c>
      <c r="AM13" s="3" t="s">
        <v>4</v>
      </c>
      <c r="AN13" s="3" t="s">
        <v>1862</v>
      </c>
      <c r="AO13" s="3" t="s">
        <v>1384</v>
      </c>
      <c r="AP13" s="3" t="s">
        <v>112</v>
      </c>
      <c r="AQ13" s="3" t="s">
        <v>1863</v>
      </c>
      <c r="AR13" s="3" t="s">
        <v>1864</v>
      </c>
      <c r="AS13" s="3" t="s">
        <v>1865</v>
      </c>
      <c r="AT13" s="3" t="s">
        <v>1866</v>
      </c>
      <c r="AU13" s="3" t="s">
        <v>1867</v>
      </c>
      <c r="AV13" s="3" t="s">
        <v>1868</v>
      </c>
      <c r="AW13" s="3" t="s">
        <v>1444</v>
      </c>
      <c r="AX13" s="3" t="s">
        <v>1158</v>
      </c>
      <c r="AY13" s="3" t="s">
        <v>720</v>
      </c>
      <c r="AZ13" s="3" t="s">
        <v>350</v>
      </c>
      <c r="BA13" s="3" t="s">
        <v>352</v>
      </c>
      <c r="BB13" s="3" t="s">
        <v>353</v>
      </c>
      <c r="BC13" s="3" t="s">
        <v>1159</v>
      </c>
      <c r="BD13" s="3" t="s">
        <v>368</v>
      </c>
      <c r="BE13" s="3" t="s">
        <v>275</v>
      </c>
      <c r="BF13" s="3" t="s">
        <v>354</v>
      </c>
      <c r="BG13" s="3" t="s">
        <v>355</v>
      </c>
      <c r="BH13" s="3" t="s">
        <v>1869</v>
      </c>
      <c r="BI13" s="3" t="s">
        <v>1157</v>
      </c>
      <c r="BJ13" s="3" t="s">
        <v>1158</v>
      </c>
      <c r="BK13" s="3" t="s">
        <v>1870</v>
      </c>
      <c r="BL13" s="3" t="s">
        <v>379</v>
      </c>
      <c r="BM13" s="3" t="s">
        <v>1159</v>
      </c>
      <c r="BN13" s="3">
        <v>7.18</v>
      </c>
      <c r="BO13" s="3">
        <v>7.25</v>
      </c>
      <c r="BP13" s="3">
        <v>6.37</v>
      </c>
      <c r="BQ13" s="3">
        <v>10.47</v>
      </c>
      <c r="BR13" s="3">
        <v>9.68</v>
      </c>
      <c r="BS13" s="3">
        <v>7.81</v>
      </c>
      <c r="BT13" s="3" t="s">
        <v>1871</v>
      </c>
      <c r="BU13" s="3" t="s">
        <v>841</v>
      </c>
      <c r="BV13" s="3">
        <v>19.940000000000001</v>
      </c>
      <c r="BW13" s="3">
        <v>20.73</v>
      </c>
      <c r="BX13" s="3">
        <v>16.329999999999998</v>
      </c>
      <c r="BY13" s="3">
        <v>6</v>
      </c>
      <c r="BZ13" s="3">
        <v>4.6100000000000003</v>
      </c>
      <c r="CA13" s="3">
        <v>3.9</v>
      </c>
      <c r="CB13" s="3">
        <v>-7.58</v>
      </c>
      <c r="CC13" s="3">
        <v>38.53</v>
      </c>
      <c r="CD13" s="3" t="s">
        <v>1574</v>
      </c>
      <c r="CE13" s="3" t="s">
        <v>1872</v>
      </c>
      <c r="CF13" s="10">
        <v>-0.35908169272025631</v>
      </c>
      <c r="CG13" s="11">
        <v>-0.41506410256410259</v>
      </c>
      <c r="CH13" s="10">
        <v>-0.7158474326133728</v>
      </c>
      <c r="CI13" s="10">
        <v>0.13497233390808105</v>
      </c>
      <c r="CJ13" s="10">
        <v>7.9629018902778625E-2</v>
      </c>
      <c r="CK13" s="10">
        <v>0.17674362659454346</v>
      </c>
      <c r="CL13" s="10">
        <v>6.2933310866355896E-2</v>
      </c>
      <c r="CM13" s="11">
        <v>-0.71115291118621826</v>
      </c>
      <c r="CN13" s="11">
        <v>0.35254237055778503</v>
      </c>
      <c r="CO13" s="11">
        <v>-0.47925856709480286</v>
      </c>
      <c r="CP13" s="11">
        <v>0.1957782506942749</v>
      </c>
      <c r="CQ13" s="11">
        <v>3.7867648601531982</v>
      </c>
      <c r="CR13" s="3">
        <v>41.185302173265853</v>
      </c>
      <c r="CS13" s="3">
        <v>7.8727371670388289</v>
      </c>
      <c r="CT13" s="3">
        <v>0.45592705167173248</v>
      </c>
      <c r="CU13" s="10">
        <v>-5.2313828468322755E-2</v>
      </c>
      <c r="CV13" s="11">
        <v>0.62893480062484741</v>
      </c>
      <c r="CW13" s="3">
        <v>0.06</v>
      </c>
      <c r="CX13" s="3">
        <v>100.28158351409978</v>
      </c>
      <c r="CY13" s="3" t="s">
        <v>1873</v>
      </c>
      <c r="CZ13" s="3">
        <v>-5.2313828468322755E-2</v>
      </c>
      <c r="DA13" s="3">
        <v>33.427194504699926</v>
      </c>
      <c r="DB13" s="3" t="s">
        <v>1874</v>
      </c>
      <c r="DC13" s="3">
        <v>-4.9698137044906616E-2</v>
      </c>
      <c r="DD13" s="3">
        <v>16.713597252349963</v>
      </c>
      <c r="DE13" s="3" t="s">
        <v>1875</v>
      </c>
      <c r="DF13" s="3">
        <v>-4.6036169052124022E-2</v>
      </c>
      <c r="DG13" s="3">
        <v>10.028158351409978</v>
      </c>
      <c r="DH13" s="3" t="s">
        <v>1876</v>
      </c>
      <c r="DI13" s="3">
        <v>-4.1851062774658207E-2</v>
      </c>
      <c r="DJ13" s="3">
        <v>5.014079175704989</v>
      </c>
      <c r="DK13" s="3" t="s">
        <v>1877</v>
      </c>
      <c r="DL13" s="3">
        <v>-3.6619679927825929E-2</v>
      </c>
      <c r="DM13" s="3">
        <v>461000000.00000006</v>
      </c>
      <c r="DN13" s="3">
        <v>-5.2313828468322755E-2</v>
      </c>
      <c r="DO13" s="3">
        <v>46229810000</v>
      </c>
      <c r="DP13" s="3">
        <v>7652900000</v>
      </c>
      <c r="DQ13" s="3">
        <v>1093</v>
      </c>
      <c r="DR13" s="3">
        <v>-0.30676786425193353</v>
      </c>
      <c r="DS13" s="3">
        <v>-1.0439989031889501</v>
      </c>
      <c r="DT13" s="12">
        <v>-0.65666666666666662</v>
      </c>
      <c r="DU13" s="3">
        <v>5.9999999999999942E-2</v>
      </c>
      <c r="DV13" s="3">
        <v>-0.59666666666666668</v>
      </c>
      <c r="DW13" s="3">
        <v>-7.1643895033615266</v>
      </c>
      <c r="DX13" s="3">
        <v>0.47211495545806842</v>
      </c>
      <c r="DY13" s="3">
        <v>-7.0447328423849962</v>
      </c>
      <c r="DZ13" s="3">
        <v>1079</v>
      </c>
      <c r="EA13" s="3">
        <v>-7.0352872969968532</v>
      </c>
      <c r="EB13" s="3">
        <v>7</v>
      </c>
      <c r="EC13" s="3">
        <v>0.25941122669576105</v>
      </c>
      <c r="ED13" s="3">
        <v>0.9533148545403628</v>
      </c>
      <c r="EE13" s="13">
        <v>-3.0554000000000001</v>
      </c>
      <c r="EF13" s="3">
        <v>-3.1231</v>
      </c>
      <c r="EG13" s="3">
        <v>20.272114955458068</v>
      </c>
      <c r="EH13" s="3" t="s">
        <v>1160</v>
      </c>
      <c r="EI13" s="3">
        <v>0</v>
      </c>
      <c r="EJ13" s="3">
        <v>1</v>
      </c>
      <c r="EK13" s="15">
        <v>45470</v>
      </c>
      <c r="EL13" s="16">
        <v>0.88</v>
      </c>
      <c r="EM13" s="16">
        <v>-2.81</v>
      </c>
      <c r="EN13" s="16">
        <v>1.44</v>
      </c>
      <c r="EO13" s="16">
        <v>7.83</v>
      </c>
      <c r="EP13" s="16">
        <v>6.77</v>
      </c>
    </row>
    <row r="14" spans="1:146" ht="96" x14ac:dyDescent="0.25">
      <c r="C14" s="7" t="str">
        <f>""&amp;CHAR(10)&amp;Basic_Fundamental_Information_Constructure(F14)&amp;CHAR(10)&amp;Basic_Fundamental_Information_Concatenate("")</f>
        <v xml:space="preserve">
市值95.720551亿, 利润1.05亿; PE27.75; 平均PE63.53; 平均PEG6.4, PB1.67; ROIC3.4833%; ROE3.7733%; 股利率2.0675%; 毛利24.6067%; 净利5.7867%; 上一年度营收增-72.3%, 利润增-55.32%; 当季营收增-37.67%, 利润增-23%; 过往5年营收增-9.92%, 利润增-28.31%
Income profile:
</v>
      </c>
      <c r="D14" s="3" t="s">
        <v>356</v>
      </c>
      <c r="E14" s="3" t="s">
        <v>357</v>
      </c>
      <c r="F14" s="3">
        <v>14.51</v>
      </c>
      <c r="G14" s="3">
        <v>-0.48</v>
      </c>
      <c r="H14" s="3" t="s">
        <v>1878</v>
      </c>
      <c r="I14" s="3">
        <v>9572055100</v>
      </c>
      <c r="J14" s="3">
        <v>27.75</v>
      </c>
      <c r="K14" s="3">
        <v>1.67</v>
      </c>
      <c r="L14" s="3" t="s">
        <v>285</v>
      </c>
      <c r="M14" s="3" t="s">
        <v>1879</v>
      </c>
      <c r="N14" s="3" t="s">
        <v>1880</v>
      </c>
      <c r="O14" s="3" t="s">
        <v>1881</v>
      </c>
      <c r="P14" s="3">
        <v>32.15</v>
      </c>
      <c r="Q14" s="3" t="s">
        <v>1881</v>
      </c>
      <c r="R14" s="3">
        <v>105493718</v>
      </c>
      <c r="S14" s="5">
        <v>0.54669999999999996</v>
      </c>
      <c r="T14" s="3" t="s">
        <v>24</v>
      </c>
      <c r="U14" s="3">
        <v>391535580</v>
      </c>
      <c r="V14" s="3">
        <v>659686780</v>
      </c>
      <c r="W14" s="3">
        <v>1.41</v>
      </c>
      <c r="X14" s="3">
        <v>0.14000000000000001</v>
      </c>
      <c r="Y14" s="3">
        <v>8.98</v>
      </c>
      <c r="Z14" s="3" t="s">
        <v>1882</v>
      </c>
      <c r="AA14" s="3" t="s">
        <v>1499</v>
      </c>
      <c r="AB14" s="3" t="s">
        <v>1883</v>
      </c>
      <c r="AC14" s="3" t="s">
        <v>1884</v>
      </c>
      <c r="AD14" s="3" t="s">
        <v>4</v>
      </c>
      <c r="AE14" s="3">
        <v>-5582016</v>
      </c>
      <c r="AF14" s="3" t="s">
        <v>1885</v>
      </c>
      <c r="AG14" s="3" t="s">
        <v>1886</v>
      </c>
      <c r="AH14" s="3" t="s">
        <v>1887</v>
      </c>
      <c r="AI14" s="3" t="s">
        <v>558</v>
      </c>
      <c r="AJ14" s="3" t="s">
        <v>1888</v>
      </c>
      <c r="AK14" s="3" t="s">
        <v>1889</v>
      </c>
      <c r="AL14" s="3" t="s">
        <v>1890</v>
      </c>
      <c r="AM14" s="3" t="s">
        <v>4</v>
      </c>
      <c r="AN14" s="3" t="s">
        <v>1079</v>
      </c>
      <c r="AO14" s="3" t="s">
        <v>1200</v>
      </c>
      <c r="AP14" s="3" t="s">
        <v>1891</v>
      </c>
      <c r="AQ14" s="3" t="s">
        <v>1196</v>
      </c>
      <c r="AR14" s="3" t="s">
        <v>4</v>
      </c>
      <c r="AS14" s="3" t="s">
        <v>1703</v>
      </c>
      <c r="AT14" s="3" t="s">
        <v>1892</v>
      </c>
      <c r="AU14" s="3" t="s">
        <v>1893</v>
      </c>
      <c r="AV14" s="3" t="s">
        <v>813</v>
      </c>
      <c r="AW14" s="3" t="s">
        <v>197</v>
      </c>
      <c r="AX14" s="3" t="s">
        <v>1162</v>
      </c>
      <c r="AY14" s="3" t="s">
        <v>721</v>
      </c>
      <c r="AZ14" s="3" t="s">
        <v>358</v>
      </c>
      <c r="BA14" s="3" t="s">
        <v>360</v>
      </c>
      <c r="BB14" s="3" t="s">
        <v>361</v>
      </c>
      <c r="BC14" s="3" t="s">
        <v>72</v>
      </c>
      <c r="BD14" s="3" t="s">
        <v>66</v>
      </c>
      <c r="BE14" s="3" t="s">
        <v>259</v>
      </c>
      <c r="BF14" s="3" t="s">
        <v>362</v>
      </c>
      <c r="BG14" s="3" t="s">
        <v>363</v>
      </c>
      <c r="BH14" s="3" t="s">
        <v>1894</v>
      </c>
      <c r="BI14" s="3" t="s">
        <v>1161</v>
      </c>
      <c r="BJ14" s="3" t="s">
        <v>1162</v>
      </c>
      <c r="BK14" s="3" t="s">
        <v>133</v>
      </c>
      <c r="BL14" s="3" t="s">
        <v>105</v>
      </c>
      <c r="BM14" s="3" t="s">
        <v>72</v>
      </c>
      <c r="BN14" s="3">
        <v>3.56</v>
      </c>
      <c r="BO14" s="3">
        <v>3.78</v>
      </c>
      <c r="BP14" s="3">
        <v>3.11</v>
      </c>
      <c r="BQ14" s="3">
        <v>3.99</v>
      </c>
      <c r="BR14" s="3">
        <v>4</v>
      </c>
      <c r="BS14" s="3">
        <v>3.33</v>
      </c>
      <c r="BT14" s="3" t="s">
        <v>1065</v>
      </c>
      <c r="BU14" s="3" t="s">
        <v>841</v>
      </c>
      <c r="BV14" s="3">
        <v>24.72</v>
      </c>
      <c r="BW14" s="3">
        <v>27.28</v>
      </c>
      <c r="BX14" s="3">
        <v>21.82</v>
      </c>
      <c r="BY14" s="3">
        <v>6.75</v>
      </c>
      <c r="BZ14" s="3">
        <v>5.51</v>
      </c>
      <c r="CA14" s="3">
        <v>5.0999999999999996</v>
      </c>
      <c r="CB14" s="3">
        <v>-6.02</v>
      </c>
      <c r="CC14" s="3">
        <v>1.54</v>
      </c>
      <c r="CD14" s="3" t="s">
        <v>1895</v>
      </c>
      <c r="CE14" s="3" t="s">
        <v>110</v>
      </c>
      <c r="CF14" s="10">
        <v>-0.37674169346195069</v>
      </c>
      <c r="CG14" s="11">
        <v>-0.22997286131386863</v>
      </c>
      <c r="CH14" s="10">
        <v>-0.72302925586700439</v>
      </c>
      <c r="CI14" s="10">
        <v>8.1101976335048676E-2</v>
      </c>
      <c r="CJ14" s="10">
        <v>0.33700519800186157</v>
      </c>
      <c r="CK14" s="10">
        <v>-7.3660731315612793E-2</v>
      </c>
      <c r="CL14" s="10">
        <v>-0.11761392652988434</v>
      </c>
      <c r="CM14" s="11">
        <v>-0.55319148302078247</v>
      </c>
      <c r="CN14" s="11">
        <v>0.18090452253818512</v>
      </c>
      <c r="CO14" s="11">
        <v>-0.57478630542755127</v>
      </c>
      <c r="CP14" s="11">
        <v>1.7200000286102295</v>
      </c>
      <c r="CQ14" s="11">
        <v>-2.1882996559143066</v>
      </c>
      <c r="CR14" s="3">
        <v>63.531339159292038</v>
      </c>
      <c r="CS14" s="3">
        <v>6.4018295685738691</v>
      </c>
      <c r="CT14" s="3">
        <v>2.067539627842867</v>
      </c>
      <c r="CU14" s="10">
        <v>-9.9239347875118261E-2</v>
      </c>
      <c r="CV14" s="11">
        <v>-0.28307457864284513</v>
      </c>
      <c r="CW14" s="3">
        <v>0.06</v>
      </c>
      <c r="CX14" s="3">
        <v>56.533858095238095</v>
      </c>
      <c r="CY14" s="3" t="s">
        <v>1896</v>
      </c>
      <c r="CZ14" s="3">
        <v>-9.9239347875118261E-2</v>
      </c>
      <c r="DA14" s="3">
        <v>18.844619365079364</v>
      </c>
      <c r="DB14" s="3" t="s">
        <v>1897</v>
      </c>
      <c r="DC14" s="3">
        <v>-9.4277380481362347E-2</v>
      </c>
      <c r="DD14" s="3">
        <v>9.4223096825396819</v>
      </c>
      <c r="DE14" s="3" t="s">
        <v>1898</v>
      </c>
      <c r="DF14" s="3">
        <v>-8.7330626130104075E-2</v>
      </c>
      <c r="DG14" s="3">
        <v>5.6533858095238099</v>
      </c>
      <c r="DH14" s="3" t="s">
        <v>1899</v>
      </c>
      <c r="DI14" s="3">
        <v>-7.9391478300094617E-2</v>
      </c>
      <c r="DJ14" s="3">
        <v>2.8266929047619049</v>
      </c>
      <c r="DK14" s="3" t="s">
        <v>1900</v>
      </c>
      <c r="DL14" s="3">
        <v>-6.9467543512582774E-2</v>
      </c>
      <c r="DM14" s="3">
        <v>105000000</v>
      </c>
      <c r="DN14" s="3">
        <v>-9.9239347875118261E-2</v>
      </c>
      <c r="DO14" s="3">
        <v>5936055100</v>
      </c>
      <c r="DP14" s="3">
        <v>1806097500</v>
      </c>
      <c r="DQ14" s="3">
        <v>1125</v>
      </c>
      <c r="DR14" s="3">
        <v>-0.2775023455868324</v>
      </c>
      <c r="DS14" s="3">
        <v>5.3101717328976505E-2</v>
      </c>
      <c r="DT14" s="12">
        <v>-0.64</v>
      </c>
      <c r="DU14" s="3">
        <v>-0.75333333333333341</v>
      </c>
      <c r="DV14" s="3">
        <v>-1.3933333333333335</v>
      </c>
      <c r="DW14" s="3">
        <v>-5.2558139534883725</v>
      </c>
      <c r="DX14" s="3">
        <v>0.39330721003134639</v>
      </c>
      <c r="DY14" s="3">
        <v>-5.0443344025661592</v>
      </c>
      <c r="DZ14" s="3">
        <v>2403</v>
      </c>
      <c r="EA14" s="3">
        <v>-5.0234859545492352</v>
      </c>
      <c r="EB14" s="3">
        <v>5</v>
      </c>
      <c r="EC14" s="3">
        <v>8.3804923300115242E-2</v>
      </c>
      <c r="ED14" s="3">
        <v>0.48356282052521954</v>
      </c>
      <c r="EE14" s="13">
        <v>-1.0201</v>
      </c>
      <c r="EF14" s="3">
        <v>-1.0055000000000001</v>
      </c>
      <c r="EG14" s="3">
        <v>22.173307210031346</v>
      </c>
      <c r="EH14" s="3" t="s">
        <v>1107</v>
      </c>
      <c r="EI14" s="3">
        <v>0</v>
      </c>
      <c r="EJ14" s="3">
        <v>0</v>
      </c>
      <c r="EK14" s="15">
        <v>45470</v>
      </c>
      <c r="EL14" s="16">
        <v>0.73</v>
      </c>
      <c r="EM14" s="16">
        <v>-3.4</v>
      </c>
      <c r="EN14" s="16">
        <v>-2.78</v>
      </c>
      <c r="EO14" s="16">
        <v>5.37</v>
      </c>
      <c r="EP14" s="16">
        <v>-1.46</v>
      </c>
    </row>
    <row r="15" spans="1:146" ht="96" x14ac:dyDescent="0.25">
      <c r="C15" s="7" t="str">
        <f>""&amp;CHAR(10)&amp;Basic_Fundamental_Information_Constructure(F15)&amp;CHAR(10)&amp;Basic_Fundamental_Information_Concatenate("")</f>
        <v xml:space="preserve">
市值36.792亿, 利润1717.48万; PE59.2; 平均PE93.19; 平均PEG10.22, PB5.95; ROIC7.6767%; ROE8.67%; 股利率.2935%; 毛利26.2533%; 净利6.4767%; 上一年度营收增-74.18%, 利润增-69.36%; 当季营收增-55.65%, 利润增-29.47%; 过往5年营收增-9.11%, 利润增10.45%
Income profile:
</v>
      </c>
      <c r="D15" s="3" t="s">
        <v>365</v>
      </c>
      <c r="E15" s="3" t="s">
        <v>366</v>
      </c>
      <c r="F15" s="3">
        <v>10.220000000000001</v>
      </c>
      <c r="G15" s="3">
        <v>-0.97</v>
      </c>
      <c r="H15" s="3" t="s">
        <v>1901</v>
      </c>
      <c r="I15" s="3">
        <v>3679200000</v>
      </c>
      <c r="J15" s="3">
        <v>59.2</v>
      </c>
      <c r="K15" s="3">
        <v>5.95</v>
      </c>
      <c r="L15" s="3" t="s">
        <v>285</v>
      </c>
      <c r="M15" s="3" t="s">
        <v>1089</v>
      </c>
      <c r="N15" s="3" t="s">
        <v>1074</v>
      </c>
      <c r="O15" s="3" t="s">
        <v>237</v>
      </c>
      <c r="P15" s="3">
        <v>25.06</v>
      </c>
      <c r="Q15" s="3" t="s">
        <v>237</v>
      </c>
      <c r="R15" s="3">
        <v>17174769</v>
      </c>
      <c r="S15" s="5">
        <v>0.60570000000000002</v>
      </c>
      <c r="T15" s="3" t="s">
        <v>1902</v>
      </c>
      <c r="U15" s="3">
        <v>359890830</v>
      </c>
      <c r="V15" s="3">
        <v>360000000</v>
      </c>
      <c r="W15" s="3">
        <v>2.25</v>
      </c>
      <c r="X15" s="3">
        <v>0.18</v>
      </c>
      <c r="Y15" s="3">
        <v>7.18</v>
      </c>
      <c r="Z15" s="3" t="s">
        <v>160</v>
      </c>
      <c r="AA15" s="3" t="s">
        <v>1129</v>
      </c>
      <c r="AB15" s="3" t="s">
        <v>1903</v>
      </c>
      <c r="AC15" s="3" t="s">
        <v>1904</v>
      </c>
      <c r="AD15" s="3" t="s">
        <v>4</v>
      </c>
      <c r="AE15" s="3">
        <v>762451</v>
      </c>
      <c r="AF15" s="3" t="s">
        <v>21</v>
      </c>
      <c r="AG15" s="3" t="s">
        <v>1905</v>
      </c>
      <c r="AH15" s="3" t="s">
        <v>1906</v>
      </c>
      <c r="AI15" s="3" t="s">
        <v>103</v>
      </c>
      <c r="AJ15" s="3" t="s">
        <v>1907</v>
      </c>
      <c r="AK15" s="3" t="s">
        <v>1908</v>
      </c>
      <c r="AL15" s="3" t="s">
        <v>1909</v>
      </c>
      <c r="AM15" s="3" t="s">
        <v>4</v>
      </c>
      <c r="AN15" s="3" t="s">
        <v>1910</v>
      </c>
      <c r="AO15" s="3" t="s">
        <v>915</v>
      </c>
      <c r="AP15" s="3" t="s">
        <v>1911</v>
      </c>
      <c r="AQ15" s="3" t="s">
        <v>1912</v>
      </c>
      <c r="AR15" s="3" t="s">
        <v>4</v>
      </c>
      <c r="AS15" s="3" t="s">
        <v>1913</v>
      </c>
      <c r="AT15" s="3" t="s">
        <v>1914</v>
      </c>
      <c r="AU15" s="3" t="s">
        <v>1915</v>
      </c>
      <c r="AV15" s="3" t="s">
        <v>1916</v>
      </c>
      <c r="AW15" s="3" t="s">
        <v>1917</v>
      </c>
      <c r="AX15" s="3" t="s">
        <v>1918</v>
      </c>
      <c r="AY15" s="3" t="s">
        <v>723</v>
      </c>
      <c r="AZ15" s="3" t="s">
        <v>368</v>
      </c>
      <c r="BA15" s="3" t="s">
        <v>371</v>
      </c>
      <c r="BB15" s="3" t="s">
        <v>143</v>
      </c>
      <c r="BC15" s="3" t="s">
        <v>1919</v>
      </c>
      <c r="BD15" s="3" t="s">
        <v>724</v>
      </c>
      <c r="BE15" s="3" t="s">
        <v>369</v>
      </c>
      <c r="BF15" s="3" t="s">
        <v>373</v>
      </c>
      <c r="BG15" s="3" t="s">
        <v>374</v>
      </c>
      <c r="BH15" s="3" t="s">
        <v>1920</v>
      </c>
      <c r="BI15" s="3" t="s">
        <v>922</v>
      </c>
      <c r="BJ15" s="3" t="s">
        <v>1918</v>
      </c>
      <c r="BK15" s="3" t="s">
        <v>1921</v>
      </c>
      <c r="BL15" s="3" t="s">
        <v>1382</v>
      </c>
      <c r="BM15" s="3" t="s">
        <v>1919</v>
      </c>
      <c r="BN15" s="3">
        <v>4.41</v>
      </c>
      <c r="BO15" s="3">
        <v>8.19</v>
      </c>
      <c r="BP15" s="3">
        <v>10.43</v>
      </c>
      <c r="BQ15" s="3">
        <v>5.39</v>
      </c>
      <c r="BR15" s="3">
        <v>9.34</v>
      </c>
      <c r="BS15" s="3">
        <v>11.28</v>
      </c>
      <c r="BT15" s="3" t="s">
        <v>1871</v>
      </c>
      <c r="BU15" s="3" t="s">
        <v>841</v>
      </c>
      <c r="BV15" s="3">
        <v>26.21</v>
      </c>
      <c r="BW15" s="3">
        <v>24.81</v>
      </c>
      <c r="BX15" s="3">
        <v>27.74</v>
      </c>
      <c r="BY15" s="3">
        <v>5.97</v>
      </c>
      <c r="BZ15" s="3">
        <v>6.46</v>
      </c>
      <c r="CA15" s="3">
        <v>7</v>
      </c>
      <c r="CB15" s="3">
        <v>-5.37</v>
      </c>
      <c r="CC15" s="3">
        <v>1.69</v>
      </c>
      <c r="CD15" s="3" t="s">
        <v>1922</v>
      </c>
      <c r="CE15" s="3" t="s">
        <v>1923</v>
      </c>
      <c r="CF15" s="10">
        <v>-0.55650684931506844</v>
      </c>
      <c r="CG15" s="11">
        <v>-0.29465909090909093</v>
      </c>
      <c r="CH15" s="10">
        <v>-0.74177467823028564</v>
      </c>
      <c r="CI15" s="10">
        <v>7.0437565445899963E-2</v>
      </c>
      <c r="CJ15" s="10">
        <v>-0.20593219995498657</v>
      </c>
      <c r="CK15" s="10">
        <v>0.19918699562549591</v>
      </c>
      <c r="CL15" s="10">
        <v>0.22236025333404541</v>
      </c>
      <c r="CM15" s="11">
        <v>-0.69361460208892822</v>
      </c>
      <c r="CN15" s="11">
        <v>-0.14487992227077484</v>
      </c>
      <c r="CO15" s="11">
        <v>0.42706996202468872</v>
      </c>
      <c r="CP15" s="11">
        <v>0.49052679538726807</v>
      </c>
      <c r="CQ15" s="11">
        <v>0.44345566630363464</v>
      </c>
      <c r="CR15" s="3">
        <v>93.18779143347065</v>
      </c>
      <c r="CS15" s="3">
        <v>10.224191326239106</v>
      </c>
      <c r="CT15" s="3">
        <v>0.29354207436399216</v>
      </c>
      <c r="CU15" s="10">
        <v>-9.1144412755966187E-2</v>
      </c>
      <c r="CV15" s="11">
        <v>0.10451157987117768</v>
      </c>
      <c r="CW15" s="3">
        <v>0.06</v>
      </c>
      <c r="CX15" s="3">
        <v>221.26604094370822</v>
      </c>
      <c r="CY15" s="3" t="s">
        <v>1924</v>
      </c>
      <c r="CZ15" s="3">
        <v>-9.1144412755966187E-2</v>
      </c>
      <c r="DA15" s="3">
        <v>73.755346981236073</v>
      </c>
      <c r="DB15" s="3" t="s">
        <v>1925</v>
      </c>
      <c r="DC15" s="3">
        <v>-8.6587192118167872E-2</v>
      </c>
      <c r="DD15" s="3">
        <v>36.877673490618037</v>
      </c>
      <c r="DE15" s="3" t="s">
        <v>1926</v>
      </c>
      <c r="DF15" s="3">
        <v>-8.0207083225250247E-2</v>
      </c>
      <c r="DG15" s="3">
        <v>22.126604094370823</v>
      </c>
      <c r="DH15" s="3" t="s">
        <v>1927</v>
      </c>
      <c r="DI15" s="3">
        <v>-7.2915530204772955E-2</v>
      </c>
      <c r="DJ15" s="3">
        <v>11.063302047185411</v>
      </c>
      <c r="DK15" s="3" t="s">
        <v>1928</v>
      </c>
      <c r="DL15" s="3">
        <v>-6.3801088929176325E-2</v>
      </c>
      <c r="DM15" s="3">
        <v>17174800</v>
      </c>
      <c r="DN15" s="3">
        <v>-9.1144412755966187E-2</v>
      </c>
      <c r="DO15" s="3">
        <v>3800200000</v>
      </c>
      <c r="DP15" s="3">
        <v>280453220</v>
      </c>
      <c r="DQ15" s="3">
        <v>1145</v>
      </c>
      <c r="DR15" s="3">
        <v>-0.46536243655910225</v>
      </c>
      <c r="DS15" s="3">
        <v>-0.39917067078026858</v>
      </c>
      <c r="DT15" s="12">
        <v>-0.69000000000000006</v>
      </c>
      <c r="DU15" s="3">
        <v>-0.20333333333333339</v>
      </c>
      <c r="DV15" s="3">
        <v>-0.89333333333333342</v>
      </c>
      <c r="DW15" s="3">
        <v>-4.3147113594040967</v>
      </c>
      <c r="DX15" s="3">
        <v>0.26802533112582921</v>
      </c>
      <c r="DY15" s="3">
        <v>-4.0245554580265637</v>
      </c>
      <c r="DZ15" s="3">
        <v>1235</v>
      </c>
      <c r="EA15" s="3">
        <v>-4.0186208218890282</v>
      </c>
      <c r="EB15" s="3">
        <v>4</v>
      </c>
      <c r="EC15" s="3">
        <v>0.13090916666666666</v>
      </c>
      <c r="ED15" s="3">
        <v>1.6777777777777778</v>
      </c>
      <c r="EE15" s="13">
        <v>-4.0381999999999998</v>
      </c>
      <c r="EF15" s="3">
        <v>-4.0228000000000002</v>
      </c>
      <c r="EG15" s="3">
        <v>19.078025331125829</v>
      </c>
      <c r="EH15" s="3" t="s">
        <v>1573</v>
      </c>
      <c r="EI15" s="3">
        <v>0</v>
      </c>
      <c r="EJ15" s="3">
        <v>1</v>
      </c>
      <c r="EK15" s="15">
        <v>45470</v>
      </c>
      <c r="EL15" s="16">
        <v>0.56000000000000005</v>
      </c>
      <c r="EM15" s="16">
        <v>-6.69</v>
      </c>
      <c r="EN15" s="16">
        <v>-3.88</v>
      </c>
      <c r="EO15" s="16">
        <v>7.36</v>
      </c>
      <c r="EP15" s="16">
        <v>-1.54</v>
      </c>
    </row>
    <row r="16" spans="1:146" ht="96" x14ac:dyDescent="0.25">
      <c r="C16" s="7" t="str">
        <f>""&amp;CHAR(10)&amp;Basic_Fundamental_Information_Constructure(F16)&amp;CHAR(10)&amp;Basic_Fundamental_Information_Concatenate("")</f>
        <v xml:space="preserve">
市值25.142134亿, 利润1195.47万; PE35.92; 平均PE409.79; 平均PEG31.93, PB1.97; ROIC6.09%; ROE8.3733%; 股利率1.4184%; 毛利21.92%; 净利4.96%; 上一年度营收增-82.96%, 利润增-85.92%; 当季营收增-61.32%, 利润增-70.54%; 过往5年营收增-12.83%, 利润增13.61%
Income profile:
</v>
      </c>
      <c r="D16" s="3" t="s">
        <v>375</v>
      </c>
      <c r="E16" s="3" t="s">
        <v>376</v>
      </c>
      <c r="F16" s="3">
        <v>7.05</v>
      </c>
      <c r="G16" s="3">
        <v>-0.14000000000000001</v>
      </c>
      <c r="H16" s="3" t="s">
        <v>1929</v>
      </c>
      <c r="I16" s="3">
        <v>2514213400</v>
      </c>
      <c r="J16" s="3">
        <v>35.92</v>
      </c>
      <c r="K16" s="3">
        <v>1.97</v>
      </c>
      <c r="L16" s="3" t="s">
        <v>285</v>
      </c>
      <c r="M16" s="3" t="s">
        <v>33</v>
      </c>
      <c r="N16" s="3" t="s">
        <v>1930</v>
      </c>
      <c r="O16" s="3" t="s">
        <v>111</v>
      </c>
      <c r="P16" s="3">
        <v>-20.23</v>
      </c>
      <c r="Q16" s="3" t="s">
        <v>111</v>
      </c>
      <c r="R16" s="3">
        <v>11954701</v>
      </c>
      <c r="S16" s="5">
        <v>-0.35470000000000002</v>
      </c>
      <c r="T16" s="3" t="s">
        <v>1931</v>
      </c>
      <c r="U16" s="3">
        <v>257084940</v>
      </c>
      <c r="V16" s="3">
        <v>356626020</v>
      </c>
      <c r="W16" s="3">
        <v>1.44</v>
      </c>
      <c r="X16" s="3">
        <v>0.14000000000000001</v>
      </c>
      <c r="Y16" s="3">
        <v>3.45</v>
      </c>
      <c r="Z16" s="3" t="s">
        <v>22</v>
      </c>
      <c r="AA16" s="3" t="s">
        <v>106</v>
      </c>
      <c r="AB16" s="3" t="s">
        <v>1932</v>
      </c>
      <c r="AC16" s="3" t="s">
        <v>1933</v>
      </c>
      <c r="AD16" s="3" t="s">
        <v>4</v>
      </c>
      <c r="AE16" s="3">
        <v>-2134069</v>
      </c>
      <c r="AF16" s="3" t="s">
        <v>1934</v>
      </c>
      <c r="AG16" s="3">
        <v>6734.73</v>
      </c>
      <c r="AH16" s="3" t="s">
        <v>1935</v>
      </c>
      <c r="AI16" s="3" t="s">
        <v>1445</v>
      </c>
      <c r="AJ16" s="3" t="s">
        <v>1936</v>
      </c>
      <c r="AK16" s="3" t="s">
        <v>1937</v>
      </c>
      <c r="AL16" s="3" t="s">
        <v>1938</v>
      </c>
      <c r="AM16" s="3" t="s">
        <v>4</v>
      </c>
      <c r="AN16" s="3">
        <v>0</v>
      </c>
      <c r="AO16" s="3" t="s">
        <v>1939</v>
      </c>
      <c r="AP16" s="3" t="s">
        <v>1940</v>
      </c>
      <c r="AQ16" s="3" t="s">
        <v>1941</v>
      </c>
      <c r="AR16" s="3" t="s">
        <v>4</v>
      </c>
      <c r="AS16" s="3" t="s">
        <v>1942</v>
      </c>
      <c r="AT16" s="3" t="s">
        <v>4</v>
      </c>
      <c r="AU16" s="3" t="s">
        <v>1943</v>
      </c>
      <c r="AV16" s="3" t="s">
        <v>1944</v>
      </c>
      <c r="AW16" s="3" t="s">
        <v>1945</v>
      </c>
      <c r="AX16" s="3" t="s">
        <v>1169</v>
      </c>
      <c r="AY16" s="3" t="s">
        <v>442</v>
      </c>
      <c r="AZ16" s="3" t="s">
        <v>198</v>
      </c>
      <c r="BA16" s="3" t="s">
        <v>379</v>
      </c>
      <c r="BB16" s="3" t="s">
        <v>380</v>
      </c>
      <c r="BC16" s="3" t="s">
        <v>1946</v>
      </c>
      <c r="BD16" s="3" t="s">
        <v>725</v>
      </c>
      <c r="BE16" s="3" t="s">
        <v>378</v>
      </c>
      <c r="BF16" s="3" t="s">
        <v>382</v>
      </c>
      <c r="BG16" s="3" t="s">
        <v>383</v>
      </c>
      <c r="BH16" s="3" t="s">
        <v>1947</v>
      </c>
      <c r="BI16" s="3" t="s">
        <v>1168</v>
      </c>
      <c r="BJ16" s="3" t="s">
        <v>1169</v>
      </c>
      <c r="BK16" s="3" t="s">
        <v>1948</v>
      </c>
      <c r="BL16" s="3" t="s">
        <v>1385</v>
      </c>
      <c r="BM16" s="3" t="s">
        <v>1946</v>
      </c>
      <c r="BN16" s="3">
        <v>3.41</v>
      </c>
      <c r="BO16" s="3">
        <v>7.8</v>
      </c>
      <c r="BP16" s="3">
        <v>7.06</v>
      </c>
      <c r="BQ16" s="3">
        <v>4.78</v>
      </c>
      <c r="BR16" s="3">
        <v>11.18</v>
      </c>
      <c r="BS16" s="3">
        <v>9.16</v>
      </c>
      <c r="BT16" s="3" t="s">
        <v>1051</v>
      </c>
      <c r="BU16" s="3" t="s">
        <v>841</v>
      </c>
      <c r="BV16" s="3">
        <v>26.96</v>
      </c>
      <c r="BW16" s="3">
        <v>22.04</v>
      </c>
      <c r="BX16" s="3">
        <v>16.760000000000002</v>
      </c>
      <c r="BY16" s="3">
        <v>5.12</v>
      </c>
      <c r="BZ16" s="3">
        <v>5.59</v>
      </c>
      <c r="CA16" s="3">
        <v>4.17</v>
      </c>
      <c r="CB16" s="3">
        <v>-4.99</v>
      </c>
      <c r="CC16" s="3">
        <v>-10.31</v>
      </c>
      <c r="CD16" s="3" t="s">
        <v>1949</v>
      </c>
      <c r="CE16" s="3" t="s">
        <v>247</v>
      </c>
      <c r="CF16" s="10">
        <v>-0.6132352941176471</v>
      </c>
      <c r="CG16" s="11">
        <v>-0.7054142784625469</v>
      </c>
      <c r="CH16" s="10">
        <v>-0.82955276966094971</v>
      </c>
      <c r="CI16" s="10">
        <v>-5.104546993970871E-2</v>
      </c>
      <c r="CJ16" s="10">
        <v>0.31659913063049316</v>
      </c>
      <c r="CK16" s="10">
        <v>-1.0416615754365921E-2</v>
      </c>
      <c r="CL16" s="10">
        <v>-6.7264571785926819E-2</v>
      </c>
      <c r="CM16" s="11">
        <v>-0.85924756526947021</v>
      </c>
      <c r="CN16" s="11">
        <v>0.27667424082756042</v>
      </c>
      <c r="CO16" s="11">
        <v>5.8207396417856216E-2</v>
      </c>
      <c r="CP16" s="11">
        <v>-5.5001396685838699E-2</v>
      </c>
      <c r="CQ16" s="11">
        <v>1.2598726749420166</v>
      </c>
      <c r="CR16" s="3">
        <v>409.78913026352609</v>
      </c>
      <c r="CS16" s="3">
        <v>31.930942284811717</v>
      </c>
      <c r="CT16" s="3">
        <v>1.4184397163120568</v>
      </c>
      <c r="CU16" s="10">
        <v>-0.1283360593020916</v>
      </c>
      <c r="CV16" s="11">
        <v>0.13610107004642485</v>
      </c>
      <c r="CW16" s="3">
        <v>0.06</v>
      </c>
      <c r="CX16" s="3">
        <v>145.65094899913842</v>
      </c>
      <c r="CY16" s="3" t="s">
        <v>1950</v>
      </c>
      <c r="CZ16" s="3">
        <v>-0.1283360593020916</v>
      </c>
      <c r="DA16" s="3">
        <v>48.55031633304614</v>
      </c>
      <c r="DB16" s="3" t="s">
        <v>1951</v>
      </c>
      <c r="DC16" s="3">
        <v>-0.12191925633698701</v>
      </c>
      <c r="DD16" s="3">
        <v>24.27515816652307</v>
      </c>
      <c r="DE16" s="3" t="s">
        <v>1952</v>
      </c>
      <c r="DF16" s="3">
        <v>-0.11293573218584062</v>
      </c>
      <c r="DG16" s="3">
        <v>14.565094899913841</v>
      </c>
      <c r="DH16" s="3" t="s">
        <v>1953</v>
      </c>
      <c r="DI16" s="3">
        <v>-0.10266884744167329</v>
      </c>
      <c r="DJ16" s="3">
        <v>7.2825474499569207</v>
      </c>
      <c r="DK16" s="3" t="s">
        <v>1954</v>
      </c>
      <c r="DL16" s="3">
        <v>-8.9835241511464117E-2</v>
      </c>
      <c r="DM16" s="3">
        <v>11954700</v>
      </c>
      <c r="DN16" s="3">
        <v>-0.1283360593020916</v>
      </c>
      <c r="DO16" s="3">
        <v>1741213400</v>
      </c>
      <c r="DP16" s="3">
        <v>882709300</v>
      </c>
      <c r="DQ16" s="3">
        <v>1150</v>
      </c>
      <c r="DR16" s="3">
        <v>-0.48489923481555552</v>
      </c>
      <c r="DS16" s="3">
        <v>-0.84151534850897169</v>
      </c>
      <c r="DT16" s="12">
        <v>-0.64</v>
      </c>
      <c r="DU16" s="3">
        <v>-0.42333333333333334</v>
      </c>
      <c r="DV16" s="3">
        <v>-1.0633333333333335</v>
      </c>
      <c r="DW16" s="3">
        <v>-8.4839961202715806</v>
      </c>
      <c r="DX16" s="3">
        <v>0.37191279069767447</v>
      </c>
      <c r="DY16" s="3">
        <v>-8.0590053177091558</v>
      </c>
      <c r="DZ16" s="3">
        <v>2146</v>
      </c>
      <c r="EA16" s="3">
        <v>-8.034225393677092</v>
      </c>
      <c r="EB16" s="3">
        <v>8</v>
      </c>
      <c r="EC16" s="3">
        <v>5.8798289591993312E-2</v>
      </c>
      <c r="ED16" s="3">
        <v>0.48229795459119895</v>
      </c>
      <c r="EE16" s="13">
        <v>4.0410000000000001E-2</v>
      </c>
      <c r="EF16" s="3">
        <v>5.8110000000000002E-2</v>
      </c>
      <c r="EG16" s="3">
        <v>25.121912790697674</v>
      </c>
      <c r="EH16" s="3">
        <v>-1</v>
      </c>
      <c r="EI16" s="3">
        <v>0</v>
      </c>
      <c r="EJ16" s="3">
        <v>0</v>
      </c>
      <c r="EK16" s="15">
        <v>45470</v>
      </c>
      <c r="EL16" s="16">
        <v>-1.48</v>
      </c>
      <c r="EM16" s="16">
        <v>-4.6399999999999997</v>
      </c>
      <c r="EN16" s="16">
        <v>0.28999999999999998</v>
      </c>
      <c r="EO16" s="16">
        <v>4.5599999999999996</v>
      </c>
      <c r="EP16" s="16">
        <v>-1.77</v>
      </c>
    </row>
    <row r="17" spans="1:146" ht="96" x14ac:dyDescent="0.25">
      <c r="C17" s="7" t="str">
        <f>""&amp;CHAR(10)&amp;Basic_Fundamental_Information_Constructure(F17)&amp;CHAR(10)&amp;Basic_Fundamental_Information_Concatenate("")</f>
        <v xml:space="preserve">
市值63.911368亿, 利润2197.43万; PE132.3; 平均PE-14.59; 平均PEG-.86, PB2.7; ROIC4.63%; ROE5.4633%; 股利率0%; 毛利17.1433%; 净利1.0867%; 上一年度营收增-77.17%, 利润增-79.07%; 当季营收增-51.84%, 利润增-73.57%; 过往5年营收增-16.97%, 利润增150.55%
Income profile:
</v>
      </c>
      <c r="D17" s="3" t="s">
        <v>385</v>
      </c>
      <c r="E17" s="3" t="s">
        <v>386</v>
      </c>
      <c r="F17" s="3">
        <v>3.54</v>
      </c>
      <c r="G17" s="3">
        <v>1.43</v>
      </c>
      <c r="H17" s="3" t="s">
        <v>1955</v>
      </c>
      <c r="I17" s="3">
        <v>6391136800</v>
      </c>
      <c r="J17" s="3">
        <v>132.30000000000001</v>
      </c>
      <c r="K17" s="3">
        <v>2.7</v>
      </c>
      <c r="L17" s="3" t="s">
        <v>285</v>
      </c>
      <c r="M17" s="3" t="s">
        <v>1956</v>
      </c>
      <c r="N17" s="3" t="s">
        <v>1957</v>
      </c>
      <c r="O17" s="3" t="s">
        <v>1958</v>
      </c>
      <c r="P17" s="3">
        <v>12.46</v>
      </c>
      <c r="Q17" s="3" t="s">
        <v>1958</v>
      </c>
      <c r="R17" s="3">
        <v>21974293</v>
      </c>
      <c r="S17" s="5">
        <v>0.2</v>
      </c>
      <c r="T17" s="3" t="s">
        <v>1959</v>
      </c>
      <c r="U17" s="3">
        <v>1480434400</v>
      </c>
      <c r="V17" s="3">
        <v>1805405900</v>
      </c>
      <c r="W17" s="3">
        <v>2.0299999999999998</v>
      </c>
      <c r="X17" s="3">
        <v>0.14000000000000001</v>
      </c>
      <c r="Y17" s="3">
        <v>2.76</v>
      </c>
      <c r="Z17" s="3" t="s">
        <v>1119</v>
      </c>
      <c r="AA17" s="3" t="s">
        <v>1098</v>
      </c>
      <c r="AB17" s="3" t="s">
        <v>1960</v>
      </c>
      <c r="AC17" s="3" t="s">
        <v>1961</v>
      </c>
      <c r="AD17" s="3" t="s">
        <v>4</v>
      </c>
      <c r="AE17" s="3">
        <v>7544746</v>
      </c>
      <c r="AF17" s="3" t="s">
        <v>1962</v>
      </c>
      <c r="AG17" s="3" t="s">
        <v>1963</v>
      </c>
      <c r="AH17" s="3" t="s">
        <v>1964</v>
      </c>
      <c r="AI17" s="3" t="s">
        <v>1965</v>
      </c>
      <c r="AJ17" s="3" t="s">
        <v>1966</v>
      </c>
      <c r="AK17" s="3" t="s">
        <v>1967</v>
      </c>
      <c r="AL17" s="3" t="s">
        <v>1968</v>
      </c>
      <c r="AM17" s="3" t="s">
        <v>4</v>
      </c>
      <c r="AN17" s="3" t="s">
        <v>1969</v>
      </c>
      <c r="AO17" s="3" t="s">
        <v>126</v>
      </c>
      <c r="AP17" s="3" t="s">
        <v>4</v>
      </c>
      <c r="AQ17" s="3" t="s">
        <v>717</v>
      </c>
      <c r="AR17" s="3" t="s">
        <v>1970</v>
      </c>
      <c r="AS17" s="3" t="s">
        <v>1971</v>
      </c>
      <c r="AT17" s="3" t="s">
        <v>1257</v>
      </c>
      <c r="AU17" s="3" t="s">
        <v>1972</v>
      </c>
      <c r="AV17" s="3" t="s">
        <v>1580</v>
      </c>
      <c r="AW17" s="3" t="s">
        <v>1973</v>
      </c>
      <c r="AX17" s="3" t="s">
        <v>1974</v>
      </c>
      <c r="AY17" s="3" t="s">
        <v>726</v>
      </c>
      <c r="AZ17" s="3" t="s">
        <v>387</v>
      </c>
      <c r="BA17" s="3" t="s">
        <v>389</v>
      </c>
      <c r="BB17" s="3" t="s">
        <v>390</v>
      </c>
      <c r="BC17" s="3" t="s">
        <v>24</v>
      </c>
      <c r="BD17" s="3" t="s">
        <v>1975</v>
      </c>
      <c r="BE17" s="3" t="s">
        <v>388</v>
      </c>
      <c r="BF17" s="3" t="s">
        <v>392</v>
      </c>
      <c r="BG17" s="3" t="s">
        <v>393</v>
      </c>
      <c r="BH17" s="3" t="s">
        <v>1976</v>
      </c>
      <c r="BI17" s="3" t="s">
        <v>1977</v>
      </c>
      <c r="BJ17" s="3" t="s">
        <v>1974</v>
      </c>
      <c r="BK17" s="3" t="s">
        <v>1978</v>
      </c>
      <c r="BL17" s="3" t="s">
        <v>1979</v>
      </c>
      <c r="BM17" s="3" t="s">
        <v>24</v>
      </c>
      <c r="BN17" s="3">
        <v>5.59</v>
      </c>
      <c r="BO17" s="3">
        <v>3.67</v>
      </c>
      <c r="BP17" s="3" t="s">
        <v>4</v>
      </c>
      <c r="BQ17" s="3">
        <v>10.45</v>
      </c>
      <c r="BR17" s="3">
        <v>3.68</v>
      </c>
      <c r="BS17" s="3">
        <v>2.2599999999999998</v>
      </c>
      <c r="BT17" s="3" t="s">
        <v>1043</v>
      </c>
      <c r="BU17" s="3" t="s">
        <v>841</v>
      </c>
      <c r="BV17" s="3">
        <v>21.72</v>
      </c>
      <c r="BW17" s="3">
        <v>19.91</v>
      </c>
      <c r="BX17" s="3">
        <v>9.8000000000000007</v>
      </c>
      <c r="BY17" s="3">
        <v>1.03</v>
      </c>
      <c r="BZ17" s="3">
        <v>3.3</v>
      </c>
      <c r="CA17" s="3">
        <v>-1.07</v>
      </c>
      <c r="CB17" s="3">
        <v>-3.01</v>
      </c>
      <c r="CC17" s="3">
        <v>-15.31</v>
      </c>
      <c r="CD17" s="3" t="s">
        <v>1980</v>
      </c>
      <c r="CE17" s="3" t="s">
        <v>1981</v>
      </c>
      <c r="CF17" s="10">
        <v>-0.51835535976505143</v>
      </c>
      <c r="CG17" s="11">
        <v>-0.73569752239276309</v>
      </c>
      <c r="CH17" s="10">
        <v>-0.77174669504165649</v>
      </c>
      <c r="CI17" s="10">
        <v>-0.31046068668365479</v>
      </c>
      <c r="CJ17" s="10">
        <v>0.17806665599346161</v>
      </c>
      <c r="CK17" s="10">
        <v>5.6564703118056059E-4</v>
      </c>
      <c r="CL17" s="10">
        <v>5.4892599582672119E-2</v>
      </c>
      <c r="CM17" s="11">
        <v>-0.79072093963623047</v>
      </c>
      <c r="CN17" s="11">
        <v>10.890336990356445</v>
      </c>
      <c r="CO17" s="11">
        <v>-0.99170821905136108</v>
      </c>
      <c r="CP17" s="11">
        <v>1.34883713722229</v>
      </c>
      <c r="CQ17" s="11">
        <v>-2.9292149543762207</v>
      </c>
      <c r="CR17" s="3">
        <v>-14.585004459539897</v>
      </c>
      <c r="CS17" s="3">
        <v>-0.8592733335733248</v>
      </c>
      <c r="CT17" s="3">
        <v>0</v>
      </c>
      <c r="CU17" s="10">
        <v>-0.1697364958235994</v>
      </c>
      <c r="CV17" s="11">
        <v>1.5055060029029845</v>
      </c>
      <c r="CW17" s="3">
        <v>0.06</v>
      </c>
      <c r="CX17" s="3">
        <v>288.61610153679527</v>
      </c>
      <c r="CY17" s="3" t="s">
        <v>1982</v>
      </c>
      <c r="CZ17" s="3">
        <v>-0.1697364958235994</v>
      </c>
      <c r="DA17" s="3">
        <v>96.205367178931752</v>
      </c>
      <c r="DB17" s="3" t="s">
        <v>1983</v>
      </c>
      <c r="DC17" s="3">
        <v>-0.16124967103241941</v>
      </c>
      <c r="DD17" s="3">
        <v>48.102683589465876</v>
      </c>
      <c r="DE17" s="3" t="s">
        <v>1984</v>
      </c>
      <c r="DF17" s="3">
        <v>-0.14936811632476746</v>
      </c>
      <c r="DG17" s="3">
        <v>28.861610153679525</v>
      </c>
      <c r="DH17" s="3" t="s">
        <v>1985</v>
      </c>
      <c r="DI17" s="3">
        <v>-0.13578919665887954</v>
      </c>
      <c r="DJ17" s="3">
        <v>14.430805076839762</v>
      </c>
      <c r="DK17" s="3" t="s">
        <v>1986</v>
      </c>
      <c r="DL17" s="3">
        <v>-0.11881554707651958</v>
      </c>
      <c r="DM17" s="3">
        <v>21974300</v>
      </c>
      <c r="DN17" s="3">
        <v>-0.1697364958235994</v>
      </c>
      <c r="DO17" s="3">
        <v>6342136800</v>
      </c>
      <c r="DP17" s="3">
        <v>361268600</v>
      </c>
      <c r="DQ17" s="3">
        <v>1170</v>
      </c>
      <c r="DR17" s="3">
        <v>-0.34861886394145203</v>
      </c>
      <c r="DS17" s="3">
        <v>-2.2412035252957478</v>
      </c>
      <c r="DT17" s="12">
        <v>-0.79</v>
      </c>
      <c r="DU17" s="3">
        <v>-1.1066666666666667</v>
      </c>
      <c r="DV17" s="3">
        <v>-1.8966666666666667</v>
      </c>
      <c r="DW17" s="3">
        <v>-8.1966035271064666</v>
      </c>
      <c r="DX17" s="3">
        <v>0.31292910172143895</v>
      </c>
      <c r="DY17" s="3">
        <v>-8.0281003655245939</v>
      </c>
      <c r="DZ17" s="3">
        <v>3230</v>
      </c>
      <c r="EA17" s="3">
        <v>-8.010338294948383</v>
      </c>
      <c r="EB17" s="3">
        <v>8</v>
      </c>
      <c r="EC17" s="3">
        <v>5.0587903806008389E-2</v>
      </c>
      <c r="ED17" s="3">
        <v>0.35393702878671218</v>
      </c>
      <c r="EE17" s="13">
        <v>2.1078000000000001</v>
      </c>
      <c r="EF17" s="3">
        <v>2.0912000000000002</v>
      </c>
      <c r="EG17" s="3">
        <v>17.142929101721439</v>
      </c>
      <c r="EH17" s="3" t="s">
        <v>1112</v>
      </c>
      <c r="EI17" s="3">
        <v>0</v>
      </c>
      <c r="EJ17" s="3">
        <v>0</v>
      </c>
      <c r="EK17" s="15">
        <v>45470</v>
      </c>
      <c r="EL17" s="16">
        <v>-0.27</v>
      </c>
      <c r="EM17" s="16">
        <v>-4.9000000000000004</v>
      </c>
      <c r="EN17" s="16">
        <v>-2.0099999999999998</v>
      </c>
      <c r="EO17" s="16">
        <v>5.56</v>
      </c>
      <c r="EP17" s="16">
        <v>-1.66</v>
      </c>
    </row>
    <row r="18" spans="1:146" ht="120" x14ac:dyDescent="0.25">
      <c r="C18" s="7" t="s">
        <v>901</v>
      </c>
      <c r="D18" s="3" t="s">
        <v>877</v>
      </c>
      <c r="E18" s="3" t="s">
        <v>878</v>
      </c>
      <c r="F18" s="3">
        <v>27.88</v>
      </c>
      <c r="G18" s="3">
        <v>-0.61</v>
      </c>
      <c r="H18" s="3" t="s">
        <v>1987</v>
      </c>
      <c r="I18" s="3">
        <v>19550545000</v>
      </c>
      <c r="J18" s="3">
        <v>15.46</v>
      </c>
      <c r="K18" s="3">
        <v>1.56</v>
      </c>
      <c r="L18" s="3" t="s">
        <v>285</v>
      </c>
      <c r="M18" s="3" t="s">
        <v>1988</v>
      </c>
      <c r="N18" s="3" t="s">
        <v>1989</v>
      </c>
      <c r="O18" s="3" t="s">
        <v>1990</v>
      </c>
      <c r="P18" s="3">
        <v>19.64</v>
      </c>
      <c r="Q18" s="3" t="s">
        <v>1990</v>
      </c>
      <c r="R18" s="3">
        <v>178417940</v>
      </c>
      <c r="S18" s="5">
        <v>-0.37180000000000002</v>
      </c>
      <c r="T18" s="3" t="s">
        <v>243</v>
      </c>
      <c r="U18" s="3">
        <v>482742330</v>
      </c>
      <c r="V18" s="3">
        <v>701239050</v>
      </c>
      <c r="W18" s="3">
        <v>1.68</v>
      </c>
      <c r="X18" s="3">
        <v>0.21</v>
      </c>
      <c r="Y18" s="3">
        <v>4.2300000000000004</v>
      </c>
      <c r="Z18" s="3" t="s">
        <v>1991</v>
      </c>
      <c r="AA18" s="3" t="s">
        <v>1992</v>
      </c>
      <c r="AB18" s="3" t="s">
        <v>237</v>
      </c>
      <c r="AC18" s="3" t="s">
        <v>232</v>
      </c>
      <c r="AD18" s="3" t="s">
        <v>4</v>
      </c>
      <c r="AE18" s="3">
        <v>-48754096</v>
      </c>
      <c r="AF18" s="3" t="s">
        <v>1993</v>
      </c>
      <c r="AG18" s="3" t="s">
        <v>1994</v>
      </c>
      <c r="AH18" s="3" t="s">
        <v>1995</v>
      </c>
      <c r="AI18" s="3" t="s">
        <v>1996</v>
      </c>
      <c r="AJ18" s="3" t="s">
        <v>1997</v>
      </c>
      <c r="AK18" s="3" t="s">
        <v>1998</v>
      </c>
      <c r="AL18" s="3" t="s">
        <v>1999</v>
      </c>
      <c r="AM18" s="3" t="s">
        <v>4</v>
      </c>
      <c r="AN18" s="3" t="s">
        <v>897</v>
      </c>
      <c r="AO18" s="3" t="s">
        <v>2000</v>
      </c>
      <c r="AP18" s="3" t="s">
        <v>2001</v>
      </c>
      <c r="AQ18" s="3" t="s">
        <v>2002</v>
      </c>
      <c r="AR18" s="3" t="s">
        <v>4</v>
      </c>
      <c r="AS18" s="3" t="s">
        <v>2003</v>
      </c>
      <c r="AT18" s="3" t="s">
        <v>2004</v>
      </c>
      <c r="AU18" s="3" t="s">
        <v>2005</v>
      </c>
      <c r="AV18" s="3" t="s">
        <v>1233</v>
      </c>
      <c r="AW18" s="3" t="s">
        <v>2006</v>
      </c>
      <c r="AX18" s="3" t="s">
        <v>1172</v>
      </c>
      <c r="AY18" s="3" t="s">
        <v>894</v>
      </c>
      <c r="AZ18" s="3" t="s">
        <v>880</v>
      </c>
      <c r="BA18" s="3" t="s">
        <v>881</v>
      </c>
      <c r="BB18" s="3" t="s">
        <v>882</v>
      </c>
      <c r="BC18" s="3" t="s">
        <v>918</v>
      </c>
      <c r="BD18" s="3" t="s">
        <v>879</v>
      </c>
      <c r="BE18" s="3" t="s">
        <v>883</v>
      </c>
      <c r="BF18" s="3" t="s">
        <v>884</v>
      </c>
      <c r="BG18" s="3" t="s">
        <v>885</v>
      </c>
      <c r="BH18" s="3" t="s">
        <v>2007</v>
      </c>
      <c r="BI18" s="3" t="s">
        <v>1171</v>
      </c>
      <c r="BJ18" s="3" t="s">
        <v>1172</v>
      </c>
      <c r="BK18" s="3" t="s">
        <v>2008</v>
      </c>
      <c r="BL18" s="3" t="s">
        <v>1165</v>
      </c>
      <c r="BM18" s="3" t="s">
        <v>918</v>
      </c>
      <c r="BN18" s="3">
        <v>6.32</v>
      </c>
      <c r="BO18" s="3">
        <v>16.350000000000001</v>
      </c>
      <c r="BP18" s="3">
        <v>18.41</v>
      </c>
      <c r="BQ18" s="3">
        <v>8.64</v>
      </c>
      <c r="BR18" s="3">
        <v>20.86</v>
      </c>
      <c r="BS18" s="3">
        <v>21.84</v>
      </c>
      <c r="BT18" s="3" t="s">
        <v>2009</v>
      </c>
      <c r="BU18" s="3" t="s">
        <v>916</v>
      </c>
      <c r="BV18" s="3">
        <v>25.67</v>
      </c>
      <c r="BW18" s="3">
        <v>27.67</v>
      </c>
      <c r="BX18" s="3">
        <v>25.38</v>
      </c>
      <c r="BY18" s="3">
        <v>6.94</v>
      </c>
      <c r="BZ18" s="3">
        <v>10.1</v>
      </c>
      <c r="CA18" s="3">
        <v>8.0299999999999994</v>
      </c>
      <c r="CB18" s="3">
        <v>-5.59</v>
      </c>
      <c r="CC18" s="3">
        <v>-15.87</v>
      </c>
      <c r="CD18" s="3" t="s">
        <v>2010</v>
      </c>
      <c r="CE18" s="3" t="s">
        <v>107</v>
      </c>
      <c r="CF18" s="10">
        <v>-0.46083723161808804</v>
      </c>
      <c r="CG18" s="11">
        <v>-0.70362468438538206</v>
      </c>
      <c r="CH18" s="10">
        <v>-0.7858504056930542</v>
      </c>
      <c r="CI18" s="10">
        <v>-1.1118499562144279E-2</v>
      </c>
      <c r="CJ18" s="10">
        <v>0.23918503522872925</v>
      </c>
      <c r="CK18" s="10">
        <v>4.4567091390490532E-3</v>
      </c>
      <c r="CL18" s="10">
        <v>4.06259810552001E-3</v>
      </c>
      <c r="CM18" s="11">
        <v>-0.91409265995025635</v>
      </c>
      <c r="CN18" s="11">
        <v>0.21954095363616943</v>
      </c>
      <c r="CO18" s="11">
        <v>-0.10672979056835175</v>
      </c>
      <c r="CP18" s="11">
        <v>0.18063309788703918</v>
      </c>
      <c r="CQ18" s="11">
        <v>0.60458171367645264</v>
      </c>
      <c r="CR18" s="3">
        <v>13.855807937632884</v>
      </c>
      <c r="CS18" s="3">
        <v>1.261305468848779</v>
      </c>
      <c r="CT18" s="3">
        <v>3.0487804878048781</v>
      </c>
      <c r="CU18" s="10">
        <v>-0.10985291255638004</v>
      </c>
      <c r="CV18" s="11">
        <v>-3.2133370637893676E-3</v>
      </c>
      <c r="CW18" s="3">
        <v>0.06</v>
      </c>
      <c r="CX18" s="3">
        <v>87.46373595505618</v>
      </c>
      <c r="CY18" s="3" t="s">
        <v>2011</v>
      </c>
      <c r="CZ18" s="3">
        <v>-0.10985291255638004</v>
      </c>
      <c r="DA18" s="3">
        <v>29.154578651685394</v>
      </c>
      <c r="DB18" s="3" t="s">
        <v>2012</v>
      </c>
      <c r="DC18" s="3">
        <v>-0.10436026692856103</v>
      </c>
      <c r="DD18" s="3">
        <v>14.577289325842697</v>
      </c>
      <c r="DE18" s="3" t="s">
        <v>2013</v>
      </c>
      <c r="DF18" s="3">
        <v>-9.6670563049614439E-2</v>
      </c>
      <c r="DG18" s="3">
        <v>8.7463735955056183</v>
      </c>
      <c r="DH18" s="3" t="s">
        <v>2014</v>
      </c>
      <c r="DI18" s="3">
        <v>-8.788233004510404E-2</v>
      </c>
      <c r="DJ18" s="3">
        <v>4.3731867977528092</v>
      </c>
      <c r="DK18" s="3" t="s">
        <v>2015</v>
      </c>
      <c r="DL18" s="3">
        <v>-7.6897038789466021E-2</v>
      </c>
      <c r="DM18" s="3">
        <v>178000000</v>
      </c>
      <c r="DN18" s="3">
        <v>-0.10985291255638004</v>
      </c>
      <c r="DO18" s="3">
        <v>15568545000</v>
      </c>
      <c r="DP18" s="3">
        <v>4733907800</v>
      </c>
      <c r="DQ18" s="3">
        <v>1311</v>
      </c>
      <c r="DR18" s="3">
        <v>-0.35098431906170802</v>
      </c>
      <c r="DS18" s="3">
        <v>-0.70041134732159271</v>
      </c>
      <c r="DT18" s="12">
        <v>-0.64</v>
      </c>
      <c r="DU18" s="3">
        <v>-0.3066666666666667</v>
      </c>
      <c r="DV18" s="3">
        <v>-0.94666666666666677</v>
      </c>
      <c r="DW18" s="3">
        <v>-8.3522369250157524</v>
      </c>
      <c r="DX18" s="3">
        <v>0.28825242718446603</v>
      </c>
      <c r="DY18" s="3">
        <v>-8.03460813282679</v>
      </c>
      <c r="DZ18" s="3">
        <v>2272</v>
      </c>
      <c r="EA18" s="3">
        <v>-8.0192207203448991</v>
      </c>
      <c r="EB18" s="3">
        <v>8</v>
      </c>
      <c r="EC18" s="3">
        <v>1.4431597898034915E-2</v>
      </c>
      <c r="ED18" s="3">
        <v>0.14688286398197589</v>
      </c>
      <c r="EE18" s="13">
        <v>-5.0522099999999996</v>
      </c>
      <c r="EF18" s="3">
        <v>-5.0575099999999997</v>
      </c>
      <c r="EG18" s="3">
        <v>19.098252427184466</v>
      </c>
      <c r="EH18" s="3" t="s">
        <v>1553</v>
      </c>
      <c r="EI18" s="3">
        <v>0</v>
      </c>
      <c r="EJ18" s="3">
        <v>0</v>
      </c>
      <c r="EK18" s="15">
        <v>45470</v>
      </c>
      <c r="EL18" s="16">
        <v>1.42</v>
      </c>
      <c r="EM18" s="16">
        <v>-4.82</v>
      </c>
      <c r="EN18" s="16">
        <v>-0.93</v>
      </c>
      <c r="EO18" s="16">
        <v>3.3</v>
      </c>
      <c r="EP18" s="16">
        <v>-0.53</v>
      </c>
    </row>
    <row r="19" spans="1:146" ht="96" x14ac:dyDescent="0.25">
      <c r="C19" s="7" t="str">
        <f>""&amp;CHAR(10)&amp;Basic_Fundamental_Information_Constructure(F19)&amp;CHAR(10)&amp;Basic_Fundamental_Information_Concatenate("")</f>
        <v xml:space="preserve">
市值46.499394亿, 利润-5027.72万; PE; 平均PE-119.4; 平均PEG-9.06, PB5.44; ROIC0%; ROE-11.9867%; 股利率0%; 毛利12.0933%; 净利-6.7933%; 上一年度营收增-90.4%, 利润增60.1%; 当季营收增-72.65%, 利润增-7.23%; 过往5年营收增-13.18%, 利润增-11.68%
Income profile:
</v>
      </c>
      <c r="D19" s="3" t="s">
        <v>395</v>
      </c>
      <c r="E19" s="3" t="s">
        <v>396</v>
      </c>
      <c r="F19" s="3">
        <v>18.87</v>
      </c>
      <c r="G19" s="3">
        <v>1.62</v>
      </c>
      <c r="H19" s="3" t="s">
        <v>2016</v>
      </c>
      <c r="I19" s="3">
        <v>4649939400</v>
      </c>
      <c r="K19" s="3">
        <v>5.44</v>
      </c>
      <c r="L19" s="3" t="s">
        <v>285</v>
      </c>
      <c r="M19" s="3" t="s">
        <v>2017</v>
      </c>
      <c r="N19" s="3" t="s">
        <v>2018</v>
      </c>
      <c r="O19" s="3" t="s">
        <v>237</v>
      </c>
      <c r="P19" s="3">
        <v>-42.99</v>
      </c>
      <c r="Q19" s="3" t="s">
        <v>237</v>
      </c>
      <c r="R19" s="3">
        <v>-50277223</v>
      </c>
      <c r="S19" s="4">
        <v>-0.63900000000000001</v>
      </c>
      <c r="T19" s="3" t="s">
        <v>2019</v>
      </c>
      <c r="U19" s="3">
        <v>246227230</v>
      </c>
      <c r="V19" s="3">
        <v>246419680</v>
      </c>
      <c r="W19" s="3">
        <v>2.33</v>
      </c>
      <c r="X19" s="3">
        <v>0.12</v>
      </c>
      <c r="Y19" s="3">
        <v>-20.41</v>
      </c>
      <c r="Z19" s="3" t="s">
        <v>1566</v>
      </c>
      <c r="AA19" s="3" t="s">
        <v>1060</v>
      </c>
      <c r="AB19" s="3" t="s">
        <v>2020</v>
      </c>
      <c r="AC19" s="3" t="s">
        <v>2021</v>
      </c>
      <c r="AD19" s="3" t="s">
        <v>4</v>
      </c>
      <c r="AE19" s="3">
        <v>1613947</v>
      </c>
      <c r="AF19" s="3" t="s">
        <v>2022</v>
      </c>
      <c r="AG19" s="3" t="s">
        <v>2023</v>
      </c>
      <c r="AH19" s="3" t="s">
        <v>2024</v>
      </c>
      <c r="AI19" s="3" t="s">
        <v>37</v>
      </c>
      <c r="AJ19" s="3" t="s">
        <v>2025</v>
      </c>
      <c r="AK19" s="3" t="s">
        <v>2026</v>
      </c>
      <c r="AL19" s="3" t="s">
        <v>2027</v>
      </c>
      <c r="AM19" s="3" t="s">
        <v>4</v>
      </c>
      <c r="AN19" s="3" t="s">
        <v>2028</v>
      </c>
      <c r="AO19" s="3" t="s">
        <v>1395</v>
      </c>
      <c r="AP19" s="3" t="s">
        <v>2029</v>
      </c>
      <c r="AQ19" s="3" t="s">
        <v>110</v>
      </c>
      <c r="AR19" s="3" t="s">
        <v>2030</v>
      </c>
      <c r="AS19" s="3" t="s">
        <v>2031</v>
      </c>
      <c r="AT19" s="3" t="s">
        <v>36</v>
      </c>
      <c r="AU19" s="3" t="s">
        <v>2032</v>
      </c>
      <c r="AV19" s="3" t="s">
        <v>2033</v>
      </c>
      <c r="AW19" s="3" t="s">
        <v>2034</v>
      </c>
      <c r="AX19" s="3" t="s">
        <v>330</v>
      </c>
      <c r="AY19" s="3" t="s">
        <v>895</v>
      </c>
      <c r="AZ19" s="3" t="s">
        <v>397</v>
      </c>
      <c r="BA19" s="3" t="s">
        <v>399</v>
      </c>
      <c r="BB19" s="3" t="s">
        <v>400</v>
      </c>
      <c r="BC19" s="3" t="s">
        <v>1174</v>
      </c>
      <c r="BD19" s="3" t="s">
        <v>727</v>
      </c>
      <c r="BE19" s="3" t="s">
        <v>23</v>
      </c>
      <c r="BF19" s="3" t="s">
        <v>401</v>
      </c>
      <c r="BG19" s="3" t="s">
        <v>402</v>
      </c>
      <c r="BH19" s="3" t="s">
        <v>1185</v>
      </c>
      <c r="BI19" s="3" t="s">
        <v>1173</v>
      </c>
      <c r="BJ19" s="3" t="s">
        <v>330</v>
      </c>
      <c r="BK19" s="3" t="s">
        <v>2035</v>
      </c>
      <c r="BL19" s="3" t="s">
        <v>1389</v>
      </c>
      <c r="BM19" s="3" t="s">
        <v>1174</v>
      </c>
      <c r="BN19" s="3" t="s">
        <v>4</v>
      </c>
      <c r="BO19" s="3" t="s">
        <v>4</v>
      </c>
      <c r="BP19" s="3" t="s">
        <v>4</v>
      </c>
      <c r="BQ19" s="3">
        <v>-5.38</v>
      </c>
      <c r="BR19" s="3">
        <v>-11.57</v>
      </c>
      <c r="BS19" s="3">
        <v>-19.010000000000002</v>
      </c>
      <c r="BT19" s="3" t="s">
        <v>1043</v>
      </c>
      <c r="BU19" s="3" t="s">
        <v>841</v>
      </c>
      <c r="BV19" s="3">
        <v>14.39</v>
      </c>
      <c r="BW19" s="3">
        <v>12.76</v>
      </c>
      <c r="BX19" s="3">
        <v>9.1300000000000008</v>
      </c>
      <c r="BY19" s="3">
        <v>-7.11</v>
      </c>
      <c r="BZ19" s="3">
        <v>-5.19</v>
      </c>
      <c r="CA19" s="3">
        <v>-8.08</v>
      </c>
      <c r="CB19" s="3">
        <v>-10.23</v>
      </c>
      <c r="CC19" s="3">
        <v>-16.649999999999999</v>
      </c>
      <c r="CD19" s="3" t="s">
        <v>2036</v>
      </c>
      <c r="CE19" s="3" t="s">
        <v>52</v>
      </c>
      <c r="CF19" s="10">
        <v>-0.72650475184794094</v>
      </c>
      <c r="CG19" s="11">
        <v>-7.2269656163758356E-2</v>
      </c>
      <c r="CH19" s="10">
        <v>-0.90400296449661255</v>
      </c>
      <c r="CI19" s="10">
        <v>-0.1274256557226181</v>
      </c>
      <c r="CJ19" s="10">
        <v>9.5288671553134918E-2</v>
      </c>
      <c r="CK19" s="10">
        <v>1.5833033248782158E-2</v>
      </c>
      <c r="CL19" s="10">
        <v>0.26146164536476135</v>
      </c>
      <c r="CM19" s="11">
        <v>0.60097461938858032</v>
      </c>
      <c r="CN19" s="11">
        <v>0.48571428656578064</v>
      </c>
      <c r="CO19" s="11">
        <v>-3.4019608497619629</v>
      </c>
      <c r="CP19" s="11">
        <v>0.81234419345855713</v>
      </c>
      <c r="CQ19" s="11">
        <v>0.91902220249176025</v>
      </c>
      <c r="CR19" s="3">
        <v>-119.39826087105375</v>
      </c>
      <c r="CS19" s="3">
        <v>-9.0611761439472769</v>
      </c>
      <c r="CT19" s="3">
        <v>0</v>
      </c>
      <c r="CU19" s="10">
        <v>-0.13176905401051045</v>
      </c>
      <c r="CV19" s="11">
        <v>-0.1167811095714569</v>
      </c>
      <c r="CW19" s="3">
        <v>0.06</v>
      </c>
      <c r="CX19" s="3" t="e">
        <v>#VALUE!</v>
      </c>
      <c r="CY19" s="3" t="s">
        <v>855</v>
      </c>
      <c r="CZ19" s="3">
        <v>-0.13176905401051045</v>
      </c>
      <c r="DA19" s="3" t="e">
        <v>#VALUE!</v>
      </c>
      <c r="DB19" s="3" t="s">
        <v>853</v>
      </c>
      <c r="DC19" s="3">
        <v>-0.12518060130998493</v>
      </c>
      <c r="DD19" s="3" t="e">
        <v>#VALUE!</v>
      </c>
      <c r="DE19" s="3" t="s">
        <v>853</v>
      </c>
      <c r="DF19" s="3">
        <v>-0.1159567675292492</v>
      </c>
      <c r="DG19" s="3" t="e">
        <v>#VALUE!</v>
      </c>
      <c r="DH19" s="3" t="s">
        <v>853</v>
      </c>
      <c r="DI19" s="3">
        <v>-0.10541524320840837</v>
      </c>
      <c r="DJ19" s="3" t="e">
        <v>#VALUE!</v>
      </c>
      <c r="DK19" s="3" t="s">
        <v>853</v>
      </c>
      <c r="DL19" s="3">
        <v>-9.223833780735731E-2</v>
      </c>
      <c r="DM19" s="3">
        <v>-50277200</v>
      </c>
      <c r="DN19" s="3">
        <v>-0.13176905401051045</v>
      </c>
      <c r="DO19" s="3">
        <v>5047939400</v>
      </c>
      <c r="DP19" s="3">
        <v>-103734630</v>
      </c>
      <c r="DQ19" s="3">
        <v>1323</v>
      </c>
      <c r="DR19" s="3">
        <v>-0.59473569783743052</v>
      </c>
      <c r="DS19" s="3">
        <v>4.4511453407698548E-2</v>
      </c>
      <c r="DT19" s="12">
        <v>-0.67333333333333334</v>
      </c>
      <c r="DU19" s="3">
        <v>-1.0583333333333333</v>
      </c>
      <c r="DV19" s="3">
        <v>-1.7316666666666667</v>
      </c>
      <c r="DW19" s="3">
        <v>-9.6144144144144139</v>
      </c>
      <c r="DX19" s="3">
        <v>0.49157571428571473</v>
      </c>
      <c r="DY19" s="3">
        <v>-9.1852924658944666</v>
      </c>
      <c r="DZ19" s="3">
        <v>4597</v>
      </c>
      <c r="EA19" s="3">
        <v>-9.018601768102517</v>
      </c>
      <c r="EB19" s="3">
        <v>9</v>
      </c>
      <c r="EC19" s="3">
        <v>0.17133615302154442</v>
      </c>
      <c r="ED19" s="3">
        <v>0.56813644105048755</v>
      </c>
      <c r="EE19" s="13">
        <v>9.0859000000000005</v>
      </c>
      <c r="EF19" s="3">
        <v>9.0564</v>
      </c>
      <c r="EG19" s="3">
        <v>19.301575714285715</v>
      </c>
      <c r="EH19" s="3" t="s">
        <v>1575</v>
      </c>
      <c r="EI19" s="3">
        <v>0</v>
      </c>
      <c r="EJ19" s="3">
        <v>0</v>
      </c>
      <c r="EK19" s="15">
        <v>45470</v>
      </c>
      <c r="EL19" s="16">
        <v>-0.6</v>
      </c>
      <c r="EM19" s="16">
        <v>-5.31</v>
      </c>
      <c r="EN19" s="16">
        <v>2.14</v>
      </c>
      <c r="EO19" s="16">
        <v>3.04</v>
      </c>
      <c r="EP19" s="16">
        <v>-2.95</v>
      </c>
    </row>
    <row r="20" spans="1:146" ht="96" x14ac:dyDescent="0.25">
      <c r="C20" s="7" t="str">
        <f>""&amp;CHAR(10)&amp;Basic_Fundamental_Information_Constructure(F20)&amp;CHAR(10)&amp;Basic_Fundamental_Information_Concatenate("")</f>
        <v xml:space="preserve">
市值13.518041亿, 利润-802.78万; PE; 平均PE444.15; 平均PEG24.94, PB1.64; ROIC0%; ROE-6.2467%; 股利率1.7261%; 毛利18.37%; 净利-10.06%; 上一年度营收增-77.66%, 利润增93.2%; 当季营收增-49.85%, 利润增64.8%; 过往5年营收增-17.81%, 利润增-67.77%
Income profile:
</v>
      </c>
      <c r="D20" s="3" t="s">
        <v>403</v>
      </c>
      <c r="E20" s="3" t="s">
        <v>404</v>
      </c>
      <c r="F20" s="3">
        <v>8.69</v>
      </c>
      <c r="G20" s="3">
        <v>-1.1399999999999999</v>
      </c>
      <c r="H20" s="3" t="s">
        <v>2037</v>
      </c>
      <c r="I20" s="3">
        <v>1351804100</v>
      </c>
      <c r="K20" s="3">
        <v>1.64</v>
      </c>
      <c r="L20" s="3" t="s">
        <v>285</v>
      </c>
      <c r="M20" s="3" t="s">
        <v>936</v>
      </c>
      <c r="N20" s="3" t="s">
        <v>552</v>
      </c>
      <c r="O20" s="3" t="s">
        <v>169</v>
      </c>
      <c r="P20" s="3">
        <v>34.19</v>
      </c>
      <c r="Q20" s="3" t="s">
        <v>169</v>
      </c>
      <c r="R20" s="3">
        <v>-8027844</v>
      </c>
      <c r="S20" s="5">
        <v>0.58040000000000003</v>
      </c>
      <c r="T20" s="3" t="s">
        <v>2038</v>
      </c>
      <c r="U20" s="3">
        <v>119442978</v>
      </c>
      <c r="V20" s="3">
        <v>155558590</v>
      </c>
      <c r="W20" s="3">
        <v>1.92</v>
      </c>
      <c r="X20" s="3">
        <v>0.1</v>
      </c>
      <c r="Y20" s="3">
        <v>-4.96</v>
      </c>
      <c r="Z20" s="3" t="s">
        <v>41</v>
      </c>
      <c r="AA20" s="3" t="s">
        <v>26</v>
      </c>
      <c r="AB20" s="3" t="s">
        <v>2039</v>
      </c>
      <c r="AC20" s="3" t="s">
        <v>2040</v>
      </c>
      <c r="AD20" s="3" t="s">
        <v>4</v>
      </c>
      <c r="AE20" s="3">
        <v>1688565</v>
      </c>
      <c r="AF20" s="3" t="s">
        <v>2041</v>
      </c>
      <c r="AG20" s="3">
        <v>1.69</v>
      </c>
      <c r="AH20" s="3" t="s">
        <v>2042</v>
      </c>
      <c r="AI20" s="3" t="s">
        <v>2043</v>
      </c>
      <c r="AJ20" s="3" t="s">
        <v>2044</v>
      </c>
      <c r="AK20" s="3" t="s">
        <v>4</v>
      </c>
      <c r="AL20" s="3" t="s">
        <v>2045</v>
      </c>
      <c r="AM20" s="3" t="s">
        <v>4</v>
      </c>
      <c r="AN20" s="3" t="s">
        <v>1549</v>
      </c>
      <c r="AO20" s="3" t="s">
        <v>2046</v>
      </c>
      <c r="AP20" s="3" t="s">
        <v>4</v>
      </c>
      <c r="AQ20" s="3" t="s">
        <v>161</v>
      </c>
      <c r="AR20" s="3" t="s">
        <v>4</v>
      </c>
      <c r="AS20" s="3" t="s">
        <v>43</v>
      </c>
      <c r="AT20" s="3" t="s">
        <v>1674</v>
      </c>
      <c r="AU20" s="3" t="s">
        <v>2047</v>
      </c>
      <c r="AV20" s="3" t="s">
        <v>2048</v>
      </c>
      <c r="AW20" s="3" t="s">
        <v>2049</v>
      </c>
      <c r="AX20" s="3" t="s">
        <v>856</v>
      </c>
      <c r="AY20" s="3" t="s">
        <v>896</v>
      </c>
      <c r="AZ20" s="3" t="s">
        <v>174</v>
      </c>
      <c r="BA20" s="3" t="s">
        <v>407</v>
      </c>
      <c r="BB20" s="3" t="s">
        <v>408</v>
      </c>
      <c r="BC20" s="3" t="s">
        <v>1136</v>
      </c>
      <c r="BD20" s="3" t="s">
        <v>729</v>
      </c>
      <c r="BE20" s="3" t="s">
        <v>406</v>
      </c>
      <c r="BF20" s="3" t="s">
        <v>410</v>
      </c>
      <c r="BG20" s="3" t="s">
        <v>411</v>
      </c>
      <c r="BH20" s="3" t="s">
        <v>917</v>
      </c>
      <c r="BI20" s="3" t="s">
        <v>227</v>
      </c>
      <c r="BJ20" s="3" t="s">
        <v>856</v>
      </c>
      <c r="BK20" s="3" t="s">
        <v>2050</v>
      </c>
      <c r="BL20" s="3" t="s">
        <v>1392</v>
      </c>
      <c r="BM20" s="3" t="s">
        <v>1136</v>
      </c>
      <c r="BN20" s="3" t="s">
        <v>4</v>
      </c>
      <c r="BO20" s="3" t="s">
        <v>4</v>
      </c>
      <c r="BP20" s="3" t="s">
        <v>4</v>
      </c>
      <c r="BQ20" s="3">
        <v>-3.2</v>
      </c>
      <c r="BR20" s="3">
        <v>-12.08</v>
      </c>
      <c r="BS20" s="3">
        <v>-3.46</v>
      </c>
      <c r="BT20" s="3" t="s">
        <v>1041</v>
      </c>
      <c r="BU20" s="3" t="s">
        <v>841</v>
      </c>
      <c r="BV20" s="3">
        <v>18.14</v>
      </c>
      <c r="BW20" s="3">
        <v>17.63</v>
      </c>
      <c r="BX20" s="3">
        <v>19.34</v>
      </c>
      <c r="BY20" s="3">
        <v>-10.48</v>
      </c>
      <c r="BZ20" s="3">
        <v>-16.23</v>
      </c>
      <c r="CA20" s="3">
        <v>-3.47</v>
      </c>
      <c r="CB20" s="3">
        <v>-18.71</v>
      </c>
      <c r="CC20" s="3">
        <v>-5.13</v>
      </c>
      <c r="CD20" s="3" t="s">
        <v>113</v>
      </c>
      <c r="CE20" s="3" t="s">
        <v>1100</v>
      </c>
      <c r="CF20" s="10">
        <v>-0.49845201238390091</v>
      </c>
      <c r="CG20" s="11">
        <v>0.64804359644354037</v>
      </c>
      <c r="CH20" s="10">
        <v>-0.77655172348022461</v>
      </c>
      <c r="CI20" s="10">
        <v>-0.30754536390304565</v>
      </c>
      <c r="CJ20" s="10">
        <v>-0.13327814638614655</v>
      </c>
      <c r="CK20" s="10">
        <v>9.0252704918384552E-2</v>
      </c>
      <c r="CL20" s="10">
        <v>0.2366071492433548</v>
      </c>
      <c r="CM20" s="11">
        <v>0.93196779489517212</v>
      </c>
      <c r="CN20" s="11">
        <v>-2.2464761734008789</v>
      </c>
      <c r="CO20" s="11">
        <v>-1.80910325050354</v>
      </c>
      <c r="CP20" s="11">
        <v>-0.36927142739295959</v>
      </c>
      <c r="CQ20" s="11">
        <v>0.10440988838672638</v>
      </c>
      <c r="CR20" s="3">
        <v>444.15130274787259</v>
      </c>
      <c r="CS20" s="3">
        <v>24.937879396510056</v>
      </c>
      <c r="CT20" s="3">
        <v>1.7261219792865363</v>
      </c>
      <c r="CU20" s="10">
        <v>-0.17810307592153549</v>
      </c>
      <c r="CV20" s="11">
        <v>-0.67769463360309601</v>
      </c>
      <c r="CW20" s="3">
        <v>0.06</v>
      </c>
      <c r="CX20" s="3" t="e">
        <v>#VALUE!</v>
      </c>
      <c r="CY20" s="3" t="s">
        <v>855</v>
      </c>
      <c r="CZ20" s="3">
        <v>-0.17810307592153549</v>
      </c>
      <c r="DA20" s="3" t="e">
        <v>#VALUE!</v>
      </c>
      <c r="DB20" s="3" t="s">
        <v>853</v>
      </c>
      <c r="DC20" s="3">
        <v>-0.1691979221254587</v>
      </c>
      <c r="DD20" s="3" t="e">
        <v>#VALUE!</v>
      </c>
      <c r="DE20" s="3" t="s">
        <v>853</v>
      </c>
      <c r="DF20" s="3">
        <v>-0.15673070681095122</v>
      </c>
      <c r="DG20" s="3" t="e">
        <v>#VALUE!</v>
      </c>
      <c r="DH20" s="3" t="s">
        <v>853</v>
      </c>
      <c r="DI20" s="3">
        <v>-0.14248246073722839</v>
      </c>
      <c r="DJ20" s="3" t="e">
        <v>#VALUE!</v>
      </c>
      <c r="DK20" s="3" t="s">
        <v>853</v>
      </c>
      <c r="DL20" s="3">
        <v>-0.12467215314507483</v>
      </c>
      <c r="DM20" s="3">
        <v>-8027800</v>
      </c>
      <c r="DN20" s="3">
        <v>-0.17810307592153549</v>
      </c>
      <c r="DO20" s="3">
        <v>1314804100</v>
      </c>
      <c r="DP20" s="3">
        <v>393996070</v>
      </c>
      <c r="DQ20" s="3">
        <v>1329</v>
      </c>
      <c r="DR20" s="3">
        <v>-0.3203489364623654</v>
      </c>
      <c r="DS20" s="3">
        <v>1.3257382300466363</v>
      </c>
      <c r="DT20" s="12">
        <v>-0.82333333333333325</v>
      </c>
      <c r="DU20" s="3">
        <v>-2.4983333333333335</v>
      </c>
      <c r="DV20" s="3">
        <v>-3.3216666666666668</v>
      </c>
      <c r="DW20" s="3">
        <v>-5.274184927846072</v>
      </c>
      <c r="DX20" s="3">
        <v>0.56516129032257933</v>
      </c>
      <c r="DY20" s="3">
        <v>-5.0946380234823536</v>
      </c>
      <c r="DZ20" s="3">
        <v>4678</v>
      </c>
      <c r="EA20" s="3">
        <v>-5.0080007096172947</v>
      </c>
      <c r="EB20" s="3">
        <v>5</v>
      </c>
      <c r="EC20" s="3">
        <v>0.68784372499133606</v>
      </c>
      <c r="ED20" s="3">
        <v>1.9928182686664877</v>
      </c>
      <c r="EE20" s="13">
        <v>-3.0708000000000002</v>
      </c>
      <c r="EF20" s="3">
        <v>-2.0203000000000002</v>
      </c>
      <c r="EG20" s="3">
        <v>22.345161290322579</v>
      </c>
      <c r="EH20" s="3" t="s">
        <v>1551</v>
      </c>
      <c r="EI20" s="3">
        <v>0</v>
      </c>
      <c r="EJ20" s="3">
        <v>0</v>
      </c>
      <c r="EK20" s="15">
        <v>45470</v>
      </c>
      <c r="EL20" s="16">
        <v>-1.65</v>
      </c>
      <c r="EM20" s="16">
        <v>-5.16</v>
      </c>
      <c r="EN20" s="16">
        <v>1.77</v>
      </c>
      <c r="EO20" s="16">
        <v>9.9499999999999993</v>
      </c>
      <c r="EP20" s="16">
        <v>9.9499999999999993</v>
      </c>
    </row>
    <row r="21" spans="1:146" ht="96" x14ac:dyDescent="0.25">
      <c r="C21" s="7" t="str">
        <f>""&amp;CHAR(10)&amp;Basic_Fundamental_Information_Constructure(F21)&amp;CHAR(10)&amp;Basic_Fundamental_Information_Concatenate("")</f>
        <v xml:space="preserve">
市值34.395244亿, 利润1347.26万; PE116.9; 平均PE34.51; 平均PEG10.52, PB1.64; ROIC3.9567%; ROE5.9967%; 股利率.1263%; 毛利23.1433%; 净利5.23%; 上一年度营收增-78.59%, 利润增-88.28%; 当季营收增-46.16%, 利润增-66.78%; 过往5年营收增-3.28%, 利润增-7.56%
Income profile:
</v>
      </c>
      <c r="D21" s="3" t="s">
        <v>412</v>
      </c>
      <c r="E21" s="3" t="s">
        <v>413</v>
      </c>
      <c r="F21" s="3">
        <v>11.88</v>
      </c>
      <c r="G21" s="3">
        <v>-0.17</v>
      </c>
      <c r="H21" s="3" t="s">
        <v>2051</v>
      </c>
      <c r="I21" s="3">
        <v>3439524400</v>
      </c>
      <c r="J21" s="3">
        <v>116.9</v>
      </c>
      <c r="K21" s="3">
        <v>1.64</v>
      </c>
      <c r="L21" s="3" t="s">
        <v>285</v>
      </c>
      <c r="M21" s="3" t="s">
        <v>1269</v>
      </c>
      <c r="N21" s="3" t="s">
        <v>2052</v>
      </c>
      <c r="O21" s="3" t="s">
        <v>547</v>
      </c>
      <c r="P21" s="3">
        <v>17.7</v>
      </c>
      <c r="Q21" s="3" t="s">
        <v>547</v>
      </c>
      <c r="R21" s="3">
        <v>13472606</v>
      </c>
      <c r="S21" s="5">
        <v>-0.4778</v>
      </c>
      <c r="T21" s="3" t="s">
        <v>2053</v>
      </c>
      <c r="U21" s="3">
        <v>180375210</v>
      </c>
      <c r="V21" s="3">
        <v>289522260</v>
      </c>
      <c r="W21" s="3">
        <v>2</v>
      </c>
      <c r="X21" s="3">
        <v>0.1</v>
      </c>
      <c r="Y21" s="3">
        <v>1.42</v>
      </c>
      <c r="Z21" s="3" t="s">
        <v>203</v>
      </c>
      <c r="AA21" s="3" t="s">
        <v>227</v>
      </c>
      <c r="AB21" s="3" t="s">
        <v>2054</v>
      </c>
      <c r="AC21" s="3" t="s">
        <v>2055</v>
      </c>
      <c r="AD21" s="3" t="s">
        <v>4</v>
      </c>
      <c r="AE21" s="3">
        <v>9085832</v>
      </c>
      <c r="AF21" s="3" t="s">
        <v>2056</v>
      </c>
      <c r="AG21" s="3" t="s">
        <v>2057</v>
      </c>
      <c r="AH21" s="3" t="s">
        <v>2058</v>
      </c>
      <c r="AI21" s="3" t="s">
        <v>1464</v>
      </c>
      <c r="AJ21" s="3" t="s">
        <v>2059</v>
      </c>
      <c r="AK21" s="3" t="s">
        <v>4</v>
      </c>
      <c r="AL21" s="3" t="s">
        <v>2060</v>
      </c>
      <c r="AM21" s="3" t="s">
        <v>4</v>
      </c>
      <c r="AN21" s="3" t="s">
        <v>192</v>
      </c>
      <c r="AO21" s="3" t="s">
        <v>929</v>
      </c>
      <c r="AP21" s="3" t="s">
        <v>139</v>
      </c>
      <c r="AQ21" s="3" t="s">
        <v>2061</v>
      </c>
      <c r="AR21" s="3" t="s">
        <v>4</v>
      </c>
      <c r="AS21" s="3" t="s">
        <v>2062</v>
      </c>
      <c r="AT21" s="3" t="s">
        <v>56</v>
      </c>
      <c r="AU21" s="3" t="s">
        <v>2063</v>
      </c>
      <c r="AV21" s="3" t="s">
        <v>2064</v>
      </c>
      <c r="AW21" s="3" t="s">
        <v>2065</v>
      </c>
      <c r="AX21" s="3" t="s">
        <v>1179</v>
      </c>
      <c r="AY21" s="3" t="s">
        <v>897</v>
      </c>
      <c r="AZ21" s="3" t="s">
        <v>414</v>
      </c>
      <c r="BA21" s="3" t="s">
        <v>416</v>
      </c>
      <c r="BB21" s="3" t="s">
        <v>277</v>
      </c>
      <c r="BC21" s="3" t="s">
        <v>99</v>
      </c>
      <c r="BD21" s="3" t="s">
        <v>48</v>
      </c>
      <c r="BE21" s="3" t="s">
        <v>57</v>
      </c>
      <c r="BF21" s="3" t="s">
        <v>417</v>
      </c>
      <c r="BG21" s="3" t="s">
        <v>418</v>
      </c>
      <c r="BH21" s="3" t="s">
        <v>2066</v>
      </c>
      <c r="BI21" s="3" t="s">
        <v>1178</v>
      </c>
      <c r="BJ21" s="3" t="s">
        <v>1179</v>
      </c>
      <c r="BK21" s="3" t="s">
        <v>2067</v>
      </c>
      <c r="BL21" s="3" t="s">
        <v>1393</v>
      </c>
      <c r="BM21" s="3" t="s">
        <v>99</v>
      </c>
      <c r="BN21" s="3">
        <v>1.44</v>
      </c>
      <c r="BO21" s="3">
        <v>3.86</v>
      </c>
      <c r="BP21" s="3">
        <v>6.57</v>
      </c>
      <c r="BQ21" s="3">
        <v>3.19</v>
      </c>
      <c r="BR21" s="3">
        <v>5.83</v>
      </c>
      <c r="BS21" s="3">
        <v>8.9700000000000006</v>
      </c>
      <c r="BT21" s="3" t="s">
        <v>2068</v>
      </c>
      <c r="BU21" s="3" t="s">
        <v>841</v>
      </c>
      <c r="BV21" s="3">
        <v>23.83</v>
      </c>
      <c r="BW21" s="3">
        <v>24.28</v>
      </c>
      <c r="BX21" s="3">
        <v>21.32</v>
      </c>
      <c r="BY21" s="3">
        <v>1.43</v>
      </c>
      <c r="BZ21" s="3">
        <v>5.7</v>
      </c>
      <c r="CA21" s="3">
        <v>8.56</v>
      </c>
      <c r="CB21" s="3">
        <v>-7.69</v>
      </c>
      <c r="CC21" s="3">
        <v>-19.510000000000002</v>
      </c>
      <c r="CD21" s="3" t="s">
        <v>2069</v>
      </c>
      <c r="CE21" s="3" t="s">
        <v>162</v>
      </c>
      <c r="CF21" s="10">
        <v>-0.46163522012578617</v>
      </c>
      <c r="CG21" s="11">
        <v>-0.66784989818006102</v>
      </c>
      <c r="CH21" s="10">
        <v>-0.78589296340942383</v>
      </c>
      <c r="CI21" s="10">
        <v>4.1145801544189453E-2</v>
      </c>
      <c r="CJ21" s="10">
        <v>8.474576473236084E-2</v>
      </c>
      <c r="CK21" s="10">
        <v>0.15384615957736969</v>
      </c>
      <c r="CL21" s="10">
        <v>0.34208217263221741</v>
      </c>
      <c r="CM21" s="11">
        <v>-0.88284695148468018</v>
      </c>
      <c r="CN21" s="11">
        <v>-0.29878050088882446</v>
      </c>
      <c r="CO21" s="11">
        <v>0.21481481194496155</v>
      </c>
      <c r="CP21" s="11">
        <v>0.81723219156265259</v>
      </c>
      <c r="CQ21" s="11">
        <v>-0.22858026623725891</v>
      </c>
      <c r="CR21" s="3">
        <v>34.506654485114275</v>
      </c>
      <c r="CS21" s="3">
        <v>10.515636585824771</v>
      </c>
      <c r="CT21" s="3">
        <v>0.12626262626262624</v>
      </c>
      <c r="CU21" s="10">
        <v>-3.2814612984657286E-2</v>
      </c>
      <c r="CV21" s="11">
        <v>-7.5632143020629886E-2</v>
      </c>
      <c r="CW21" s="3">
        <v>0.06</v>
      </c>
      <c r="CX21" s="3">
        <v>261.90374537951101</v>
      </c>
      <c r="CY21" s="3" t="s">
        <v>2070</v>
      </c>
      <c r="CZ21" s="3">
        <v>-3.2814612984657286E-2</v>
      </c>
      <c r="DA21" s="3">
        <v>87.301248459836998</v>
      </c>
      <c r="DB21" s="3" t="s">
        <v>2071</v>
      </c>
      <c r="DC21" s="3">
        <v>-3.1173882335424421E-2</v>
      </c>
      <c r="DD21" s="3">
        <v>43.650624229918499</v>
      </c>
      <c r="DE21" s="3" t="s">
        <v>2072</v>
      </c>
      <c r="DF21" s="3">
        <v>-2.8876859426498411E-2</v>
      </c>
      <c r="DG21" s="3">
        <v>26.190374537951101</v>
      </c>
      <c r="DH21" s="3" t="s">
        <v>2073</v>
      </c>
      <c r="DI21" s="3">
        <v>-2.6251690387725832E-2</v>
      </c>
      <c r="DJ21" s="3">
        <v>13.09518726897555</v>
      </c>
      <c r="DK21" s="3" t="s">
        <v>2074</v>
      </c>
      <c r="DL21" s="3">
        <v>-2.2970229089260098E-2</v>
      </c>
      <c r="DM21" s="3">
        <v>13472600</v>
      </c>
      <c r="DN21" s="3">
        <v>-3.2814612984657286E-2</v>
      </c>
      <c r="DO21" s="3">
        <v>3528524400</v>
      </c>
      <c r="DP21" s="3">
        <v>87467800</v>
      </c>
      <c r="DQ21" s="3">
        <v>1334</v>
      </c>
      <c r="DR21" s="3">
        <v>-0.42882060714112891</v>
      </c>
      <c r="DS21" s="3">
        <v>-0.59221775515943109</v>
      </c>
      <c r="DT21" s="12">
        <v>-0.55666666666666675</v>
      </c>
      <c r="DU21" s="3">
        <v>-0.65666666666666662</v>
      </c>
      <c r="DV21" s="3">
        <v>-1.2133333333333334</v>
      </c>
      <c r="DW21" s="3">
        <v>-9.3941568426447972</v>
      </c>
      <c r="DX21" s="3">
        <v>0.40170000000000017</v>
      </c>
      <c r="DY21" s="3">
        <v>-9.0558520246027676</v>
      </c>
      <c r="DZ21" s="3">
        <v>3132</v>
      </c>
      <c r="EA21" s="3">
        <v>-9.0216194333980972</v>
      </c>
      <c r="EB21" s="3">
        <v>9</v>
      </c>
      <c r="EC21" s="3">
        <v>5.7262954496141341E-2</v>
      </c>
      <c r="ED21" s="3">
        <v>0.40411400491278288</v>
      </c>
      <c r="EE21" s="13">
        <v>-5.0587099999999996</v>
      </c>
      <c r="EF21" s="3">
        <v>-5.0797100000000004</v>
      </c>
      <c r="EG21" s="3">
        <v>26.1417</v>
      </c>
      <c r="EH21" s="3" t="s">
        <v>1553</v>
      </c>
      <c r="EI21" s="3">
        <v>0</v>
      </c>
      <c r="EJ21" s="3">
        <v>0</v>
      </c>
      <c r="EK21" s="15">
        <v>45470</v>
      </c>
      <c r="EL21" s="16">
        <v>-0.83</v>
      </c>
      <c r="EM21" s="16">
        <v>-5.62</v>
      </c>
      <c r="EN21" s="16">
        <v>-2.42</v>
      </c>
      <c r="EO21" s="16">
        <v>6.27</v>
      </c>
      <c r="EP21" s="16">
        <v>-2.1</v>
      </c>
    </row>
    <row r="22" spans="1:146" ht="96" x14ac:dyDescent="0.25">
      <c r="C22" s="7" t="str">
        <f>""&amp;CHAR(10)&amp;Basic_Fundamental_Information_Constructure(F22)&amp;CHAR(10)&amp;Basic_Fundamental_Information_Concatenate("")</f>
        <v xml:space="preserve">
市值48.467237亿, 利润646.69万; PE91.72; 平均PE82.85; 平均PEG12.93, PB3.31; ROIC11.3133%; ROE13.7567%; 股利率.54%; 毛利18.63%; 净利4.7967%; 上一年度营收增-75.11%, 利润增-94.95%; 当季营收增-43.89%, 利润增-86.71%; 过往5年营收增6.41%, 利润增41.64%
Income profile:
</v>
      </c>
      <c r="D22" s="3" t="s">
        <v>419</v>
      </c>
      <c r="E22" s="3" t="s">
        <v>420</v>
      </c>
      <c r="F22" s="3">
        <v>18.52</v>
      </c>
      <c r="G22" s="3">
        <v>0.05</v>
      </c>
      <c r="H22" s="3" t="s">
        <v>2075</v>
      </c>
      <c r="I22" s="3">
        <v>4846723700</v>
      </c>
      <c r="J22" s="3">
        <v>91.72</v>
      </c>
      <c r="K22" s="3">
        <v>3.31</v>
      </c>
      <c r="L22" s="3" t="s">
        <v>285</v>
      </c>
      <c r="M22" s="3" t="s">
        <v>2076</v>
      </c>
      <c r="N22" s="3" t="s">
        <v>2077</v>
      </c>
      <c r="O22" s="3" t="s">
        <v>1265</v>
      </c>
      <c r="P22" s="3">
        <v>29.65</v>
      </c>
      <c r="Q22" s="3" t="s">
        <v>1265</v>
      </c>
      <c r="R22" s="3">
        <v>6466908</v>
      </c>
      <c r="S22" s="5">
        <v>-0.64329999999999998</v>
      </c>
      <c r="T22" s="3" t="s">
        <v>2078</v>
      </c>
      <c r="U22" s="3">
        <v>184470050</v>
      </c>
      <c r="V22" s="3">
        <v>261702140</v>
      </c>
      <c r="W22" s="3">
        <v>1.78</v>
      </c>
      <c r="X22" s="3">
        <v>0.24</v>
      </c>
      <c r="Y22" s="3">
        <v>1.01</v>
      </c>
      <c r="Z22" s="3" t="s">
        <v>2079</v>
      </c>
      <c r="AA22" s="3" t="s">
        <v>940</v>
      </c>
      <c r="AB22" s="3" t="s">
        <v>2080</v>
      </c>
      <c r="AC22" s="3" t="s">
        <v>2081</v>
      </c>
      <c r="AD22" s="3" t="s">
        <v>4</v>
      </c>
      <c r="AE22" s="3">
        <v>7023030</v>
      </c>
      <c r="AF22" s="3" t="s">
        <v>2082</v>
      </c>
      <c r="AG22" s="3">
        <v>60</v>
      </c>
      <c r="AH22" s="3" t="s">
        <v>2083</v>
      </c>
      <c r="AI22" s="3" t="s">
        <v>1571</v>
      </c>
      <c r="AJ22" s="3" t="s">
        <v>2084</v>
      </c>
      <c r="AK22" s="3" t="s">
        <v>2085</v>
      </c>
      <c r="AL22" s="3" t="s">
        <v>2086</v>
      </c>
      <c r="AM22" s="3" t="s">
        <v>4</v>
      </c>
      <c r="AN22" s="3">
        <v>0</v>
      </c>
      <c r="AO22" s="3" t="s">
        <v>1075</v>
      </c>
      <c r="AP22" s="3" t="s">
        <v>2087</v>
      </c>
      <c r="AQ22" s="3" t="s">
        <v>1479</v>
      </c>
      <c r="AR22" s="3" t="s">
        <v>4</v>
      </c>
      <c r="AS22" s="3" t="s">
        <v>2088</v>
      </c>
      <c r="AT22" s="3" t="s">
        <v>4</v>
      </c>
      <c r="AU22" s="3" t="s">
        <v>2089</v>
      </c>
      <c r="AV22" s="3" t="s">
        <v>2090</v>
      </c>
      <c r="AW22" s="3" t="s">
        <v>163</v>
      </c>
      <c r="AX22" s="3" t="s">
        <v>1146</v>
      </c>
      <c r="AY22" s="3" t="s">
        <v>898</v>
      </c>
      <c r="AZ22" s="3" t="s">
        <v>422</v>
      </c>
      <c r="BA22" s="3" t="s">
        <v>424</v>
      </c>
      <c r="BB22" s="3" t="s">
        <v>425</v>
      </c>
      <c r="BC22" s="3" t="s">
        <v>109</v>
      </c>
      <c r="BD22" s="3" t="s">
        <v>46</v>
      </c>
      <c r="BE22" s="3" t="s">
        <v>423</v>
      </c>
      <c r="BF22" s="3" t="s">
        <v>426</v>
      </c>
      <c r="BG22" s="3" t="s">
        <v>427</v>
      </c>
      <c r="BH22" s="3" t="s">
        <v>2091</v>
      </c>
      <c r="BI22" s="3" t="s">
        <v>223</v>
      </c>
      <c r="BJ22" s="3" t="s">
        <v>1146</v>
      </c>
      <c r="BK22" s="3" t="s">
        <v>2092</v>
      </c>
      <c r="BL22" s="3" t="s">
        <v>1397</v>
      </c>
      <c r="BM22" s="3" t="s">
        <v>109</v>
      </c>
      <c r="BN22" s="3">
        <v>5.66</v>
      </c>
      <c r="BO22" s="3">
        <v>12.45</v>
      </c>
      <c r="BP22" s="3">
        <v>15.83</v>
      </c>
      <c r="BQ22" s="3">
        <v>5.25</v>
      </c>
      <c r="BR22" s="3">
        <v>16.97</v>
      </c>
      <c r="BS22" s="3">
        <v>19.05</v>
      </c>
      <c r="BT22" s="3" t="s">
        <v>1051</v>
      </c>
      <c r="BU22" s="3" t="s">
        <v>841</v>
      </c>
      <c r="BV22" s="3">
        <v>19.16</v>
      </c>
      <c r="BW22" s="3">
        <v>17.86</v>
      </c>
      <c r="BX22" s="3">
        <v>18.87</v>
      </c>
      <c r="BY22" s="3">
        <v>2.92</v>
      </c>
      <c r="BZ22" s="3">
        <v>5.49</v>
      </c>
      <c r="CA22" s="3">
        <v>5.98</v>
      </c>
      <c r="CB22" s="3">
        <v>-6.65</v>
      </c>
      <c r="CC22" s="3">
        <v>-11.81</v>
      </c>
      <c r="CD22" s="3" t="s">
        <v>2093</v>
      </c>
      <c r="CE22" s="3" t="s">
        <v>95</v>
      </c>
      <c r="CF22" s="10">
        <v>-0.43890518084066471</v>
      </c>
      <c r="CG22" s="11">
        <v>-0.8670744451250344</v>
      </c>
      <c r="CH22" s="10">
        <v>-0.7510840892791748</v>
      </c>
      <c r="CI22" s="10">
        <v>0.17115277051925659</v>
      </c>
      <c r="CJ22" s="10">
        <v>0.75646758079528809</v>
      </c>
      <c r="CK22" s="10">
        <v>0.20150046050548553</v>
      </c>
      <c r="CL22" s="10">
        <v>-5.7575758546590805E-2</v>
      </c>
      <c r="CM22" s="11">
        <v>-0.94947737455368042</v>
      </c>
      <c r="CN22" s="11">
        <v>8.474576473236084E-2</v>
      </c>
      <c r="CO22" s="11">
        <v>3.3002915382385254</v>
      </c>
      <c r="CP22" s="11">
        <v>0.12213893234729767</v>
      </c>
      <c r="CQ22" s="11">
        <v>-0.47587642073631287</v>
      </c>
      <c r="CR22" s="3">
        <v>82.84624851644854</v>
      </c>
      <c r="CS22" s="3">
        <v>12.926106113493946</v>
      </c>
      <c r="CT22" s="3">
        <v>0.5399568034557235</v>
      </c>
      <c r="CU22" s="10">
        <v>6.4092192798852921E-2</v>
      </c>
      <c r="CV22" s="11">
        <v>0.41636448800563813</v>
      </c>
      <c r="CW22" s="3">
        <v>0.06</v>
      </c>
      <c r="CX22" s="3">
        <v>624.12314013548246</v>
      </c>
      <c r="CY22" s="3">
        <v>6491865.8505763235</v>
      </c>
      <c r="CZ22" s="3">
        <v>6.4092192798852921E-2</v>
      </c>
      <c r="DA22" s="3">
        <v>208.49484331472996</v>
      </c>
      <c r="DB22" s="3">
        <v>19433208.205940071</v>
      </c>
      <c r="DC22" s="3">
        <v>6.0887583158910269E-2</v>
      </c>
      <c r="DD22" s="3">
        <v>105.67071102223645</v>
      </c>
      <c r="DE22" s="3">
        <v>38342920.765881754</v>
      </c>
      <c r="DF22" s="3">
        <v>5.6401129662990573E-2</v>
      </c>
      <c r="DG22" s="3">
        <v>65.549065518902992</v>
      </c>
      <c r="DH22" s="3">
        <v>61812074.175665654</v>
      </c>
      <c r="DI22" s="3">
        <v>5.1273754239082342E-2</v>
      </c>
      <c r="DJ22" s="3">
        <v>36.308061197335959</v>
      </c>
      <c r="DK22" s="3">
        <v>111592951.16251726</v>
      </c>
      <c r="DL22" s="3">
        <v>4.4864534959197039E-2</v>
      </c>
      <c r="DM22" s="3">
        <v>6466900.0000000009</v>
      </c>
      <c r="DN22" s="3">
        <v>6.4092192798852921E-2</v>
      </c>
      <c r="DO22" s="3">
        <v>4051723700</v>
      </c>
      <c r="DP22" s="3">
        <v>965717100</v>
      </c>
      <c r="DQ22" s="3">
        <v>1348</v>
      </c>
      <c r="DR22" s="3">
        <v>-0.50299737363951769</v>
      </c>
      <c r="DS22" s="3">
        <v>-1.2834389331306726</v>
      </c>
      <c r="DT22" s="12">
        <v>-0.24000000000000007</v>
      </c>
      <c r="DU22" s="3">
        <v>-0.50666666666666671</v>
      </c>
      <c r="DV22" s="3">
        <v>-0.74666666666666681</v>
      </c>
      <c r="DW22" s="3">
        <v>-9.5630821337849277</v>
      </c>
      <c r="DX22" s="3">
        <v>0.30833636363636185</v>
      </c>
      <c r="DY22" s="3">
        <v>-9.0497406281271644</v>
      </c>
      <c r="DZ22" s="3">
        <v>2277</v>
      </c>
      <c r="EA22" s="3">
        <v>-9.0275763599773491</v>
      </c>
      <c r="EB22" s="3">
        <v>9</v>
      </c>
      <c r="EC22" s="3">
        <v>3.7129998249154555E-2</v>
      </c>
      <c r="ED22" s="3">
        <v>0.42032518343182068</v>
      </c>
      <c r="EE22" s="13">
        <v>1.0826100000000001</v>
      </c>
      <c r="EF22" s="3">
        <v>1.1082099999999999</v>
      </c>
      <c r="EG22" s="3">
        <v>22.088336363636362</v>
      </c>
      <c r="EH22" s="3" t="s">
        <v>1106</v>
      </c>
      <c r="EI22" s="3">
        <v>0</v>
      </c>
      <c r="EJ22" s="3">
        <v>0</v>
      </c>
      <c r="EK22" s="15">
        <v>45470</v>
      </c>
      <c r="EL22" s="16">
        <v>0.24</v>
      </c>
      <c r="EM22" s="16">
        <v>-6.55</v>
      </c>
      <c r="EN22" s="16">
        <v>-3.14</v>
      </c>
      <c r="EO22" s="16">
        <v>6.12</v>
      </c>
      <c r="EP22" s="16">
        <v>-2.56</v>
      </c>
    </row>
    <row r="23" spans="1:146" ht="96" x14ac:dyDescent="0.25">
      <c r="C23" s="7" t="str">
        <f>""&amp;CHAR(10)&amp;Basic_Fundamental_Information_Constructure(F23)&amp;CHAR(10)&amp;Basic_Fundamental_Information_Concatenate("")</f>
        <v xml:space="preserve">
市值18.432159亿, 利润-326.99万; PE; 平均PE118.82; 平均PEG6.31, PB4.73; ROIC2.645%; ROE-1.0633%; 股利率.5519%; 毛利34.23%; 净利.0133%; 上一年度营收增-80.68%, 利润增77.64%; 当季营收增-56.78%, 利润增-47.51%; 过往5年营收增-18.82%, 利润增-16.84%
Income profile:
</v>
      </c>
      <c r="D23" s="3" t="s">
        <v>430</v>
      </c>
      <c r="E23" s="3" t="s">
        <v>431</v>
      </c>
      <c r="F23" s="3">
        <v>12.32</v>
      </c>
      <c r="G23" s="3">
        <v>-0.24</v>
      </c>
      <c r="H23" s="3" t="s">
        <v>2094</v>
      </c>
      <c r="I23" s="3">
        <v>1843215900</v>
      </c>
      <c r="K23" s="3">
        <v>4.7300000000000004</v>
      </c>
      <c r="L23" s="3" t="s">
        <v>285</v>
      </c>
      <c r="M23" s="3" t="s">
        <v>2095</v>
      </c>
      <c r="N23" s="3" t="s">
        <v>1282</v>
      </c>
      <c r="O23" s="3" t="s">
        <v>2096</v>
      </c>
      <c r="P23" s="3">
        <v>-3.89</v>
      </c>
      <c r="Q23" s="3" t="s">
        <v>2096</v>
      </c>
      <c r="R23" s="3">
        <v>-3269897</v>
      </c>
      <c r="S23" s="5">
        <v>-2.0089999999999999</v>
      </c>
      <c r="T23" s="3" t="s">
        <v>2097</v>
      </c>
      <c r="U23" s="3">
        <v>75600526</v>
      </c>
      <c r="V23" s="3">
        <v>149611680</v>
      </c>
      <c r="W23" s="3">
        <v>1.1499999999999999</v>
      </c>
      <c r="X23" s="3">
        <v>0.1</v>
      </c>
      <c r="Y23" s="3">
        <v>-7.49</v>
      </c>
      <c r="Z23" s="3" t="s">
        <v>2098</v>
      </c>
      <c r="AA23" s="3" t="s">
        <v>2099</v>
      </c>
      <c r="AB23" s="3" t="s">
        <v>2100</v>
      </c>
      <c r="AC23" s="3" t="s">
        <v>2101</v>
      </c>
      <c r="AD23" s="3" t="s">
        <v>4</v>
      </c>
      <c r="AE23" s="3">
        <v>-91410</v>
      </c>
      <c r="AF23" s="3" t="s">
        <v>2102</v>
      </c>
      <c r="AG23" s="3" t="s">
        <v>2103</v>
      </c>
      <c r="AH23" s="3" t="s">
        <v>2104</v>
      </c>
      <c r="AI23" s="3" t="s">
        <v>2105</v>
      </c>
      <c r="AJ23" s="3" t="s">
        <v>2106</v>
      </c>
      <c r="AK23" s="3" t="s">
        <v>4</v>
      </c>
      <c r="AL23" s="3" t="s">
        <v>2107</v>
      </c>
      <c r="AM23" s="3" t="s">
        <v>4</v>
      </c>
      <c r="AN23" s="3" t="s">
        <v>2108</v>
      </c>
      <c r="AO23" s="3" t="s">
        <v>4</v>
      </c>
      <c r="AP23" s="3" t="s">
        <v>4</v>
      </c>
      <c r="AQ23" s="3" t="s">
        <v>2109</v>
      </c>
      <c r="AR23" s="3" t="s">
        <v>2110</v>
      </c>
      <c r="AS23" s="3" t="s">
        <v>2111</v>
      </c>
      <c r="AT23" s="3" t="s">
        <v>4</v>
      </c>
      <c r="AU23" s="3" t="s">
        <v>2112</v>
      </c>
      <c r="AV23" s="3" t="s">
        <v>2113</v>
      </c>
      <c r="AW23" s="3" t="s">
        <v>2114</v>
      </c>
      <c r="AX23" s="3" t="s">
        <v>160</v>
      </c>
      <c r="AY23" s="3" t="s">
        <v>722</v>
      </c>
      <c r="AZ23" s="3" t="s">
        <v>175</v>
      </c>
      <c r="BA23" s="3" t="s">
        <v>73</v>
      </c>
      <c r="BB23" s="3" t="s">
        <v>58</v>
      </c>
      <c r="BC23" s="3" t="s">
        <v>1182</v>
      </c>
      <c r="BD23" s="3" t="s">
        <v>730</v>
      </c>
      <c r="BE23" s="3" t="s">
        <v>432</v>
      </c>
      <c r="BF23" s="3" t="s">
        <v>433</v>
      </c>
      <c r="BG23" s="3" t="s">
        <v>434</v>
      </c>
      <c r="BH23" s="3" t="s">
        <v>62</v>
      </c>
      <c r="BI23" s="3" t="s">
        <v>892</v>
      </c>
      <c r="BJ23" s="3" t="s">
        <v>160</v>
      </c>
      <c r="BK23" s="3" t="s">
        <v>2115</v>
      </c>
      <c r="BL23" s="3" t="s">
        <v>1398</v>
      </c>
      <c r="BM23" s="3" t="s">
        <v>1182</v>
      </c>
      <c r="BN23" s="3">
        <v>-0.22</v>
      </c>
      <c r="BO23" s="3" t="s">
        <v>4</v>
      </c>
      <c r="BP23" s="3">
        <v>5.51</v>
      </c>
      <c r="BQ23" s="3">
        <v>0.3</v>
      </c>
      <c r="BR23" s="3">
        <v>-3.55</v>
      </c>
      <c r="BS23" s="3">
        <v>0.06</v>
      </c>
      <c r="BT23" s="3" t="s">
        <v>2116</v>
      </c>
      <c r="BU23" s="3" t="s">
        <v>916</v>
      </c>
      <c r="BV23" s="3">
        <v>34.33</v>
      </c>
      <c r="BW23" s="3">
        <v>31.39</v>
      </c>
      <c r="BX23" s="3">
        <v>36.97</v>
      </c>
      <c r="BY23" s="3">
        <v>-2.4700000000000002</v>
      </c>
      <c r="BZ23" s="3">
        <v>-6.46</v>
      </c>
      <c r="CA23" s="3">
        <v>8.9700000000000006</v>
      </c>
      <c r="CB23" s="3">
        <v>-8.5399999999999991</v>
      </c>
      <c r="CC23" s="3">
        <v>-5.39</v>
      </c>
      <c r="CD23" s="3" t="s">
        <v>2117</v>
      </c>
      <c r="CE23" s="3" t="s">
        <v>59</v>
      </c>
      <c r="CF23" s="10">
        <v>-0.56775148514851481</v>
      </c>
      <c r="CG23" s="11">
        <v>-0.47505277878022373</v>
      </c>
      <c r="CH23" s="10">
        <v>-0.80682694911956787</v>
      </c>
      <c r="CI23" s="10">
        <v>-0.21799308061599731</v>
      </c>
      <c r="CJ23" s="10">
        <v>8.6466163396835327E-2</v>
      </c>
      <c r="CK23" s="10">
        <v>-3.2727271318435669E-2</v>
      </c>
      <c r="CL23" s="10">
        <v>2.9962547123432159E-2</v>
      </c>
      <c r="CM23" s="11">
        <v>0.77644306421279907</v>
      </c>
      <c r="CN23" s="11">
        <v>-1.5635493993759155</v>
      </c>
      <c r="CO23" s="11">
        <v>-0.15273801982402802</v>
      </c>
      <c r="CP23" s="11">
        <v>0.17099639773368835</v>
      </c>
      <c r="CQ23" s="11">
        <v>-7.3191121220588684E-2</v>
      </c>
      <c r="CR23" s="3">
        <v>118.81775675832476</v>
      </c>
      <c r="CS23" s="3">
        <v>6.3125815361345721</v>
      </c>
      <c r="CT23" s="3">
        <v>0.55194805194805197</v>
      </c>
      <c r="CU23" s="10">
        <v>-0.18822371810674668</v>
      </c>
      <c r="CV23" s="11">
        <v>-0.16840781569480895</v>
      </c>
      <c r="CW23" s="3">
        <v>0.06</v>
      </c>
      <c r="CX23" s="3" t="e">
        <v>#VALUE!</v>
      </c>
      <c r="CY23" s="3" t="s">
        <v>855</v>
      </c>
      <c r="CZ23" s="3">
        <v>-0.18822371810674668</v>
      </c>
      <c r="DA23" s="3" t="e">
        <v>#VALUE!</v>
      </c>
      <c r="DB23" s="3" t="s">
        <v>853</v>
      </c>
      <c r="DC23" s="3">
        <v>-0.17881253220140933</v>
      </c>
      <c r="DD23" s="3" t="e">
        <v>#VALUE!</v>
      </c>
      <c r="DE23" s="3" t="s">
        <v>853</v>
      </c>
      <c r="DF23" s="3">
        <v>-0.16563687193393709</v>
      </c>
      <c r="DG23" s="3" t="e">
        <v>#VALUE!</v>
      </c>
      <c r="DH23" s="3" t="s">
        <v>853</v>
      </c>
      <c r="DI23" s="3">
        <v>-0.15057897448539737</v>
      </c>
      <c r="DJ23" s="3" t="e">
        <v>#VALUE!</v>
      </c>
      <c r="DK23" s="3" t="s">
        <v>853</v>
      </c>
      <c r="DL23" s="3">
        <v>-0.13175660267472267</v>
      </c>
      <c r="DM23" s="3">
        <v>-3269900</v>
      </c>
      <c r="DN23" s="3">
        <v>-0.18822371810674668</v>
      </c>
      <c r="DO23" s="3">
        <v>1517100500</v>
      </c>
      <c r="DP23" s="3">
        <v>221072750</v>
      </c>
      <c r="DQ23" s="3">
        <v>1355</v>
      </c>
      <c r="DR23" s="3">
        <v>-0.37952776704176816</v>
      </c>
      <c r="DS23" s="3">
        <v>-0.30664496308541478</v>
      </c>
      <c r="DT23" s="12">
        <v>-0.92333333333333334</v>
      </c>
      <c r="DU23" s="3">
        <v>-1.4950000000000001</v>
      </c>
      <c r="DV23" s="3">
        <v>-2.4183333333333334</v>
      </c>
      <c r="DW23" s="3">
        <v>-5.6311475409836067</v>
      </c>
      <c r="DX23" s="3">
        <v>0.32429414893617065</v>
      </c>
      <c r="DY23" s="3">
        <v>-5.08475942186955</v>
      </c>
      <c r="DZ23" s="3">
        <v>4579</v>
      </c>
      <c r="EA23" s="3">
        <v>-5.0088076816071885</v>
      </c>
      <c r="EB23" s="3">
        <v>5</v>
      </c>
      <c r="EC23" s="3">
        <v>0.16875219902617228</v>
      </c>
      <c r="ED23" s="3">
        <v>1.2565863841646587</v>
      </c>
      <c r="EE23" s="13">
        <v>3.0333000000000001</v>
      </c>
      <c r="EF23" s="3">
        <v>3.0488</v>
      </c>
      <c r="EG23" s="3">
        <v>19.134294148936171</v>
      </c>
      <c r="EH23" s="3" t="s">
        <v>1587</v>
      </c>
      <c r="EI23" s="3">
        <v>0</v>
      </c>
      <c r="EJ23" s="3">
        <v>0</v>
      </c>
      <c r="EK23" s="15">
        <v>45470</v>
      </c>
      <c r="EL23" s="16">
        <v>-1.34</v>
      </c>
      <c r="EM23" s="16">
        <v>-5.85</v>
      </c>
      <c r="EN23" s="16">
        <v>-0.09</v>
      </c>
      <c r="EO23" s="16">
        <v>9.9700000000000006</v>
      </c>
      <c r="EP23" s="16">
        <v>1.55</v>
      </c>
    </row>
    <row r="24" spans="1:146" ht="228" x14ac:dyDescent="0.25">
      <c r="A24" s="7" t="s">
        <v>1110</v>
      </c>
      <c r="B24" s="7" t="s">
        <v>1109</v>
      </c>
      <c r="C24" s="7" t="str">
        <f>"公司主要为客户提供智能控制部件、创新消费电子等产品的研发、生产，并为中小型企业提供智能制造解决方案。主要产品有空气净化器、植物种植器、加湿器等健康环境产品以及电子防眩镜、座椅记忆模块、天窗控制模块等汽车电子产品。"&amp;CHAR(10)&amp;Basic_Fundamental_Information_Constructure(F24)&amp;CHAR(10)&amp;Basic_Fundamental_Information_Concatenate("（境外占比85%）
创新消费电子产品 12.51亿 54.70% 60.11% 25.34%
智能控制部件 4.81亿 21.01% 25.70% 28.21%
其他 1.86亿 8.14%
健康环境产品 1.58亿 6.89% 7.13% 23.86%
汽车电子产品 1.52亿 6.64%
技术研发服务 6009.59万 2.63% 7.05% 61.87%")</f>
        <v>公司主要为客户提供智能控制部件、创新消费电子等产品的研发、生产，并为中小型企业提供智能制造解决方案。主要产品有空气净化器、植物种植器、加湿器等健康环境产品以及电子防眩镜、座椅记忆模块、天窗控制模块等汽车电子产品。
市值92.47776亿, 利润5561.18万; PE21.71; 平均PE11.92; 平均PEG5.21, PB1.84; ROIC11.5133%; ROE13.6833%; 股利率3.8819%; 毛利29.7%; 净利14.9%; 上一年度营收增-82.42%, 利润增-91.98%; 当季营收增-58.57%, 利润增-72.61%; 过往5年营收增-2.29%, 利润增-19.41%
Income profile:
（境外占比85%）
创新消费电子产品 12.51亿 54.70% 60.11% 25.34%
智能控制部件 4.81亿 21.01% 25.70% 28.21%
其他 1.86亿 8.14%
健康环境产品 1.58亿 6.89% 7.13% 23.86%
汽车电子产品 1.52亿 6.64%
技术研发服务 6009.59万 2.63% 7.05% 61.87%</v>
      </c>
      <c r="D24" s="3" t="s">
        <v>436</v>
      </c>
      <c r="E24" s="3" t="s">
        <v>437</v>
      </c>
      <c r="F24" s="3">
        <v>11.85</v>
      </c>
      <c r="G24" s="3">
        <v>-0.67</v>
      </c>
      <c r="H24" s="3" t="s">
        <v>2118</v>
      </c>
      <c r="I24" s="3">
        <v>9247776000</v>
      </c>
      <c r="J24" s="3">
        <v>21.71</v>
      </c>
      <c r="K24" s="3">
        <v>1.84</v>
      </c>
      <c r="L24" s="3" t="s">
        <v>285</v>
      </c>
      <c r="M24" s="3" t="s">
        <v>2119</v>
      </c>
      <c r="N24" s="3" t="s">
        <v>2120</v>
      </c>
      <c r="O24" s="3" t="s">
        <v>2121</v>
      </c>
      <c r="P24" s="3">
        <v>-12.3</v>
      </c>
      <c r="Q24" s="3" t="s">
        <v>2121</v>
      </c>
      <c r="R24" s="3">
        <v>55611763</v>
      </c>
      <c r="S24" s="5">
        <v>-0.30630000000000002</v>
      </c>
      <c r="T24" s="3" t="s">
        <v>2122</v>
      </c>
      <c r="U24" s="3">
        <v>736232290</v>
      </c>
      <c r="V24" s="3">
        <v>780403040</v>
      </c>
      <c r="W24" s="3">
        <v>1.38</v>
      </c>
      <c r="X24" s="3">
        <v>0.1</v>
      </c>
      <c r="Y24" s="3">
        <v>7.38</v>
      </c>
      <c r="Z24" s="3" t="s">
        <v>1913</v>
      </c>
      <c r="AA24" s="3" t="s">
        <v>134</v>
      </c>
      <c r="AB24" s="3" t="s">
        <v>2123</v>
      </c>
      <c r="AC24" s="3" t="s">
        <v>2124</v>
      </c>
      <c r="AD24" s="3" t="s">
        <v>4</v>
      </c>
      <c r="AE24" s="3">
        <v>-6864338</v>
      </c>
      <c r="AF24" s="3" t="s">
        <v>2125</v>
      </c>
      <c r="AG24" s="3" t="s">
        <v>2126</v>
      </c>
      <c r="AH24" s="3" t="s">
        <v>2127</v>
      </c>
      <c r="AI24" s="3" t="s">
        <v>1414</v>
      </c>
      <c r="AJ24" s="3" t="s">
        <v>2128</v>
      </c>
      <c r="AK24" s="3" t="s">
        <v>2129</v>
      </c>
      <c r="AL24" s="3" t="s">
        <v>2130</v>
      </c>
      <c r="AM24" s="3" t="s">
        <v>4</v>
      </c>
      <c r="AN24" s="3" t="s">
        <v>1300</v>
      </c>
      <c r="AO24" s="3" t="s">
        <v>2131</v>
      </c>
      <c r="AP24" s="3" t="s">
        <v>2132</v>
      </c>
      <c r="AQ24" s="3" t="s">
        <v>1479</v>
      </c>
      <c r="AR24" s="3" t="s">
        <v>2133</v>
      </c>
      <c r="AS24" s="3" t="s">
        <v>1101</v>
      </c>
      <c r="AT24" s="3" t="s">
        <v>43</v>
      </c>
      <c r="AU24" s="3" t="s">
        <v>67</v>
      </c>
      <c r="AV24" s="3" t="s">
        <v>42</v>
      </c>
      <c r="AW24" s="3" t="s">
        <v>2134</v>
      </c>
      <c r="AX24" s="3" t="s">
        <v>1184</v>
      </c>
      <c r="AY24" s="3" t="s">
        <v>899</v>
      </c>
      <c r="AZ24" s="3" t="s">
        <v>732</v>
      </c>
      <c r="BA24" s="3" t="s">
        <v>438</v>
      </c>
      <c r="BB24" s="3" t="s">
        <v>399</v>
      </c>
      <c r="BC24" s="3" t="s">
        <v>1061</v>
      </c>
      <c r="BD24" s="3" t="s">
        <v>731</v>
      </c>
      <c r="BE24" s="3" t="s">
        <v>261</v>
      </c>
      <c r="BF24" s="3" t="s">
        <v>440</v>
      </c>
      <c r="BG24" s="3" t="s">
        <v>441</v>
      </c>
      <c r="BH24" s="3" t="s">
        <v>2135</v>
      </c>
      <c r="BI24" s="3" t="s">
        <v>1183</v>
      </c>
      <c r="BJ24" s="3" t="s">
        <v>1184</v>
      </c>
      <c r="BK24" s="3" t="s">
        <v>1133</v>
      </c>
      <c r="BL24" s="3" t="s">
        <v>370</v>
      </c>
      <c r="BM24" s="3" t="s">
        <v>1061</v>
      </c>
      <c r="BN24" s="3">
        <v>5.39</v>
      </c>
      <c r="BO24" s="3">
        <v>11.04</v>
      </c>
      <c r="BP24" s="3">
        <v>18.11</v>
      </c>
      <c r="BQ24" s="3">
        <v>6.43</v>
      </c>
      <c r="BR24" s="3">
        <v>13.02</v>
      </c>
      <c r="BS24" s="3">
        <v>21.6</v>
      </c>
      <c r="BT24" s="3" t="s">
        <v>2136</v>
      </c>
      <c r="BU24" s="3" t="s">
        <v>841</v>
      </c>
      <c r="BV24" s="3">
        <v>30.7</v>
      </c>
      <c r="BW24" s="3">
        <v>30.43</v>
      </c>
      <c r="BX24" s="3">
        <v>27.97</v>
      </c>
      <c r="BY24" s="3">
        <v>12.46</v>
      </c>
      <c r="BZ24" s="3">
        <v>16.3</v>
      </c>
      <c r="CA24" s="3">
        <v>15.94</v>
      </c>
      <c r="CB24" s="3">
        <v>-6.47</v>
      </c>
      <c r="CC24" s="3">
        <v>-8.07</v>
      </c>
      <c r="CD24" s="3" t="s">
        <v>2137</v>
      </c>
      <c r="CE24" s="3" t="s">
        <v>32</v>
      </c>
      <c r="CF24" s="10">
        <v>-0.58568329718004342</v>
      </c>
      <c r="CG24" s="11">
        <v>-0.72605042857142854</v>
      </c>
      <c r="CH24" s="10">
        <v>-0.8241657018661499</v>
      </c>
      <c r="CI24" s="10">
        <v>-0.38464808464050293</v>
      </c>
      <c r="CJ24" s="10">
        <v>0.32800450921058655</v>
      </c>
      <c r="CK24" s="10">
        <v>0.37960562109947205</v>
      </c>
      <c r="CL24" s="10">
        <v>0.38682982325553894</v>
      </c>
      <c r="CM24" s="11">
        <v>-0.91975212097167969</v>
      </c>
      <c r="CN24" s="11">
        <v>-0.36596518754959106</v>
      </c>
      <c r="CO24" s="11">
        <v>6.6341400146484375E-2</v>
      </c>
      <c r="CP24" s="11">
        <v>5.3442958742380142E-2</v>
      </c>
      <c r="CQ24" s="11">
        <v>0.19533169269561768</v>
      </c>
      <c r="CR24" s="3">
        <v>11.923352953505921</v>
      </c>
      <c r="CS24" s="3">
        <v>5.2124479205181684</v>
      </c>
      <c r="CT24" s="3">
        <v>3.8818565400843879</v>
      </c>
      <c r="CU24" s="10">
        <v>-2.2874766588211061E-2</v>
      </c>
      <c r="CV24" s="11">
        <v>-0.19412025138735772</v>
      </c>
      <c r="CW24" s="3">
        <v>0.06</v>
      </c>
      <c r="CX24" s="3">
        <v>110.04455888858121</v>
      </c>
      <c r="CY24" s="3" t="s">
        <v>2138</v>
      </c>
      <c r="CZ24" s="3">
        <v>-2.2874766588211061E-2</v>
      </c>
      <c r="DA24" s="3">
        <v>36.681519629527067</v>
      </c>
      <c r="DB24" s="3" t="s">
        <v>2139</v>
      </c>
      <c r="DC24" s="3">
        <v>-2.1731028258800508E-2</v>
      </c>
      <c r="DD24" s="3">
        <v>18.340759814763533</v>
      </c>
      <c r="DE24" s="3" t="s">
        <v>2140</v>
      </c>
      <c r="DF24" s="3">
        <v>-2.0129794597625733E-2</v>
      </c>
      <c r="DG24" s="3">
        <v>11.00445588885812</v>
      </c>
      <c r="DH24" s="3" t="s">
        <v>2141</v>
      </c>
      <c r="DI24" s="3">
        <v>-1.829981327056885E-2</v>
      </c>
      <c r="DJ24" s="3">
        <v>5.5022279444290598</v>
      </c>
      <c r="DK24" s="3" t="s">
        <v>2142</v>
      </c>
      <c r="DL24" s="3">
        <v>-1.6012336611747741E-2</v>
      </c>
      <c r="DM24" s="3">
        <v>55611800</v>
      </c>
      <c r="DN24" s="3">
        <v>-2.2874766588211061E-2</v>
      </c>
      <c r="DO24" s="3">
        <v>6119776000</v>
      </c>
      <c r="DP24" s="3">
        <v>2450818000</v>
      </c>
      <c r="DQ24" s="3">
        <v>1388</v>
      </c>
      <c r="DR24" s="3">
        <v>-0.56280853059183233</v>
      </c>
      <c r="DS24" s="3">
        <v>-0.53193017718407076</v>
      </c>
      <c r="DT24" s="12">
        <v>-0.57333333333333336</v>
      </c>
      <c r="DU24" s="3">
        <v>-0.82333333333333325</v>
      </c>
      <c r="DV24" s="3">
        <v>-1.3966666666666665</v>
      </c>
      <c r="DW24" s="3">
        <v>-9.8017348203221815</v>
      </c>
      <c r="DX24" s="3">
        <v>0.32029312169312291</v>
      </c>
      <c r="DY24" s="3">
        <v>-9.1124778807130724</v>
      </c>
      <c r="DZ24" s="3">
        <v>3167</v>
      </c>
      <c r="EA24" s="3">
        <v>-9.0427680082633071</v>
      </c>
      <c r="EB24" s="3">
        <v>9</v>
      </c>
      <c r="EC24" s="3">
        <v>3.397654627280796E-2</v>
      </c>
      <c r="ED24" s="3">
        <v>0.24218255223608559</v>
      </c>
      <c r="EE24" s="13">
        <v>-1.0506</v>
      </c>
      <c r="EF24" s="3">
        <v>-1.0357000000000001</v>
      </c>
      <c r="EG24" s="3">
        <v>18.140293121693123</v>
      </c>
      <c r="EH24" s="3" t="s">
        <v>1107</v>
      </c>
      <c r="EI24" s="3">
        <v>0</v>
      </c>
      <c r="EJ24" s="3">
        <v>0</v>
      </c>
      <c r="EK24" s="15">
        <v>45470</v>
      </c>
      <c r="EL24" s="16">
        <v>1.69</v>
      </c>
      <c r="EM24" s="16">
        <v>-3.95</v>
      </c>
      <c r="EN24" s="16">
        <v>-1.48</v>
      </c>
      <c r="EO24" s="16">
        <v>6.34</v>
      </c>
      <c r="EP24" s="16">
        <v>-1.49</v>
      </c>
    </row>
    <row r="25" spans="1:146" ht="96" x14ac:dyDescent="0.25">
      <c r="C25" s="7" t="str">
        <f>""&amp;CHAR(10)&amp;Basic_Fundamental_Information_Constructure(F25)&amp;CHAR(10)&amp;Basic_Fundamental_Information_Concatenate("")</f>
        <v xml:space="preserve">
市值65.243574亿, 利润7258.38万; PE22.67; 平均PE50.21; 平均PEG31.26, PB4.39; ROIC13.2567%; ROE14.77%; 股利率1.3692%; 毛利25.85%; 净利11.5533%; 上一年度营收增-71.7%, 利润增-66.86%; 当季营收增-48.35%, 利润增-37.43%; 过往5年营收增-1.61%, 利润增6.68%
Income profile:
</v>
      </c>
      <c r="D25" s="3" t="s">
        <v>443</v>
      </c>
      <c r="E25" s="3" t="s">
        <v>444</v>
      </c>
      <c r="F25" s="3">
        <v>21.91</v>
      </c>
      <c r="G25" s="3">
        <v>0.83</v>
      </c>
      <c r="H25" s="3" t="s">
        <v>2143</v>
      </c>
      <c r="I25" s="3">
        <v>6524357400</v>
      </c>
      <c r="J25" s="3">
        <v>22.67</v>
      </c>
      <c r="K25" s="3">
        <v>4.3899999999999997</v>
      </c>
      <c r="L25" s="3" t="s">
        <v>285</v>
      </c>
      <c r="M25" s="3" t="s">
        <v>1920</v>
      </c>
      <c r="N25" s="3" t="s">
        <v>536</v>
      </c>
      <c r="O25" s="3" t="s">
        <v>635</v>
      </c>
      <c r="P25" s="3">
        <v>4.0599999999999996</v>
      </c>
      <c r="Q25" s="3" t="s">
        <v>635</v>
      </c>
      <c r="R25" s="3">
        <v>72583842</v>
      </c>
      <c r="S25" s="5">
        <v>0.40129999999999999</v>
      </c>
      <c r="T25" s="3" t="s">
        <v>2144</v>
      </c>
      <c r="U25" s="3">
        <v>296780870</v>
      </c>
      <c r="V25" s="3">
        <v>297779890</v>
      </c>
      <c r="W25" s="3">
        <v>1.55</v>
      </c>
      <c r="X25" s="3">
        <v>0.2</v>
      </c>
      <c r="Y25" s="3">
        <v>14.5</v>
      </c>
      <c r="Z25" s="3" t="s">
        <v>1470</v>
      </c>
      <c r="AA25" s="3" t="s">
        <v>180</v>
      </c>
      <c r="AB25" s="3" t="s">
        <v>2145</v>
      </c>
      <c r="AC25" s="3" t="s">
        <v>2146</v>
      </c>
      <c r="AD25" s="3" t="s">
        <v>4</v>
      </c>
      <c r="AE25" s="3">
        <v>-8765786</v>
      </c>
      <c r="AF25" s="3" t="s">
        <v>2147</v>
      </c>
      <c r="AG25" s="3">
        <v>7453.13</v>
      </c>
      <c r="AH25" s="3" t="s">
        <v>2148</v>
      </c>
      <c r="AI25" s="3" t="s">
        <v>1064</v>
      </c>
      <c r="AJ25" s="3" t="s">
        <v>2149</v>
      </c>
      <c r="AK25" s="3" t="s">
        <v>4</v>
      </c>
      <c r="AL25" s="3" t="s">
        <v>2150</v>
      </c>
      <c r="AM25" s="3" t="s">
        <v>4</v>
      </c>
      <c r="AN25" s="3" t="s">
        <v>133</v>
      </c>
      <c r="AO25" s="3" t="s">
        <v>4</v>
      </c>
      <c r="AP25" s="3" t="s">
        <v>2151</v>
      </c>
      <c r="AQ25" s="3" t="s">
        <v>117</v>
      </c>
      <c r="AR25" s="3" t="s">
        <v>4</v>
      </c>
      <c r="AS25" s="3" t="s">
        <v>2152</v>
      </c>
      <c r="AT25" s="3" t="s">
        <v>4</v>
      </c>
      <c r="AU25" s="3" t="s">
        <v>2153</v>
      </c>
      <c r="AV25" s="3" t="s">
        <v>2154</v>
      </c>
      <c r="AW25" s="3" t="s">
        <v>2155</v>
      </c>
      <c r="AX25" s="3" t="s">
        <v>1185</v>
      </c>
      <c r="AY25" s="3" t="s">
        <v>900</v>
      </c>
      <c r="AZ25" s="3" t="s">
        <v>270</v>
      </c>
      <c r="BA25" s="3" t="s">
        <v>223</v>
      </c>
      <c r="BB25" s="3" t="s">
        <v>249</v>
      </c>
      <c r="BC25" s="3" t="s">
        <v>138</v>
      </c>
      <c r="BD25" s="3" t="s">
        <v>435</v>
      </c>
      <c r="BE25" s="3" t="s">
        <v>55</v>
      </c>
      <c r="BF25" s="3" t="s">
        <v>79</v>
      </c>
      <c r="BG25" s="3" t="s">
        <v>95</v>
      </c>
      <c r="BH25" s="3" t="s">
        <v>1495</v>
      </c>
      <c r="BI25" s="3" t="s">
        <v>1039</v>
      </c>
      <c r="BJ25" s="3" t="s">
        <v>1185</v>
      </c>
      <c r="BK25" s="3" t="s">
        <v>58</v>
      </c>
      <c r="BL25" s="3" t="s">
        <v>27</v>
      </c>
      <c r="BM25" s="3" t="s">
        <v>138</v>
      </c>
      <c r="BN25" s="3">
        <v>11.2</v>
      </c>
      <c r="BO25" s="3">
        <v>18.010000000000002</v>
      </c>
      <c r="BP25" s="3">
        <v>10.56</v>
      </c>
      <c r="BQ25" s="3">
        <v>14.15</v>
      </c>
      <c r="BR25" s="3">
        <v>19.04</v>
      </c>
      <c r="BS25" s="3">
        <v>11.12</v>
      </c>
      <c r="BT25" s="3" t="s">
        <v>1065</v>
      </c>
      <c r="BU25" s="3" t="s">
        <v>841</v>
      </c>
      <c r="BV25" s="3">
        <v>26.91</v>
      </c>
      <c r="BW25" s="3">
        <v>26.35</v>
      </c>
      <c r="BX25" s="3">
        <v>24.29</v>
      </c>
      <c r="BY25" s="3">
        <v>13.28</v>
      </c>
      <c r="BZ25" s="3">
        <v>12.32</v>
      </c>
      <c r="CA25" s="3">
        <v>9.06</v>
      </c>
      <c r="CB25" s="3">
        <v>-6.01</v>
      </c>
      <c r="CC25" s="3">
        <v>3.4</v>
      </c>
      <c r="CD25" s="3" t="s">
        <v>2156</v>
      </c>
      <c r="CE25" s="3" t="s">
        <v>80</v>
      </c>
      <c r="CF25" s="10">
        <v>-0.48347107438016529</v>
      </c>
      <c r="CG25" s="11">
        <v>-0.37427722413793096</v>
      </c>
      <c r="CH25" s="10">
        <v>-0.71703451871871948</v>
      </c>
      <c r="CI25" s="10">
        <v>0.41134190559387207</v>
      </c>
      <c r="CJ25" s="10">
        <v>0.20384615659713745</v>
      </c>
      <c r="CK25" s="10">
        <v>1.6617791727185249E-2</v>
      </c>
      <c r="CL25" s="10">
        <v>4.9115912988781929E-3</v>
      </c>
      <c r="CM25" s="11">
        <v>-0.66856706142425537</v>
      </c>
      <c r="CN25" s="11">
        <v>0.93805307149887085</v>
      </c>
      <c r="CO25" s="11">
        <v>-0.11023622006177902</v>
      </c>
      <c r="CP25" s="11">
        <v>-7.9710148274898529E-2</v>
      </c>
      <c r="CQ25" s="11">
        <v>0.25454545021057129</v>
      </c>
      <c r="CR25" s="3">
        <v>50.214158375276654</v>
      </c>
      <c r="CS25" s="3">
        <v>31.259952701244309</v>
      </c>
      <c r="CT25" s="3">
        <v>1.3692377909630307</v>
      </c>
      <c r="CU25" s="10">
        <v>-1.6063414700329303E-2</v>
      </c>
      <c r="CV25" s="11">
        <v>6.6817018389701846E-2</v>
      </c>
      <c r="CW25" s="3">
        <v>0.06</v>
      </c>
      <c r="CX25" s="3">
        <v>82.089356027102468</v>
      </c>
      <c r="CY25" s="3" t="s">
        <v>2157</v>
      </c>
      <c r="CZ25" s="3">
        <v>-1.6063414700329303E-2</v>
      </c>
      <c r="DA25" s="3">
        <v>27.363118675700822</v>
      </c>
      <c r="DB25" s="3" t="s">
        <v>2158</v>
      </c>
      <c r="DC25" s="3">
        <v>-1.5260243965312836E-2</v>
      </c>
      <c r="DD25" s="3">
        <v>13.681559337850411</v>
      </c>
      <c r="DE25" s="3" t="s">
        <v>2159</v>
      </c>
      <c r="DF25" s="3">
        <v>-1.4135804936289787E-2</v>
      </c>
      <c r="DG25" s="3">
        <v>8.2089356027102465</v>
      </c>
      <c r="DH25" s="3" t="s">
        <v>2160</v>
      </c>
      <c r="DI25" s="3">
        <v>-1.2850731760263443E-2</v>
      </c>
      <c r="DJ25" s="3">
        <v>4.1044678013551232</v>
      </c>
      <c r="DK25" s="3" t="s">
        <v>2161</v>
      </c>
      <c r="DL25" s="3">
        <v>-1.1244390290230511E-2</v>
      </c>
      <c r="DM25" s="3">
        <v>72583800</v>
      </c>
      <c r="DN25" s="3">
        <v>-1.6063414700329303E-2</v>
      </c>
      <c r="DO25" s="3">
        <v>5958357400</v>
      </c>
      <c r="DP25" s="3">
        <v>961879400</v>
      </c>
      <c r="DQ25" s="3">
        <v>1399</v>
      </c>
      <c r="DR25" s="3">
        <v>-0.467407659679836</v>
      </c>
      <c r="DS25" s="3">
        <v>-0.4410942425276328</v>
      </c>
      <c r="DT25" s="12">
        <v>-0.49</v>
      </c>
      <c r="DU25" s="3">
        <v>-0.15333333333333335</v>
      </c>
      <c r="DV25" s="3">
        <v>-0.64333333333333331</v>
      </c>
      <c r="DW25" s="3">
        <v>-5.565723793677205</v>
      </c>
      <c r="DX25" s="3">
        <v>0.36784142011834248</v>
      </c>
      <c r="DY25" s="3">
        <v>-5.1062663607990624</v>
      </c>
      <c r="DZ25" s="3">
        <v>535</v>
      </c>
      <c r="EA25" s="3">
        <v>-5.0951406263514114</v>
      </c>
      <c r="EB25" s="3">
        <v>5</v>
      </c>
      <c r="EC25" s="3">
        <v>0.10660625873694829</v>
      </c>
      <c r="ED25" s="3">
        <v>0.56753328775828349</v>
      </c>
      <c r="EE25" s="13">
        <v>-3.0085999999999999</v>
      </c>
      <c r="EF25" s="3">
        <v>-3.0275099999999999</v>
      </c>
      <c r="EG25" s="3">
        <v>18.187841420118342</v>
      </c>
      <c r="EH25" s="3" t="s">
        <v>1639</v>
      </c>
      <c r="EI25" s="3">
        <v>0</v>
      </c>
      <c r="EJ25" s="3">
        <v>1</v>
      </c>
      <c r="EK25" s="15">
        <v>45470</v>
      </c>
      <c r="EL25" s="16">
        <v>1.68</v>
      </c>
      <c r="EM25" s="16">
        <v>0.98</v>
      </c>
      <c r="EN25" s="16">
        <v>-1.46</v>
      </c>
      <c r="EO25" s="16">
        <v>4.54</v>
      </c>
      <c r="EP25" s="16">
        <v>-3.61</v>
      </c>
    </row>
    <row r="26" spans="1:146" ht="96" x14ac:dyDescent="0.25">
      <c r="C26" s="7" t="str">
        <f>""&amp;CHAR(10)&amp;Basic_Fundamental_Information_Constructure(F26)&amp;CHAR(10)&amp;Basic_Fundamental_Information_Concatenate("")</f>
        <v xml:space="preserve">
市值79.271156亿, 利润7040.55万; PE25.56; 平均PE68.77; 平均PEG5.15, PB3.71; ROIC7.2933%; ROE7.7533%; 股利率1.4518%; 毛利29.4067%; 净利10.1933%; 上一年度营收增-72.55%, 利润增-63.52%; 当季营收增-36.28%, 利润增-25.63%; 过往5年营收增13.35%, 利润增75.72%
Income profile:
</v>
      </c>
      <c r="D26" s="3" t="s">
        <v>446</v>
      </c>
      <c r="E26" s="3" t="s">
        <v>447</v>
      </c>
      <c r="F26" s="3">
        <v>34.44</v>
      </c>
      <c r="G26" s="3">
        <v>-0.03</v>
      </c>
      <c r="H26" s="3" t="s">
        <v>2162</v>
      </c>
      <c r="I26" s="3">
        <v>7927115600</v>
      </c>
      <c r="J26" s="3">
        <v>25.56</v>
      </c>
      <c r="K26" s="3">
        <v>3.71</v>
      </c>
      <c r="L26" s="3" t="s">
        <v>285</v>
      </c>
      <c r="M26" s="3" t="s">
        <v>1437</v>
      </c>
      <c r="N26" s="3" t="s">
        <v>2163</v>
      </c>
      <c r="O26" s="3" t="s">
        <v>1094</v>
      </c>
      <c r="P26" s="3">
        <v>22.18</v>
      </c>
      <c r="Q26" s="3" t="s">
        <v>1094</v>
      </c>
      <c r="R26" s="3">
        <v>70405535</v>
      </c>
      <c r="S26" s="5">
        <v>0.6915</v>
      </c>
      <c r="T26" s="3" t="s">
        <v>2164</v>
      </c>
      <c r="U26" s="3">
        <v>161542540</v>
      </c>
      <c r="V26" s="3">
        <v>230171770</v>
      </c>
      <c r="W26" s="3">
        <v>1.26</v>
      </c>
      <c r="X26" s="3">
        <v>0.15</v>
      </c>
      <c r="Y26" s="3">
        <v>16.71</v>
      </c>
      <c r="Z26" s="3" t="s">
        <v>159</v>
      </c>
      <c r="AA26" s="3" t="s">
        <v>49</v>
      </c>
      <c r="AB26" s="3" t="s">
        <v>2165</v>
      </c>
      <c r="AC26" s="3" t="s">
        <v>2166</v>
      </c>
      <c r="AD26" s="3" t="s">
        <v>4</v>
      </c>
      <c r="AE26" s="3">
        <v>-4333685</v>
      </c>
      <c r="AF26" s="3" t="s">
        <v>2167</v>
      </c>
      <c r="AG26" s="3" t="s">
        <v>4</v>
      </c>
      <c r="AH26" s="3" t="s">
        <v>2168</v>
      </c>
      <c r="AI26" s="3" t="s">
        <v>1175</v>
      </c>
      <c r="AJ26" s="3" t="s">
        <v>2169</v>
      </c>
      <c r="AK26" s="3" t="s">
        <v>2170</v>
      </c>
      <c r="AL26" s="3" t="s">
        <v>2171</v>
      </c>
      <c r="AM26" s="3" t="s">
        <v>4</v>
      </c>
      <c r="AN26" s="3" t="s">
        <v>2172</v>
      </c>
      <c r="AO26" s="3" t="s">
        <v>2173</v>
      </c>
      <c r="AP26" s="3" t="s">
        <v>2174</v>
      </c>
      <c r="AQ26" s="3" t="s">
        <v>1566</v>
      </c>
      <c r="AR26" s="3" t="s">
        <v>4</v>
      </c>
      <c r="AS26" s="3" t="s">
        <v>2175</v>
      </c>
      <c r="AT26" s="3" t="s">
        <v>2176</v>
      </c>
      <c r="AU26" s="3" t="s">
        <v>1114</v>
      </c>
      <c r="AV26" s="3" t="s">
        <v>2177</v>
      </c>
      <c r="AW26" s="3" t="s">
        <v>2178</v>
      </c>
      <c r="AX26" s="3" t="s">
        <v>1188</v>
      </c>
      <c r="AY26" s="3" t="s">
        <v>121</v>
      </c>
      <c r="AZ26" s="3" t="s">
        <v>448</v>
      </c>
      <c r="BA26" s="3" t="s">
        <v>204</v>
      </c>
      <c r="BB26" s="3" t="s">
        <v>91</v>
      </c>
      <c r="BC26" s="3" t="s">
        <v>106</v>
      </c>
      <c r="BD26" s="3" t="s">
        <v>733</v>
      </c>
      <c r="BE26" s="3" t="s">
        <v>24</v>
      </c>
      <c r="BF26" s="3" t="s">
        <v>36</v>
      </c>
      <c r="BG26" s="3" t="s">
        <v>60</v>
      </c>
      <c r="BH26" s="3" t="s">
        <v>1574</v>
      </c>
      <c r="BI26" s="3" t="s">
        <v>1187</v>
      </c>
      <c r="BJ26" s="3" t="s">
        <v>1188</v>
      </c>
      <c r="BK26" s="3" t="s">
        <v>192</v>
      </c>
      <c r="BL26" s="3" t="s">
        <v>1401</v>
      </c>
      <c r="BM26" s="3" t="s">
        <v>106</v>
      </c>
      <c r="BN26" s="3">
        <v>9.4700000000000006</v>
      </c>
      <c r="BO26" s="3">
        <v>10.54</v>
      </c>
      <c r="BP26" s="3">
        <v>1.87</v>
      </c>
      <c r="BQ26" s="3">
        <v>10.16</v>
      </c>
      <c r="BR26" s="3">
        <v>10.91</v>
      </c>
      <c r="BS26" s="3">
        <v>2.19</v>
      </c>
      <c r="BT26" s="3" t="s">
        <v>1071</v>
      </c>
      <c r="BU26" s="3" t="s">
        <v>841</v>
      </c>
      <c r="BV26" s="3">
        <v>30.41</v>
      </c>
      <c r="BW26" s="3">
        <v>31.01</v>
      </c>
      <c r="BX26" s="3">
        <v>26.8</v>
      </c>
      <c r="BY26" s="3">
        <v>15.49</v>
      </c>
      <c r="BZ26" s="3">
        <v>12.45</v>
      </c>
      <c r="CA26" s="3">
        <v>2.64</v>
      </c>
      <c r="CB26" s="3">
        <v>-2.16</v>
      </c>
      <c r="CC26" s="3">
        <v>11.31</v>
      </c>
      <c r="CD26" s="3" t="s">
        <v>2179</v>
      </c>
      <c r="CE26" s="3" t="s">
        <v>76</v>
      </c>
      <c r="CF26" s="10">
        <v>-0.36281859070464767</v>
      </c>
      <c r="CG26" s="11">
        <v>-0.25627117981611058</v>
      </c>
      <c r="CH26" s="10">
        <v>-0.7254522442817688</v>
      </c>
      <c r="CI26" s="10">
        <v>0.36991149187088013</v>
      </c>
      <c r="CJ26" s="10">
        <v>0.75465840101242065</v>
      </c>
      <c r="CK26" s="10">
        <v>0.10085470229387283</v>
      </c>
      <c r="CL26" s="10">
        <v>0.16766467690467834</v>
      </c>
      <c r="CM26" s="11">
        <v>-0.63520461320877075</v>
      </c>
      <c r="CN26" s="11">
        <v>5.1732344627380371</v>
      </c>
      <c r="CO26" s="11">
        <v>-0.70224761962890625</v>
      </c>
      <c r="CP26" s="11">
        <v>-0.36746987700462341</v>
      </c>
      <c r="CQ26" s="11">
        <v>0.3174603283405304</v>
      </c>
      <c r="CR26" s="3">
        <v>68.765058456387052</v>
      </c>
      <c r="CS26" s="3">
        <v>5.1498835140235828</v>
      </c>
      <c r="CT26" s="3">
        <v>1.4518002322880372</v>
      </c>
      <c r="CU26" s="10">
        <v>0.13352740556001663</v>
      </c>
      <c r="CV26" s="11">
        <v>0.75715453624725337</v>
      </c>
      <c r="CW26" s="3">
        <v>0.06</v>
      </c>
      <c r="CX26" s="3">
        <v>86.069644062509283</v>
      </c>
      <c r="CY26" s="3">
        <v>75289211.08693938</v>
      </c>
      <c r="CZ26" s="3">
        <v>0.13352740556001663</v>
      </c>
      <c r="DA26" s="3">
        <v>27.113921118989413</v>
      </c>
      <c r="DB26" s="3">
        <v>238995885.97171244</v>
      </c>
      <c r="DC26" s="3">
        <v>0.1268510352820158</v>
      </c>
      <c r="DD26" s="3">
        <v>12.698645690537926</v>
      </c>
      <c r="DE26" s="3">
        <v>510299740.45409375</v>
      </c>
      <c r="DF26" s="3">
        <v>0.11750411689281463</v>
      </c>
      <c r="DG26" s="3">
        <v>7.2009373281679379</v>
      </c>
      <c r="DH26" s="3">
        <v>899898902.69586205</v>
      </c>
      <c r="DI26" s="3">
        <v>0.10682192444801331</v>
      </c>
      <c r="DJ26" s="3">
        <v>3.2676389985044172</v>
      </c>
      <c r="DK26" s="3">
        <v>1983118576.7356548</v>
      </c>
      <c r="DL26" s="3">
        <v>9.3469183892011642E-2</v>
      </c>
      <c r="DM26" s="3">
        <v>70405500</v>
      </c>
      <c r="DN26" s="3">
        <v>0.13352740556001663</v>
      </c>
      <c r="DO26" s="3">
        <v>6480115600</v>
      </c>
      <c r="DP26" s="3">
        <v>1515423400</v>
      </c>
      <c r="DQ26" s="3">
        <v>1408</v>
      </c>
      <c r="DR26" s="3">
        <v>-0.4963459962646643</v>
      </c>
      <c r="DS26" s="3">
        <v>-1.013425716063364</v>
      </c>
      <c r="DT26" s="12">
        <v>-0.25666666666666665</v>
      </c>
      <c r="DU26" s="3">
        <v>-0.52000000000000013</v>
      </c>
      <c r="DV26" s="3">
        <v>-0.77666666666666684</v>
      </c>
      <c r="DW26" s="3">
        <v>2.1131000000000002</v>
      </c>
      <c r="DX26" s="3">
        <v>0.36962474226804198</v>
      </c>
      <c r="DY26" s="3">
        <v>2.0259705583505156</v>
      </c>
      <c r="DZ26" s="3">
        <v>246</v>
      </c>
      <c r="EA26" s="3">
        <v>2.0247203122929371</v>
      </c>
      <c r="EB26" s="3">
        <v>2</v>
      </c>
      <c r="EC26" s="3">
        <v>0.19353893833288069</v>
      </c>
      <c r="ED26" s="3">
        <v>0.84284879939881419</v>
      </c>
      <c r="EE26" s="13">
        <v>-2.0665100000000001</v>
      </c>
      <c r="EF26" s="3">
        <v>-2.0355099999999999</v>
      </c>
      <c r="EG26" s="3">
        <v>14.229624742268042</v>
      </c>
      <c r="EH26" s="3" t="s">
        <v>1250</v>
      </c>
      <c r="EI26" s="3">
        <v>1</v>
      </c>
      <c r="EJ26" s="3">
        <v>1</v>
      </c>
      <c r="EK26" s="15">
        <v>45470</v>
      </c>
      <c r="EL26" s="16">
        <v>0.43</v>
      </c>
      <c r="EM26" s="16">
        <v>-6.69</v>
      </c>
      <c r="EN26" s="16">
        <v>-0.62</v>
      </c>
      <c r="EO26" s="16">
        <v>3.81</v>
      </c>
      <c r="EP26" s="16">
        <v>3.1</v>
      </c>
    </row>
    <row r="27" spans="1:146" ht="96" x14ac:dyDescent="0.25">
      <c r="C27" s="7" t="str">
        <f>""&amp;CHAR(10)&amp;Basic_Fundamental_Information_Constructure(F27)&amp;CHAR(10)&amp;Basic_Fundamental_Information_Concatenate("")</f>
        <v xml:space="preserve">
市值22.16256亿, 利润862.99万; PE18.02; 平均PE57.65; 平均PEG14.77, PB2.44; ROIC7.075%; ROE3.8567%; 股利率2.2438%; 毛利16.5667%; 净利3.2%; 上一年度营收增-79.42%, 利润增-85.15%; 当季营收增-49.91%, 利润增-71.76%; 过往5年营收增3.9%, 利润增-14.84%
Income profile:
</v>
      </c>
      <c r="D27" s="3" t="s">
        <v>450</v>
      </c>
      <c r="E27" s="3" t="s">
        <v>451</v>
      </c>
      <c r="F27" s="3">
        <v>16.489999999999998</v>
      </c>
      <c r="G27" s="3">
        <v>-0.12</v>
      </c>
      <c r="H27" s="3" t="s">
        <v>2180</v>
      </c>
      <c r="I27" s="3">
        <v>2216256000</v>
      </c>
      <c r="J27" s="3">
        <v>18.02</v>
      </c>
      <c r="K27" s="3">
        <v>2.44</v>
      </c>
      <c r="L27" s="3" t="s">
        <v>285</v>
      </c>
      <c r="M27" s="3" t="s">
        <v>134</v>
      </c>
      <c r="N27" s="3" t="s">
        <v>766</v>
      </c>
      <c r="O27" s="3" t="s">
        <v>2181</v>
      </c>
      <c r="P27" s="3">
        <v>29.16</v>
      </c>
      <c r="Q27" s="3" t="s">
        <v>2181</v>
      </c>
      <c r="R27" s="3">
        <v>8629868</v>
      </c>
      <c r="S27" s="5">
        <v>2.5649999999999999</v>
      </c>
      <c r="T27" s="3" t="s">
        <v>2182</v>
      </c>
      <c r="U27" s="3">
        <v>115325000</v>
      </c>
      <c r="V27" s="3">
        <v>134400000</v>
      </c>
      <c r="W27" s="3">
        <v>1.54</v>
      </c>
      <c r="X27" s="3">
        <v>0.19</v>
      </c>
      <c r="Y27" s="3">
        <v>2.84</v>
      </c>
      <c r="Z27" s="3" t="s">
        <v>1300</v>
      </c>
      <c r="AA27" s="3" t="s">
        <v>94</v>
      </c>
      <c r="AB27" s="3" t="s">
        <v>2183</v>
      </c>
      <c r="AC27" s="3" t="s">
        <v>2184</v>
      </c>
      <c r="AD27" s="3" t="s">
        <v>4</v>
      </c>
      <c r="AE27" s="3">
        <v>-2242492</v>
      </c>
      <c r="AF27" s="3" t="s">
        <v>2185</v>
      </c>
      <c r="AG27" s="3" t="s">
        <v>2186</v>
      </c>
      <c r="AH27" s="3" t="s">
        <v>2187</v>
      </c>
      <c r="AI27" s="3" t="s">
        <v>51</v>
      </c>
      <c r="AJ27" s="3" t="s">
        <v>2188</v>
      </c>
      <c r="AK27" s="3" t="s">
        <v>4</v>
      </c>
      <c r="AL27" s="3" t="s">
        <v>2189</v>
      </c>
      <c r="AM27" s="3" t="s">
        <v>4</v>
      </c>
      <c r="AN27" s="3" t="s">
        <v>107</v>
      </c>
      <c r="AO27" s="3" t="s">
        <v>2190</v>
      </c>
      <c r="AP27" s="3" t="s">
        <v>4</v>
      </c>
      <c r="AQ27" s="3" t="s">
        <v>1069</v>
      </c>
      <c r="AR27" s="3" t="s">
        <v>4</v>
      </c>
      <c r="AS27" s="3" t="s">
        <v>1291</v>
      </c>
      <c r="AT27" s="3" t="s">
        <v>2191</v>
      </c>
      <c r="AU27" s="3" t="s">
        <v>2192</v>
      </c>
      <c r="AV27" s="3" t="s">
        <v>2193</v>
      </c>
      <c r="AW27" s="3" t="s">
        <v>2194</v>
      </c>
      <c r="AX27" s="3" t="s">
        <v>1190</v>
      </c>
      <c r="AY27" s="3" t="s">
        <v>398</v>
      </c>
      <c r="AZ27" s="3" t="s">
        <v>452</v>
      </c>
      <c r="BA27" s="3" t="s">
        <v>454</v>
      </c>
      <c r="BB27" s="3" t="s">
        <v>421</v>
      </c>
      <c r="BC27" s="3" t="s">
        <v>1191</v>
      </c>
      <c r="BD27" s="3" t="s">
        <v>736</v>
      </c>
      <c r="BE27" s="3" t="s">
        <v>453</v>
      </c>
      <c r="BF27" s="3" t="s">
        <v>455</v>
      </c>
      <c r="BG27" s="3" t="s">
        <v>456</v>
      </c>
      <c r="BH27" s="3" t="s">
        <v>1412</v>
      </c>
      <c r="BI27" s="3" t="s">
        <v>224</v>
      </c>
      <c r="BJ27" s="3" t="s">
        <v>1190</v>
      </c>
      <c r="BK27" s="3" t="s">
        <v>162</v>
      </c>
      <c r="BL27" s="3" t="s">
        <v>1403</v>
      </c>
      <c r="BM27" s="3" t="s">
        <v>1191</v>
      </c>
      <c r="BN27" s="3">
        <v>6.91</v>
      </c>
      <c r="BO27" s="3">
        <v>7.24</v>
      </c>
      <c r="BP27" s="3" t="s">
        <v>4</v>
      </c>
      <c r="BQ27" s="3">
        <v>9.18</v>
      </c>
      <c r="BR27" s="3">
        <v>7.51</v>
      </c>
      <c r="BS27" s="3">
        <v>-5.12</v>
      </c>
      <c r="BT27" s="3" t="s">
        <v>2195</v>
      </c>
      <c r="BU27" s="3" t="s">
        <v>841</v>
      </c>
      <c r="BV27" s="3">
        <v>23.95</v>
      </c>
      <c r="BW27" s="3">
        <v>17.64</v>
      </c>
      <c r="BX27" s="3">
        <v>8.11</v>
      </c>
      <c r="BY27" s="3">
        <v>8.32</v>
      </c>
      <c r="BZ27" s="3">
        <v>4.46</v>
      </c>
      <c r="CA27" s="3">
        <v>-3.18</v>
      </c>
      <c r="CB27" s="3">
        <v>-9.94</v>
      </c>
      <c r="CC27" s="3">
        <v>-13.95</v>
      </c>
      <c r="CD27" s="3" t="s">
        <v>2196</v>
      </c>
      <c r="CE27" s="3" t="s">
        <v>2197</v>
      </c>
      <c r="CF27" s="10">
        <v>-0.49912126537785589</v>
      </c>
      <c r="CG27" s="11">
        <v>-0.71757761007441923</v>
      </c>
      <c r="CH27" s="10">
        <v>-0.7942238450050354</v>
      </c>
      <c r="CI27" s="10">
        <v>5.7251859456300735E-2</v>
      </c>
      <c r="CJ27" s="10">
        <v>0.44751381874084473</v>
      </c>
      <c r="CK27" s="10">
        <v>9.2995166778564453E-2</v>
      </c>
      <c r="CL27" s="10">
        <v>0.39159664511680603</v>
      </c>
      <c r="CM27" s="11">
        <v>-0.85148262977600098</v>
      </c>
      <c r="CN27" s="11">
        <v>2.3969707489013672</v>
      </c>
      <c r="CO27" s="11">
        <v>-1.9149981737136841</v>
      </c>
      <c r="CP27" s="11">
        <v>-0.45321044325828552</v>
      </c>
      <c r="CQ27" s="11">
        <v>8.0837026238441467E-2</v>
      </c>
      <c r="CR27" s="3">
        <v>57.6500936012146</v>
      </c>
      <c r="CS27" s="3">
        <v>14.771951186421344</v>
      </c>
      <c r="CT27" s="3">
        <v>2.2437841115827779</v>
      </c>
      <c r="CU27" s="10">
        <v>3.9026729017496112E-2</v>
      </c>
      <c r="CV27" s="11">
        <v>-0.14837669432163239</v>
      </c>
      <c r="CW27" s="3">
        <v>0.06</v>
      </c>
      <c r="CX27" s="3">
        <v>214.11802021582764</v>
      </c>
      <c r="CY27" s="3">
        <v>8459147.895045368</v>
      </c>
      <c r="CZ27" s="3">
        <v>3.9026729017496112E-2</v>
      </c>
      <c r="DA27" s="3">
        <v>73.07598684039634</v>
      </c>
      <c r="DB27" s="3">
        <v>24785925.969852787</v>
      </c>
      <c r="DC27" s="3">
        <v>3.7075392566621304E-2</v>
      </c>
      <c r="DD27" s="3">
        <v>38.079075869542436</v>
      </c>
      <c r="DE27" s="3">
        <v>47565650.127784058</v>
      </c>
      <c r="DF27" s="3">
        <v>3.4343521535396576E-2</v>
      </c>
      <c r="DG27" s="3">
        <v>24.342458221351542</v>
      </c>
      <c r="DH27" s="3">
        <v>74407275.696227342</v>
      </c>
      <c r="DI27" s="3">
        <v>3.1221383213996892E-2</v>
      </c>
      <c r="DJ27" s="3">
        <v>14.344753735284279</v>
      </c>
      <c r="DK27" s="3">
        <v>126266092.35854582</v>
      </c>
      <c r="DL27" s="3">
        <v>2.7318710312247276E-2</v>
      </c>
      <c r="DM27" s="3">
        <v>8629900</v>
      </c>
      <c r="DN27" s="3">
        <v>3.9026729017496112E-2</v>
      </c>
      <c r="DO27" s="3">
        <v>1811256000</v>
      </c>
      <c r="DP27" s="3">
        <v>210053960</v>
      </c>
      <c r="DQ27" s="3">
        <v>1439</v>
      </c>
      <c r="DR27" s="3">
        <v>-0.53814799439535199</v>
      </c>
      <c r="DS27" s="3">
        <v>-0.56920091575278686</v>
      </c>
      <c r="DT27" s="12">
        <v>-0.54</v>
      </c>
      <c r="DU27" s="3">
        <v>-1.2566666666666668</v>
      </c>
      <c r="DV27" s="3">
        <v>-1.7966666666666669</v>
      </c>
      <c r="DW27" s="3">
        <v>-9.7125448028673844</v>
      </c>
      <c r="DX27" s="3">
        <v>0.31230561137117097</v>
      </c>
      <c r="DY27" s="3">
        <v>-9.1013991238013929</v>
      </c>
      <c r="DZ27" s="3">
        <v>1873</v>
      </c>
      <c r="EA27" s="3">
        <v>-9.0642326739227226</v>
      </c>
      <c r="EB27" s="3">
        <v>9</v>
      </c>
      <c r="EC27" s="3">
        <v>6.6342261904761904E-2</v>
      </c>
      <c r="ED27" s="3">
        <v>0.46619568452380955</v>
      </c>
      <c r="EE27" s="13">
        <v>4.0456000000000003</v>
      </c>
      <c r="EF27" s="3">
        <v>4.0415999999999999</v>
      </c>
      <c r="EG27" s="3">
        <v>17.142305611371171</v>
      </c>
      <c r="EH27" s="3" t="s">
        <v>1569</v>
      </c>
      <c r="EI27" s="3">
        <v>0</v>
      </c>
      <c r="EJ27" s="3">
        <v>0</v>
      </c>
      <c r="EK27" s="15">
        <v>45470</v>
      </c>
      <c r="EL27" s="16">
        <v>-0.79</v>
      </c>
      <c r="EM27" s="16">
        <v>-5.61</v>
      </c>
      <c r="EN27" s="16">
        <v>-1.56</v>
      </c>
      <c r="EO27" s="16">
        <v>7.38</v>
      </c>
      <c r="EP27" s="16">
        <v>-0.4</v>
      </c>
    </row>
    <row r="28" spans="1:146" ht="96" x14ac:dyDescent="0.25">
      <c r="C28" s="7" t="str">
        <f>""&amp;CHAR(10)&amp;Basic_Fundamental_Information_Constructure(F28)&amp;CHAR(10)&amp;Basic_Fundamental_Information_Concatenate("")</f>
        <v xml:space="preserve">
市值96.034316亿, 利润1.23亿; PE20.24; 平均PE36.75; 平均PEG3.95, PB1.96; ROIC10.6233%; ROE11.8667%; 股利率1.7246%; 毛利20.74%; 净利8.8367%; 上一年度营收增-69.49%, 利润增-71.92%; 当季营收增-32.39%, 利润增-42.95%; 过往5年营收增9.3%, 利润增20.61%
Income profile:
</v>
      </c>
      <c r="D28" s="3" t="s">
        <v>457</v>
      </c>
      <c r="E28" s="3" t="s">
        <v>458</v>
      </c>
      <c r="F28" s="3">
        <v>34.79</v>
      </c>
      <c r="G28" s="3">
        <v>-0.26</v>
      </c>
      <c r="H28" s="3" t="s">
        <v>2198</v>
      </c>
      <c r="I28" s="3">
        <v>9603431600</v>
      </c>
      <c r="J28" s="3">
        <v>20.239999999999998</v>
      </c>
      <c r="K28" s="3">
        <v>1.96</v>
      </c>
      <c r="L28" s="3" t="s">
        <v>285</v>
      </c>
      <c r="M28" s="3" t="s">
        <v>2199</v>
      </c>
      <c r="N28" s="3" t="s">
        <v>2200</v>
      </c>
      <c r="O28" s="3" t="s">
        <v>1525</v>
      </c>
      <c r="P28" s="3">
        <v>51.06</v>
      </c>
      <c r="Q28" s="3" t="s">
        <v>1525</v>
      </c>
      <c r="R28" s="3">
        <v>122655008</v>
      </c>
      <c r="S28" s="5">
        <v>0.37719999999999998</v>
      </c>
      <c r="T28" s="3" t="s">
        <v>29</v>
      </c>
      <c r="U28" s="3">
        <v>237889750</v>
      </c>
      <c r="V28" s="3">
        <v>276040000</v>
      </c>
      <c r="W28" s="3">
        <v>1.7</v>
      </c>
      <c r="X28" s="3">
        <v>0.16</v>
      </c>
      <c r="Y28" s="3">
        <v>9.11</v>
      </c>
      <c r="Z28" s="3" t="s">
        <v>2201</v>
      </c>
      <c r="AA28" s="3" t="s">
        <v>1128</v>
      </c>
      <c r="AB28" s="3" t="s">
        <v>2202</v>
      </c>
      <c r="AC28" s="3" t="s">
        <v>2203</v>
      </c>
      <c r="AD28" s="3" t="s">
        <v>4</v>
      </c>
      <c r="AE28" s="3">
        <v>-21452498</v>
      </c>
      <c r="AF28" s="3" t="s">
        <v>2204</v>
      </c>
      <c r="AG28" s="3" t="s">
        <v>2205</v>
      </c>
      <c r="AH28" s="3" t="s">
        <v>2206</v>
      </c>
      <c r="AI28" s="3" t="s">
        <v>2207</v>
      </c>
      <c r="AJ28" s="3" t="s">
        <v>2208</v>
      </c>
      <c r="AK28" s="3" t="s">
        <v>2209</v>
      </c>
      <c r="AL28" s="3" t="s">
        <v>2210</v>
      </c>
      <c r="AM28" s="3" t="s">
        <v>4</v>
      </c>
      <c r="AN28" s="3" t="s">
        <v>2211</v>
      </c>
      <c r="AO28" s="3" t="s">
        <v>2212</v>
      </c>
      <c r="AP28" s="3" t="s">
        <v>2213</v>
      </c>
      <c r="AQ28" s="3" t="s">
        <v>198</v>
      </c>
      <c r="AR28" s="3" t="s">
        <v>4</v>
      </c>
      <c r="AS28" s="3" t="s">
        <v>391</v>
      </c>
      <c r="AT28" s="3" t="s">
        <v>2214</v>
      </c>
      <c r="AU28" s="3" t="s">
        <v>106</v>
      </c>
      <c r="AV28" s="3" t="s">
        <v>2215</v>
      </c>
      <c r="AW28" s="3" t="s">
        <v>2216</v>
      </c>
      <c r="AX28" s="3" t="s">
        <v>1194</v>
      </c>
      <c r="AY28" s="3" t="s">
        <v>737</v>
      </c>
      <c r="AZ28" s="3" t="s">
        <v>459</v>
      </c>
      <c r="BA28" s="3" t="s">
        <v>460</v>
      </c>
      <c r="BB28" s="3" t="s">
        <v>461</v>
      </c>
      <c r="BC28" s="3" t="s">
        <v>801</v>
      </c>
      <c r="BD28" s="3" t="s">
        <v>753</v>
      </c>
      <c r="BE28" s="3" t="s">
        <v>449</v>
      </c>
      <c r="BF28" s="3" t="s">
        <v>89</v>
      </c>
      <c r="BG28" s="3" t="s">
        <v>123</v>
      </c>
      <c r="BH28" s="3" t="s">
        <v>2217</v>
      </c>
      <c r="BI28" s="3" t="s">
        <v>1193</v>
      </c>
      <c r="BJ28" s="3" t="s">
        <v>1194</v>
      </c>
      <c r="BK28" s="3" t="s">
        <v>1291</v>
      </c>
      <c r="BL28" s="3" t="s">
        <v>810</v>
      </c>
      <c r="BM28" s="3" t="s">
        <v>801</v>
      </c>
      <c r="BN28" s="3">
        <v>6.49</v>
      </c>
      <c r="BO28" s="3">
        <v>11.65</v>
      </c>
      <c r="BP28" s="3">
        <v>13.73</v>
      </c>
      <c r="BQ28" s="3">
        <v>7.51</v>
      </c>
      <c r="BR28" s="3">
        <v>13.46</v>
      </c>
      <c r="BS28" s="3">
        <v>14.63</v>
      </c>
      <c r="BT28" s="3" t="s">
        <v>2218</v>
      </c>
      <c r="BU28" s="3" t="s">
        <v>841</v>
      </c>
      <c r="BV28" s="3">
        <v>22.25</v>
      </c>
      <c r="BW28" s="3">
        <v>21.75</v>
      </c>
      <c r="BX28" s="3">
        <v>18.22</v>
      </c>
      <c r="BY28" s="3">
        <v>8.51</v>
      </c>
      <c r="BZ28" s="3">
        <v>9.91</v>
      </c>
      <c r="CA28" s="3">
        <v>8.09</v>
      </c>
      <c r="CB28" s="3">
        <v>-6.48</v>
      </c>
      <c r="CC28" s="3">
        <v>4.04</v>
      </c>
      <c r="CD28" s="3" t="s">
        <v>2219</v>
      </c>
      <c r="CE28" s="3" t="s">
        <v>46</v>
      </c>
      <c r="CF28" s="10">
        <v>-0.32390873015873017</v>
      </c>
      <c r="CG28" s="11">
        <v>-0.42951159069767442</v>
      </c>
      <c r="CH28" s="10">
        <v>-0.69487351179122925</v>
      </c>
      <c r="CI28" s="10">
        <v>5.2296791225671768E-2</v>
      </c>
      <c r="CJ28" s="10">
        <v>0.44142615795135498</v>
      </c>
      <c r="CK28" s="10">
        <v>0.27158892154693604</v>
      </c>
      <c r="CL28" s="10">
        <v>0.39434081315994263</v>
      </c>
      <c r="CM28" s="11">
        <v>-0.71917808055877686</v>
      </c>
      <c r="CN28" s="11">
        <v>0.28070175647735596</v>
      </c>
      <c r="CO28" s="11">
        <v>3.9513677358627319E-2</v>
      </c>
      <c r="CP28" s="11">
        <v>0.48198199272155762</v>
      </c>
      <c r="CQ28" s="11">
        <v>0.94736844301223755</v>
      </c>
      <c r="CR28" s="3">
        <v>36.747824999999999</v>
      </c>
      <c r="CS28" s="3">
        <v>3.9532564286973413</v>
      </c>
      <c r="CT28" s="3">
        <v>1.7246335153779822</v>
      </c>
      <c r="CU28" s="10">
        <v>9.2955834418535235E-2</v>
      </c>
      <c r="CV28" s="11">
        <v>0.20607755780220033</v>
      </c>
      <c r="CW28" s="3">
        <v>0.06</v>
      </c>
      <c r="CX28" s="3">
        <v>64.273511802926635</v>
      </c>
      <c r="CY28" s="3">
        <v>126824120.40894322</v>
      </c>
      <c r="CZ28" s="3">
        <v>9.2955834418535235E-2</v>
      </c>
      <c r="DA28" s="3">
        <v>20.951495472281977</v>
      </c>
      <c r="DB28" s="3">
        <v>389062041.45589662</v>
      </c>
      <c r="DC28" s="3">
        <v>8.8308042697608474E-2</v>
      </c>
      <c r="DD28" s="3">
        <v>10.279442797317754</v>
      </c>
      <c r="DE28" s="3">
        <v>792983798.90075147</v>
      </c>
      <c r="DF28" s="3">
        <v>8.1801134288311012E-2</v>
      </c>
      <c r="DG28" s="3">
        <v>6.1496733807931001</v>
      </c>
      <c r="DH28" s="3">
        <v>1325506428.5948696</v>
      </c>
      <c r="DI28" s="3">
        <v>7.4364667534828191E-2</v>
      </c>
      <c r="DJ28" s="3">
        <v>3.1504991970817819</v>
      </c>
      <c r="DK28" s="3">
        <v>2587346033.1462517</v>
      </c>
      <c r="DL28" s="3">
        <v>6.5069084092974655E-2</v>
      </c>
      <c r="DM28" s="3">
        <v>123000000</v>
      </c>
      <c r="DN28" s="3">
        <v>9.2955834418535235E-2</v>
      </c>
      <c r="DO28" s="3">
        <v>8151431600</v>
      </c>
      <c r="DP28" s="3">
        <v>3059730500</v>
      </c>
      <c r="DQ28" s="3">
        <v>1451</v>
      </c>
      <c r="DR28" s="3">
        <v>-0.4168645645772654</v>
      </c>
      <c r="DS28" s="3">
        <v>-0.6355891484998748</v>
      </c>
      <c r="DT28" s="12">
        <v>-0.42333333333333339</v>
      </c>
      <c r="DU28" s="3">
        <v>-8.6666666666666711E-2</v>
      </c>
      <c r="DV28" s="3">
        <v>-0.51000000000000012</v>
      </c>
      <c r="DW28" s="3">
        <v>-5.6234567901234565</v>
      </c>
      <c r="DX28" s="3">
        <v>0.32543644067796579</v>
      </c>
      <c r="DY28" s="3">
        <v>-5.078204200669596</v>
      </c>
      <c r="DZ28" s="3">
        <v>391</v>
      </c>
      <c r="EA28" s="3">
        <v>-5.0722202784657187</v>
      </c>
      <c r="EB28" s="3">
        <v>5</v>
      </c>
      <c r="EC28" s="3">
        <v>5.3620852050427471E-2</v>
      </c>
      <c r="ED28" s="3">
        <v>0.42747427908998697</v>
      </c>
      <c r="EE28" s="13">
        <v>-3.0916000000000001</v>
      </c>
      <c r="EF28" s="3">
        <v>-3.0743999999999998</v>
      </c>
      <c r="EG28" s="3">
        <v>20.125436440677966</v>
      </c>
      <c r="EH28" s="3" t="s">
        <v>1160</v>
      </c>
      <c r="EI28" s="3">
        <v>0</v>
      </c>
      <c r="EJ28" s="3">
        <v>1</v>
      </c>
      <c r="EK28" s="15">
        <v>45470</v>
      </c>
      <c r="EL28" s="16">
        <v>1.1499999999999999</v>
      </c>
      <c r="EM28" s="16">
        <v>-1.85</v>
      </c>
      <c r="EN28" s="16">
        <v>-2.8</v>
      </c>
      <c r="EO28" s="16">
        <v>4.04</v>
      </c>
      <c r="EP28" s="16">
        <v>-1.72</v>
      </c>
    </row>
    <row r="29" spans="1:146" ht="96" x14ac:dyDescent="0.25">
      <c r="C29" s="7" t="str">
        <f>""&amp;CHAR(10)&amp;Basic_Fundamental_Information_Constructure(F29)&amp;CHAR(10)&amp;Basic_Fundamental_Information_Concatenate("")</f>
        <v xml:space="preserve">
市值38.429673亿, 利润3973.55万; PE17.09; 平均PE28.95; 平均PEG85.31, PB2.35; ROIC13.0333%; ROE14.02%; 股利率0%; 毛利27.03%; 净利16.43%; 上一年度营收增-75.24%, 利润增-76.76%; 当季营收增-50.29%, 利润增-57.03%; 过往5年营收增.34%, 利润增2.12%
Income profile:
</v>
      </c>
      <c r="D29" s="3" t="s">
        <v>462</v>
      </c>
      <c r="E29" s="3" t="s">
        <v>463</v>
      </c>
      <c r="F29" s="3">
        <v>34.380000000000003</v>
      </c>
      <c r="G29" s="3">
        <v>0.44</v>
      </c>
      <c r="H29" s="3" t="s">
        <v>2220</v>
      </c>
      <c r="I29" s="3">
        <v>3842967300</v>
      </c>
      <c r="J29" s="3">
        <v>17.09</v>
      </c>
      <c r="K29" s="3">
        <v>2.35</v>
      </c>
      <c r="L29" s="3" t="s">
        <v>285</v>
      </c>
      <c r="M29" s="3" t="s">
        <v>1532</v>
      </c>
      <c r="N29" s="3" t="s">
        <v>2221</v>
      </c>
      <c r="O29" s="3" t="s">
        <v>1195</v>
      </c>
      <c r="P29" s="3">
        <v>21.15</v>
      </c>
      <c r="Q29" s="3" t="s">
        <v>1195</v>
      </c>
      <c r="R29" s="3">
        <v>39735509</v>
      </c>
      <c r="S29" s="5">
        <v>0.74039999999999995</v>
      </c>
      <c r="T29" s="3" t="s">
        <v>2222</v>
      </c>
      <c r="U29" s="3">
        <v>53671790</v>
      </c>
      <c r="V29" s="3">
        <v>111779154</v>
      </c>
      <c r="W29" s="3">
        <v>1.41</v>
      </c>
      <c r="X29" s="3">
        <v>0.11</v>
      </c>
      <c r="Y29" s="3">
        <v>15.39</v>
      </c>
      <c r="Z29" s="3" t="s">
        <v>2223</v>
      </c>
      <c r="AA29" s="3" t="s">
        <v>59</v>
      </c>
      <c r="AB29" s="3" t="s">
        <v>2224</v>
      </c>
      <c r="AC29" s="3" t="s">
        <v>2225</v>
      </c>
      <c r="AD29" s="3" t="s">
        <v>4</v>
      </c>
      <c r="AE29" s="3">
        <v>-4857348</v>
      </c>
      <c r="AF29" s="3" t="s">
        <v>2226</v>
      </c>
      <c r="AG29" s="3" t="s">
        <v>2227</v>
      </c>
      <c r="AH29" s="3" t="s">
        <v>2228</v>
      </c>
      <c r="AI29" s="3" t="s">
        <v>1454</v>
      </c>
      <c r="AJ29" s="3" t="s">
        <v>2229</v>
      </c>
      <c r="AK29" s="3" t="s">
        <v>2230</v>
      </c>
      <c r="AL29" s="3" t="s">
        <v>2231</v>
      </c>
      <c r="AM29" s="3" t="s">
        <v>4</v>
      </c>
      <c r="AN29" s="3" t="s">
        <v>135</v>
      </c>
      <c r="AO29" s="3" t="s">
        <v>4</v>
      </c>
      <c r="AP29" s="3" t="s">
        <v>1461</v>
      </c>
      <c r="AQ29" s="3" t="s">
        <v>165</v>
      </c>
      <c r="AR29" s="3" t="s">
        <v>4</v>
      </c>
      <c r="AS29" s="3" t="s">
        <v>1066</v>
      </c>
      <c r="AT29" s="3" t="s">
        <v>4</v>
      </c>
      <c r="AU29" s="3" t="s">
        <v>2232</v>
      </c>
      <c r="AV29" s="3" t="s">
        <v>2233</v>
      </c>
      <c r="AW29" s="3" t="s">
        <v>2234</v>
      </c>
      <c r="AX29" s="3" t="s">
        <v>1196</v>
      </c>
      <c r="AY29" s="3" t="s">
        <v>672</v>
      </c>
      <c r="AZ29" s="3" t="s">
        <v>164</v>
      </c>
      <c r="BA29" s="3" t="s">
        <v>405</v>
      </c>
      <c r="BB29" s="3" t="s">
        <v>196</v>
      </c>
      <c r="BC29" s="3" t="s">
        <v>41</v>
      </c>
      <c r="BD29" s="3" t="s">
        <v>45</v>
      </c>
      <c r="BE29" s="3" t="s">
        <v>78</v>
      </c>
      <c r="BF29" s="3" t="s">
        <v>27</v>
      </c>
      <c r="BG29" s="3" t="s">
        <v>465</v>
      </c>
      <c r="BH29" s="3" t="s">
        <v>1377</v>
      </c>
      <c r="BI29" s="3" t="s">
        <v>33</v>
      </c>
      <c r="BJ29" s="3" t="s">
        <v>1196</v>
      </c>
      <c r="BK29" s="3" t="s">
        <v>921</v>
      </c>
      <c r="BL29" s="3" t="s">
        <v>1405</v>
      </c>
      <c r="BM29" s="3" t="s">
        <v>41</v>
      </c>
      <c r="BN29" s="3">
        <v>8.25</v>
      </c>
      <c r="BO29" s="3">
        <v>12.33</v>
      </c>
      <c r="BP29" s="3">
        <v>18.52</v>
      </c>
      <c r="BQ29" s="3">
        <v>10.57</v>
      </c>
      <c r="BR29" s="3">
        <v>12.98</v>
      </c>
      <c r="BS29" s="3">
        <v>18.510000000000002</v>
      </c>
      <c r="BT29" s="3" t="s">
        <v>1043</v>
      </c>
      <c r="BU29" s="3" t="s">
        <v>841</v>
      </c>
      <c r="BV29" s="3">
        <v>28.09</v>
      </c>
      <c r="BW29" s="3">
        <v>26.25</v>
      </c>
      <c r="BX29" s="3">
        <v>26.75</v>
      </c>
      <c r="BY29" s="3">
        <v>16.97</v>
      </c>
      <c r="BZ29" s="3">
        <v>16.37</v>
      </c>
      <c r="CA29" s="3">
        <v>15.95</v>
      </c>
      <c r="CB29" s="3">
        <v>-4.66</v>
      </c>
      <c r="CC29" s="3">
        <v>-13.29</v>
      </c>
      <c r="CD29" s="3" t="s">
        <v>2235</v>
      </c>
      <c r="CE29" s="3" t="s">
        <v>2236</v>
      </c>
      <c r="CF29" s="10">
        <v>-0.50289017341040465</v>
      </c>
      <c r="CG29" s="11">
        <v>-0.57029267522501625</v>
      </c>
      <c r="CH29" s="10">
        <v>-0.75239920616149902</v>
      </c>
      <c r="CI29" s="10">
        <v>-0.20880785584449768</v>
      </c>
      <c r="CJ29" s="10">
        <v>0.32494962215423584</v>
      </c>
      <c r="CK29" s="10">
        <v>0.42611190676689148</v>
      </c>
      <c r="CL29" s="10">
        <v>0.22711268067359924</v>
      </c>
      <c r="CM29" s="11">
        <v>-0.76762861013412476</v>
      </c>
      <c r="CN29" s="11">
        <v>-0.18571428954601288</v>
      </c>
      <c r="CO29" s="11">
        <v>0.20689655840396881</v>
      </c>
      <c r="CP29" s="11">
        <v>0.5</v>
      </c>
      <c r="CQ29" s="11">
        <v>0.3524763286113739</v>
      </c>
      <c r="CR29" s="3">
        <v>28.948757200370974</v>
      </c>
      <c r="CS29" s="3">
        <v>85.308261300207278</v>
      </c>
      <c r="CT29" s="3">
        <v>0</v>
      </c>
      <c r="CU29" s="10">
        <v>3.3934295177459719E-3</v>
      </c>
      <c r="CV29" s="11">
        <v>2.1205997467041014E-2</v>
      </c>
      <c r="CW29" s="3">
        <v>0.06</v>
      </c>
      <c r="CX29" s="3">
        <v>75.530466176288911</v>
      </c>
      <c r="CY29" s="3">
        <v>37613527.942077734</v>
      </c>
      <c r="CZ29" s="3">
        <v>3.3934295177459719E-3</v>
      </c>
      <c r="DA29" s="3">
        <v>26.579316393100626</v>
      </c>
      <c r="DB29" s="3">
        <v>106886394.59280635</v>
      </c>
      <c r="DC29" s="3">
        <v>3.223758041858673E-3</v>
      </c>
      <c r="DD29" s="3">
        <v>14.395950492687456</v>
      </c>
      <c r="DE29" s="3">
        <v>197344892.33226338</v>
      </c>
      <c r="DF29" s="3">
        <v>2.9862179756164555E-3</v>
      </c>
      <c r="DG29" s="3">
        <v>9.5824979739918472</v>
      </c>
      <c r="DH29" s="3">
        <v>296474604.81711102</v>
      </c>
      <c r="DI29" s="3">
        <v>2.7147436141967776E-3</v>
      </c>
      <c r="DJ29" s="3">
        <v>6.1069207916337733</v>
      </c>
      <c r="DK29" s="3">
        <v>465204543.65349013</v>
      </c>
      <c r="DL29" s="3">
        <v>2.3754006624221802E-3</v>
      </c>
      <c r="DM29" s="3">
        <v>39735500</v>
      </c>
      <c r="DN29" s="3">
        <v>3.3934295177459719E-3</v>
      </c>
      <c r="DO29" s="3">
        <v>2840967300</v>
      </c>
      <c r="DP29" s="3">
        <v>1209175400</v>
      </c>
      <c r="DQ29" s="3">
        <v>1483</v>
      </c>
      <c r="DR29" s="3">
        <v>-0.50628360292815067</v>
      </c>
      <c r="DS29" s="3">
        <v>-0.59149867269205725</v>
      </c>
      <c r="DT29" s="12">
        <v>-0.57333333333333336</v>
      </c>
      <c r="DU29" s="3">
        <v>-0.35333333333333333</v>
      </c>
      <c r="DV29" s="3">
        <v>-0.92666666666666675</v>
      </c>
      <c r="DW29" s="3">
        <v>-8.350639578630549</v>
      </c>
      <c r="DX29" s="3">
        <v>0.33785981389685987</v>
      </c>
      <c r="DY29" s="3">
        <v>-8.0483391070548809</v>
      </c>
      <c r="DZ29" s="3">
        <v>695</v>
      </c>
      <c r="EA29" s="3">
        <v>-8.0417646101071032</v>
      </c>
      <c r="EB29" s="3">
        <v>8</v>
      </c>
      <c r="EC29" s="3">
        <v>2.2691171915650749E-2</v>
      </c>
      <c r="ED29" s="3">
        <v>0.16459598540171452</v>
      </c>
      <c r="EE29" s="13">
        <v>5.9999999999999984E-3</v>
      </c>
      <c r="EF29" s="3">
        <v>9.6100000000000005E-3</v>
      </c>
      <c r="EG29" s="3">
        <v>20.13785981389686</v>
      </c>
      <c r="EH29" s="3">
        <v>-1</v>
      </c>
      <c r="EI29" s="3">
        <v>0</v>
      </c>
      <c r="EJ29" s="3">
        <v>1</v>
      </c>
      <c r="EK29" s="15">
        <v>45470</v>
      </c>
      <c r="EL29" s="16">
        <v>-1.87</v>
      </c>
      <c r="EM29" s="16">
        <v>-4.53</v>
      </c>
      <c r="EN29" s="16">
        <v>0.14000000000000001</v>
      </c>
      <c r="EO29" s="16">
        <v>2.57</v>
      </c>
      <c r="EP29" s="16">
        <v>-1.56</v>
      </c>
    </row>
    <row r="30" spans="1:146" ht="96" x14ac:dyDescent="0.25">
      <c r="C30" s="7" t="str">
        <f>""&amp;CHAR(10)&amp;Basic_Fundamental_Information_Constructure(F30)&amp;CHAR(10)&amp;Basic_Fundamental_Information_Concatenate("")</f>
        <v xml:space="preserve">
市值24.978575亿, 利润-888.02万; PE; 平均PE-5.65; 平均PEG-1.01, PB3.23; ROIC2.48%; ROE-1.23%; 股利率0%; 毛利12.2033%; 净利-6.0067%; 上一年度营收增-92.79%, 利润增-117.15%; 当季营收增-83.08%, 利润增-138.77%; 过往5年营收增-5.62%, 利润增-83.9%
Income profile:
</v>
      </c>
      <c r="D30" s="3" t="s">
        <v>466</v>
      </c>
      <c r="E30" s="3" t="s">
        <v>467</v>
      </c>
      <c r="F30" s="3">
        <v>3.11</v>
      </c>
      <c r="G30" s="3">
        <v>3.67</v>
      </c>
      <c r="H30" s="3" t="s">
        <v>2237</v>
      </c>
      <c r="I30" s="3">
        <v>2497857500</v>
      </c>
      <c r="K30" s="3">
        <v>3.23</v>
      </c>
      <c r="L30" s="3" t="s">
        <v>285</v>
      </c>
      <c r="M30" s="3" t="s">
        <v>2238</v>
      </c>
      <c r="N30" s="3" t="s">
        <v>1279</v>
      </c>
      <c r="O30" s="3" t="s">
        <v>2239</v>
      </c>
      <c r="P30" s="3">
        <v>-68.11</v>
      </c>
      <c r="Q30" s="3" t="s">
        <v>2239</v>
      </c>
      <c r="R30" s="3">
        <v>-8880194</v>
      </c>
      <c r="S30" s="5">
        <v>-1.369</v>
      </c>
      <c r="T30" s="3" t="s">
        <v>2240</v>
      </c>
      <c r="U30" s="3">
        <v>803168110</v>
      </c>
      <c r="V30" s="3">
        <v>803169610</v>
      </c>
      <c r="W30" s="3">
        <v>2.2999999999999998</v>
      </c>
      <c r="X30" s="3">
        <v>0.14000000000000001</v>
      </c>
      <c r="Y30" s="3">
        <v>-3.02</v>
      </c>
      <c r="Z30" s="3" t="s">
        <v>1220</v>
      </c>
      <c r="AA30" s="3" t="s">
        <v>2241</v>
      </c>
      <c r="AB30" s="3" t="s">
        <v>2242</v>
      </c>
      <c r="AC30" s="3" t="s">
        <v>2243</v>
      </c>
      <c r="AD30" s="3" t="s">
        <v>4</v>
      </c>
      <c r="AE30" s="3">
        <v>1666958</v>
      </c>
      <c r="AF30" s="3" t="s">
        <v>2244</v>
      </c>
      <c r="AG30" s="3" t="s">
        <v>2245</v>
      </c>
      <c r="AH30" s="3" t="s">
        <v>2246</v>
      </c>
      <c r="AI30" s="3" t="s">
        <v>859</v>
      </c>
      <c r="AJ30" s="3" t="s">
        <v>2247</v>
      </c>
      <c r="AK30" s="3" t="s">
        <v>2248</v>
      </c>
      <c r="AL30" s="3" t="s">
        <v>2249</v>
      </c>
      <c r="AM30" s="3" t="s">
        <v>4</v>
      </c>
      <c r="AN30" s="3" t="s">
        <v>1189</v>
      </c>
      <c r="AO30" s="3" t="s">
        <v>74</v>
      </c>
      <c r="AP30" s="3" t="s">
        <v>4</v>
      </c>
      <c r="AQ30" s="3" t="s">
        <v>2250</v>
      </c>
      <c r="AR30" s="3" t="s">
        <v>2251</v>
      </c>
      <c r="AS30" s="3" t="s">
        <v>2252</v>
      </c>
      <c r="AT30" s="3" t="s">
        <v>4</v>
      </c>
      <c r="AU30" s="3" t="s">
        <v>2253</v>
      </c>
      <c r="AV30" s="3" t="s">
        <v>130</v>
      </c>
      <c r="AW30" s="3" t="s">
        <v>1415</v>
      </c>
      <c r="AX30" s="3" t="s">
        <v>1198</v>
      </c>
      <c r="AY30" s="3" t="s">
        <v>738</v>
      </c>
      <c r="AZ30" s="3" t="s">
        <v>264</v>
      </c>
      <c r="BA30" s="3" t="s">
        <v>470</v>
      </c>
      <c r="BB30" s="3" t="s">
        <v>471</v>
      </c>
      <c r="BC30" s="3" t="s">
        <v>1199</v>
      </c>
      <c r="BD30" s="3" t="s">
        <v>739</v>
      </c>
      <c r="BE30" s="3" t="s">
        <v>468</v>
      </c>
      <c r="BF30" s="3" t="s">
        <v>472</v>
      </c>
      <c r="BG30" s="3" t="s">
        <v>473</v>
      </c>
      <c r="BH30" s="3" t="s">
        <v>2254</v>
      </c>
      <c r="BI30" s="3" t="s">
        <v>1197</v>
      </c>
      <c r="BJ30" s="3" t="s">
        <v>1198</v>
      </c>
      <c r="BK30" s="3" t="s">
        <v>2255</v>
      </c>
      <c r="BL30" s="3" t="s">
        <v>1407</v>
      </c>
      <c r="BM30" s="3" t="s">
        <v>1199</v>
      </c>
      <c r="BN30" s="3">
        <v>-1.28</v>
      </c>
      <c r="BO30" s="3">
        <v>6.24</v>
      </c>
      <c r="BP30" s="3" t="s">
        <v>4</v>
      </c>
      <c r="BQ30" s="3">
        <v>0.4</v>
      </c>
      <c r="BR30" s="3">
        <v>4.43</v>
      </c>
      <c r="BS30" s="3">
        <v>-8.52</v>
      </c>
      <c r="BT30" s="3" t="s">
        <v>1043</v>
      </c>
      <c r="BU30" s="3" t="s">
        <v>841</v>
      </c>
      <c r="BV30" s="3">
        <v>8.7799999999999994</v>
      </c>
      <c r="BW30" s="3">
        <v>10.08</v>
      </c>
      <c r="BX30" s="3">
        <v>17.75</v>
      </c>
      <c r="BY30" s="3">
        <v>-13.63</v>
      </c>
      <c r="BZ30" s="3">
        <v>1.35</v>
      </c>
      <c r="CA30" s="3">
        <v>-5.74</v>
      </c>
      <c r="CB30" s="3">
        <v>0</v>
      </c>
      <c r="CC30" s="3">
        <v>-19.22</v>
      </c>
      <c r="CD30" s="3" t="s">
        <v>2256</v>
      </c>
      <c r="CE30" s="3" t="s">
        <v>889</v>
      </c>
      <c r="CF30" s="10">
        <v>-0.8307973219720024</v>
      </c>
      <c r="CG30" s="11">
        <v>-1.387693362205962</v>
      </c>
      <c r="CH30" s="10">
        <v>-0.92794191837310791</v>
      </c>
      <c r="CI30" s="10">
        <v>1.0434321165084839</v>
      </c>
      <c r="CJ30" s="10">
        <v>8.381170779466629E-2</v>
      </c>
      <c r="CK30" s="10">
        <v>5.7736719027161598E-3</v>
      </c>
      <c r="CL30" s="10">
        <v>-0.48590084910392761</v>
      </c>
      <c r="CM30" s="11">
        <v>-1.1714943647384644</v>
      </c>
      <c r="CN30" s="11">
        <v>1.5076597929000854</v>
      </c>
      <c r="CO30" s="11">
        <v>0.57676351070404053</v>
      </c>
      <c r="CP30" s="11">
        <v>-6.1272883415222168</v>
      </c>
      <c r="CQ30" s="11">
        <v>1.0195847749710083</v>
      </c>
      <c r="CR30" s="3">
        <v>-5.648927827890101</v>
      </c>
      <c r="CS30" s="3">
        <v>-1.0057727002844075</v>
      </c>
      <c r="CT30" s="3">
        <v>0</v>
      </c>
      <c r="CU30" s="10">
        <v>-5.6165054254233834E-2</v>
      </c>
      <c r="CV30" s="11">
        <v>-0.83895492553710938</v>
      </c>
      <c r="CW30" s="3">
        <v>0.06</v>
      </c>
      <c r="CX30" s="3" t="e">
        <v>#VALUE!</v>
      </c>
      <c r="CY30" s="3" t="s">
        <v>855</v>
      </c>
      <c r="CZ30" s="3">
        <v>-5.6165054254233834E-2</v>
      </c>
      <c r="DA30" s="3" t="e">
        <v>#VALUE!</v>
      </c>
      <c r="DB30" s="3" t="s">
        <v>853</v>
      </c>
      <c r="DC30" s="3">
        <v>-5.3356801541522142E-2</v>
      </c>
      <c r="DD30" s="3" t="e">
        <v>#VALUE!</v>
      </c>
      <c r="DE30" s="3" t="s">
        <v>853</v>
      </c>
      <c r="DF30" s="3">
        <v>-4.9425247743725774E-2</v>
      </c>
      <c r="DG30" s="3" t="e">
        <v>#VALUE!</v>
      </c>
      <c r="DH30" s="3" t="s">
        <v>853</v>
      </c>
      <c r="DI30" s="3">
        <v>-4.4932043403387072E-2</v>
      </c>
      <c r="DJ30" s="3" t="e">
        <v>#VALUE!</v>
      </c>
      <c r="DK30" s="3" t="s">
        <v>853</v>
      </c>
      <c r="DL30" s="3">
        <v>-3.931553797796368E-2</v>
      </c>
      <c r="DM30" s="3">
        <v>-8880200</v>
      </c>
      <c r="DN30" s="3">
        <v>-5.6165054254233834E-2</v>
      </c>
      <c r="DO30" s="3">
        <v>3001857500</v>
      </c>
      <c r="DP30" s="3">
        <v>149382790</v>
      </c>
      <c r="DQ30" s="3">
        <v>1528</v>
      </c>
      <c r="DR30" s="3">
        <v>-0.77463226771776861</v>
      </c>
      <c r="DS30" s="3">
        <v>-0.54873843666885258</v>
      </c>
      <c r="DT30" s="12">
        <v>-0.57333333333333336</v>
      </c>
      <c r="DU30" s="3">
        <v>-2.081666666666667</v>
      </c>
      <c r="DV30" s="3">
        <v>-2.6550000000000002</v>
      </c>
      <c r="DW30" s="3">
        <v>-3.0364166666666668</v>
      </c>
      <c r="DX30" s="3">
        <v>0.45039956427014943</v>
      </c>
      <c r="DY30" s="3">
        <v>-3.0047487174655045</v>
      </c>
      <c r="DZ30" s="3">
        <v>4675</v>
      </c>
      <c r="EA30" s="3">
        <v>-3.0004042450288639</v>
      </c>
      <c r="EB30" s="3">
        <v>3</v>
      </c>
      <c r="EC30" s="3">
        <v>7.4521494905665064E-2</v>
      </c>
      <c r="ED30" s="3">
        <v>0.57148576625054326</v>
      </c>
      <c r="EE30" s="13">
        <v>-3.0750099999999998</v>
      </c>
      <c r="EF30" s="3">
        <v>-3.0848100000000001</v>
      </c>
      <c r="EG30" s="3">
        <v>32.130399564270149</v>
      </c>
      <c r="EH30" s="3" t="s">
        <v>1639</v>
      </c>
      <c r="EI30" s="3">
        <v>0</v>
      </c>
      <c r="EJ30" s="3">
        <v>0</v>
      </c>
      <c r="EK30" s="15">
        <v>45470</v>
      </c>
      <c r="EL30" s="16">
        <v>0</v>
      </c>
      <c r="EM30" s="16">
        <v>-6.23</v>
      </c>
      <c r="EN30" s="16">
        <v>-2.33</v>
      </c>
      <c r="EO30" s="16">
        <v>4.42</v>
      </c>
      <c r="EP30" s="16">
        <v>-0.98</v>
      </c>
    </row>
    <row r="31" spans="1:146" ht="96" x14ac:dyDescent="0.25">
      <c r="C31" s="7" t="str">
        <f>""&amp;CHAR(10)&amp;Basic_Fundamental_Information_Constructure(F31)&amp;CHAR(10)&amp;Basic_Fundamental_Information_Concatenate("")</f>
        <v xml:space="preserve">
市值155.73964亿, 利润3.09亿; PE32.7; 平均PE199.38; 平均PEG98, PB2.09; ROIC5.085%; ROE-2.9167%; 股利率0%; 毛利18.22%; 净利-1.49%; 上一年度营收增-74.08%, 利润增629.15%; 当季营收增-33.33%, 利润增334.25%; 过往5年营收增-2.03%, 利润增253.81%
Income profile:
</v>
      </c>
      <c r="D31" s="3" t="s">
        <v>475</v>
      </c>
      <c r="E31" s="3" t="s">
        <v>476</v>
      </c>
      <c r="F31" s="3">
        <v>11.52</v>
      </c>
      <c r="G31" s="3">
        <v>-1.2</v>
      </c>
      <c r="H31" s="3" t="s">
        <v>2257</v>
      </c>
      <c r="I31" s="3">
        <v>15573964000</v>
      </c>
      <c r="J31" s="3">
        <v>32.700000000000003</v>
      </c>
      <c r="K31" s="3">
        <v>2.09</v>
      </c>
      <c r="L31" s="3" t="s">
        <v>285</v>
      </c>
      <c r="M31" s="3" t="s">
        <v>2258</v>
      </c>
      <c r="N31" s="3" t="s">
        <v>2259</v>
      </c>
      <c r="O31" s="3" t="s">
        <v>2260</v>
      </c>
      <c r="P31" s="3">
        <v>30.95</v>
      </c>
      <c r="Q31" s="3" t="s">
        <v>2260</v>
      </c>
      <c r="R31" s="3">
        <v>309206630</v>
      </c>
      <c r="S31" s="5">
        <v>4.7990000000000004</v>
      </c>
      <c r="T31" s="3" t="s">
        <v>1586</v>
      </c>
      <c r="U31" s="3">
        <v>1200158540</v>
      </c>
      <c r="V31" s="3">
        <v>1351906600</v>
      </c>
      <c r="W31" s="3">
        <v>2.95</v>
      </c>
      <c r="X31" s="3">
        <v>0.21</v>
      </c>
      <c r="Y31" s="3">
        <v>8.2200000000000006</v>
      </c>
      <c r="Z31" s="3" t="s">
        <v>2261</v>
      </c>
      <c r="AA31" s="3" t="s">
        <v>2262</v>
      </c>
      <c r="AB31" s="3" t="s">
        <v>2263</v>
      </c>
      <c r="AC31" s="3" t="s">
        <v>1386</v>
      </c>
      <c r="AD31" s="3" t="s">
        <v>4</v>
      </c>
      <c r="AE31" s="3">
        <v>21185069</v>
      </c>
      <c r="AF31" s="3" t="s">
        <v>2264</v>
      </c>
      <c r="AG31" s="3" t="s">
        <v>2265</v>
      </c>
      <c r="AH31" s="3" t="s">
        <v>2266</v>
      </c>
      <c r="AI31" s="3" t="s">
        <v>2267</v>
      </c>
      <c r="AJ31" s="3" t="s">
        <v>2268</v>
      </c>
      <c r="AK31" s="3" t="s">
        <v>2269</v>
      </c>
      <c r="AL31" s="3" t="s">
        <v>2270</v>
      </c>
      <c r="AM31" s="3" t="s">
        <v>4</v>
      </c>
      <c r="AN31" s="3" t="s">
        <v>2271</v>
      </c>
      <c r="AO31" s="3" t="s">
        <v>2272</v>
      </c>
      <c r="AP31" s="3" t="s">
        <v>1541</v>
      </c>
      <c r="AQ31" s="3" t="s">
        <v>2273</v>
      </c>
      <c r="AR31" s="3" t="s">
        <v>4</v>
      </c>
      <c r="AS31" s="3" t="s">
        <v>2274</v>
      </c>
      <c r="AT31" s="3" t="s">
        <v>347</v>
      </c>
      <c r="AU31" s="3" t="s">
        <v>1088</v>
      </c>
      <c r="AV31" s="3" t="s">
        <v>2275</v>
      </c>
      <c r="AW31" s="3" t="s">
        <v>1166</v>
      </c>
      <c r="AX31" s="3" t="s">
        <v>1203</v>
      </c>
      <c r="AY31" s="3" t="s">
        <v>741</v>
      </c>
      <c r="AZ31" s="3" t="s">
        <v>477</v>
      </c>
      <c r="BA31" s="3" t="s">
        <v>478</v>
      </c>
      <c r="BB31" s="3" t="s">
        <v>479</v>
      </c>
      <c r="BC31" s="3" t="s">
        <v>2276</v>
      </c>
      <c r="BD31" s="3" t="s">
        <v>742</v>
      </c>
      <c r="BE31" s="3" t="s">
        <v>367</v>
      </c>
      <c r="BF31" s="3" t="s">
        <v>480</v>
      </c>
      <c r="BG31" s="3" t="s">
        <v>481</v>
      </c>
      <c r="BH31" s="3" t="s">
        <v>2277</v>
      </c>
      <c r="BI31" s="3" t="s">
        <v>1202</v>
      </c>
      <c r="BJ31" s="3" t="s">
        <v>1203</v>
      </c>
      <c r="BK31" s="3" t="s">
        <v>2278</v>
      </c>
      <c r="BL31" s="3" t="s">
        <v>1408</v>
      </c>
      <c r="BM31" s="3" t="s">
        <v>2276</v>
      </c>
      <c r="BN31" s="3">
        <v>1.38</v>
      </c>
      <c r="BO31" s="3">
        <v>8.7899999999999991</v>
      </c>
      <c r="BP31" s="3" t="s">
        <v>4</v>
      </c>
      <c r="BQ31" s="3">
        <v>0.03</v>
      </c>
      <c r="BR31" s="3">
        <v>0.75</v>
      </c>
      <c r="BS31" s="3">
        <v>-9.5299999999999994</v>
      </c>
      <c r="BT31" s="3" t="s">
        <v>1043</v>
      </c>
      <c r="BU31" s="3" t="s">
        <v>841</v>
      </c>
      <c r="BV31" s="3">
        <v>19.86</v>
      </c>
      <c r="BW31" s="3">
        <v>17.37</v>
      </c>
      <c r="BX31" s="3">
        <v>17.43</v>
      </c>
      <c r="BY31" s="3">
        <v>1.1000000000000001</v>
      </c>
      <c r="BZ31" s="3">
        <v>0.45</v>
      </c>
      <c r="CA31" s="3">
        <v>-6.02</v>
      </c>
      <c r="CB31" s="3">
        <v>-3.92</v>
      </c>
      <c r="CC31" s="3">
        <v>7.16</v>
      </c>
      <c r="CD31" s="3" t="s">
        <v>135</v>
      </c>
      <c r="CE31" s="3" t="s">
        <v>257</v>
      </c>
      <c r="CF31" s="10">
        <v>-0.33333333333333331</v>
      </c>
      <c r="CG31" s="11">
        <v>3.3424744696969695</v>
      </c>
      <c r="CH31" s="10">
        <v>-0.74084067344665527</v>
      </c>
      <c r="CI31" s="10">
        <v>0.37621074914932251</v>
      </c>
      <c r="CJ31" s="10">
        <v>0.12747503817081451</v>
      </c>
      <c r="CK31" s="10">
        <v>0.1320624053478241</v>
      </c>
      <c r="CL31" s="10">
        <v>3.3618919551372528E-3</v>
      </c>
      <c r="CM31" s="11">
        <v>6.2915019989013672</v>
      </c>
      <c r="CN31" s="11">
        <v>1.0700464248657227</v>
      </c>
      <c r="CO31" s="11">
        <v>-2.0083332061767578</v>
      </c>
      <c r="CP31" s="11">
        <v>6.1578717231750488</v>
      </c>
      <c r="CQ31" s="11">
        <v>1.1791830062866211</v>
      </c>
      <c r="CR31" s="3">
        <v>199.38178785988191</v>
      </c>
      <c r="CS31" s="3">
        <v>97.995003354248126</v>
      </c>
      <c r="CT31" s="3">
        <v>0</v>
      </c>
      <c r="CU31" s="10">
        <v>-2.0346117764711381E-2</v>
      </c>
      <c r="CV31" s="11">
        <v>2.5380539894104004</v>
      </c>
      <c r="CW31" s="3">
        <v>0.06</v>
      </c>
      <c r="CX31" s="3">
        <v>69.854252427184463</v>
      </c>
      <c r="CY31" s="3" t="s">
        <v>2279</v>
      </c>
      <c r="CZ31" s="3">
        <v>-2.0346117764711381E-2</v>
      </c>
      <c r="DA31" s="3">
        <v>23.284750809061489</v>
      </c>
      <c r="DB31" s="3" t="s">
        <v>2280</v>
      </c>
      <c r="DC31" s="3">
        <v>-1.932881187647581E-2</v>
      </c>
      <c r="DD31" s="3">
        <v>11.642375404530744</v>
      </c>
      <c r="DE31" s="3" t="s">
        <v>2281</v>
      </c>
      <c r="DF31" s="3">
        <v>-1.7904583632946017E-2</v>
      </c>
      <c r="DG31" s="3">
        <v>6.9854252427184464</v>
      </c>
      <c r="DH31" s="3" t="s">
        <v>2282</v>
      </c>
      <c r="DI31" s="3">
        <v>-1.6276894211769106E-2</v>
      </c>
      <c r="DJ31" s="3">
        <v>3.4927126213592232</v>
      </c>
      <c r="DK31" s="3" t="s">
        <v>2283</v>
      </c>
      <c r="DL31" s="3">
        <v>-1.4242282435297966E-2</v>
      </c>
      <c r="DM31" s="3">
        <v>309000000</v>
      </c>
      <c r="DN31" s="3">
        <v>-2.0346117764711381E-2</v>
      </c>
      <c r="DO31" s="3">
        <v>21584964000</v>
      </c>
      <c r="DP31" s="3">
        <v>320718700</v>
      </c>
      <c r="DQ31" s="3">
        <v>1605</v>
      </c>
      <c r="DR31" s="3">
        <v>-0.31298721556862191</v>
      </c>
      <c r="DS31" s="3">
        <v>0.8044204802865691</v>
      </c>
      <c r="DT31" s="12">
        <v>-0.62333333333333341</v>
      </c>
      <c r="DU31" s="3">
        <v>1.1283333333333332</v>
      </c>
      <c r="DV31" s="3">
        <v>0.50499999999999978</v>
      </c>
      <c r="DW31" s="3">
        <v>-6.3537906137184113</v>
      </c>
      <c r="DX31" s="3">
        <v>0.38754659646242784</v>
      </c>
      <c r="DY31" s="3">
        <v>-6.0557385070516894</v>
      </c>
      <c r="DZ31" s="3">
        <v>274</v>
      </c>
      <c r="EA31" s="3">
        <v>-6.0527497886696615</v>
      </c>
      <c r="EB31" s="3">
        <v>6</v>
      </c>
      <c r="EC31" s="3">
        <v>0.19380037052855575</v>
      </c>
      <c r="ED31" s="3">
        <v>1.2301145656068253</v>
      </c>
      <c r="EE31" s="13">
        <v>2.0030100000000002</v>
      </c>
      <c r="EF31" s="3">
        <v>2.0047999999999999</v>
      </c>
      <c r="EG31" s="3">
        <v>23.157546596462428</v>
      </c>
      <c r="EH31" s="3" t="s">
        <v>1112</v>
      </c>
      <c r="EI31" s="3">
        <v>0</v>
      </c>
      <c r="EJ31" s="3">
        <v>1</v>
      </c>
      <c r="EK31" s="15">
        <v>45470</v>
      </c>
      <c r="EL31" s="16">
        <v>1.76</v>
      </c>
      <c r="EM31" s="16">
        <v>-3.45</v>
      </c>
      <c r="EN31" s="16">
        <v>-2.5</v>
      </c>
      <c r="EO31" s="16">
        <v>5.13</v>
      </c>
      <c r="EP31" s="16">
        <v>0.78</v>
      </c>
    </row>
    <row r="32" spans="1:146" ht="96" x14ac:dyDescent="0.25">
      <c r="C32" s="7" t="str">
        <f>""&amp;CHAR(10)&amp;Basic_Fundamental_Information_Constructure(F32)&amp;CHAR(10)&amp;Basic_Fundamental_Information_Concatenate("")</f>
        <v xml:space="preserve">
市值180.16128亿, 利润1.52亿; PE34.13; 平均PE25.22; 平均PEG9.79, PB2.52; ROIC6.2767%; ROE8.89%; 股利率.5371%; 毛利21.0167%; 净利7.1533%; 上一年度营收增-78.37%, 利润增-76.58%; 当季营收增-44.45%, 利润增-21.82%; 过往5年营收增-2.58%, 利润增-19.52%
Income profile:
</v>
      </c>
      <c r="D32" s="3" t="s">
        <v>483</v>
      </c>
      <c r="E32" s="3" t="s">
        <v>484</v>
      </c>
      <c r="F32" s="3">
        <v>18.62</v>
      </c>
      <c r="G32" s="3">
        <v>1.31</v>
      </c>
      <c r="H32" s="3" t="s">
        <v>2284</v>
      </c>
      <c r="I32" s="3">
        <v>18016128000</v>
      </c>
      <c r="J32" s="3">
        <v>34.130000000000003</v>
      </c>
      <c r="K32" s="3">
        <v>2.52</v>
      </c>
      <c r="L32" s="3" t="s">
        <v>285</v>
      </c>
      <c r="M32" s="3" t="s">
        <v>2285</v>
      </c>
      <c r="N32" s="3" t="s">
        <v>2286</v>
      </c>
      <c r="O32" s="3" t="s">
        <v>818</v>
      </c>
      <c r="P32" s="3">
        <v>6.97</v>
      </c>
      <c r="Q32" s="3" t="s">
        <v>818</v>
      </c>
      <c r="R32" s="3">
        <v>151660610</v>
      </c>
      <c r="S32" s="5">
        <v>4.4900000000000002E-2</v>
      </c>
      <c r="T32" s="3" t="s">
        <v>191</v>
      </c>
      <c r="U32" s="3">
        <v>824567930</v>
      </c>
      <c r="V32" s="3">
        <v>967568640</v>
      </c>
      <c r="W32" s="3">
        <v>1.82</v>
      </c>
      <c r="X32" s="3">
        <v>0.14000000000000001</v>
      </c>
      <c r="Y32" s="3">
        <v>7.99</v>
      </c>
      <c r="Z32" s="3" t="s">
        <v>2287</v>
      </c>
      <c r="AA32" s="3" t="s">
        <v>2288</v>
      </c>
      <c r="AB32" s="3" t="s">
        <v>2289</v>
      </c>
      <c r="AC32" s="3" t="s">
        <v>2290</v>
      </c>
      <c r="AD32" s="3" t="s">
        <v>4</v>
      </c>
      <c r="AE32" s="3">
        <v>-15958494</v>
      </c>
      <c r="AF32" s="3" t="s">
        <v>2291</v>
      </c>
      <c r="AG32" s="3" t="s">
        <v>2292</v>
      </c>
      <c r="AH32" s="3" t="s">
        <v>2293</v>
      </c>
      <c r="AI32" s="3" t="s">
        <v>2294</v>
      </c>
      <c r="AJ32" s="3" t="s">
        <v>2295</v>
      </c>
      <c r="AK32" s="3" t="s">
        <v>167</v>
      </c>
      <c r="AL32" s="3" t="s">
        <v>2296</v>
      </c>
      <c r="AM32" s="3" t="s">
        <v>4</v>
      </c>
      <c r="AN32" s="3" t="s">
        <v>351</v>
      </c>
      <c r="AO32" s="3" t="s">
        <v>1054</v>
      </c>
      <c r="AP32" s="3" t="s">
        <v>2297</v>
      </c>
      <c r="AQ32" s="3" t="s">
        <v>2298</v>
      </c>
      <c r="AR32" s="3" t="s">
        <v>4</v>
      </c>
      <c r="AS32" s="3" t="s">
        <v>2299</v>
      </c>
      <c r="AT32" s="3" t="s">
        <v>1490</v>
      </c>
      <c r="AU32" s="3" t="s">
        <v>1348</v>
      </c>
      <c r="AV32" s="3" t="s">
        <v>2300</v>
      </c>
      <c r="AW32" s="3" t="s">
        <v>1481</v>
      </c>
      <c r="AX32" s="3" t="s">
        <v>1206</v>
      </c>
      <c r="AY32" s="3" t="s">
        <v>744</v>
      </c>
      <c r="AZ32" s="3" t="s">
        <v>485</v>
      </c>
      <c r="BA32" s="3" t="s">
        <v>486</v>
      </c>
      <c r="BB32" s="3" t="s">
        <v>487</v>
      </c>
      <c r="BC32" s="3" t="s">
        <v>2301</v>
      </c>
      <c r="BD32" s="3" t="s">
        <v>6</v>
      </c>
      <c r="BE32" s="3" t="s">
        <v>244</v>
      </c>
      <c r="BF32" s="3" t="s">
        <v>172</v>
      </c>
      <c r="BG32" s="3" t="s">
        <v>488</v>
      </c>
      <c r="BH32" s="3" t="s">
        <v>2302</v>
      </c>
      <c r="BI32" s="3" t="s">
        <v>1205</v>
      </c>
      <c r="BJ32" s="3" t="s">
        <v>1206</v>
      </c>
      <c r="BK32" s="3" t="s">
        <v>236</v>
      </c>
      <c r="BL32" s="3" t="s">
        <v>76</v>
      </c>
      <c r="BM32" s="3" t="s">
        <v>2301</v>
      </c>
      <c r="BN32" s="3">
        <v>5.45</v>
      </c>
      <c r="BO32" s="3">
        <v>7.34</v>
      </c>
      <c r="BP32" s="3">
        <v>6.04</v>
      </c>
      <c r="BQ32" s="3">
        <v>7.58</v>
      </c>
      <c r="BR32" s="3">
        <v>10.33</v>
      </c>
      <c r="BS32" s="3">
        <v>8.76</v>
      </c>
      <c r="BT32" s="3" t="s">
        <v>1051</v>
      </c>
      <c r="BU32" s="3" t="s">
        <v>841</v>
      </c>
      <c r="BV32" s="3">
        <v>22.07</v>
      </c>
      <c r="BW32" s="3">
        <v>21.81</v>
      </c>
      <c r="BX32" s="3">
        <v>19.170000000000002</v>
      </c>
      <c r="BY32" s="3">
        <v>6.95</v>
      </c>
      <c r="BZ32" s="3">
        <v>7.65</v>
      </c>
      <c r="CA32" s="3">
        <v>6.86</v>
      </c>
      <c r="CB32" s="3">
        <v>-4.9000000000000004</v>
      </c>
      <c r="CC32" s="3">
        <v>0.43</v>
      </c>
      <c r="CD32" s="3" t="s">
        <v>56</v>
      </c>
      <c r="CE32" s="3" t="s">
        <v>228</v>
      </c>
      <c r="CF32" s="10">
        <v>-0.44454409566517206</v>
      </c>
      <c r="CG32" s="11">
        <v>-0.21824427835051546</v>
      </c>
      <c r="CH32" s="10">
        <v>-0.78370201587677002</v>
      </c>
      <c r="CI32" s="10">
        <v>0.13309589028358459</v>
      </c>
      <c r="CJ32" s="10">
        <v>0.18564283847808838</v>
      </c>
      <c r="CK32" s="10">
        <v>0.2454226166009903</v>
      </c>
      <c r="CL32" s="10">
        <v>9.0716026723384857E-2</v>
      </c>
      <c r="CM32" s="11">
        <v>-0.76579350233078003</v>
      </c>
      <c r="CN32" s="11">
        <v>0.2851485013961792</v>
      </c>
      <c r="CO32" s="11">
        <v>-0.48045268654823303</v>
      </c>
      <c r="CP32" s="11">
        <v>-4.7058824449777603E-2</v>
      </c>
      <c r="CQ32" s="11">
        <v>3.2388664782047272E-2</v>
      </c>
      <c r="CR32" s="3">
        <v>25.220897806812879</v>
      </c>
      <c r="CS32" s="3">
        <v>9.7888482609681073</v>
      </c>
      <c r="CT32" s="3">
        <v>0.53705692803437166</v>
      </c>
      <c r="CU32" s="10">
        <v>-2.576492875814438E-2</v>
      </c>
      <c r="CV32" s="11">
        <v>-0.19515356943011283</v>
      </c>
      <c r="CW32" s="3">
        <v>0.06</v>
      </c>
      <c r="CX32" s="3">
        <v>109.18505263157894</v>
      </c>
      <c r="CY32" s="3" t="s">
        <v>2303</v>
      </c>
      <c r="CZ32" s="3">
        <v>-2.576492875814438E-2</v>
      </c>
      <c r="DA32" s="3">
        <v>36.395017543859652</v>
      </c>
      <c r="DB32" s="3" t="s">
        <v>2304</v>
      </c>
      <c r="DC32" s="3">
        <v>-2.4476682320237159E-2</v>
      </c>
      <c r="DD32" s="3">
        <v>18.197508771929826</v>
      </c>
      <c r="DE32" s="3" t="s">
        <v>2305</v>
      </c>
      <c r="DF32" s="3">
        <v>-2.2673137307167055E-2</v>
      </c>
      <c r="DG32" s="3">
        <v>10.918505263157895</v>
      </c>
      <c r="DH32" s="3" t="s">
        <v>2306</v>
      </c>
      <c r="DI32" s="3">
        <v>-2.0611943006515504E-2</v>
      </c>
      <c r="DJ32" s="3">
        <v>5.4592526315789476</v>
      </c>
      <c r="DK32" s="3" t="s">
        <v>2307</v>
      </c>
      <c r="DL32" s="3">
        <v>-1.8035450130701066E-2</v>
      </c>
      <c r="DM32" s="3">
        <v>152000000</v>
      </c>
      <c r="DN32" s="3">
        <v>-2.576492875814438E-2</v>
      </c>
      <c r="DO32" s="3">
        <v>16596128000</v>
      </c>
      <c r="DP32" s="3">
        <v>3249503200</v>
      </c>
      <c r="DQ32" s="3">
        <v>1626</v>
      </c>
      <c r="DR32" s="3">
        <v>-0.41877916690702766</v>
      </c>
      <c r="DS32" s="3">
        <v>-2.3090708920402631E-2</v>
      </c>
      <c r="DT32" s="12">
        <v>-0.52333333333333332</v>
      </c>
      <c r="DU32" s="3">
        <v>-0.53666666666666663</v>
      </c>
      <c r="DV32" s="3">
        <v>-1.06</v>
      </c>
      <c r="DW32" s="3">
        <v>-4.0877551020408163</v>
      </c>
      <c r="DX32" s="3">
        <v>0.4257100149476834</v>
      </c>
      <c r="DY32" s="3">
        <v>-4.0198072053933682</v>
      </c>
      <c r="DZ32" s="3">
        <v>2545</v>
      </c>
      <c r="EA32" s="3">
        <v>-4.0099423643510743</v>
      </c>
      <c r="EB32" s="3">
        <v>4</v>
      </c>
      <c r="EC32" s="3">
        <v>0.1560612795387829</v>
      </c>
      <c r="ED32" s="3">
        <v>0.6914238146453362</v>
      </c>
      <c r="EE32" s="13">
        <v>-1.0174000000000001</v>
      </c>
      <c r="EF32" s="3">
        <v>-1.0141</v>
      </c>
      <c r="EG32" s="3">
        <v>20.225710014947683</v>
      </c>
      <c r="EH32" s="3" t="s">
        <v>1107</v>
      </c>
      <c r="EI32" s="3">
        <v>0</v>
      </c>
      <c r="EJ32" s="3">
        <v>0</v>
      </c>
      <c r="EK32" s="15">
        <v>45470</v>
      </c>
      <c r="EL32" s="16">
        <v>-0.37</v>
      </c>
      <c r="EM32" s="16">
        <v>-3.25</v>
      </c>
      <c r="EN32" s="16">
        <v>-4.24</v>
      </c>
      <c r="EO32" s="16">
        <v>3.56</v>
      </c>
      <c r="EP32" s="16">
        <v>-0.33</v>
      </c>
    </row>
    <row r="33" spans="1:146" ht="96" x14ac:dyDescent="0.25">
      <c r="C33" s="7" t="str">
        <f>""&amp;CHAR(10)&amp;Basic_Fundamental_Information_Constructure(F33)&amp;CHAR(10)&amp;Basic_Fundamental_Information_Concatenate("")</f>
        <v xml:space="preserve">
市值42.418956亿, 利润-2930.69万; PE; 平均PE-3.64; 平均PEG-.12, PB2.86; ROIC14.41%; ROE16.21%; 股利率0%; 毛利1.77%; 净利-31.33%; 上一年度营收增-68.85%, 利润增-120.21%; 当季营收增-40%, 利润增83.63%; 过往5年营收增-30.66%, 利润增-10.04%
Income profile:
</v>
      </c>
      <c r="D33" s="3" t="s">
        <v>489</v>
      </c>
      <c r="E33" s="3" t="s">
        <v>1207</v>
      </c>
      <c r="F33" s="3">
        <v>1.87</v>
      </c>
      <c r="G33" s="3">
        <v>5.65</v>
      </c>
      <c r="H33" s="3" t="s">
        <v>2308</v>
      </c>
      <c r="I33" s="3">
        <v>4241895600</v>
      </c>
      <c r="K33" s="3">
        <v>2.86</v>
      </c>
      <c r="L33" s="3" t="s">
        <v>285</v>
      </c>
      <c r="M33" s="3" t="s">
        <v>1038</v>
      </c>
      <c r="N33" s="3" t="s">
        <v>2309</v>
      </c>
      <c r="O33" s="3" t="s">
        <v>179</v>
      </c>
      <c r="P33" s="3">
        <v>27.87</v>
      </c>
      <c r="Q33" s="3" t="s">
        <v>179</v>
      </c>
      <c r="R33" s="3">
        <v>-29306926</v>
      </c>
      <c r="S33" s="5">
        <v>0.59660000000000002</v>
      </c>
      <c r="T33" s="3" t="s">
        <v>2310</v>
      </c>
      <c r="U33" s="3">
        <v>1643393400</v>
      </c>
      <c r="V33" s="3">
        <v>2268393400</v>
      </c>
      <c r="W33" s="3">
        <v>1.48</v>
      </c>
      <c r="X33" s="3">
        <v>0.09</v>
      </c>
      <c r="Y33" s="3">
        <v>-15.16</v>
      </c>
      <c r="Z33" s="3" t="s">
        <v>38</v>
      </c>
      <c r="AA33" s="3" t="s">
        <v>103</v>
      </c>
      <c r="AB33" s="3" t="s">
        <v>2311</v>
      </c>
      <c r="AC33" s="3" t="s">
        <v>2312</v>
      </c>
      <c r="AD33" s="3" t="s">
        <v>4</v>
      </c>
      <c r="AE33" s="3">
        <v>-4882247</v>
      </c>
      <c r="AF33" s="3" t="s">
        <v>21</v>
      </c>
      <c r="AG33" s="3" t="s">
        <v>2313</v>
      </c>
      <c r="AH33" s="3" t="s">
        <v>2314</v>
      </c>
      <c r="AI33" s="3" t="s">
        <v>2315</v>
      </c>
      <c r="AJ33" s="3" t="s">
        <v>2316</v>
      </c>
      <c r="AK33" s="3" t="s">
        <v>2317</v>
      </c>
      <c r="AL33" s="3" t="s">
        <v>2318</v>
      </c>
      <c r="AM33" s="3" t="s">
        <v>4</v>
      </c>
      <c r="AN33" s="3" t="s">
        <v>2319</v>
      </c>
      <c r="AO33" s="3" t="s">
        <v>4</v>
      </c>
      <c r="AP33" s="3" t="s">
        <v>2320</v>
      </c>
      <c r="AQ33" s="3" t="s">
        <v>62</v>
      </c>
      <c r="AR33" s="3" t="s">
        <v>4</v>
      </c>
      <c r="AS33" s="3" t="s">
        <v>2321</v>
      </c>
      <c r="AT33" s="3" t="s">
        <v>4</v>
      </c>
      <c r="AU33" s="3" t="s">
        <v>2322</v>
      </c>
      <c r="AV33" s="3" t="s">
        <v>2323</v>
      </c>
      <c r="AW33" s="3" t="s">
        <v>2324</v>
      </c>
      <c r="AX33" s="3" t="s">
        <v>1208</v>
      </c>
      <c r="AY33" s="3" t="s">
        <v>745</v>
      </c>
      <c r="AZ33" s="3" t="s">
        <v>747</v>
      </c>
      <c r="BA33" s="3" t="s">
        <v>748</v>
      </c>
      <c r="BB33" s="3" t="s">
        <v>491</v>
      </c>
      <c r="BC33" s="3" t="s">
        <v>50</v>
      </c>
      <c r="BD33" s="3" t="s">
        <v>746</v>
      </c>
      <c r="BE33" s="3" t="s">
        <v>749</v>
      </c>
      <c r="BF33" s="3" t="s">
        <v>750</v>
      </c>
      <c r="BG33" s="3" t="s">
        <v>492</v>
      </c>
      <c r="BH33" s="3" t="s">
        <v>405</v>
      </c>
      <c r="BI33" s="3" t="s">
        <v>942</v>
      </c>
      <c r="BJ33" s="3" t="s">
        <v>1208</v>
      </c>
      <c r="BK33" s="3" t="s">
        <v>2325</v>
      </c>
      <c r="BL33" s="3" t="s">
        <v>1411</v>
      </c>
      <c r="BM33" s="3" t="s">
        <v>50</v>
      </c>
      <c r="BN33" s="3" t="s">
        <v>4</v>
      </c>
      <c r="BO33" s="3">
        <v>14.41</v>
      </c>
      <c r="BP33" s="3" t="s">
        <v>4</v>
      </c>
      <c r="BQ33" s="3" t="s">
        <v>4</v>
      </c>
      <c r="BR33" s="3">
        <v>16.21</v>
      </c>
      <c r="BS33" s="3" t="s">
        <v>4</v>
      </c>
      <c r="BT33" s="3" t="s">
        <v>1043</v>
      </c>
      <c r="BU33" s="3" t="s">
        <v>841</v>
      </c>
      <c r="BV33" s="3">
        <v>4.66</v>
      </c>
      <c r="BW33" s="3">
        <v>5.07</v>
      </c>
      <c r="BX33" s="3">
        <v>-4.42</v>
      </c>
      <c r="BY33" s="3">
        <v>-72.510000000000005</v>
      </c>
      <c r="BZ33" s="3">
        <v>22.75</v>
      </c>
      <c r="CA33" s="3">
        <v>-44.23</v>
      </c>
      <c r="CB33" s="3">
        <v>7.47</v>
      </c>
      <c r="CC33" s="3">
        <v>-7.43</v>
      </c>
      <c r="CD33" s="3" t="s">
        <v>941</v>
      </c>
      <c r="CE33" s="3" t="s">
        <v>2326</v>
      </c>
      <c r="CF33" s="10">
        <v>-0.4</v>
      </c>
      <c r="CG33" s="11">
        <v>0.83627415642458103</v>
      </c>
      <c r="CH33" s="10">
        <v>-0.68849837779998779</v>
      </c>
      <c r="CI33" s="10">
        <v>-0.80546927452087402</v>
      </c>
      <c r="CJ33" s="10">
        <v>-0.37768322229385376</v>
      </c>
      <c r="CK33" s="10">
        <v>5.4230351001024246E-2</v>
      </c>
      <c r="CL33" s="10">
        <v>0.28436759114265442</v>
      </c>
      <c r="CM33" s="11">
        <v>-1.2021164894104004</v>
      </c>
      <c r="CN33" s="11">
        <v>1.1046930551528931</v>
      </c>
      <c r="CO33" s="11">
        <v>0.49636366963386536</v>
      </c>
      <c r="CP33" s="11">
        <v>-1.1467605829238892</v>
      </c>
      <c r="CQ33" s="11">
        <v>0.24602708220481873</v>
      </c>
      <c r="CR33" s="3">
        <v>-3.6362705570175811</v>
      </c>
      <c r="CS33" s="3">
        <v>-0.11859572751856953</v>
      </c>
      <c r="CT33" s="3">
        <v>0</v>
      </c>
      <c r="CU33" s="10">
        <v>-0.30661058649420736</v>
      </c>
      <c r="CV33" s="11">
        <v>-0.10035865306854248</v>
      </c>
      <c r="CW33" s="3">
        <v>0.06</v>
      </c>
      <c r="CX33" s="3" t="e">
        <v>#VALUE!</v>
      </c>
      <c r="CY33" s="3" t="s">
        <v>855</v>
      </c>
      <c r="CZ33" s="3">
        <v>-0.30661058649420736</v>
      </c>
      <c r="DA33" s="3" t="e">
        <v>#VALUE!</v>
      </c>
      <c r="DB33" s="3" t="s">
        <v>853</v>
      </c>
      <c r="DC33" s="3">
        <v>-0.29128005716949695</v>
      </c>
      <c r="DD33" s="3" t="e">
        <v>#VALUE!</v>
      </c>
      <c r="DE33" s="3" t="s">
        <v>853</v>
      </c>
      <c r="DF33" s="3">
        <v>-0.26981731611490251</v>
      </c>
      <c r="DG33" s="3" t="e">
        <v>#VALUE!</v>
      </c>
      <c r="DH33" s="3" t="s">
        <v>853</v>
      </c>
      <c r="DI33" s="3">
        <v>-0.2452884691953659</v>
      </c>
      <c r="DJ33" s="3" t="e">
        <v>#VALUE!</v>
      </c>
      <c r="DK33" s="3" t="s">
        <v>853</v>
      </c>
      <c r="DL33" s="3">
        <v>-0.21462741054594514</v>
      </c>
      <c r="DM33" s="3">
        <v>-29306900</v>
      </c>
      <c r="DN33" s="3">
        <v>-0.30661058649420736</v>
      </c>
      <c r="DO33" s="3">
        <v>3515895600</v>
      </c>
      <c r="DP33" s="3">
        <v>479828870</v>
      </c>
      <c r="DQ33" s="3">
        <v>1741</v>
      </c>
      <c r="DR33" s="3">
        <v>-9.3389413505792662E-2</v>
      </c>
      <c r="DS33" s="3">
        <v>0.93663280949312355</v>
      </c>
      <c r="DT33" s="12">
        <v>-1.1066666666666667</v>
      </c>
      <c r="DU33" s="3">
        <v>-2.1583333333333337</v>
      </c>
      <c r="DV33" s="3">
        <v>-3.2650000000000006</v>
      </c>
      <c r="DW33" s="3">
        <v>5.9946452476572958</v>
      </c>
      <c r="DX33" s="3">
        <v>0.56267206477732779</v>
      </c>
      <c r="DY33" s="3">
        <v>5.2214797110168067</v>
      </c>
      <c r="DZ33" s="3">
        <v>5004</v>
      </c>
      <c r="EA33" s="3">
        <v>5.0045942953752993</v>
      </c>
      <c r="EB33" s="3">
        <v>5</v>
      </c>
      <c r="EC33" s="3">
        <v>7.2738705728909281E-2</v>
      </c>
      <c r="ED33" s="3">
        <v>0.32666291481891985</v>
      </c>
      <c r="EE33" s="13">
        <v>-1.0854999999999999</v>
      </c>
      <c r="EF33" s="3">
        <v>-1.0798000000000001</v>
      </c>
      <c r="EG33" s="3">
        <v>34.222672064777328</v>
      </c>
      <c r="EH33" s="3" t="s">
        <v>1107</v>
      </c>
      <c r="EI33" s="3">
        <v>1</v>
      </c>
      <c r="EJ33" s="3">
        <v>0</v>
      </c>
      <c r="EK33" s="15">
        <v>45470</v>
      </c>
      <c r="EL33" s="16">
        <v>-0.55000000000000004</v>
      </c>
      <c r="EM33" s="16">
        <v>2.75</v>
      </c>
      <c r="EN33" s="16">
        <v>-7.49</v>
      </c>
      <c r="EO33" s="16">
        <v>1.73</v>
      </c>
      <c r="EP33" s="16">
        <v>-0.56999999999999995</v>
      </c>
    </row>
    <row r="34" spans="1:146" ht="96" x14ac:dyDescent="0.25">
      <c r="C34" s="7" t="str">
        <f>""&amp;CHAR(10)&amp;Basic_Fundamental_Information_Constructure(F34)&amp;CHAR(10)&amp;Basic_Fundamental_Information_Concatenate("")</f>
        <v xml:space="preserve">
市值20.004169亿, 利润828.72万; PE45.99; 平均PE-12.6; 平均PEG-2.47, PB2.16; ROIC4.055%; ROE-10.75%; 股利率0%; 毛利14.3633%; 净利-3.6167%; 上一年度营收增-72.89%, 利润增102.58%; 当季营收增-43.13%, 利润增-60.2%; 过往5年营收增-5.11%, 利润增137.73%
Income profile:
</v>
      </c>
      <c r="D34" s="3" t="s">
        <v>493</v>
      </c>
      <c r="E34" s="3" t="s">
        <v>494</v>
      </c>
      <c r="F34" s="3">
        <v>4.09</v>
      </c>
      <c r="G34" s="3">
        <v>1.24</v>
      </c>
      <c r="H34" s="3" t="s">
        <v>2327</v>
      </c>
      <c r="I34" s="3">
        <v>2000416900</v>
      </c>
      <c r="J34" s="3">
        <v>45.99</v>
      </c>
      <c r="K34" s="3">
        <v>2.16</v>
      </c>
      <c r="L34" s="3" t="s">
        <v>285</v>
      </c>
      <c r="M34" s="3" t="s">
        <v>2008</v>
      </c>
      <c r="N34" s="3" t="s">
        <v>2328</v>
      </c>
      <c r="O34" s="3" t="s">
        <v>2329</v>
      </c>
      <c r="P34" s="3">
        <v>31.7</v>
      </c>
      <c r="Q34" s="3" t="s">
        <v>2329</v>
      </c>
      <c r="R34" s="3">
        <v>8287215</v>
      </c>
      <c r="S34" s="5">
        <v>-0.1338</v>
      </c>
      <c r="T34" s="3" t="s">
        <v>2330</v>
      </c>
      <c r="U34" s="3">
        <v>458098680</v>
      </c>
      <c r="V34" s="3">
        <v>489099490</v>
      </c>
      <c r="W34" s="3">
        <v>2.37</v>
      </c>
      <c r="X34" s="3">
        <v>0.24</v>
      </c>
      <c r="Y34" s="3">
        <v>1.53</v>
      </c>
      <c r="Z34" s="3" t="s">
        <v>1180</v>
      </c>
      <c r="AA34" s="3" t="s">
        <v>1291</v>
      </c>
      <c r="AB34" s="3" t="s">
        <v>2331</v>
      </c>
      <c r="AC34" s="3" t="s">
        <v>2332</v>
      </c>
      <c r="AD34" s="3" t="s">
        <v>4</v>
      </c>
      <c r="AE34" s="3">
        <v>5716728</v>
      </c>
      <c r="AF34" s="3" t="s">
        <v>2333</v>
      </c>
      <c r="AG34" s="3">
        <v>5925.6</v>
      </c>
      <c r="AH34" s="3" t="s">
        <v>2334</v>
      </c>
      <c r="AI34" s="3" t="s">
        <v>1078</v>
      </c>
      <c r="AJ34" s="3" t="s">
        <v>2335</v>
      </c>
      <c r="AK34" s="3" t="s">
        <v>2336</v>
      </c>
      <c r="AL34" s="3" t="s">
        <v>2337</v>
      </c>
      <c r="AM34" s="3" t="s">
        <v>4</v>
      </c>
      <c r="AN34" s="3" t="s">
        <v>2338</v>
      </c>
      <c r="AO34" s="3" t="s">
        <v>112</v>
      </c>
      <c r="AP34" s="3" t="s">
        <v>126</v>
      </c>
      <c r="AQ34" s="3" t="s">
        <v>1094</v>
      </c>
      <c r="AR34" s="3" t="s">
        <v>4</v>
      </c>
      <c r="AS34" s="3" t="s">
        <v>2339</v>
      </c>
      <c r="AT34" s="3" t="s">
        <v>4</v>
      </c>
      <c r="AU34" s="3" t="s">
        <v>2340</v>
      </c>
      <c r="AV34" s="3" t="s">
        <v>2341</v>
      </c>
      <c r="AW34" s="3" t="s">
        <v>2342</v>
      </c>
      <c r="AX34" s="3" t="s">
        <v>1209</v>
      </c>
      <c r="AY34" s="3" t="s">
        <v>751</v>
      </c>
      <c r="AZ34" s="3" t="s">
        <v>240</v>
      </c>
      <c r="BA34" s="3" t="s">
        <v>496</v>
      </c>
      <c r="BB34" s="3" t="s">
        <v>252</v>
      </c>
      <c r="BC34" s="3" t="s">
        <v>1210</v>
      </c>
      <c r="BD34" s="3" t="s">
        <v>752</v>
      </c>
      <c r="BE34" s="3" t="s">
        <v>495</v>
      </c>
      <c r="BF34" s="3" t="s">
        <v>497</v>
      </c>
      <c r="BG34" s="3" t="s">
        <v>498</v>
      </c>
      <c r="BH34" s="3" t="s">
        <v>1400</v>
      </c>
      <c r="BI34" s="3" t="s">
        <v>930</v>
      </c>
      <c r="BJ34" s="3" t="s">
        <v>1209</v>
      </c>
      <c r="BK34" s="3" t="s">
        <v>2343</v>
      </c>
      <c r="BL34" s="3" t="s">
        <v>1413</v>
      </c>
      <c r="BM34" s="3" t="s">
        <v>1210</v>
      </c>
      <c r="BN34" s="3">
        <v>3.45</v>
      </c>
      <c r="BO34" s="3" t="s">
        <v>4</v>
      </c>
      <c r="BP34" s="3">
        <v>4.66</v>
      </c>
      <c r="BQ34" s="3">
        <v>4.84</v>
      </c>
      <c r="BR34" s="3">
        <v>-43.91</v>
      </c>
      <c r="BS34" s="3">
        <v>6.82</v>
      </c>
      <c r="BT34" s="3" t="s">
        <v>1043</v>
      </c>
      <c r="BU34" s="3" t="s">
        <v>841</v>
      </c>
      <c r="BV34" s="3">
        <v>15.96</v>
      </c>
      <c r="BW34" s="3">
        <v>14.54</v>
      </c>
      <c r="BX34" s="3">
        <v>12.59</v>
      </c>
      <c r="BY34" s="3">
        <v>2.19</v>
      </c>
      <c r="BZ34" s="3">
        <v>-16.02</v>
      </c>
      <c r="CA34" s="3">
        <v>2.98</v>
      </c>
      <c r="CB34" s="3">
        <v>-1.92</v>
      </c>
      <c r="CC34" s="3">
        <v>-12.79</v>
      </c>
      <c r="CD34" s="3" t="s">
        <v>2344</v>
      </c>
      <c r="CE34" s="3" t="s">
        <v>2001</v>
      </c>
      <c r="CF34" s="10">
        <v>-0.43133047210300429</v>
      </c>
      <c r="CG34" s="11">
        <v>-0.60199143201563754</v>
      </c>
      <c r="CH34" s="10">
        <v>-0.7289002537727356</v>
      </c>
      <c r="CI34" s="10">
        <v>-5.0970841199159622E-2</v>
      </c>
      <c r="CJ34" s="10">
        <v>0.22473245859146118</v>
      </c>
      <c r="CK34" s="10">
        <v>0.15284436941146851</v>
      </c>
      <c r="CL34" s="10">
        <v>0.14701263606548309</v>
      </c>
      <c r="CM34" s="11">
        <v>1.025816798210144</v>
      </c>
      <c r="CN34" s="11">
        <v>-6.2386784553527832</v>
      </c>
      <c r="CO34" s="11">
        <v>11.198642730712891</v>
      </c>
      <c r="CP34" s="11">
        <v>-0.1073218435049057</v>
      </c>
      <c r="CQ34" s="11">
        <v>1.0079030990600586</v>
      </c>
      <c r="CR34" s="3">
        <v>-12.59724637503192</v>
      </c>
      <c r="CS34" s="3">
        <v>-2.4673233108172052</v>
      </c>
      <c r="CT34" s="3">
        <v>0</v>
      </c>
      <c r="CU34" s="10">
        <v>-5.1056326180696485E-2</v>
      </c>
      <c r="CV34" s="11">
        <v>1.3772724658250808</v>
      </c>
      <c r="CW34" s="3">
        <v>0.06</v>
      </c>
      <c r="CX34" s="3">
        <v>294.96294285162662</v>
      </c>
      <c r="CY34" s="3" t="s">
        <v>2345</v>
      </c>
      <c r="CZ34" s="3">
        <v>-5.1056326180696485E-2</v>
      </c>
      <c r="DA34" s="3">
        <v>98.320980950542207</v>
      </c>
      <c r="DB34" s="3" t="s">
        <v>2346</v>
      </c>
      <c r="DC34" s="3">
        <v>-4.850350987166166E-2</v>
      </c>
      <c r="DD34" s="3">
        <v>49.160490475271104</v>
      </c>
      <c r="DE34" s="3" t="s">
        <v>2347</v>
      </c>
      <c r="DF34" s="3">
        <v>-4.4929567039012908E-2</v>
      </c>
      <c r="DG34" s="3">
        <v>29.496294285162662</v>
      </c>
      <c r="DH34" s="3" t="s">
        <v>2348</v>
      </c>
      <c r="DI34" s="3">
        <v>-4.0845060944557192E-2</v>
      </c>
      <c r="DJ34" s="3">
        <v>14.748147142581331</v>
      </c>
      <c r="DK34" s="3" t="s">
        <v>2349</v>
      </c>
      <c r="DL34" s="3">
        <v>-3.5739428326487535E-2</v>
      </c>
      <c r="DM34" s="3">
        <v>8287200</v>
      </c>
      <c r="DN34" s="3">
        <v>-5.1056326180696485E-2</v>
      </c>
      <c r="DO34" s="3">
        <v>2444416900</v>
      </c>
      <c r="DP34" s="3">
        <v>304545700</v>
      </c>
      <c r="DQ34" s="3">
        <v>1763</v>
      </c>
      <c r="DR34" s="3">
        <v>-0.38027414592230779</v>
      </c>
      <c r="DS34" s="3">
        <v>-1.9792638978407182</v>
      </c>
      <c r="DT34" s="12">
        <v>-0.52333333333333332</v>
      </c>
      <c r="DU34" s="3">
        <v>-0.26166666666666671</v>
      </c>
      <c r="DV34" s="3">
        <v>-0.78500000000000003</v>
      </c>
      <c r="DW34" s="3">
        <v>-2.1278999999999999</v>
      </c>
      <c r="DX34" s="3">
        <v>0.33558278688524595</v>
      </c>
      <c r="DY34" s="3">
        <v>-2.0186200384426232</v>
      </c>
      <c r="DZ34" s="3">
        <v>1739</v>
      </c>
      <c r="EA34" s="3">
        <v>-2.0122833952231081</v>
      </c>
      <c r="EB34" s="3">
        <v>2</v>
      </c>
      <c r="EC34" s="3">
        <v>7.2627759231562478E-2</v>
      </c>
      <c r="ED34" s="3">
        <v>0.4988760057795194</v>
      </c>
      <c r="EE34" s="13">
        <v>-3.0846</v>
      </c>
      <c r="EF34" s="3">
        <v>-3.0676999999999999</v>
      </c>
      <c r="EG34" s="3">
        <v>19.145582786885246</v>
      </c>
      <c r="EH34" s="3" t="s">
        <v>1160</v>
      </c>
      <c r="EI34" s="3">
        <v>0</v>
      </c>
      <c r="EJ34" s="3">
        <v>0</v>
      </c>
      <c r="EK34" s="15">
        <v>45470</v>
      </c>
      <c r="EL34" s="16">
        <v>-0.47</v>
      </c>
      <c r="EM34" s="16">
        <v>-5.23</v>
      </c>
      <c r="EN34" s="16">
        <v>-1</v>
      </c>
      <c r="EO34" s="16">
        <v>5.0599999999999996</v>
      </c>
      <c r="EP34" s="16">
        <v>-1.69</v>
      </c>
    </row>
    <row r="35" spans="1:146" ht="144" x14ac:dyDescent="0.25">
      <c r="C35" s="7" t="str">
        <f>"公司的主营业务是提供从移动终端天线、系统侧基站天线到车载智能天线、指纹识别模组、散热器件组件等产品。"&amp;CHAR(10)&amp;Basic_Fundamental_Information_Constructure(F35)&amp;CHAR(10)&amp;Basic_Fundamental_Information_Concatenate("天线 5.24亿 64.31% 91.11% 26.72%
指纹模组 1.30亿 15.96% 0.89% 1.05%
散热组件 9989.51万 12.26% 5.70% 8.77%
其他业务 6081.76万 7.47% 2.30% 5.82%")</f>
        <v>公司的主营业务是提供从移动终端天线、系统侧基站天线到车载智能天线、指纹识别模组、散热器件组件等产品。
市值39.588446亿, 利润-825.08万; PE; 平均PE171.79; 平均PEG10.19, PB3.86; ROIC2.98%; ROE-5.5533%; 股利率0%; 毛利19.5467%; 净利-5.5333%; 上一年度营收增-76.39%, 利润增90.47%; 当季营收增-53.02%, 利润增93.7%; 过往5年营收增-16.86%, 利润增-29.92%
Income profile:
天线 5.24亿 64.31% 91.11% 26.72%
指纹模组 1.30亿 15.96% 0.89% 1.05%
散热组件 9989.51万 12.26% 5.70% 8.77%
其他业务 6081.76万 7.47% 2.30% 5.82%</v>
      </c>
      <c r="D35" s="3" t="s">
        <v>499</v>
      </c>
      <c r="E35" s="3" t="s">
        <v>500</v>
      </c>
      <c r="F35" s="3">
        <v>8.5</v>
      </c>
      <c r="G35" s="3">
        <v>-3.95</v>
      </c>
      <c r="H35" s="3" t="s">
        <v>2350</v>
      </c>
      <c r="I35" s="3">
        <v>3958844600</v>
      </c>
      <c r="K35" s="3">
        <v>3.86</v>
      </c>
      <c r="L35" s="3" t="s">
        <v>285</v>
      </c>
      <c r="M35" s="3" t="s">
        <v>2351</v>
      </c>
      <c r="N35" s="3" t="s">
        <v>1882</v>
      </c>
      <c r="O35" s="3" t="s">
        <v>2352</v>
      </c>
      <c r="P35" s="3">
        <v>4.38</v>
      </c>
      <c r="Q35" s="3" t="s">
        <v>2352</v>
      </c>
      <c r="R35" s="3">
        <v>-8250757</v>
      </c>
      <c r="S35" s="5">
        <v>0.69299999999999995</v>
      </c>
      <c r="T35" s="3" t="s">
        <v>2353</v>
      </c>
      <c r="U35" s="3">
        <v>443544110</v>
      </c>
      <c r="V35" s="3">
        <v>465746430</v>
      </c>
      <c r="W35" s="3">
        <v>2.56</v>
      </c>
      <c r="X35" s="3">
        <v>0.13</v>
      </c>
      <c r="Y35" s="3">
        <v>-3.18</v>
      </c>
      <c r="Z35" s="3" t="s">
        <v>2354</v>
      </c>
      <c r="AA35" s="3" t="s">
        <v>928</v>
      </c>
      <c r="AB35" s="3" t="s">
        <v>2355</v>
      </c>
      <c r="AC35" s="3" t="s">
        <v>2356</v>
      </c>
      <c r="AD35" s="3" t="s">
        <v>4</v>
      </c>
      <c r="AE35" s="3">
        <v>7379220</v>
      </c>
      <c r="AF35" s="3" t="s">
        <v>2357</v>
      </c>
      <c r="AG35" s="3" t="s">
        <v>2358</v>
      </c>
      <c r="AH35" s="3" t="s">
        <v>2359</v>
      </c>
      <c r="AI35" s="3" t="s">
        <v>1475</v>
      </c>
      <c r="AJ35" s="3" t="s">
        <v>2360</v>
      </c>
      <c r="AK35" s="3" t="s">
        <v>957</v>
      </c>
      <c r="AL35" s="3" t="s">
        <v>2361</v>
      </c>
      <c r="AM35" s="3" t="s">
        <v>4</v>
      </c>
      <c r="AN35" s="3" t="s">
        <v>2362</v>
      </c>
      <c r="AO35" s="3" t="s">
        <v>1231</v>
      </c>
      <c r="AP35" s="3" t="s">
        <v>2363</v>
      </c>
      <c r="AQ35" s="3" t="s">
        <v>1267</v>
      </c>
      <c r="AR35" s="3" t="s">
        <v>4</v>
      </c>
      <c r="AS35" s="3" t="s">
        <v>2364</v>
      </c>
      <c r="AT35" s="3" t="s">
        <v>1056</v>
      </c>
      <c r="AU35" s="3" t="s">
        <v>2365</v>
      </c>
      <c r="AV35" s="3" t="s">
        <v>2366</v>
      </c>
      <c r="AW35" s="3" t="s">
        <v>2367</v>
      </c>
      <c r="AX35" s="3" t="s">
        <v>1212</v>
      </c>
      <c r="AY35" s="3" t="s">
        <v>1216</v>
      </c>
      <c r="AZ35" s="3" t="s">
        <v>501</v>
      </c>
      <c r="BA35" s="3" t="s">
        <v>269</v>
      </c>
      <c r="BB35" s="3" t="s">
        <v>504</v>
      </c>
      <c r="BC35" s="3" t="s">
        <v>1213</v>
      </c>
      <c r="BD35" s="3" t="s">
        <v>754</v>
      </c>
      <c r="BE35" s="3" t="s">
        <v>502</v>
      </c>
      <c r="BF35" s="3" t="s">
        <v>506</v>
      </c>
      <c r="BG35" s="3" t="s">
        <v>507</v>
      </c>
      <c r="BH35" s="3" t="s">
        <v>2368</v>
      </c>
      <c r="BI35" s="3" t="s">
        <v>1175</v>
      </c>
      <c r="BJ35" s="3" t="s">
        <v>1212</v>
      </c>
      <c r="BK35" s="3" t="s">
        <v>1580</v>
      </c>
      <c r="BL35" s="3" t="s">
        <v>1151</v>
      </c>
      <c r="BM35" s="3" t="s">
        <v>1213</v>
      </c>
      <c r="BN35" s="3" t="s">
        <v>4</v>
      </c>
      <c r="BO35" s="3" t="s">
        <v>4</v>
      </c>
      <c r="BP35" s="3">
        <v>2.98</v>
      </c>
      <c r="BQ35" s="3">
        <v>-13.51</v>
      </c>
      <c r="BR35" s="3">
        <v>-6.67</v>
      </c>
      <c r="BS35" s="3">
        <v>3.52</v>
      </c>
      <c r="BT35" s="3" t="s">
        <v>1043</v>
      </c>
      <c r="BU35" s="3" t="s">
        <v>841</v>
      </c>
      <c r="BV35" s="3">
        <v>19.489999999999998</v>
      </c>
      <c r="BW35" s="3">
        <v>18.78</v>
      </c>
      <c r="BX35" s="3">
        <v>20.37</v>
      </c>
      <c r="BY35" s="3">
        <v>-13.21</v>
      </c>
      <c r="BZ35" s="3">
        <v>-6.11</v>
      </c>
      <c r="CA35" s="3">
        <v>2.72</v>
      </c>
      <c r="CB35" s="3">
        <v>1.43</v>
      </c>
      <c r="CC35" s="3">
        <v>-5.35</v>
      </c>
      <c r="CD35" s="3" t="s">
        <v>36</v>
      </c>
      <c r="CE35" s="3" t="s">
        <v>1187</v>
      </c>
      <c r="CF35" s="10">
        <v>-0.53024453024453022</v>
      </c>
      <c r="CG35" s="11">
        <v>0.93701712213740462</v>
      </c>
      <c r="CH35" s="10">
        <v>-0.76390683650970459</v>
      </c>
      <c r="CI35" s="10">
        <v>-0.20880246162414551</v>
      </c>
      <c r="CJ35" s="10">
        <v>5.8504875749349594E-2</v>
      </c>
      <c r="CK35" s="10">
        <v>5.4857142269611359E-2</v>
      </c>
      <c r="CL35" s="10">
        <v>1.6260161995887756E-2</v>
      </c>
      <c r="CM35" s="11">
        <v>0.90473091602325439</v>
      </c>
      <c r="CN35" s="11">
        <v>-2.8090803623199463</v>
      </c>
      <c r="CO35" s="11">
        <v>0.59716618061065674</v>
      </c>
      <c r="CP35" s="11">
        <v>-0.67728728055953979</v>
      </c>
      <c r="CQ35" s="11">
        <v>0.48843687772750854</v>
      </c>
      <c r="CR35" s="3">
        <v>171.78744790088385</v>
      </c>
      <c r="CS35" s="3">
        <v>10.188000991176105</v>
      </c>
      <c r="CT35" s="3">
        <v>0</v>
      </c>
      <c r="CU35" s="10">
        <v>-0.16861742362380028</v>
      </c>
      <c r="CV35" s="11">
        <v>-0.29920673370361328</v>
      </c>
      <c r="CW35" s="3">
        <v>0.06</v>
      </c>
      <c r="CX35" s="3" t="e">
        <v>#VALUE!</v>
      </c>
      <c r="CY35" s="3" t="s">
        <v>855</v>
      </c>
      <c r="CZ35" s="3">
        <v>-0.16861742362380028</v>
      </c>
      <c r="DA35" s="3" t="e">
        <v>#VALUE!</v>
      </c>
      <c r="DB35" s="3" t="s">
        <v>853</v>
      </c>
      <c r="DC35" s="3">
        <v>-0.16018655244261026</v>
      </c>
      <c r="DD35" s="3" t="e">
        <v>#VALUE!</v>
      </c>
      <c r="DE35" s="3" t="s">
        <v>853</v>
      </c>
      <c r="DF35" s="3">
        <v>-0.14838333278894425</v>
      </c>
      <c r="DG35" s="3" t="e">
        <v>#VALUE!</v>
      </c>
      <c r="DH35" s="3" t="s">
        <v>853</v>
      </c>
      <c r="DI35" s="3">
        <v>-0.13489393889904022</v>
      </c>
      <c r="DJ35" s="3" t="e">
        <v>#VALUE!</v>
      </c>
      <c r="DK35" s="3" t="s">
        <v>853</v>
      </c>
      <c r="DL35" s="3">
        <v>-0.11803219653666018</v>
      </c>
      <c r="DM35" s="3">
        <v>-8250800</v>
      </c>
      <c r="DN35" s="3">
        <v>-0.16861742362380028</v>
      </c>
      <c r="DO35" s="3">
        <v>4666844600</v>
      </c>
      <c r="DP35" s="3">
        <v>133146600</v>
      </c>
      <c r="DQ35" s="3">
        <v>1803</v>
      </c>
      <c r="DR35" s="3">
        <v>-0.36162710662072994</v>
      </c>
      <c r="DS35" s="3">
        <v>1.2362238558410179</v>
      </c>
      <c r="DT35" s="12">
        <v>-0.92333333333333334</v>
      </c>
      <c r="DU35" s="3">
        <v>-1.4783333333333333</v>
      </c>
      <c r="DV35" s="3">
        <v>-2.4016666666666664</v>
      </c>
      <c r="DW35" s="3">
        <v>-1.0535000000000001</v>
      </c>
      <c r="DX35" s="3">
        <v>0.56887556221889191</v>
      </c>
      <c r="DY35" s="3">
        <v>-1.0133148425787106</v>
      </c>
      <c r="DZ35" s="3">
        <v>4437</v>
      </c>
      <c r="EA35" s="3">
        <v>-1.0017535986409927</v>
      </c>
      <c r="EB35" s="3">
        <v>1</v>
      </c>
      <c r="EC35" s="3">
        <v>0.35641711735718512</v>
      </c>
      <c r="ED35" s="3">
        <v>1.4321097426339908</v>
      </c>
      <c r="EE35" s="13">
        <v>-3.0505100000000001</v>
      </c>
      <c r="EF35" s="3">
        <v>-3.0805099999999999</v>
      </c>
      <c r="EG35" s="3">
        <v>32.248875562218892</v>
      </c>
      <c r="EH35" s="3" t="s">
        <v>1639</v>
      </c>
      <c r="EI35" s="3">
        <v>0</v>
      </c>
      <c r="EJ35" s="3">
        <v>0</v>
      </c>
      <c r="EK35" s="15">
        <v>45470</v>
      </c>
      <c r="EL35" s="16">
        <v>3.79</v>
      </c>
      <c r="EM35" s="16">
        <v>-5.82</v>
      </c>
      <c r="EN35" s="16">
        <v>-3.03</v>
      </c>
      <c r="EO35" s="16">
        <v>4</v>
      </c>
      <c r="EP35" s="16">
        <v>-3</v>
      </c>
    </row>
    <row r="36" spans="1:146" ht="180" x14ac:dyDescent="0.25">
      <c r="C36" s="7" t="str">
        <f>"公司主营业务为研发、生产、销售中高端视窗防护玻璃面板、外观防护新材料、电子功能组件、整机组装。公司主要产品有玻璃、蓝宝石、精密陶瓷、精密金属等材质的外观防护零部件和组件,以及模组、贴合和组装等配套增值服务。"&amp;CHAR(10)&amp;Basic_Fundamental_Information_Constructure(F36)&amp;CHAR(10)&amp;Basic_Fundamental_Information_Concatenate("智能手机与电脑类 161.35亿 79.97% 23.77亿 71.79% 14.73%
新能源汽车及智能座舱类 22.82亿 11.31% 4.97亿 15.02% 21.79%
智能头显与智能穿戴类 11.91亿 5.90% 9933.79万 3.00% 8.34%")</f>
        <v>公司主营业务为研发、生产、销售中高端视窗防护玻璃面板、外观防护新材料、电子功能组件、整机组装。公司主要产品有玻璃、蓝宝石、精密陶瓷、精密金属等材质的外观防护零部件和组件,以及模组、贴合和组装等配套增值服务。
市值883.99658亿, 利润3.09亿; PE27.07; 平均PE41.34; 平均PEG20.97, PB1.89; ROIC3.78%; ROE4.7433%; 股利率1.6911%; 毛利18.92%; 净利5.22%; 上一年度营收增-66.81%, 利润增-87.38%; 当季营收增-23.19%, 利润增-44.19%; 过往5年营收增-1.97%, 利润增51.81%
Income profile:
智能手机与电脑类 161.35亿 79.97% 23.77亿 71.79% 14.73%
新能源汽车及智能座舱类 22.82亿 11.31% 4.97亿 15.02% 21.79%
智能头显与智能穿戴类 11.91亿 5.90% 9933.79万 3.00% 8.34%</v>
      </c>
      <c r="D36" s="3" t="s">
        <v>508</v>
      </c>
      <c r="E36" s="3" t="s">
        <v>509</v>
      </c>
      <c r="F36" s="3">
        <v>17.739999999999998</v>
      </c>
      <c r="G36" s="3">
        <v>-3.64</v>
      </c>
      <c r="H36" s="3" t="s">
        <v>2369</v>
      </c>
      <c r="I36" s="3">
        <v>88399658000</v>
      </c>
      <c r="J36" s="3">
        <v>27.07</v>
      </c>
      <c r="K36" s="3">
        <v>1.89</v>
      </c>
      <c r="L36" s="3" t="s">
        <v>285</v>
      </c>
      <c r="M36" s="3" t="s">
        <v>2370</v>
      </c>
      <c r="N36" s="3" t="s">
        <v>2371</v>
      </c>
      <c r="O36" s="3" t="s">
        <v>2372</v>
      </c>
      <c r="P36" s="3">
        <v>57.52</v>
      </c>
      <c r="Q36" s="3" t="s">
        <v>2372</v>
      </c>
      <c r="R36" s="3">
        <v>309201700</v>
      </c>
      <c r="S36" s="5">
        <v>3.79</v>
      </c>
      <c r="T36" s="3" t="s">
        <v>1586</v>
      </c>
      <c r="U36" s="3">
        <v>4960890000</v>
      </c>
      <c r="V36" s="3">
        <v>4983069800</v>
      </c>
      <c r="W36" s="3">
        <v>1.61</v>
      </c>
      <c r="X36" s="3">
        <v>0.2</v>
      </c>
      <c r="Y36" s="3">
        <v>2.04</v>
      </c>
      <c r="Z36" s="3" t="s">
        <v>2373</v>
      </c>
      <c r="AA36" s="3" t="s">
        <v>2374</v>
      </c>
      <c r="AB36" s="3" t="s">
        <v>144</v>
      </c>
      <c r="AC36" s="3" t="s">
        <v>1187</v>
      </c>
      <c r="AD36" s="3" t="s">
        <v>4</v>
      </c>
      <c r="AE36" s="3">
        <v>39093465</v>
      </c>
      <c r="AF36" s="3" t="s">
        <v>2375</v>
      </c>
      <c r="AG36" s="3" t="s">
        <v>2376</v>
      </c>
      <c r="AH36" s="3" t="s">
        <v>2377</v>
      </c>
      <c r="AI36" s="3" t="s">
        <v>2378</v>
      </c>
      <c r="AJ36" s="3" t="s">
        <v>2379</v>
      </c>
      <c r="AK36" s="3" t="s">
        <v>2380</v>
      </c>
      <c r="AL36" s="3" t="s">
        <v>2381</v>
      </c>
      <c r="AM36" s="3" t="s">
        <v>4</v>
      </c>
      <c r="AN36" s="3" t="s">
        <v>143</v>
      </c>
      <c r="AO36" s="3" t="s">
        <v>1386</v>
      </c>
      <c r="AP36" s="3" t="s">
        <v>4</v>
      </c>
      <c r="AQ36" s="3" t="s">
        <v>2382</v>
      </c>
      <c r="AR36" s="3" t="s">
        <v>4</v>
      </c>
      <c r="AS36" s="3" t="s">
        <v>2383</v>
      </c>
      <c r="AT36" s="3" t="s">
        <v>2384</v>
      </c>
      <c r="AU36" s="3" t="s">
        <v>2385</v>
      </c>
      <c r="AV36" s="3" t="s">
        <v>2386</v>
      </c>
      <c r="AW36" s="3" t="s">
        <v>2387</v>
      </c>
      <c r="AX36" s="3" t="s">
        <v>1218</v>
      </c>
      <c r="AY36" s="3" t="s">
        <v>755</v>
      </c>
      <c r="AZ36" s="3" t="s">
        <v>510</v>
      </c>
      <c r="BA36" s="3" t="s">
        <v>512</v>
      </c>
      <c r="BB36" s="3" t="s">
        <v>513</v>
      </c>
      <c r="BC36" s="3" t="s">
        <v>1219</v>
      </c>
      <c r="BD36" s="3" t="s">
        <v>505</v>
      </c>
      <c r="BE36" s="3" t="s">
        <v>511</v>
      </c>
      <c r="BF36" s="3" t="s">
        <v>514</v>
      </c>
      <c r="BG36" s="3" t="s">
        <v>184</v>
      </c>
      <c r="BH36" s="3" t="s">
        <v>2388</v>
      </c>
      <c r="BI36" s="3" t="s">
        <v>1217</v>
      </c>
      <c r="BJ36" s="3" t="s">
        <v>1218</v>
      </c>
      <c r="BK36" s="3" t="s">
        <v>2389</v>
      </c>
      <c r="BL36" s="3" t="s">
        <v>278</v>
      </c>
      <c r="BM36" s="3" t="s">
        <v>1219</v>
      </c>
      <c r="BN36" s="3">
        <v>2.82</v>
      </c>
      <c r="BO36" s="3">
        <v>4.62</v>
      </c>
      <c r="BP36" s="3">
        <v>3.9</v>
      </c>
      <c r="BQ36" s="3">
        <v>3.7</v>
      </c>
      <c r="BR36" s="3">
        <v>5.66</v>
      </c>
      <c r="BS36" s="3">
        <v>4.87</v>
      </c>
      <c r="BT36" s="3" t="s">
        <v>1065</v>
      </c>
      <c r="BU36" s="3" t="s">
        <v>841</v>
      </c>
      <c r="BV36" s="3">
        <v>16.63</v>
      </c>
      <c r="BW36" s="3">
        <v>19.21</v>
      </c>
      <c r="BX36" s="3">
        <v>20.92</v>
      </c>
      <c r="BY36" s="3">
        <v>5.58</v>
      </c>
      <c r="BZ36" s="3">
        <v>5.4</v>
      </c>
      <c r="CA36" s="3">
        <v>4.68</v>
      </c>
      <c r="CB36" s="3">
        <v>-2.79</v>
      </c>
      <c r="CC36" s="3">
        <v>21.51</v>
      </c>
      <c r="CD36" s="3" t="s">
        <v>117</v>
      </c>
      <c r="CE36" s="3" t="s">
        <v>2390</v>
      </c>
      <c r="CF36" s="10">
        <v>-0.23189770530802409</v>
      </c>
      <c r="CG36" s="11">
        <v>-0.44187418772563175</v>
      </c>
      <c r="CH36" s="10">
        <v>-0.66812992095947266</v>
      </c>
      <c r="CI36" s="10">
        <v>3.1611714512109756E-2</v>
      </c>
      <c r="CJ36" s="10">
        <v>0.22547981142997742</v>
      </c>
      <c r="CK36" s="10">
        <v>0.22080117464065552</v>
      </c>
      <c r="CL36" s="10">
        <v>9.1676615178585052E-2</v>
      </c>
      <c r="CM36" s="11">
        <v>-0.87377452850341797</v>
      </c>
      <c r="CN36" s="11">
        <v>0.18260869383811951</v>
      </c>
      <c r="CO36" s="11">
        <v>-0.5772058367729187</v>
      </c>
      <c r="CP36" s="11">
        <v>0.98298913240432739</v>
      </c>
      <c r="CQ36" s="11">
        <v>2.8759810924530029</v>
      </c>
      <c r="CR36" s="3">
        <v>41.343670434172573</v>
      </c>
      <c r="CS36" s="3">
        <v>20.97372999640973</v>
      </c>
      <c r="CT36" s="3">
        <v>1.6910935738444195</v>
      </c>
      <c r="CU36" s="10">
        <v>-1.9712121039628983E-2</v>
      </c>
      <c r="CV36" s="11">
        <v>0.51811971068382268</v>
      </c>
      <c r="CW36" s="3">
        <v>0.06</v>
      </c>
      <c r="CX36" s="3">
        <v>234.71733980582525</v>
      </c>
      <c r="CY36" s="3" t="s">
        <v>2279</v>
      </c>
      <c r="CZ36" s="3">
        <v>-1.9712121039628983E-2</v>
      </c>
      <c r="DA36" s="3">
        <v>78.239113268608421</v>
      </c>
      <c r="DB36" s="3" t="s">
        <v>2280</v>
      </c>
      <c r="DC36" s="3">
        <v>-1.8726514987647533E-2</v>
      </c>
      <c r="DD36" s="3">
        <v>39.11955663430421</v>
      </c>
      <c r="DE36" s="3" t="s">
        <v>2281</v>
      </c>
      <c r="DF36" s="3">
        <v>-1.7346666514873505E-2</v>
      </c>
      <c r="DG36" s="3">
        <v>23.471733980582524</v>
      </c>
      <c r="DH36" s="3" t="s">
        <v>2282</v>
      </c>
      <c r="DI36" s="3">
        <v>-1.5769696831703189E-2</v>
      </c>
      <c r="DJ36" s="3">
        <v>11.735866990291262</v>
      </c>
      <c r="DK36" s="3" t="s">
        <v>2283</v>
      </c>
      <c r="DL36" s="3">
        <v>-1.3798484727740288E-2</v>
      </c>
      <c r="DM36" s="3">
        <v>309000000</v>
      </c>
      <c r="DN36" s="3">
        <v>-1.9712121039628983E-2</v>
      </c>
      <c r="DO36" s="3">
        <v>72527658000</v>
      </c>
      <c r="DP36" s="3">
        <v>8869141000</v>
      </c>
      <c r="DQ36" s="3">
        <v>1904</v>
      </c>
      <c r="DR36" s="3">
        <v>-0.21218558426839509</v>
      </c>
      <c r="DS36" s="3">
        <v>-0.95999389840945448</v>
      </c>
      <c r="DT36" s="12">
        <v>-0.52333333333333332</v>
      </c>
      <c r="DU36" s="3">
        <v>0.18833333333333321</v>
      </c>
      <c r="DV36" s="3">
        <v>-0.33500000000000008</v>
      </c>
      <c r="DW36" s="3">
        <v>-6.1148148148148147</v>
      </c>
      <c r="DX36" s="3">
        <v>0.55357512953368115</v>
      </c>
      <c r="DY36" s="3">
        <v>-6.0199289963538671</v>
      </c>
      <c r="DZ36" s="3">
        <v>74</v>
      </c>
      <c r="EA36" s="3">
        <v>-6.0196403964066683</v>
      </c>
      <c r="EB36" s="3">
        <v>6</v>
      </c>
      <c r="EC36" s="3">
        <v>5.3782108370225928E-2</v>
      </c>
      <c r="ED36" s="3">
        <v>0.30984916165533144</v>
      </c>
      <c r="EE36" s="13">
        <v>4.0160999999999998</v>
      </c>
      <c r="EF36" s="3">
        <v>4.0382999999999996</v>
      </c>
      <c r="EG36" s="3">
        <v>38.173575129533681</v>
      </c>
      <c r="EH36" s="3" t="s">
        <v>1569</v>
      </c>
      <c r="EI36" s="3">
        <v>0</v>
      </c>
      <c r="EJ36" s="3">
        <v>1</v>
      </c>
      <c r="EK36" s="15">
        <v>45470</v>
      </c>
      <c r="EL36" s="16">
        <v>2.56</v>
      </c>
      <c r="EM36" s="16">
        <v>-1.53</v>
      </c>
      <c r="EN36" s="16">
        <v>-2.36</v>
      </c>
      <c r="EO36" s="16">
        <v>5.47</v>
      </c>
      <c r="EP36" s="16">
        <v>2.2200000000000002</v>
      </c>
    </row>
    <row r="37" spans="1:146" ht="96" x14ac:dyDescent="0.25">
      <c r="C37" s="7" t="str">
        <f>""&amp;CHAR(10)&amp;Basic_Fundamental_Information_Constructure(F37)&amp;CHAR(10)&amp;Basic_Fundamental_Information_Concatenate("")</f>
        <v xml:space="preserve">
市值19.868643亿, 利润873.70万; PE43.54; 平均PE24.54; 平均PEG4.12, PB1.97; ROIC6.1467%; ROE7.3633%; 股利率.6748%; 毛利17.8867%; 净利3.8467%; 上一年度营收增-79.9%, 利润增-88.27%; 当季营收增-46.32%, 利润增-73.92%; 过往5年营收增-5.96%, 利润增5.68%
Income profile:
</v>
      </c>
      <c r="D37" s="3" t="s">
        <v>515</v>
      </c>
      <c r="E37" s="3" t="s">
        <v>516</v>
      </c>
      <c r="F37" s="3">
        <v>7.41</v>
      </c>
      <c r="G37" s="3">
        <v>0</v>
      </c>
      <c r="H37" s="3" t="s">
        <v>2391</v>
      </c>
      <c r="I37" s="3">
        <v>1986864300</v>
      </c>
      <c r="J37" s="3">
        <v>43.54</v>
      </c>
      <c r="K37" s="3">
        <v>1.97</v>
      </c>
      <c r="L37" s="3" t="s">
        <v>285</v>
      </c>
      <c r="M37" s="3" t="s">
        <v>642</v>
      </c>
      <c r="N37" s="3" t="s">
        <v>407</v>
      </c>
      <c r="O37" s="3" t="s">
        <v>1556</v>
      </c>
      <c r="P37" s="3">
        <v>19.27</v>
      </c>
      <c r="Q37" s="3" t="s">
        <v>1556</v>
      </c>
      <c r="R37" s="3">
        <v>8736993</v>
      </c>
      <c r="S37" s="5">
        <v>1.8</v>
      </c>
      <c r="T37" s="3" t="s">
        <v>2392</v>
      </c>
      <c r="U37" s="3">
        <v>211418680</v>
      </c>
      <c r="V37" s="3">
        <v>268132840</v>
      </c>
      <c r="W37" s="3">
        <v>1.82</v>
      </c>
      <c r="X37" s="3">
        <v>0.17</v>
      </c>
      <c r="Y37" s="3">
        <v>2.48</v>
      </c>
      <c r="Z37" s="3" t="s">
        <v>1422</v>
      </c>
      <c r="AA37" s="3" t="s">
        <v>28</v>
      </c>
      <c r="AB37" s="3" t="s">
        <v>2393</v>
      </c>
      <c r="AC37" s="3" t="s">
        <v>2394</v>
      </c>
      <c r="AD37" s="3" t="s">
        <v>4</v>
      </c>
      <c r="AE37" s="3">
        <v>-3840965</v>
      </c>
      <c r="AF37" s="3" t="s">
        <v>2395</v>
      </c>
      <c r="AG37" s="3" t="s">
        <v>2396</v>
      </c>
      <c r="AH37" s="3" t="s">
        <v>2397</v>
      </c>
      <c r="AI37" s="3" t="s">
        <v>33</v>
      </c>
      <c r="AJ37" s="3" t="s">
        <v>2398</v>
      </c>
      <c r="AK37" s="3" t="s">
        <v>2399</v>
      </c>
      <c r="AL37" s="3" t="s">
        <v>2400</v>
      </c>
      <c r="AM37" s="3" t="s">
        <v>4</v>
      </c>
      <c r="AN37" s="3" t="s">
        <v>130</v>
      </c>
      <c r="AO37" s="3" t="s">
        <v>2401</v>
      </c>
      <c r="AP37" s="3" t="s">
        <v>2402</v>
      </c>
      <c r="AQ37" s="3" t="s">
        <v>1078</v>
      </c>
      <c r="AR37" s="3" t="s">
        <v>4</v>
      </c>
      <c r="AS37" s="3" t="s">
        <v>1073</v>
      </c>
      <c r="AT37" s="3" t="s">
        <v>4</v>
      </c>
      <c r="AU37" s="3" t="s">
        <v>2403</v>
      </c>
      <c r="AV37" s="3" t="s">
        <v>2404</v>
      </c>
      <c r="AW37" s="3" t="s">
        <v>2405</v>
      </c>
      <c r="AX37" s="3" t="s">
        <v>1222</v>
      </c>
      <c r="AY37" s="3" t="s">
        <v>756</v>
      </c>
      <c r="AZ37" s="3" t="s">
        <v>257</v>
      </c>
      <c r="BA37" s="3" t="s">
        <v>518</v>
      </c>
      <c r="BB37" s="3" t="s">
        <v>519</v>
      </c>
      <c r="BC37" s="3" t="s">
        <v>1223</v>
      </c>
      <c r="BD37" s="3" t="s">
        <v>113</v>
      </c>
      <c r="BE37" s="3" t="s">
        <v>61</v>
      </c>
      <c r="BF37" s="3" t="s">
        <v>107</v>
      </c>
      <c r="BG37" s="3" t="s">
        <v>520</v>
      </c>
      <c r="BH37" s="3" t="s">
        <v>2406</v>
      </c>
      <c r="BI37" s="3" t="s">
        <v>1221</v>
      </c>
      <c r="BJ37" s="3" t="s">
        <v>1222</v>
      </c>
      <c r="BK37" s="3" t="s">
        <v>2407</v>
      </c>
      <c r="BL37" s="3" t="s">
        <v>1418</v>
      </c>
      <c r="BM37" s="3" t="s">
        <v>1223</v>
      </c>
      <c r="BN37" s="3">
        <v>2.41</v>
      </c>
      <c r="BO37" s="3">
        <v>5.67</v>
      </c>
      <c r="BP37" s="3">
        <v>10.36</v>
      </c>
      <c r="BQ37" s="3">
        <v>4.32</v>
      </c>
      <c r="BR37" s="3">
        <v>7</v>
      </c>
      <c r="BS37" s="3">
        <v>10.77</v>
      </c>
      <c r="BT37" s="3" t="s">
        <v>1047</v>
      </c>
      <c r="BU37" s="3" t="s">
        <v>841</v>
      </c>
      <c r="BV37" s="3">
        <v>19.62</v>
      </c>
      <c r="BW37" s="3">
        <v>17.97</v>
      </c>
      <c r="BX37" s="3">
        <v>16.07</v>
      </c>
      <c r="BY37" s="3">
        <v>2.83</v>
      </c>
      <c r="BZ37" s="3">
        <v>4.13</v>
      </c>
      <c r="CA37" s="3">
        <v>4.58</v>
      </c>
      <c r="CB37" s="3">
        <v>-7.37</v>
      </c>
      <c r="CC37" s="3">
        <v>-6.68</v>
      </c>
      <c r="CD37" s="3" t="s">
        <v>2408</v>
      </c>
      <c r="CE37" s="3" t="s">
        <v>2297</v>
      </c>
      <c r="CF37" s="10">
        <v>-0.46319018404907975</v>
      </c>
      <c r="CG37" s="11">
        <v>-0.7391693236368847</v>
      </c>
      <c r="CH37" s="10">
        <v>-0.79896610975265503</v>
      </c>
      <c r="CI37" s="10">
        <v>-0.25311028957366943</v>
      </c>
      <c r="CJ37" s="10">
        <v>0.40168368816375732</v>
      </c>
      <c r="CK37" s="10">
        <v>0.18700937926769257</v>
      </c>
      <c r="CL37" s="10">
        <v>0.16555735468864441</v>
      </c>
      <c r="CM37" s="11">
        <v>-0.88267254829406738</v>
      </c>
      <c r="CN37" s="11">
        <v>-0.30404859781265259</v>
      </c>
      <c r="CO37" s="11">
        <v>-0.27702704071998596</v>
      </c>
      <c r="CP37" s="11">
        <v>0.43689319491386414</v>
      </c>
      <c r="CQ37" s="11">
        <v>1.3107329607009888</v>
      </c>
      <c r="CR37" s="3">
        <v>24.540378493568259</v>
      </c>
      <c r="CS37" s="3">
        <v>4.1199190755236286</v>
      </c>
      <c r="CT37" s="3">
        <v>0.67476383265856954</v>
      </c>
      <c r="CU37" s="10">
        <v>-5.9565195441246034E-2</v>
      </c>
      <c r="CV37" s="11">
        <v>5.6775593757629396E-2</v>
      </c>
      <c r="CW37" s="3">
        <v>0.06</v>
      </c>
      <c r="CX37" s="3">
        <v>209.43851436419823</v>
      </c>
      <c r="CY37" s="3" t="s">
        <v>2409</v>
      </c>
      <c r="CZ37" s="3">
        <v>-5.9565195441246034E-2</v>
      </c>
      <c r="DA37" s="3">
        <v>69.812838121399409</v>
      </c>
      <c r="DB37" s="3" t="s">
        <v>2410</v>
      </c>
      <c r="DC37" s="3">
        <v>-5.6586935669183727E-2</v>
      </c>
      <c r="DD37" s="3">
        <v>34.906419060699704</v>
      </c>
      <c r="DE37" s="3" t="s">
        <v>2411</v>
      </c>
      <c r="DF37" s="3">
        <v>-5.2417371988296511E-2</v>
      </c>
      <c r="DG37" s="3">
        <v>20.943851436419823</v>
      </c>
      <c r="DH37" s="3" t="s">
        <v>2412</v>
      </c>
      <c r="DI37" s="3">
        <v>-4.7652156352996827E-2</v>
      </c>
      <c r="DJ37" s="3">
        <v>10.471925718209912</v>
      </c>
      <c r="DK37" s="3" t="s">
        <v>2413</v>
      </c>
      <c r="DL37" s="3">
        <v>-4.169563680887222E-2</v>
      </c>
      <c r="DM37" s="3">
        <v>8737000</v>
      </c>
      <c r="DN37" s="3">
        <v>-5.9565195441246034E-2</v>
      </c>
      <c r="DO37" s="3">
        <v>1829864300</v>
      </c>
      <c r="DP37" s="3">
        <v>750297010</v>
      </c>
      <c r="DQ37" s="3">
        <v>2012</v>
      </c>
      <c r="DR37" s="3">
        <v>-0.40362498860783369</v>
      </c>
      <c r="DS37" s="3">
        <v>-0.79594491739451412</v>
      </c>
      <c r="DT37" s="12">
        <v>-0.57333333333333336</v>
      </c>
      <c r="DU37" s="3">
        <v>-0.7400000000000001</v>
      </c>
      <c r="DV37" s="3">
        <v>-1.3133333333333335</v>
      </c>
      <c r="DW37" s="3">
        <v>-5.9063772048846674</v>
      </c>
      <c r="DX37" s="3">
        <v>0.2802017441860481</v>
      </c>
      <c r="DY37" s="3">
        <v>-5.0908205768199171</v>
      </c>
      <c r="DZ37" s="3">
        <v>2938</v>
      </c>
      <c r="EA37" s="3">
        <v>-5.0386031884252169</v>
      </c>
      <c r="EB37" s="3">
        <v>5</v>
      </c>
      <c r="EC37" s="3">
        <v>0.12855344388251733</v>
      </c>
      <c r="ED37" s="3">
        <v>1.2829461695180642</v>
      </c>
      <c r="EE37" s="13">
        <v>1.0853999999999999</v>
      </c>
      <c r="EF37" s="3">
        <v>1.0828</v>
      </c>
      <c r="EG37" s="3">
        <v>18.100201744186048</v>
      </c>
      <c r="EH37" s="3" t="s">
        <v>1108</v>
      </c>
      <c r="EI37" s="3">
        <v>0</v>
      </c>
      <c r="EJ37" s="3">
        <v>0</v>
      </c>
      <c r="EK37" s="15">
        <v>45470</v>
      </c>
      <c r="EL37" s="16">
        <v>-1.1499999999999999</v>
      </c>
      <c r="EM37" s="16">
        <v>-4.53</v>
      </c>
      <c r="EN37" s="16">
        <v>-1.08</v>
      </c>
      <c r="EO37" s="16">
        <v>6.85</v>
      </c>
      <c r="EP37" s="16">
        <v>-0.26</v>
      </c>
    </row>
    <row r="38" spans="1:146" ht="96" x14ac:dyDescent="0.25">
      <c r="C38" s="7" t="str">
        <f>""&amp;CHAR(10)&amp;Basic_Fundamental_Information_Constructure(F38)&amp;CHAR(10)&amp;Basic_Fundamental_Information_Concatenate("")</f>
        <v xml:space="preserve">
市值81.954909亿, 利润2363.50万; PE53.93; 平均PE56.4; 平均PEG3.9, PB2.18; ROIC2.735%; ROE2.2133%; 股利率.2328%; 毛利17.4967%; 净利.9167%; 上一年度营收增-76.19%, 利润增-75.43%; 当季营收增-44.77%, 利润增488.1%; 过往5年营收增14.46%, 利润增26.96%
Income profile:
</v>
      </c>
      <c r="D38" s="3" t="s">
        <v>521</v>
      </c>
      <c r="E38" s="3" t="s">
        <v>522</v>
      </c>
      <c r="F38" s="3">
        <v>14.13</v>
      </c>
      <c r="G38" s="3">
        <v>1.44</v>
      </c>
      <c r="H38" s="3" t="s">
        <v>2414</v>
      </c>
      <c r="I38" s="3">
        <v>8195490900</v>
      </c>
      <c r="J38" s="3">
        <v>53.93</v>
      </c>
      <c r="K38" s="3">
        <v>2.1800000000000002</v>
      </c>
      <c r="L38" s="3" t="s">
        <v>285</v>
      </c>
      <c r="M38" s="3" t="s">
        <v>2415</v>
      </c>
      <c r="N38" s="3" t="s">
        <v>2416</v>
      </c>
      <c r="O38" s="3" t="s">
        <v>346</v>
      </c>
      <c r="P38" s="3">
        <v>27.05</v>
      </c>
      <c r="Q38" s="3" t="s">
        <v>346</v>
      </c>
      <c r="R38" s="3">
        <v>23635031</v>
      </c>
      <c r="S38" s="5">
        <v>1.9410000000000001</v>
      </c>
      <c r="T38" s="3" t="s">
        <v>2417</v>
      </c>
      <c r="U38" s="3">
        <v>391774970</v>
      </c>
      <c r="V38" s="3">
        <v>580006430</v>
      </c>
      <c r="W38" s="3">
        <v>1.86</v>
      </c>
      <c r="X38" s="3">
        <v>0.14000000000000001</v>
      </c>
      <c r="Y38" s="3">
        <v>1.74</v>
      </c>
      <c r="Z38" s="3" t="s">
        <v>1039</v>
      </c>
      <c r="AA38" s="3" t="s">
        <v>2418</v>
      </c>
      <c r="AB38" s="3" t="s">
        <v>2419</v>
      </c>
      <c r="AC38" s="3" t="s">
        <v>2420</v>
      </c>
      <c r="AD38" s="3" t="s">
        <v>4</v>
      </c>
      <c r="AE38" s="3">
        <v>-1857136</v>
      </c>
      <c r="AF38" s="3" t="s">
        <v>2421</v>
      </c>
      <c r="AG38" s="3" t="s">
        <v>2422</v>
      </c>
      <c r="AH38" s="3" t="s">
        <v>2423</v>
      </c>
      <c r="AI38" s="3" t="s">
        <v>2424</v>
      </c>
      <c r="AJ38" s="3" t="s">
        <v>2425</v>
      </c>
      <c r="AK38" s="3" t="s">
        <v>98</v>
      </c>
      <c r="AL38" s="3" t="s">
        <v>2426</v>
      </c>
      <c r="AM38" s="3" t="s">
        <v>4</v>
      </c>
      <c r="AN38" s="3" t="s">
        <v>1456</v>
      </c>
      <c r="AO38" s="3" t="s">
        <v>773</v>
      </c>
      <c r="AP38" s="3" t="s">
        <v>1044</v>
      </c>
      <c r="AQ38" s="3" t="s">
        <v>2427</v>
      </c>
      <c r="AR38" s="3" t="s">
        <v>4</v>
      </c>
      <c r="AS38" s="3" t="s">
        <v>2428</v>
      </c>
      <c r="AT38" s="3" t="s">
        <v>1363</v>
      </c>
      <c r="AU38" s="3" t="s">
        <v>2429</v>
      </c>
      <c r="AV38" s="3" t="s">
        <v>2430</v>
      </c>
      <c r="AW38" s="3" t="s">
        <v>1406</v>
      </c>
      <c r="AX38" s="3" t="s">
        <v>1225</v>
      </c>
      <c r="AY38" s="3" t="s">
        <v>757</v>
      </c>
      <c r="AZ38" s="3" t="s">
        <v>523</v>
      </c>
      <c r="BA38" s="3" t="s">
        <v>525</v>
      </c>
      <c r="BB38" s="3" t="s">
        <v>254</v>
      </c>
      <c r="BC38" s="3" t="s">
        <v>1226</v>
      </c>
      <c r="BD38" s="3" t="s">
        <v>758</v>
      </c>
      <c r="BE38" s="3" t="s">
        <v>34</v>
      </c>
      <c r="BF38" s="3" t="s">
        <v>186</v>
      </c>
      <c r="BG38" s="3" t="s">
        <v>169</v>
      </c>
      <c r="BH38" s="3" t="s">
        <v>2431</v>
      </c>
      <c r="BI38" s="3" t="s">
        <v>1224</v>
      </c>
      <c r="BJ38" s="3" t="s">
        <v>1225</v>
      </c>
      <c r="BK38" s="3" t="s">
        <v>107</v>
      </c>
      <c r="BL38" s="3" t="s">
        <v>1421</v>
      </c>
      <c r="BM38" s="3" t="s">
        <v>1226</v>
      </c>
      <c r="BN38" s="3">
        <v>1.1299999999999999</v>
      </c>
      <c r="BO38" s="3">
        <v>4.34</v>
      </c>
      <c r="BP38" s="3" t="s">
        <v>4</v>
      </c>
      <c r="BQ38" s="3">
        <v>1.56</v>
      </c>
      <c r="BR38" s="3">
        <v>3.85</v>
      </c>
      <c r="BS38" s="3">
        <v>1.23</v>
      </c>
      <c r="BT38" s="3" t="s">
        <v>2432</v>
      </c>
      <c r="BU38" s="3" t="s">
        <v>841</v>
      </c>
      <c r="BV38" s="3">
        <v>19.47</v>
      </c>
      <c r="BW38" s="3">
        <v>17.32</v>
      </c>
      <c r="BX38" s="3">
        <v>15.7</v>
      </c>
      <c r="BY38" s="3">
        <v>1.81</v>
      </c>
      <c r="BZ38" s="3">
        <v>1.81</v>
      </c>
      <c r="CA38" s="3">
        <v>-0.87</v>
      </c>
      <c r="CB38" s="3">
        <v>-6.49</v>
      </c>
      <c r="CC38" s="3">
        <v>-12.71</v>
      </c>
      <c r="CD38" s="3" t="s">
        <v>2433</v>
      </c>
      <c r="CE38" s="3" t="s">
        <v>1528</v>
      </c>
      <c r="CF38" s="10">
        <v>-0.44769403824521936</v>
      </c>
      <c r="CG38" s="11">
        <v>4.8809701659658113</v>
      </c>
      <c r="CH38" s="10">
        <v>-0.7619394063949585</v>
      </c>
      <c r="CI38" s="10">
        <v>0.34892091155052185</v>
      </c>
      <c r="CJ38" s="10">
        <v>4.404231533408165E-2</v>
      </c>
      <c r="CK38" s="10">
        <v>0.12007643282413483</v>
      </c>
      <c r="CL38" s="10">
        <v>0.97209656238555908</v>
      </c>
      <c r="CM38" s="11">
        <v>-0.75428098440170288</v>
      </c>
      <c r="CN38" s="11">
        <v>2.1962323188781738</v>
      </c>
      <c r="CO38" s="11">
        <v>-0.85601001977920532</v>
      </c>
      <c r="CP38" s="11">
        <v>-0.40455839037895203</v>
      </c>
      <c r="CQ38" s="11">
        <v>1.1666666269302368</v>
      </c>
      <c r="CR38" s="3">
        <v>56.396425114345874</v>
      </c>
      <c r="CS38" s="3">
        <v>3.8991062937555898</v>
      </c>
      <c r="CT38" s="3">
        <v>0.23275725406935596</v>
      </c>
      <c r="CU38" s="10">
        <v>0.14463936313986778</v>
      </c>
      <c r="CV38" s="11">
        <v>0.26960991024971009</v>
      </c>
      <c r="CW38" s="3">
        <v>0.06</v>
      </c>
      <c r="CX38" s="3">
        <v>311.6692609261562</v>
      </c>
      <c r="CY38" s="3">
        <v>25522218.252651673</v>
      </c>
      <c r="CZ38" s="3">
        <v>0.14463936313986778</v>
      </c>
      <c r="DA38" s="3">
        <v>97.273893577443062</v>
      </c>
      <c r="DB38" s="3">
        <v>81774159.617319718</v>
      </c>
      <c r="DC38" s="3">
        <v>0.13740739498287438</v>
      </c>
      <c r="DD38" s="3">
        <v>44.974393450257267</v>
      </c>
      <c r="DE38" s="3">
        <v>176867107.919929</v>
      </c>
      <c r="DF38" s="3">
        <v>0.12728263956308364</v>
      </c>
      <c r="DG38" s="3">
        <v>25.119638551180852</v>
      </c>
      <c r="DH38" s="3">
        <v>316664226.03147155</v>
      </c>
      <c r="DI38" s="3">
        <v>0.11571149051189422</v>
      </c>
      <c r="DJ38" s="3">
        <v>11.002087242670754</v>
      </c>
      <c r="DK38" s="3">
        <v>722998347.90885091</v>
      </c>
      <c r="DL38" s="3">
        <v>0.10124755419790744</v>
      </c>
      <c r="DM38" s="3">
        <v>23635000</v>
      </c>
      <c r="DN38" s="3">
        <v>0.14463936313986778</v>
      </c>
      <c r="DO38" s="3">
        <v>7954490900</v>
      </c>
      <c r="DP38" s="3">
        <v>1486934200</v>
      </c>
      <c r="DQ38" s="3">
        <v>2069</v>
      </c>
      <c r="DR38" s="3">
        <v>-0.59233340138508717</v>
      </c>
      <c r="DS38" s="3">
        <v>4.6113602557161011</v>
      </c>
      <c r="DT38" s="12">
        <v>-0.42333333333333334</v>
      </c>
      <c r="DU38" s="3">
        <v>1.9999999999999945E-2</v>
      </c>
      <c r="DV38" s="3">
        <v>-0.40333333333333338</v>
      </c>
      <c r="DW38" s="3">
        <v>-9.5106215578284807</v>
      </c>
      <c r="DX38" s="3">
        <v>0.28938613728129337</v>
      </c>
      <c r="DY38" s="3">
        <v>-9.0405362730885592</v>
      </c>
      <c r="DZ38" s="3">
        <v>1048</v>
      </c>
      <c r="EA38" s="3">
        <v>-9.0322227673748969</v>
      </c>
      <c r="EB38" s="3">
        <v>9</v>
      </c>
      <c r="EC38" s="3">
        <v>0.10169525189574191</v>
      </c>
      <c r="ED38" s="3">
        <v>1.2810202811027458</v>
      </c>
      <c r="EE38" s="13">
        <v>-2.0382099999999999</v>
      </c>
      <c r="EF38" s="3">
        <v>-2.0571100000000002</v>
      </c>
      <c r="EG38" s="3">
        <v>21.079386137281293</v>
      </c>
      <c r="EH38" s="3" t="s">
        <v>1250</v>
      </c>
      <c r="EI38" s="3">
        <v>0</v>
      </c>
      <c r="EJ38" s="3">
        <v>1</v>
      </c>
      <c r="EK38" s="15">
        <v>45470</v>
      </c>
      <c r="EL38" s="16">
        <v>-0.34</v>
      </c>
      <c r="EM38" s="16">
        <v>-5.35</v>
      </c>
      <c r="EN38" s="16">
        <v>-0.93</v>
      </c>
      <c r="EO38" s="16">
        <v>3.32</v>
      </c>
      <c r="EP38" s="16">
        <v>-1.89</v>
      </c>
    </row>
    <row r="39" spans="1:146" ht="96" x14ac:dyDescent="0.25">
      <c r="A39" s="3"/>
      <c r="B39" s="3"/>
      <c r="C39" s="7" t="str">
        <f>""&amp;CHAR(10)&amp;Basic_Fundamental_Information_Constructure(F39)&amp;CHAR(10)&amp;Basic_Fundamental_Information_Concatenate("")</f>
        <v xml:space="preserve">
市值20.808107亿, 利润316.58万; PE; 平均PE-121.88; 平均PEG-19.17, PB2.1; ROIC1.78%; ROE-6.1%; 股利率0%; 毛利18.6733%; 净利-29.13%; 上一年度营收增-79.83%, 利润增-83.65%; 当季营收增-33.33%, 利润增111.01%; 过往5年营收增6.36%, 利润增-214.26%
Income profile:
</v>
      </c>
      <c r="D39" s="3" t="s">
        <v>1576</v>
      </c>
      <c r="E39" s="3" t="s">
        <v>1577</v>
      </c>
      <c r="F39" s="3">
        <v>4.55</v>
      </c>
      <c r="G39" s="3">
        <v>-2.99</v>
      </c>
      <c r="H39" s="3" t="s">
        <v>2434</v>
      </c>
      <c r="I39" s="3">
        <v>2080810700</v>
      </c>
      <c r="K39" s="3">
        <v>2.1</v>
      </c>
      <c r="L39" s="3" t="s">
        <v>285</v>
      </c>
      <c r="M39" s="3" t="s">
        <v>2435</v>
      </c>
      <c r="N39" s="3" t="s">
        <v>1920</v>
      </c>
      <c r="O39" s="3" t="s">
        <v>100</v>
      </c>
      <c r="P39" s="5">
        <v>60.47</v>
      </c>
      <c r="Q39" s="3" t="s">
        <v>100</v>
      </c>
      <c r="R39" s="3">
        <v>3165798</v>
      </c>
      <c r="S39" s="3">
        <v>1.2210000000000001</v>
      </c>
      <c r="T39" s="3" t="s">
        <v>2436</v>
      </c>
      <c r="U39" s="3">
        <v>439154240</v>
      </c>
      <c r="V39" s="3">
        <v>457321020</v>
      </c>
      <c r="W39" s="3">
        <v>2.41</v>
      </c>
      <c r="X39" s="3">
        <v>0.1</v>
      </c>
      <c r="Y39" s="3">
        <v>0.75</v>
      </c>
      <c r="Z39" s="3" t="s">
        <v>1395</v>
      </c>
      <c r="AA39" s="3" t="s">
        <v>179</v>
      </c>
      <c r="AB39" s="3" t="s">
        <v>2437</v>
      </c>
      <c r="AC39" s="3" t="s">
        <v>2438</v>
      </c>
      <c r="AD39" s="3" t="s">
        <v>4</v>
      </c>
      <c r="AE39" s="3">
        <v>11535567</v>
      </c>
      <c r="AF39" s="3" t="s">
        <v>21</v>
      </c>
      <c r="AG39" s="3" t="s">
        <v>2439</v>
      </c>
      <c r="AH39" s="3" t="s">
        <v>2440</v>
      </c>
      <c r="AI39" s="3" t="s">
        <v>237</v>
      </c>
      <c r="AJ39" s="3" t="s">
        <v>2441</v>
      </c>
      <c r="AK39" s="3" t="s">
        <v>2442</v>
      </c>
      <c r="AL39" s="3" t="s">
        <v>2443</v>
      </c>
      <c r="AM39" s="3" t="s">
        <v>4</v>
      </c>
      <c r="AN39" s="3" t="s">
        <v>75</v>
      </c>
      <c r="AO39" s="3" t="s">
        <v>1374</v>
      </c>
      <c r="AP39" s="3" t="s">
        <v>4</v>
      </c>
      <c r="AQ39" s="3" t="s">
        <v>859</v>
      </c>
      <c r="AR39" s="3" t="s">
        <v>4</v>
      </c>
      <c r="AS39" s="3" t="s">
        <v>1387</v>
      </c>
      <c r="AT39" s="3" t="s">
        <v>50</v>
      </c>
      <c r="AU39" s="3" t="s">
        <v>2444</v>
      </c>
      <c r="AV39" s="3" t="s">
        <v>2445</v>
      </c>
      <c r="AW39" s="3" t="s">
        <v>2446</v>
      </c>
      <c r="AX39" s="3" t="s">
        <v>1578</v>
      </c>
      <c r="AY39" s="3" t="s">
        <v>1390</v>
      </c>
      <c r="AZ39" s="3" t="s">
        <v>1124</v>
      </c>
      <c r="BA39" s="3" t="s">
        <v>1093</v>
      </c>
      <c r="BB39" s="3" t="s">
        <v>1471</v>
      </c>
      <c r="BC39" s="3" t="s">
        <v>1579</v>
      </c>
      <c r="BD39" s="3" t="s">
        <v>1581</v>
      </c>
      <c r="BE39" s="3" t="s">
        <v>1582</v>
      </c>
      <c r="BF39" s="3" t="s">
        <v>1583</v>
      </c>
      <c r="BG39" s="3" t="s">
        <v>1584</v>
      </c>
      <c r="BH39" s="3" t="s">
        <v>248</v>
      </c>
      <c r="BI39" s="3" t="s">
        <v>854</v>
      </c>
      <c r="BJ39" s="3" t="s">
        <v>1578</v>
      </c>
      <c r="BK39" s="3" t="s">
        <v>2447</v>
      </c>
      <c r="BL39" s="3" t="s">
        <v>1585</v>
      </c>
      <c r="BM39" s="3" t="s">
        <v>1579</v>
      </c>
      <c r="BN39" s="3" t="s">
        <v>4</v>
      </c>
      <c r="BO39" s="3">
        <v>1.78</v>
      </c>
      <c r="BP39" s="3" t="s">
        <v>4</v>
      </c>
      <c r="BQ39" s="3">
        <v>-2.2999999999999998</v>
      </c>
      <c r="BR39" s="3">
        <v>1.59</v>
      </c>
      <c r="BS39" s="3">
        <v>-17.59</v>
      </c>
      <c r="BT39" s="3" t="s">
        <v>1043</v>
      </c>
      <c r="BU39" s="3" t="s">
        <v>841</v>
      </c>
      <c r="BV39" s="3">
        <v>15.84</v>
      </c>
      <c r="BW39" s="3">
        <v>17.78</v>
      </c>
      <c r="BX39" s="3">
        <v>22.4</v>
      </c>
      <c r="BY39" s="3">
        <v>-55.6</v>
      </c>
      <c r="BZ39" s="3">
        <v>0.89</v>
      </c>
      <c r="CA39" s="3">
        <v>-32.68</v>
      </c>
      <c r="CB39" s="3">
        <v>-17.12</v>
      </c>
      <c r="CC39" s="10">
        <v>-16.670000000000002</v>
      </c>
      <c r="CD39" s="11" t="s">
        <v>41</v>
      </c>
      <c r="CE39" s="10" t="s">
        <v>2448</v>
      </c>
      <c r="CF39" s="10">
        <v>-0.33333333333333343</v>
      </c>
      <c r="CG39" s="10">
        <v>1.1100523181639628</v>
      </c>
      <c r="CH39" s="10">
        <v>-0.79826086759567261</v>
      </c>
      <c r="CI39" s="10">
        <v>0.98275864124298096</v>
      </c>
      <c r="CJ39" s="11">
        <v>-4.76190485060215E-2</v>
      </c>
      <c r="CK39" s="11">
        <v>0.13619403541088104</v>
      </c>
      <c r="CL39" s="11">
        <v>4.4834308326244354E-2</v>
      </c>
      <c r="CM39" s="11">
        <v>-0.83646035194396973</v>
      </c>
      <c r="CN39" s="11">
        <v>1.119493842124939</v>
      </c>
      <c r="CO39" s="3">
        <v>-11.491072654724121</v>
      </c>
      <c r="CP39" s="3">
        <v>0.32754173874855042</v>
      </c>
      <c r="CQ39" s="3">
        <v>0.1675114631652832</v>
      </c>
      <c r="CR39" s="10">
        <v>-121.8751325168538</v>
      </c>
      <c r="CS39" s="11">
        <v>-19.168358373853359</v>
      </c>
      <c r="CT39" s="3">
        <v>0</v>
      </c>
      <c r="CU39" s="3">
        <v>6.3581413775682452E-2</v>
      </c>
      <c r="CV39" s="3">
        <v>-2.1425971925258636</v>
      </c>
      <c r="CW39" s="3">
        <v>0.06</v>
      </c>
      <c r="CX39" s="3">
        <v>775.63783971751536</v>
      </c>
      <c r="CY39" s="3">
        <v>3176496.263897222</v>
      </c>
      <c r="CZ39" s="3">
        <v>6.3581413775682452E-2</v>
      </c>
      <c r="DA39" s="3">
        <v>259.22265821128462</v>
      </c>
      <c r="DB39" s="3">
        <v>9504611.6608827524</v>
      </c>
      <c r="DC39" s="3">
        <v>6.0402343086898326E-2</v>
      </c>
      <c r="DD39" s="3">
        <v>131.4558020187925</v>
      </c>
      <c r="DE39" s="3">
        <v>18742502.515391309</v>
      </c>
      <c r="DF39" s="3">
        <v>5.5951644122600556E-2</v>
      </c>
      <c r="DG39" s="3">
        <v>81.59499645962039</v>
      </c>
      <c r="DH39" s="3">
        <v>30195610.109736167</v>
      </c>
      <c r="DI39" s="3">
        <v>5.0865131020545962E-2</v>
      </c>
      <c r="DJ39" s="3">
        <v>45.255578598993445</v>
      </c>
      <c r="DK39" s="3">
        <v>54442143.405825309</v>
      </c>
      <c r="DL39" s="3">
        <v>4.4506989642977716E-2</v>
      </c>
      <c r="DM39" s="3">
        <v>3165800</v>
      </c>
      <c r="DN39" s="3">
        <v>6.3581413775682452E-2</v>
      </c>
      <c r="DO39" s="3">
        <v>2463810700</v>
      </c>
      <c r="DP39" s="3">
        <v>-45058170</v>
      </c>
      <c r="DQ39" s="12">
        <v>2113</v>
      </c>
      <c r="DR39" s="3">
        <v>-0.39691474710901586</v>
      </c>
      <c r="DS39" s="3">
        <v>3.2526495106898263</v>
      </c>
      <c r="DT39" s="3">
        <v>-0.47333333333333333</v>
      </c>
      <c r="DU39" s="3">
        <v>-0.94</v>
      </c>
      <c r="DV39" s="3">
        <v>-1.4133333333333333</v>
      </c>
      <c r="DW39" s="3">
        <v>-5.9737149532710276</v>
      </c>
      <c r="DX39" s="3">
        <v>0.29704880817253071</v>
      </c>
      <c r="DY39" s="3">
        <v>-5.0944978757147252</v>
      </c>
      <c r="DZ39" s="3">
        <v>4147</v>
      </c>
      <c r="EA39" s="3">
        <v>-5.0178085037795066</v>
      </c>
      <c r="EB39" s="13">
        <v>5</v>
      </c>
      <c r="EC39" s="13">
        <v>0.37391677294868275</v>
      </c>
      <c r="ED39" s="3">
        <v>3.8528734148279473</v>
      </c>
      <c r="EE39" s="3">
        <v>-2.0200100000000001</v>
      </c>
      <c r="EF39" s="3">
        <v>-2.0133000000000001</v>
      </c>
      <c r="EG39" s="3">
        <v>20.097048808172531</v>
      </c>
      <c r="EH39" s="15" t="s">
        <v>1551</v>
      </c>
      <c r="EI39" s="3">
        <v>0</v>
      </c>
      <c r="EJ39" s="3">
        <v>0</v>
      </c>
      <c r="EK39" s="3">
        <v>45470</v>
      </c>
      <c r="EL39" s="3">
        <v>-6.27</v>
      </c>
      <c r="EM39" s="3">
        <v>-4.72</v>
      </c>
      <c r="EN39" s="16">
        <v>2.69</v>
      </c>
      <c r="EO39" s="16">
        <v>2.62</v>
      </c>
      <c r="EP39" s="16">
        <v>3.33</v>
      </c>
    </row>
    <row r="40" spans="1:146" ht="96" x14ac:dyDescent="0.25">
      <c r="C40" s="7" t="str">
        <f>""&amp;CHAR(10)&amp;Basic_Fundamental_Information_Constructure(F40)&amp;CHAR(10)&amp;Basic_Fundamental_Information_Concatenate("")</f>
        <v xml:space="preserve">
市值153.9593亿, 利润1.62亿; PE32.69; 平均PE55.41; 平均PEG8.44, PB3.35; ROIC8.03%; ROE8.9933%; 股利率.9822%; 毛利32.0433%; 净利13.0767%; 上一年度营收增-64.98%, 利润增-63.43%; 当季营收增-23.81%, 利润增29.43%; 过往5年营收增6.57%, 利润增3.6%
Income profile:
</v>
      </c>
      <c r="D40" s="3" t="s">
        <v>526</v>
      </c>
      <c r="E40" s="3" t="s">
        <v>527</v>
      </c>
      <c r="F40" s="3">
        <v>36.450000000000003</v>
      </c>
      <c r="G40" s="3">
        <v>0.75</v>
      </c>
      <c r="H40" s="3" t="s">
        <v>2449</v>
      </c>
      <c r="I40" s="3">
        <v>15395930000</v>
      </c>
      <c r="J40" s="3">
        <v>32.69</v>
      </c>
      <c r="K40" s="3">
        <v>3.35</v>
      </c>
      <c r="L40" s="3" t="s">
        <v>285</v>
      </c>
      <c r="M40" s="3" t="s">
        <v>2450</v>
      </c>
      <c r="N40" s="3" t="s">
        <v>2451</v>
      </c>
      <c r="O40" s="3" t="s">
        <v>270</v>
      </c>
      <c r="P40" s="3">
        <v>68.77</v>
      </c>
      <c r="Q40" s="3" t="s">
        <v>270</v>
      </c>
      <c r="R40" s="3">
        <v>161791270</v>
      </c>
      <c r="S40" s="5">
        <v>2.444</v>
      </c>
      <c r="T40" s="3" t="s">
        <v>169</v>
      </c>
      <c r="U40" s="3">
        <v>356034020</v>
      </c>
      <c r="V40" s="3">
        <v>422384900</v>
      </c>
      <c r="W40" s="3">
        <v>1.34</v>
      </c>
      <c r="X40" s="3">
        <v>0.16</v>
      </c>
      <c r="Y40" s="3">
        <v>15.94</v>
      </c>
      <c r="Z40" s="3" t="s">
        <v>557</v>
      </c>
      <c r="AA40" s="3" t="s">
        <v>2452</v>
      </c>
      <c r="AB40" s="3" t="s">
        <v>2453</v>
      </c>
      <c r="AC40" s="3" t="s">
        <v>2454</v>
      </c>
      <c r="AD40" s="3" t="s">
        <v>4</v>
      </c>
      <c r="AE40" s="3">
        <v>-5695861</v>
      </c>
      <c r="AF40" s="3" t="s">
        <v>2455</v>
      </c>
      <c r="AG40" s="3" t="s">
        <v>2456</v>
      </c>
      <c r="AH40" s="3" t="s">
        <v>2457</v>
      </c>
      <c r="AI40" s="3" t="s">
        <v>1057</v>
      </c>
      <c r="AJ40" s="3" t="s">
        <v>2458</v>
      </c>
      <c r="AK40" s="3" t="s">
        <v>1300</v>
      </c>
      <c r="AL40" s="3" t="s">
        <v>2459</v>
      </c>
      <c r="AM40" s="3" t="s">
        <v>4</v>
      </c>
      <c r="AN40" s="3" t="s">
        <v>2460</v>
      </c>
      <c r="AO40" s="3" t="s">
        <v>113</v>
      </c>
      <c r="AP40" s="3" t="s">
        <v>227</v>
      </c>
      <c r="AQ40" s="3" t="s">
        <v>1399</v>
      </c>
      <c r="AR40" s="3" t="s">
        <v>2461</v>
      </c>
      <c r="AS40" s="3" t="s">
        <v>2462</v>
      </c>
      <c r="AT40" s="3" t="s">
        <v>4</v>
      </c>
      <c r="AU40" s="3" t="s">
        <v>2463</v>
      </c>
      <c r="AV40" s="3" t="s">
        <v>2464</v>
      </c>
      <c r="AW40" s="3" t="s">
        <v>2465</v>
      </c>
      <c r="AX40" s="3" t="s">
        <v>1228</v>
      </c>
      <c r="AY40" s="3" t="s">
        <v>760</v>
      </c>
      <c r="AZ40" s="3" t="s">
        <v>528</v>
      </c>
      <c r="BA40" s="3" t="s">
        <v>195</v>
      </c>
      <c r="BB40" s="3" t="s">
        <v>266</v>
      </c>
      <c r="BC40" s="3" t="s">
        <v>7</v>
      </c>
      <c r="BD40" s="3" t="s">
        <v>171</v>
      </c>
      <c r="BE40" s="3" t="s">
        <v>181</v>
      </c>
      <c r="BF40" s="3" t="s">
        <v>77</v>
      </c>
      <c r="BG40" s="3" t="s">
        <v>130</v>
      </c>
      <c r="BH40" s="3" t="s">
        <v>2466</v>
      </c>
      <c r="BI40" s="3" t="s">
        <v>1227</v>
      </c>
      <c r="BJ40" s="3" t="s">
        <v>1228</v>
      </c>
      <c r="BK40" s="3" t="s">
        <v>1492</v>
      </c>
      <c r="BL40" s="3" t="s">
        <v>53</v>
      </c>
      <c r="BM40" s="3" t="s">
        <v>7</v>
      </c>
      <c r="BN40" s="3">
        <v>5.19</v>
      </c>
      <c r="BO40" s="3">
        <v>9.9499999999999993</v>
      </c>
      <c r="BP40" s="3">
        <v>8.9499999999999993</v>
      </c>
      <c r="BQ40" s="3">
        <v>5.53</v>
      </c>
      <c r="BR40" s="3">
        <v>11.26</v>
      </c>
      <c r="BS40" s="3">
        <v>10.19</v>
      </c>
      <c r="BT40" s="3" t="s">
        <v>2467</v>
      </c>
      <c r="BU40" s="3" t="s">
        <v>841</v>
      </c>
      <c r="BV40" s="3">
        <v>32.380000000000003</v>
      </c>
      <c r="BW40" s="3">
        <v>31.7</v>
      </c>
      <c r="BX40" s="3">
        <v>32.049999999999997</v>
      </c>
      <c r="BY40" s="3">
        <v>11.78</v>
      </c>
      <c r="BZ40" s="3">
        <v>15.76</v>
      </c>
      <c r="CA40" s="3">
        <v>11.69</v>
      </c>
      <c r="CB40" s="3">
        <v>-9.4</v>
      </c>
      <c r="CC40" s="3">
        <v>-10.31</v>
      </c>
      <c r="CD40" s="3" t="s">
        <v>2468</v>
      </c>
      <c r="CE40" s="3" t="s">
        <v>68</v>
      </c>
      <c r="CF40" s="10">
        <v>-0.23809523809523808</v>
      </c>
      <c r="CG40" s="11">
        <v>0.29433016000000001</v>
      </c>
      <c r="CH40" s="10">
        <v>-0.64983165264129639</v>
      </c>
      <c r="CI40" s="10">
        <v>-8.5027799010276794E-2</v>
      </c>
      <c r="CJ40" s="10">
        <v>0.25231486558914185</v>
      </c>
      <c r="CK40" s="10">
        <v>0.19944474101066589</v>
      </c>
      <c r="CL40" s="10">
        <v>0.61148399114608765</v>
      </c>
      <c r="CM40" s="11">
        <v>-0.6343114972114563</v>
      </c>
      <c r="CN40" s="11">
        <v>0.19086021184921265</v>
      </c>
      <c r="CO40" s="11">
        <v>0.38289964199066162</v>
      </c>
      <c r="CP40" s="11">
        <v>0.48618784546852112</v>
      </c>
      <c r="CQ40" s="11">
        <v>-0.24583333730697632</v>
      </c>
      <c r="CR40" s="3">
        <v>55.414265146970607</v>
      </c>
      <c r="CS40" s="3">
        <v>8.4374148091567562</v>
      </c>
      <c r="CT40" s="3">
        <v>0.9821673525377228</v>
      </c>
      <c r="CU40" s="10">
        <v>6.5676829218864446E-2</v>
      </c>
      <c r="CV40" s="11">
        <v>3.5960572957992556E-2</v>
      </c>
      <c r="CW40" s="3">
        <v>0.06</v>
      </c>
      <c r="CX40" s="3">
        <v>74.63688714417242</v>
      </c>
      <c r="CY40" s="3">
        <v>162867590.88061893</v>
      </c>
      <c r="CZ40" s="3">
        <v>6.5676829218864446E-2</v>
      </c>
      <c r="DA40" s="3">
        <v>24.899608842740772</v>
      </c>
      <c r="DB40" s="3">
        <v>488197628.99785221</v>
      </c>
      <c r="DC40" s="3">
        <v>6.2392987757921223E-2</v>
      </c>
      <c r="DD40" s="3">
        <v>12.597476259574327</v>
      </c>
      <c r="DE40" s="3">
        <v>964949625.58562136</v>
      </c>
      <c r="DF40" s="3">
        <v>5.7795609712600712E-2</v>
      </c>
      <c r="DG40" s="3">
        <v>7.7992069011693781</v>
      </c>
      <c r="DH40" s="3">
        <v>1558611042.6404247</v>
      </c>
      <c r="DI40" s="3">
        <v>5.2541463375091559E-2</v>
      </c>
      <c r="DJ40" s="3">
        <v>4.3023527066175289</v>
      </c>
      <c r="DK40" s="3">
        <v>2825414564.7572637</v>
      </c>
      <c r="DL40" s="3">
        <v>4.5973780453205111E-2</v>
      </c>
      <c r="DM40" s="3">
        <v>162000000</v>
      </c>
      <c r="DN40" s="3">
        <v>6.5676829218864446E-2</v>
      </c>
      <c r="DO40" s="3">
        <v>12155930000</v>
      </c>
      <c r="DP40" s="3">
        <v>2136229100</v>
      </c>
      <c r="DQ40" s="3">
        <v>2145</v>
      </c>
      <c r="DR40" s="3">
        <v>-0.30377206731410256</v>
      </c>
      <c r="DS40" s="3">
        <v>0.25836958704200746</v>
      </c>
      <c r="DT40" s="12">
        <v>-0.32333333333333331</v>
      </c>
      <c r="DU40" s="3">
        <v>0.18666666666666668</v>
      </c>
      <c r="DV40" s="3">
        <v>-0.13666666666666663</v>
      </c>
      <c r="DW40" s="3">
        <v>-9.9117361784675069</v>
      </c>
      <c r="DX40" s="3">
        <v>0.43553687943262442</v>
      </c>
      <c r="DY40" s="3">
        <v>-9.2056301325573884</v>
      </c>
      <c r="DZ40" s="3">
        <v>1375</v>
      </c>
      <c r="EA40" s="3">
        <v>-9.1502991281999702</v>
      </c>
      <c r="EB40" s="3">
        <v>9</v>
      </c>
      <c r="EC40" s="3">
        <v>7.5288439525181897E-2</v>
      </c>
      <c r="ED40" s="3">
        <v>0.33381875156995433</v>
      </c>
      <c r="EE40" s="13">
        <v>-1.02661</v>
      </c>
      <c r="EF40" s="3">
        <v>-1.0395099999999999</v>
      </c>
      <c r="EG40" s="3">
        <v>21.225536879432624</v>
      </c>
      <c r="EH40" s="3" t="s">
        <v>1113</v>
      </c>
      <c r="EI40" s="3">
        <v>0</v>
      </c>
      <c r="EJ40" s="3">
        <v>1</v>
      </c>
      <c r="EK40" s="15">
        <v>45470</v>
      </c>
      <c r="EL40" s="16">
        <v>-0.2</v>
      </c>
      <c r="EM40" s="16">
        <v>-2.65</v>
      </c>
      <c r="EN40" s="16">
        <v>-2.2000000000000002</v>
      </c>
      <c r="EO40" s="16">
        <v>2.19</v>
      </c>
      <c r="EP40" s="16">
        <v>-1.29</v>
      </c>
    </row>
    <row r="41" spans="1:146" ht="96" x14ac:dyDescent="0.25">
      <c r="C41" s="7" t="str">
        <f>""&amp;CHAR(10)&amp;Basic_Fundamental_Information_Constructure(F41)&amp;CHAR(10)&amp;Basic_Fundamental_Information_Concatenate("")</f>
        <v xml:space="preserve">
市值19.39057亿, 利润-3586.09万; PE; 平均PE269.27; 平均PEG14.43, PB1.67; ROIC2.76%; ROE-8.14%; 股利率0%; 毛利11.14%; 净利-9.44%; 上一年度营收增-81.49%, 利润增83.63%; 当季营收增-47.99%, 利润增70.12%; 过往5年营收增18.66%, 利润增265.2%
Income profile:
</v>
      </c>
      <c r="D41" s="3" t="s">
        <v>530</v>
      </c>
      <c r="E41" s="3" t="s">
        <v>531</v>
      </c>
      <c r="F41" s="3">
        <v>7.3</v>
      </c>
      <c r="G41" s="3">
        <v>-0.41</v>
      </c>
      <c r="H41" s="3" t="s">
        <v>2469</v>
      </c>
      <c r="I41" s="3">
        <v>1939057000</v>
      </c>
      <c r="K41" s="3">
        <v>1.67</v>
      </c>
      <c r="L41" s="3" t="s">
        <v>285</v>
      </c>
      <c r="M41" s="3" t="s">
        <v>2470</v>
      </c>
      <c r="N41" s="3" t="s">
        <v>2471</v>
      </c>
      <c r="O41" s="3" t="s">
        <v>227</v>
      </c>
      <c r="P41" s="3">
        <v>9.59</v>
      </c>
      <c r="Q41" s="3" t="s">
        <v>227</v>
      </c>
      <c r="R41" s="3">
        <v>-35860922</v>
      </c>
      <c r="S41" s="5">
        <v>0.2011</v>
      </c>
      <c r="T41" s="3" t="s">
        <v>2472</v>
      </c>
      <c r="U41" s="3">
        <v>198670890</v>
      </c>
      <c r="V41" s="3">
        <v>265624240</v>
      </c>
      <c r="W41" s="3">
        <v>2.0299999999999998</v>
      </c>
      <c r="X41" s="3">
        <v>0.14000000000000001</v>
      </c>
      <c r="Y41" s="3">
        <v>-11.09</v>
      </c>
      <c r="Z41" s="3" t="s">
        <v>180</v>
      </c>
      <c r="AA41" s="3" t="s">
        <v>133</v>
      </c>
      <c r="AB41" s="3" t="s">
        <v>2473</v>
      </c>
      <c r="AC41" s="3" t="s">
        <v>2474</v>
      </c>
      <c r="AD41" s="3" t="s">
        <v>4</v>
      </c>
      <c r="AE41" s="3">
        <v>1084569</v>
      </c>
      <c r="AF41" s="3" t="s">
        <v>2475</v>
      </c>
      <c r="AG41" s="3" t="s">
        <v>2476</v>
      </c>
      <c r="AH41" s="3" t="s">
        <v>2477</v>
      </c>
      <c r="AI41" s="3" t="s">
        <v>1391</v>
      </c>
      <c r="AJ41" s="3" t="s">
        <v>2478</v>
      </c>
      <c r="AK41" s="3" t="s">
        <v>2479</v>
      </c>
      <c r="AL41" s="3" t="s">
        <v>2480</v>
      </c>
      <c r="AM41" s="3" t="s">
        <v>4</v>
      </c>
      <c r="AN41" s="3" t="s">
        <v>2481</v>
      </c>
      <c r="AO41" s="3" t="s">
        <v>1140</v>
      </c>
      <c r="AP41" s="3" t="s">
        <v>2482</v>
      </c>
      <c r="AQ41" s="3" t="s">
        <v>1067</v>
      </c>
      <c r="AR41" s="3" t="s">
        <v>2483</v>
      </c>
      <c r="AS41" s="3" t="s">
        <v>2484</v>
      </c>
      <c r="AT41" s="3" t="s">
        <v>4</v>
      </c>
      <c r="AU41" s="3" t="s">
        <v>2485</v>
      </c>
      <c r="AV41" s="3" t="s">
        <v>2486</v>
      </c>
      <c r="AW41" s="3" t="s">
        <v>2487</v>
      </c>
      <c r="AX41" s="3" t="s">
        <v>1230</v>
      </c>
      <c r="AY41" s="3" t="s">
        <v>288</v>
      </c>
      <c r="AZ41" s="3" t="s">
        <v>532</v>
      </c>
      <c r="BA41" s="3" t="s">
        <v>230</v>
      </c>
      <c r="BB41" s="3" t="s">
        <v>524</v>
      </c>
      <c r="BC41" s="3" t="s">
        <v>297</v>
      </c>
      <c r="BD41" s="3" t="s">
        <v>2488</v>
      </c>
      <c r="BE41" s="3" t="s">
        <v>24</v>
      </c>
      <c r="BF41" s="3" t="s">
        <v>35</v>
      </c>
      <c r="BG41" s="3" t="s">
        <v>533</v>
      </c>
      <c r="BH41" s="3" t="s">
        <v>1370</v>
      </c>
      <c r="BI41" s="3" t="s">
        <v>1229</v>
      </c>
      <c r="BJ41" s="3" t="s">
        <v>1230</v>
      </c>
      <c r="BK41" s="3" t="s">
        <v>2489</v>
      </c>
      <c r="BL41" s="3" t="s">
        <v>1426</v>
      </c>
      <c r="BM41" s="3" t="s">
        <v>297</v>
      </c>
      <c r="BN41" s="3" t="s">
        <v>4</v>
      </c>
      <c r="BO41" s="3" t="s">
        <v>4</v>
      </c>
      <c r="BP41" s="3">
        <v>2.76</v>
      </c>
      <c r="BQ41" s="3">
        <v>-13.51</v>
      </c>
      <c r="BR41" s="3">
        <v>-13.83</v>
      </c>
      <c r="BS41" s="3">
        <v>2.92</v>
      </c>
      <c r="BT41" s="3" t="s">
        <v>1043</v>
      </c>
      <c r="BU41" s="3" t="s">
        <v>841</v>
      </c>
      <c r="BV41" s="3">
        <v>3.31</v>
      </c>
      <c r="BW41" s="3">
        <v>12.01</v>
      </c>
      <c r="BX41" s="3">
        <v>18.100000000000001</v>
      </c>
      <c r="BY41" s="3">
        <v>-18.41</v>
      </c>
      <c r="BZ41" s="3">
        <v>-12.56</v>
      </c>
      <c r="CA41" s="3">
        <v>2.65</v>
      </c>
      <c r="CB41" s="3">
        <v>0.69</v>
      </c>
      <c r="CC41" s="3">
        <v>-5.19</v>
      </c>
      <c r="CD41" s="3" t="s">
        <v>2490</v>
      </c>
      <c r="CE41" s="3" t="s">
        <v>2001</v>
      </c>
      <c r="CF41" s="10">
        <v>-0.47987117552334946</v>
      </c>
      <c r="CG41" s="11">
        <v>0.70115898333333337</v>
      </c>
      <c r="CH41" s="10">
        <v>-0.81489968299865723</v>
      </c>
      <c r="CI41" s="10">
        <v>-0.19436757266521454</v>
      </c>
      <c r="CJ41" s="10">
        <v>-6.7183353006839752E-2</v>
      </c>
      <c r="CK41" s="10">
        <v>0.3321857750415802</v>
      </c>
      <c r="CL41" s="10">
        <v>1.6774193048477173</v>
      </c>
      <c r="CM41" s="11">
        <v>0.83625161647796631</v>
      </c>
      <c r="CN41" s="11">
        <v>-4.8260159492492676</v>
      </c>
      <c r="CO41" s="11">
        <v>-0.45486000180244446</v>
      </c>
      <c r="CP41" s="11">
        <v>-0.18604651093482971</v>
      </c>
      <c r="CQ41" s="11">
        <v>17.890581130981445</v>
      </c>
      <c r="CR41" s="3">
        <v>269.26610133402454</v>
      </c>
      <c r="CS41" s="3">
        <v>14.427734616241823</v>
      </c>
      <c r="CT41" s="3">
        <v>0</v>
      </c>
      <c r="CU41" s="10">
        <v>0.1866308942437172</v>
      </c>
      <c r="CV41" s="11">
        <v>2.6519820570945738</v>
      </c>
      <c r="CW41" s="3">
        <v>0.06</v>
      </c>
      <c r="CX41" s="3" t="e">
        <v>#VALUE!</v>
      </c>
      <c r="CY41" s="3" t="s">
        <v>855</v>
      </c>
      <c r="CZ41" s="3">
        <v>0.1866308942437172</v>
      </c>
      <c r="DA41" s="3" t="e">
        <v>#VALUE!</v>
      </c>
      <c r="DB41" s="3" t="s">
        <v>853</v>
      </c>
      <c r="DC41" s="3">
        <v>0.17729934953153134</v>
      </c>
      <c r="DD41" s="3" t="e">
        <v>#VALUE!</v>
      </c>
      <c r="DE41" s="3" t="s">
        <v>853</v>
      </c>
      <c r="DF41" s="3">
        <v>0.16423518693447114</v>
      </c>
      <c r="DG41" s="3" t="e">
        <v>#VALUE!</v>
      </c>
      <c r="DH41" s="3" t="s">
        <v>853</v>
      </c>
      <c r="DI41" s="3">
        <v>0.14930471539497378</v>
      </c>
      <c r="DJ41" s="3" t="e">
        <v>#VALUE!</v>
      </c>
      <c r="DK41" s="3" t="s">
        <v>853</v>
      </c>
      <c r="DL41" s="3">
        <v>0.13064162597060203</v>
      </c>
      <c r="DM41" s="3">
        <v>-35860900</v>
      </c>
      <c r="DN41" s="3">
        <v>0.1866308942437172</v>
      </c>
      <c r="DO41" s="3">
        <v>1972057000</v>
      </c>
      <c r="DP41" s="3">
        <v>252027700</v>
      </c>
      <c r="DQ41" s="3">
        <v>2152</v>
      </c>
      <c r="DR41" s="3">
        <v>-0.66650206976706672</v>
      </c>
      <c r="DS41" s="3">
        <v>-1.9508230737612404</v>
      </c>
      <c r="DT41" s="12">
        <v>-0.60666666666666669</v>
      </c>
      <c r="DU41" s="3">
        <v>-0.67333333333333345</v>
      </c>
      <c r="DV41" s="3">
        <v>-1.2800000000000002</v>
      </c>
      <c r="DW41" s="3">
        <v>-1.0519000000000001</v>
      </c>
      <c r="DX41" s="3">
        <v>0.62205163934426422</v>
      </c>
      <c r="DY41" s="3">
        <v>-1.0136004800819671</v>
      </c>
      <c r="DZ41" s="3">
        <v>4316</v>
      </c>
      <c r="EA41" s="3">
        <v>-1.0021132644197812</v>
      </c>
      <c r="EB41" s="3">
        <v>1</v>
      </c>
      <c r="EC41" s="3">
        <v>0.24071824167854564</v>
      </c>
      <c r="ED41" s="3">
        <v>0.91859086354468256</v>
      </c>
      <c r="EE41" s="13">
        <v>-4.0007999999999999</v>
      </c>
      <c r="EF41" s="3">
        <v>-4.0007999999999999</v>
      </c>
      <c r="EG41" s="3">
        <v>36.262051639344264</v>
      </c>
      <c r="EH41" s="3" t="s">
        <v>1573</v>
      </c>
      <c r="EI41" s="3">
        <v>0</v>
      </c>
      <c r="EJ41" s="3">
        <v>0</v>
      </c>
      <c r="EK41" s="15">
        <v>45470</v>
      </c>
      <c r="EL41" s="16">
        <v>-0.28999999999999998</v>
      </c>
      <c r="EM41" s="16">
        <v>-4.63</v>
      </c>
      <c r="EN41" s="16">
        <v>-1.97</v>
      </c>
      <c r="EO41" s="16">
        <v>7.43</v>
      </c>
      <c r="EP41" s="16">
        <v>0</v>
      </c>
    </row>
    <row r="42" spans="1:146" ht="96" x14ac:dyDescent="0.25">
      <c r="A42" s="9"/>
      <c r="B42" s="9"/>
      <c r="C42" s="7" t="str">
        <f>""&amp;CHAR(10)&amp;Basic_Fundamental_Information_Constructure(F42)&amp;CHAR(10)&amp;Basic_Fundamental_Information_Concatenate("")</f>
        <v xml:space="preserve">
市值44.249035亿, 利润-2710.43万; PE24.25; 平均PE92.16; 平均PEG9.25, PB2.17; ROIC6.765%; ROE1.6133%; 股利率.6728%; 毛利26.18%; 净利1.1533%; 上一年度营收增-84.49%, 利润增88.32%; 当季营收增-50.26%, 利润增25.96%; 过往5年营收增9.97%, 利润增50.44%
Income profile:
</v>
      </c>
      <c r="D42" s="3" t="s">
        <v>534</v>
      </c>
      <c r="E42" s="3" t="s">
        <v>535</v>
      </c>
      <c r="F42" s="3">
        <v>23.78</v>
      </c>
      <c r="G42" s="3">
        <v>0.46</v>
      </c>
      <c r="H42" s="3" t="s">
        <v>2491</v>
      </c>
      <c r="I42" s="3">
        <v>4424903500</v>
      </c>
      <c r="J42" s="3">
        <v>24.25</v>
      </c>
      <c r="K42" s="3">
        <v>2.17</v>
      </c>
      <c r="L42" s="3" t="s">
        <v>285</v>
      </c>
      <c r="M42" s="3" t="s">
        <v>1251</v>
      </c>
      <c r="N42" s="3" t="s">
        <v>2492</v>
      </c>
      <c r="O42" s="3" t="s">
        <v>1139</v>
      </c>
      <c r="P42" s="3">
        <v>28.94</v>
      </c>
      <c r="Q42" s="3" t="s">
        <v>1139</v>
      </c>
      <c r="R42" s="3">
        <v>-27104269</v>
      </c>
      <c r="S42" s="5">
        <v>0.37430000000000002</v>
      </c>
      <c r="T42" s="3" t="s">
        <v>2493</v>
      </c>
      <c r="U42" s="3">
        <v>148879580</v>
      </c>
      <c r="V42" s="3">
        <v>186076680</v>
      </c>
      <c r="W42" s="3">
        <v>1.6</v>
      </c>
      <c r="X42" s="3">
        <v>0.12</v>
      </c>
      <c r="Y42" s="3">
        <v>-7.52</v>
      </c>
      <c r="Z42" s="3" t="s">
        <v>1475</v>
      </c>
      <c r="AA42" s="3" t="s">
        <v>925</v>
      </c>
      <c r="AB42" s="3" t="s">
        <v>2494</v>
      </c>
      <c r="AC42" s="3" t="s">
        <v>2495</v>
      </c>
      <c r="AD42" s="3" t="s">
        <v>4</v>
      </c>
      <c r="AE42" s="3">
        <v>1805425</v>
      </c>
      <c r="AF42" s="3" t="s">
        <v>2496</v>
      </c>
      <c r="AG42" s="3" t="s">
        <v>1473</v>
      </c>
      <c r="AH42" s="3" t="s">
        <v>2497</v>
      </c>
      <c r="AI42" s="3" t="s">
        <v>2498</v>
      </c>
      <c r="AJ42" s="3" t="s">
        <v>2499</v>
      </c>
      <c r="AK42" s="3" t="s">
        <v>2500</v>
      </c>
      <c r="AL42" s="3" t="s">
        <v>2501</v>
      </c>
      <c r="AM42" s="3" t="s">
        <v>4</v>
      </c>
      <c r="AN42" s="3" t="s">
        <v>2502</v>
      </c>
      <c r="AO42" s="3" t="s">
        <v>5</v>
      </c>
      <c r="AP42" s="3" t="s">
        <v>1395</v>
      </c>
      <c r="AQ42" s="3" t="s">
        <v>1540</v>
      </c>
      <c r="AR42" s="3" t="s">
        <v>4</v>
      </c>
      <c r="AS42" s="3" t="s">
        <v>2427</v>
      </c>
      <c r="AT42" s="3" t="s">
        <v>2503</v>
      </c>
      <c r="AU42" s="3" t="s">
        <v>2504</v>
      </c>
      <c r="AV42" s="3" t="s">
        <v>2505</v>
      </c>
      <c r="AW42" s="3" t="s">
        <v>2506</v>
      </c>
      <c r="AX42" s="3" t="s">
        <v>1232</v>
      </c>
      <c r="AY42" s="3" t="s">
        <v>1234</v>
      </c>
      <c r="AZ42" s="3" t="s">
        <v>536</v>
      </c>
      <c r="BA42" s="3" t="s">
        <v>246</v>
      </c>
      <c r="BB42" s="3" t="s">
        <v>537</v>
      </c>
      <c r="BC42" s="3" t="s">
        <v>1233</v>
      </c>
      <c r="BD42" s="3" t="s">
        <v>1123</v>
      </c>
      <c r="BE42" s="3" t="s">
        <v>128</v>
      </c>
      <c r="BF42" s="3" t="s">
        <v>41</v>
      </c>
      <c r="BG42" s="3" t="s">
        <v>538</v>
      </c>
      <c r="BH42" s="3" t="s">
        <v>2507</v>
      </c>
      <c r="BI42" s="3" t="s">
        <v>1231</v>
      </c>
      <c r="BJ42" s="3" t="s">
        <v>1232</v>
      </c>
      <c r="BK42" s="3" t="s">
        <v>36</v>
      </c>
      <c r="BL42" s="3" t="s">
        <v>1427</v>
      </c>
      <c r="BM42" s="3" t="s">
        <v>1233</v>
      </c>
      <c r="BN42" s="3">
        <v>5.48</v>
      </c>
      <c r="BO42" s="3" t="s">
        <v>4</v>
      </c>
      <c r="BP42" s="3">
        <v>8.0500000000000007</v>
      </c>
      <c r="BQ42" s="3">
        <v>5.92</v>
      </c>
      <c r="BR42" s="3">
        <v>-11.29</v>
      </c>
      <c r="BS42" s="3">
        <v>10.210000000000001</v>
      </c>
      <c r="BT42" s="3" t="s">
        <v>2508</v>
      </c>
      <c r="BU42" s="3" t="s">
        <v>841</v>
      </c>
      <c r="BV42" s="3">
        <v>29.44</v>
      </c>
      <c r="BW42" s="3">
        <v>22.25</v>
      </c>
      <c r="BX42" s="3">
        <v>26.85</v>
      </c>
      <c r="BY42" s="3">
        <v>7.17</v>
      </c>
      <c r="BZ42" s="3">
        <v>-10.47</v>
      </c>
      <c r="CA42" s="3">
        <v>6.76</v>
      </c>
      <c r="CB42" s="3">
        <v>-5.93</v>
      </c>
      <c r="CC42" s="3">
        <v>-16.27</v>
      </c>
      <c r="CD42" s="3" t="s">
        <v>2509</v>
      </c>
      <c r="CE42" s="3" t="s">
        <v>2223</v>
      </c>
      <c r="CF42" s="10">
        <v>-0.50255754475703329</v>
      </c>
      <c r="CG42" s="11">
        <v>0.25960196898466714</v>
      </c>
      <c r="CH42" s="10">
        <v>-0.84489637613296509</v>
      </c>
      <c r="CI42" s="10">
        <v>-1.2598425149917603E-2</v>
      </c>
      <c r="CJ42" s="10">
        <v>0.62404090166091919</v>
      </c>
      <c r="CK42" s="10">
        <v>6.1778727918863297E-2</v>
      </c>
      <c r="CL42" s="10">
        <v>0.67006796598434448</v>
      </c>
      <c r="CM42" s="11">
        <v>0.88317108154296875</v>
      </c>
      <c r="CN42" s="11">
        <v>-2.1776649951934814</v>
      </c>
      <c r="CO42" s="11">
        <v>0.38732394576072693</v>
      </c>
      <c r="CP42" s="11">
        <v>-0.16959063708782196</v>
      </c>
      <c r="CQ42" s="11">
        <v>3.5985419750213623</v>
      </c>
      <c r="CR42" s="3">
        <v>92.159441741119011</v>
      </c>
      <c r="CS42" s="3">
        <v>9.245663540744653</v>
      </c>
      <c r="CT42" s="3">
        <v>0.67283431455004206</v>
      </c>
      <c r="CU42" s="10">
        <v>9.967855885624885E-2</v>
      </c>
      <c r="CV42" s="11">
        <v>0.50435627400875094</v>
      </c>
      <c r="CW42" s="3">
        <v>0.06</v>
      </c>
      <c r="CX42" s="3" t="e">
        <v>#VALUE!</v>
      </c>
      <c r="CY42" s="3" t="s">
        <v>855</v>
      </c>
      <c r="CZ42" s="3">
        <v>9.967855885624885E-2</v>
      </c>
      <c r="DA42" s="3" t="e">
        <v>#VALUE!</v>
      </c>
      <c r="DB42" s="3" t="s">
        <v>853</v>
      </c>
      <c r="DC42" s="3">
        <v>9.4694630913436398E-2</v>
      </c>
      <c r="DD42" s="3" t="e">
        <v>#VALUE!</v>
      </c>
      <c r="DE42" s="3" t="s">
        <v>853</v>
      </c>
      <c r="DF42" s="3">
        <v>8.7717131793498992E-2</v>
      </c>
      <c r="DG42" s="3" t="e">
        <v>#VALUE!</v>
      </c>
      <c r="DH42" s="3" t="s">
        <v>853</v>
      </c>
      <c r="DI42" s="3">
        <v>7.9742847084999083E-2</v>
      </c>
      <c r="DJ42" s="3" t="e">
        <v>#VALUE!</v>
      </c>
      <c r="DK42" s="3" t="s">
        <v>853</v>
      </c>
      <c r="DL42" s="3">
        <v>6.9774991199374192E-2</v>
      </c>
      <c r="DM42" s="3">
        <v>-27104300</v>
      </c>
      <c r="DN42" s="3">
        <v>9.967855885624885E-2</v>
      </c>
      <c r="DO42" s="3">
        <v>3580903500</v>
      </c>
      <c r="DP42" s="3">
        <v>677845400</v>
      </c>
      <c r="DQ42" s="3">
        <v>2174</v>
      </c>
      <c r="DR42" s="3">
        <v>-0.60223610361328217</v>
      </c>
      <c r="DS42" s="3">
        <v>-0.2447543050240838</v>
      </c>
      <c r="DT42" s="12">
        <v>-0.3066666666666667</v>
      </c>
      <c r="DU42" s="3">
        <v>-0.6</v>
      </c>
      <c r="DV42" s="3">
        <v>-0.90666666666666673</v>
      </c>
      <c r="DW42" s="3">
        <v>-8.3644744929317767</v>
      </c>
      <c r="DX42" s="3">
        <v>0.33195648148147994</v>
      </c>
      <c r="DY42" s="3">
        <v>-8.0371605368890702</v>
      </c>
      <c r="DZ42" s="3">
        <v>1977</v>
      </c>
      <c r="EA42" s="3">
        <v>-8.022783554221812</v>
      </c>
      <c r="EB42" s="3">
        <v>8</v>
      </c>
      <c r="EC42" s="3">
        <v>0.11835228358545521</v>
      </c>
      <c r="ED42" s="3">
        <v>1.160811768567668</v>
      </c>
      <c r="EE42" s="13">
        <v>-6.0446999999999997</v>
      </c>
      <c r="EF42" s="3">
        <v>-6.0240999999999998</v>
      </c>
      <c r="EG42" s="3">
        <v>23.10195648148148</v>
      </c>
      <c r="EH42" s="3" t="s">
        <v>2510</v>
      </c>
      <c r="EI42" s="3">
        <v>0</v>
      </c>
      <c r="EJ42" s="3">
        <v>0</v>
      </c>
      <c r="EK42" s="15">
        <v>45470</v>
      </c>
      <c r="EL42" s="16">
        <v>-2.35</v>
      </c>
      <c r="EM42" s="16">
        <v>-5.01</v>
      </c>
      <c r="EN42" s="16">
        <v>-1.77</v>
      </c>
      <c r="EO42" s="16">
        <v>6.44</v>
      </c>
      <c r="EP42" s="16">
        <v>-2.06</v>
      </c>
    </row>
    <row r="43" spans="1:146" ht="96" x14ac:dyDescent="0.25">
      <c r="C43" s="7" t="str">
        <f>""&amp;CHAR(10)&amp;Basic_Fundamental_Information_Constructure(F43)&amp;CHAR(10)&amp;Basic_Fundamental_Information_Concatenate("")</f>
        <v xml:space="preserve">
市值151.34325亿, 利润5941.38万; PE36.11; 平均PE52.36; 平均PEG4.77, PB3.09; ROIC6.4167%; ROE6.6667%; 股利率1.2677%; 毛利18.8767%; 净利8.92%; 上一年度营收增-60.24%, 利润增-80.26%; 当季营收增-6.42%, 利润增-52.47%; 过往5年营收增10.97%, 利润增-10.57%
Income profile:
</v>
      </c>
      <c r="D43" s="3" t="s">
        <v>539</v>
      </c>
      <c r="E43" s="3" t="s">
        <v>540</v>
      </c>
      <c r="F43" s="3">
        <v>19.72</v>
      </c>
      <c r="G43" s="3">
        <v>-0.25</v>
      </c>
      <c r="H43" s="3" t="s">
        <v>2511</v>
      </c>
      <c r="I43" s="3">
        <v>15134325000</v>
      </c>
      <c r="J43" s="3">
        <v>36.11</v>
      </c>
      <c r="K43" s="3">
        <v>3.09</v>
      </c>
      <c r="L43" s="3" t="s">
        <v>285</v>
      </c>
      <c r="M43" s="3" t="s">
        <v>2512</v>
      </c>
      <c r="N43" s="3" t="s">
        <v>2513</v>
      </c>
      <c r="O43" s="3" t="s">
        <v>2514</v>
      </c>
      <c r="P43" s="3">
        <v>141.32</v>
      </c>
      <c r="Q43" s="3" t="s">
        <v>2514</v>
      </c>
      <c r="R43" s="3">
        <v>59413808</v>
      </c>
      <c r="S43" s="5">
        <v>0.60470000000000002</v>
      </c>
      <c r="T43" s="3" t="s">
        <v>2515</v>
      </c>
      <c r="U43" s="3">
        <v>752957680</v>
      </c>
      <c r="V43" s="3">
        <v>767460690</v>
      </c>
      <c r="W43" s="3">
        <v>1.57</v>
      </c>
      <c r="X43" s="3">
        <v>0.21</v>
      </c>
      <c r="Y43" s="3">
        <v>4.92</v>
      </c>
      <c r="Z43" s="3" t="s">
        <v>1270</v>
      </c>
      <c r="AA43" s="3" t="s">
        <v>2516</v>
      </c>
      <c r="AB43" s="3" t="s">
        <v>2517</v>
      </c>
      <c r="AC43" s="3" t="s">
        <v>2518</v>
      </c>
      <c r="AD43" s="3" t="s">
        <v>4</v>
      </c>
      <c r="AE43" s="3">
        <v>-4602008</v>
      </c>
      <c r="AF43" s="3" t="s">
        <v>2519</v>
      </c>
      <c r="AG43" s="3" t="s">
        <v>2520</v>
      </c>
      <c r="AH43" s="3" t="s">
        <v>2521</v>
      </c>
      <c r="AI43" s="3" t="s">
        <v>2522</v>
      </c>
      <c r="AJ43" s="3" t="s">
        <v>2523</v>
      </c>
      <c r="AK43" s="3" t="s">
        <v>2524</v>
      </c>
      <c r="AL43" s="3" t="s">
        <v>2525</v>
      </c>
      <c r="AM43" s="3" t="s">
        <v>4</v>
      </c>
      <c r="AN43" s="3" t="s">
        <v>179</v>
      </c>
      <c r="AO43" s="3" t="s">
        <v>1644</v>
      </c>
      <c r="AP43" s="3" t="s">
        <v>2526</v>
      </c>
      <c r="AQ43" s="3" t="s">
        <v>2527</v>
      </c>
      <c r="AR43" s="3" t="s">
        <v>4</v>
      </c>
      <c r="AS43" s="3" t="s">
        <v>1976</v>
      </c>
      <c r="AT43" s="3" t="s">
        <v>4</v>
      </c>
      <c r="AU43" s="3" t="s">
        <v>1768</v>
      </c>
      <c r="AV43" s="3" t="s">
        <v>1791</v>
      </c>
      <c r="AW43" s="3" t="s">
        <v>2528</v>
      </c>
      <c r="AX43" s="3" t="s">
        <v>1235</v>
      </c>
      <c r="AY43" s="3" t="s">
        <v>762</v>
      </c>
      <c r="AZ43" s="3" t="s">
        <v>541</v>
      </c>
      <c r="BA43" s="3" t="s">
        <v>542</v>
      </c>
      <c r="BB43" s="3" t="s">
        <v>229</v>
      </c>
      <c r="BC43" s="3" t="s">
        <v>923</v>
      </c>
      <c r="BD43" s="3" t="s">
        <v>233</v>
      </c>
      <c r="BE43" s="3" t="s">
        <v>110</v>
      </c>
      <c r="BF43" s="3" t="s">
        <v>203</v>
      </c>
      <c r="BG43" s="3" t="s">
        <v>177</v>
      </c>
      <c r="BH43" s="3" t="s">
        <v>2529</v>
      </c>
      <c r="BI43" s="3" t="s">
        <v>1096</v>
      </c>
      <c r="BJ43" s="3" t="s">
        <v>1235</v>
      </c>
      <c r="BK43" s="3" t="s">
        <v>1364</v>
      </c>
      <c r="BL43" s="3" t="s">
        <v>53</v>
      </c>
      <c r="BM43" s="3" t="s">
        <v>923</v>
      </c>
      <c r="BN43" s="3">
        <v>4.66</v>
      </c>
      <c r="BO43" s="3">
        <v>6.55</v>
      </c>
      <c r="BP43" s="3">
        <v>8.0399999999999991</v>
      </c>
      <c r="BQ43" s="3">
        <v>5.13</v>
      </c>
      <c r="BR43" s="3">
        <v>6.71</v>
      </c>
      <c r="BS43" s="3">
        <v>8.16</v>
      </c>
      <c r="BT43" s="3" t="s">
        <v>2530</v>
      </c>
      <c r="BU43" s="3" t="s">
        <v>841</v>
      </c>
      <c r="BV43" s="3">
        <v>17.53</v>
      </c>
      <c r="BW43" s="3">
        <v>18.559999999999999</v>
      </c>
      <c r="BX43" s="3">
        <v>20.54</v>
      </c>
      <c r="BY43" s="3">
        <v>8.08</v>
      </c>
      <c r="BZ43" s="3">
        <v>7.96</v>
      </c>
      <c r="CA43" s="3">
        <v>10.72</v>
      </c>
      <c r="CB43" s="3">
        <v>-8.6999999999999993</v>
      </c>
      <c r="CC43" s="3">
        <v>-8.02</v>
      </c>
      <c r="CD43" s="3" t="s">
        <v>46</v>
      </c>
      <c r="CE43" s="3" t="s">
        <v>2531</v>
      </c>
      <c r="CF43" s="10">
        <v>-6.4189189189189311E-2</v>
      </c>
      <c r="CG43" s="11">
        <v>-0.52468953600000001</v>
      </c>
      <c r="CH43" s="10">
        <v>-0.60239237546920776</v>
      </c>
      <c r="CI43" s="10">
        <v>0.15982241928577423</v>
      </c>
      <c r="CJ43" s="10">
        <v>0.57724291086196899</v>
      </c>
      <c r="CK43" s="10">
        <v>4.3378904461860657E-2</v>
      </c>
      <c r="CL43" s="10">
        <v>0.37046316266059875</v>
      </c>
      <c r="CM43" s="11">
        <v>-0.80261200666427612</v>
      </c>
      <c r="CN43" s="11">
        <v>-0.14730878174304962</v>
      </c>
      <c r="CO43" s="11">
        <v>0.10658307373523712</v>
      </c>
      <c r="CP43" s="11">
        <v>-0.25641027092933655</v>
      </c>
      <c r="CQ43" s="11">
        <v>0.57142859697341919</v>
      </c>
      <c r="CR43" s="3">
        <v>52.355412531888291</v>
      </c>
      <c r="CS43" s="3">
        <v>4.7724684330416753</v>
      </c>
      <c r="CT43" s="3">
        <v>1.2677484787018256</v>
      </c>
      <c r="CU43" s="10">
        <v>0.10970300436019897</v>
      </c>
      <c r="CV43" s="11">
        <v>-0.10566387772560119</v>
      </c>
      <c r="CW43" s="3">
        <v>0.06</v>
      </c>
      <c r="CX43" s="3">
        <v>196.58176466601554</v>
      </c>
      <c r="CY43" s="3">
        <v>62199690.90609055</v>
      </c>
      <c r="CZ43" s="3">
        <v>0.10970300436019897</v>
      </c>
      <c r="DA43" s="3">
        <v>63.180537446940328</v>
      </c>
      <c r="DB43" s="3">
        <v>193529930.16668519</v>
      </c>
      <c r="DC43" s="3">
        <v>0.10421785414218902</v>
      </c>
      <c r="DD43" s="3">
        <v>30.412523937813052</v>
      </c>
      <c r="DE43" s="3">
        <v>402049005.37035996</v>
      </c>
      <c r="DF43" s="3">
        <v>9.6538643836975094E-2</v>
      </c>
      <c r="DG43" s="3">
        <v>17.802966002683412</v>
      </c>
      <c r="DH43" s="3">
        <v>686813927.41844225</v>
      </c>
      <c r="DI43" s="3">
        <v>8.7762403488159182E-2</v>
      </c>
      <c r="DJ43" s="3">
        <v>8.6887837123682985</v>
      </c>
      <c r="DK43" s="3">
        <v>1407253926.9903409</v>
      </c>
      <c r="DL43" s="3">
        <v>7.6792103052139279E-2</v>
      </c>
      <c r="DM43" s="3">
        <v>59413800</v>
      </c>
      <c r="DN43" s="3">
        <v>0.10970300436019897</v>
      </c>
      <c r="DO43" s="3">
        <v>12227325000</v>
      </c>
      <c r="DP43" s="3">
        <v>2569010700</v>
      </c>
      <c r="DQ43" s="3">
        <v>2197</v>
      </c>
      <c r="DR43" s="3">
        <v>-0.17389219354938829</v>
      </c>
      <c r="DS43" s="3">
        <v>-0.4190256582743988</v>
      </c>
      <c r="DT43" s="12">
        <v>-0.39000000000000007</v>
      </c>
      <c r="DU43" s="3">
        <v>-0.56999999999999995</v>
      </c>
      <c r="DV43" s="3">
        <v>-0.96</v>
      </c>
      <c r="DW43" s="3">
        <v>-5.9218390804597698</v>
      </c>
      <c r="DX43" s="3">
        <v>0.34128205128205252</v>
      </c>
      <c r="DY43" s="3">
        <v>-5.1394577070439142</v>
      </c>
      <c r="DZ43" s="3">
        <v>1132</v>
      </c>
      <c r="EA43" s="3">
        <v>-5.1085641406302722</v>
      </c>
      <c r="EB43" s="3">
        <v>5</v>
      </c>
      <c r="EC43" s="3">
        <v>0.15375380333812277</v>
      </c>
      <c r="ED43" s="3">
        <v>1.016338700031659</v>
      </c>
      <c r="EE43" s="13">
        <v>6.0285000000000002</v>
      </c>
      <c r="EF43" s="3">
        <v>6.0086000000000004</v>
      </c>
      <c r="EG43" s="3">
        <v>19.151282051282053</v>
      </c>
      <c r="EH43" s="3" t="s">
        <v>1588</v>
      </c>
      <c r="EI43" s="3">
        <v>0</v>
      </c>
      <c r="EJ43" s="3">
        <v>1</v>
      </c>
      <c r="EK43" s="15">
        <v>45470</v>
      </c>
      <c r="EL43" s="16">
        <v>-0.91</v>
      </c>
      <c r="EM43" s="16">
        <v>-5.93</v>
      </c>
      <c r="EN43" s="16">
        <v>-1.79</v>
      </c>
      <c r="EO43" s="16">
        <v>4.8</v>
      </c>
      <c r="EP43" s="16">
        <v>-1.99</v>
      </c>
    </row>
    <row r="44" spans="1:146" ht="96" x14ac:dyDescent="0.25">
      <c r="A44" s="3"/>
      <c r="B44" s="3"/>
      <c r="C44" s="7" t="str">
        <f>""&amp;CHAR(10)&amp;Basic_Fundamental_Information_Constructure(F44)&amp;CHAR(10)&amp;Basic_Fundamental_Information_Concatenate("")</f>
        <v xml:space="preserve">
市值34.214956亿, 利润1795.40万; PE45.09; 平均PE63.83; 平均PEG11.82, PB4.57; ROIC26.905%; ROE0%; 股利率0%; 毛利31.0567%; 净利15.53%; 上一年度营收增-76.99%, 利润增-77.33%; 当季营收增-46.19%, 利润增5.9%; 过往5年营收增5.4%, 利润增12.27%
Income profile:
</v>
      </c>
      <c r="D44" s="3" t="s">
        <v>2532</v>
      </c>
      <c r="E44" s="3" t="s">
        <v>2533</v>
      </c>
      <c r="F44" s="3">
        <v>60.84</v>
      </c>
      <c r="G44" s="3">
        <v>-6.13</v>
      </c>
      <c r="H44" s="3" t="s">
        <v>2534</v>
      </c>
      <c r="I44" s="3">
        <v>3421495600</v>
      </c>
      <c r="J44" s="3">
        <v>45.09</v>
      </c>
      <c r="K44" s="3">
        <v>4.57</v>
      </c>
      <c r="L44" s="3" t="s">
        <v>285</v>
      </c>
      <c r="M44" s="3" t="s">
        <v>1195</v>
      </c>
      <c r="N44" s="3" t="s">
        <v>688</v>
      </c>
      <c r="O44" s="3" t="s">
        <v>435</v>
      </c>
      <c r="P44" s="5">
        <v>10.87</v>
      </c>
      <c r="Q44" s="3" t="s">
        <v>435</v>
      </c>
      <c r="R44" s="3">
        <v>31287400</v>
      </c>
      <c r="S44" s="3">
        <v>1.01E-2</v>
      </c>
      <c r="T44" s="3" t="s">
        <v>2535</v>
      </c>
      <c r="U44" s="3">
        <v>14060000</v>
      </c>
      <c r="V44" s="3">
        <v>56237600</v>
      </c>
      <c r="W44" s="3">
        <v>1.69</v>
      </c>
      <c r="X44" s="3">
        <v>0.17</v>
      </c>
      <c r="Y44" s="3">
        <v>15.88</v>
      </c>
      <c r="Z44" s="3" t="s">
        <v>2536</v>
      </c>
      <c r="AA44" s="3" t="s">
        <v>2537</v>
      </c>
      <c r="AB44" s="3" t="s">
        <v>2538</v>
      </c>
      <c r="AC44" s="3" t="s">
        <v>2539</v>
      </c>
      <c r="AD44" s="3" t="s">
        <v>4</v>
      </c>
      <c r="AE44" s="3">
        <v>-70404</v>
      </c>
      <c r="AF44" s="3" t="s">
        <v>21</v>
      </c>
      <c r="AG44" s="3" t="s">
        <v>2540</v>
      </c>
      <c r="AH44" s="3" t="s">
        <v>2541</v>
      </c>
      <c r="AI44" s="3" t="s">
        <v>46</v>
      </c>
      <c r="AJ44" s="3" t="s">
        <v>2542</v>
      </c>
      <c r="AK44" s="3" t="s">
        <v>2543</v>
      </c>
      <c r="AL44" s="3" t="s">
        <v>2544</v>
      </c>
      <c r="AM44" s="3" t="s">
        <v>56</v>
      </c>
      <c r="AN44" s="3" t="s">
        <v>69</v>
      </c>
      <c r="AO44" s="3" t="s">
        <v>2545</v>
      </c>
      <c r="AP44" s="3" t="s">
        <v>2546</v>
      </c>
      <c r="AQ44" s="3" t="s">
        <v>2547</v>
      </c>
      <c r="AR44" s="3" t="s">
        <v>4</v>
      </c>
      <c r="AS44" s="3" t="s">
        <v>1111</v>
      </c>
      <c r="AT44" s="3" t="s">
        <v>2548</v>
      </c>
      <c r="AU44" s="3" t="s">
        <v>2549</v>
      </c>
      <c r="AV44" s="3" t="s">
        <v>2550</v>
      </c>
      <c r="AW44" s="3" t="s">
        <v>2551</v>
      </c>
      <c r="AX44" s="3" t="s">
        <v>258</v>
      </c>
      <c r="AY44" s="3" t="s">
        <v>259</v>
      </c>
      <c r="AZ44" s="3" t="s">
        <v>2552</v>
      </c>
      <c r="BA44" s="3" t="s">
        <v>1891</v>
      </c>
      <c r="BB44" s="3" t="s">
        <v>4</v>
      </c>
      <c r="BC44" s="3" t="s">
        <v>2553</v>
      </c>
      <c r="BD44" s="3" t="s">
        <v>2554</v>
      </c>
      <c r="BE44" s="3" t="s">
        <v>2555</v>
      </c>
      <c r="BF44" s="3" t="s">
        <v>2556</v>
      </c>
      <c r="BG44" s="3" t="s">
        <v>4</v>
      </c>
      <c r="BH44" s="3" t="s">
        <v>1278</v>
      </c>
      <c r="BI44" s="3" t="s">
        <v>45</v>
      </c>
      <c r="BJ44" s="3" t="s">
        <v>258</v>
      </c>
      <c r="BK44" s="3" t="s">
        <v>2557</v>
      </c>
      <c r="BL44" s="3" t="s">
        <v>2558</v>
      </c>
      <c r="BM44" s="3" t="s">
        <v>2553</v>
      </c>
      <c r="BN44" s="3" t="s">
        <v>4</v>
      </c>
      <c r="BO44" s="3">
        <v>26.56</v>
      </c>
      <c r="BP44" s="3">
        <v>27.25</v>
      </c>
      <c r="BQ44" s="3" t="s">
        <v>4</v>
      </c>
      <c r="BR44" s="3" t="s">
        <v>4</v>
      </c>
      <c r="BS44" s="3" t="s">
        <v>4</v>
      </c>
      <c r="BT44" s="3" t="s">
        <v>4</v>
      </c>
      <c r="BU44" s="3" t="s">
        <v>841</v>
      </c>
      <c r="BV44" s="3">
        <v>33</v>
      </c>
      <c r="BW44" s="3">
        <v>32.119999999999997</v>
      </c>
      <c r="BX44" s="3">
        <v>28.05</v>
      </c>
      <c r="BY44" s="3">
        <v>16.12</v>
      </c>
      <c r="BZ44" s="3">
        <v>16.14</v>
      </c>
      <c r="CA44" s="3">
        <v>14.33</v>
      </c>
      <c r="CB44" s="3">
        <v>-12.46</v>
      </c>
      <c r="CC44" s="10">
        <v>-39.270000000000003</v>
      </c>
      <c r="CD44" s="11" t="s">
        <v>2559</v>
      </c>
      <c r="CE44" s="10" t="s">
        <v>83</v>
      </c>
      <c r="CF44" s="10">
        <v>-0.46190476190476198</v>
      </c>
      <c r="CG44" s="10">
        <v>5.9013874268461511E-2</v>
      </c>
      <c r="CH44" s="10">
        <v>-0.76985740661621094</v>
      </c>
      <c r="CI44" s="10">
        <v>4.9145299941301346E-2</v>
      </c>
      <c r="CJ44" s="11">
        <v>7.3394492268562317E-2</v>
      </c>
      <c r="CK44" s="11">
        <v>0.86324787139892578</v>
      </c>
      <c r="CL44" s="11" t="s">
        <v>4</v>
      </c>
      <c r="CM44" s="11">
        <v>-0.77333784103393555</v>
      </c>
      <c r="CN44" s="11">
        <v>0.1804036945104599</v>
      </c>
      <c r="CO44" s="3">
        <v>-5.0099246203899384E-2</v>
      </c>
      <c r="CP44" s="3">
        <v>1.1338961124420166</v>
      </c>
      <c r="CQ44" s="3" t="s">
        <v>4</v>
      </c>
      <c r="CR44" s="10">
        <v>63.829562257175915</v>
      </c>
      <c r="CS44" s="11">
        <v>11.824107125361264</v>
      </c>
      <c r="CT44" s="3">
        <v>0</v>
      </c>
      <c r="CU44" s="3">
        <v>5.3982564248144627E-2</v>
      </c>
      <c r="CV44" s="3">
        <v>0.12271567992866039</v>
      </c>
      <c r="CW44" s="3">
        <v>0.06</v>
      </c>
      <c r="CX44" s="3">
        <v>182.75158510861749</v>
      </c>
      <c r="CY44" s="3">
        <v>17852078.262746405</v>
      </c>
      <c r="CZ44" s="3">
        <v>5.3982564248144627E-2</v>
      </c>
      <c r="DA44" s="3">
        <v>61.578580864491258</v>
      </c>
      <c r="DB44" s="3">
        <v>52981013.108752705</v>
      </c>
      <c r="DC44" s="3">
        <v>5.1283436035737394E-2</v>
      </c>
      <c r="DD44" s="3">
        <v>31.562621721837985</v>
      </c>
      <c r="DE44" s="3">
        <v>103365798.59405974</v>
      </c>
      <c r="DF44" s="3">
        <v>4.7504656538367274E-2</v>
      </c>
      <c r="DG44" s="3">
        <v>19.820897829837325</v>
      </c>
      <c r="DH44" s="3">
        <v>164598779.93462098</v>
      </c>
      <c r="DI44" s="3">
        <v>4.3186051398515703E-2</v>
      </c>
      <c r="DJ44" s="3">
        <v>11.264115953091615</v>
      </c>
      <c r="DK44" s="3">
        <v>289636187.48123384</v>
      </c>
      <c r="DL44" s="3">
        <v>3.7787794973701237E-2</v>
      </c>
      <c r="DM44" s="3">
        <v>17954000</v>
      </c>
      <c r="DN44" s="3">
        <v>5.3982564248144627E-2</v>
      </c>
      <c r="DO44" s="3">
        <v>3262495600</v>
      </c>
      <c r="DP44" s="3">
        <v>121420600</v>
      </c>
      <c r="DQ44" s="12">
        <v>2242</v>
      </c>
      <c r="DR44" s="3">
        <v>-0.51588732615290667</v>
      </c>
      <c r="DS44" s="3">
        <v>-6.3701805660198882E-2</v>
      </c>
      <c r="DT44" s="3">
        <v>-0.64800000000000002</v>
      </c>
      <c r="DU44" s="3">
        <v>5.9999999999999963E-2</v>
      </c>
      <c r="DV44" s="3">
        <v>-0.58800000000000008</v>
      </c>
      <c r="DW44" s="3">
        <v>-9.3172905525846694</v>
      </c>
      <c r="DX44" s="3">
        <v>0.37357788461538544</v>
      </c>
      <c r="DY44" s="3">
        <v>-9.0519017174002467</v>
      </c>
      <c r="DZ44" s="3">
        <v>1059</v>
      </c>
      <c r="EA44" s="3">
        <v>-9.0411455689214097</v>
      </c>
      <c r="EB44" s="13">
        <v>9</v>
      </c>
      <c r="EC44" s="13">
        <v>0.30250401866366988</v>
      </c>
      <c r="ED44" s="3">
        <v>1.8492965560407983</v>
      </c>
      <c r="EE44" s="3">
        <v>1.0302100000000001</v>
      </c>
      <c r="EF44" s="3">
        <v>1.05871</v>
      </c>
      <c r="EG44" s="3">
        <v>21.163577884615385</v>
      </c>
      <c r="EH44" s="15" t="s">
        <v>1106</v>
      </c>
      <c r="EI44" s="3">
        <v>0</v>
      </c>
      <c r="EJ44" s="3">
        <v>1</v>
      </c>
      <c r="EK44" s="3">
        <v>45470</v>
      </c>
      <c r="EL44" s="3">
        <v>0</v>
      </c>
      <c r="EM44" s="3">
        <v>-1.98</v>
      </c>
      <c r="EN44" s="16">
        <v>1.35</v>
      </c>
      <c r="EO44" s="16">
        <v>0.97</v>
      </c>
      <c r="EP44" s="16">
        <v>-2.85</v>
      </c>
    </row>
    <row r="45" spans="1:146" ht="192" x14ac:dyDescent="0.25">
      <c r="A45" s="7" t="s">
        <v>694</v>
      </c>
      <c r="B45" s="7" t="s">
        <v>695</v>
      </c>
      <c r="C45" s="7" t="str">
        <f>"专注于以信号线束、信号适配器、电源适配器和电声产品的设计及生产，有互联、电源和声学三个产品线；公司主要生产经营地址有三处：江西省安福县和遂川县、越南北江省以及深圳宝安"&amp;CHAR(10)&amp;Basic_Fundamental_Information_Constructure(F45)&amp;CHAR(10)&amp;Basic_Fundamental_Information_Concatenate("信号适配器 6.32亿 40.35%（毛利34.28%，增速25.85%）信号线束 4.53亿 28.92%（毛利24.31%，增速31.9%）电源适配器 4.40亿 28.10%（毛利11.50%，增速83.5%）其他 4104.49万 2.62%（毛利30.74%，增速35.7%）
外销78.59%（毛利27.90%，增速306.04%）内销21.41%（毛利13.78%，增速19.62%）")</f>
        <v>专注于以信号线束、信号适配器、电源适配器和电声产品的设计及生产，有互联、电源和声学三个产品线；公司主要生产经营地址有三处：江西省安福县和遂川县、越南北江省以及深圳宝安
市值29.412238亿, 利润819.79万; PE22.55; 平均PE20.28; 平均PEG24.25, PB1.99; ROIC10.93%; ROE14.7333%; 股利率2.509%; 毛利27.87%; 净利9.79%; 上一年度营收增-82.9%, 利润增-97.49%; 当季营收增-52.78%, 利润增-87.86%; 过往5年营收增.84%, 利润增7.69%
Income profile:
信号适配器 6.32亿 40.35%（毛利34.28%，增速25.85%）信号线束 4.53亿 28.92%（毛利24.31%，增速31.9%）电源适配器 4.40亿 28.10%（毛利11.50%，增速83.5%）其他 4104.49万 2.62%（毛利30.74%，增速35.7%）
外销78.59%（毛利27.90%，增速306.04%）内销21.41%（毛利13.78%，增速19.62%）</v>
      </c>
      <c r="D45" s="3" t="s">
        <v>543</v>
      </c>
      <c r="E45" s="3" t="s">
        <v>544</v>
      </c>
      <c r="F45" s="3">
        <v>11.16</v>
      </c>
      <c r="G45" s="3">
        <v>0.09</v>
      </c>
      <c r="H45" s="3" t="s">
        <v>2560</v>
      </c>
      <c r="I45" s="3">
        <v>2941223800</v>
      </c>
      <c r="J45" s="3">
        <v>22.55</v>
      </c>
      <c r="K45" s="3">
        <v>1.99</v>
      </c>
      <c r="L45" s="3" t="s">
        <v>285</v>
      </c>
      <c r="M45" s="3" t="s">
        <v>1535</v>
      </c>
      <c r="N45" s="3" t="s">
        <v>381</v>
      </c>
      <c r="O45" s="3" t="s">
        <v>2561</v>
      </c>
      <c r="P45" s="3">
        <v>7.58</v>
      </c>
      <c r="Q45" s="3" t="s">
        <v>2561</v>
      </c>
      <c r="R45" s="3">
        <v>8197906</v>
      </c>
      <c r="S45" s="5">
        <v>0.25140000000000001</v>
      </c>
      <c r="T45" s="3" t="s">
        <v>2562</v>
      </c>
      <c r="U45" s="3">
        <v>161490520</v>
      </c>
      <c r="V45" s="3">
        <v>263550520</v>
      </c>
      <c r="W45" s="3">
        <v>2.04</v>
      </c>
      <c r="X45" s="3">
        <v>0.12</v>
      </c>
      <c r="Y45" s="3">
        <v>1.87</v>
      </c>
      <c r="Z45" s="3" t="s">
        <v>1186</v>
      </c>
      <c r="AA45" s="3" t="s">
        <v>2181</v>
      </c>
      <c r="AB45" s="3" t="s">
        <v>2563</v>
      </c>
      <c r="AC45" s="3" t="s">
        <v>2564</v>
      </c>
      <c r="AD45" s="3" t="s">
        <v>4</v>
      </c>
      <c r="AE45" s="3">
        <v>7827738</v>
      </c>
      <c r="AF45" s="3" t="s">
        <v>2565</v>
      </c>
      <c r="AG45" s="3" t="s">
        <v>2566</v>
      </c>
      <c r="AH45" s="3" t="s">
        <v>2567</v>
      </c>
      <c r="AI45" s="3" t="s">
        <v>2568</v>
      </c>
      <c r="AJ45" s="3" t="s">
        <v>2569</v>
      </c>
      <c r="AK45" s="3" t="s">
        <v>2570</v>
      </c>
      <c r="AL45" s="3" t="s">
        <v>2571</v>
      </c>
      <c r="AM45" s="3" t="s">
        <v>4</v>
      </c>
      <c r="AN45" s="3" t="s">
        <v>44</v>
      </c>
      <c r="AO45" s="3" t="s">
        <v>119</v>
      </c>
      <c r="AP45" s="3" t="s">
        <v>924</v>
      </c>
      <c r="AQ45" s="3" t="s">
        <v>1177</v>
      </c>
      <c r="AR45" s="3" t="s">
        <v>4</v>
      </c>
      <c r="AS45" s="3" t="s">
        <v>2572</v>
      </c>
      <c r="AT45" s="3" t="s">
        <v>4</v>
      </c>
      <c r="AU45" s="3" t="s">
        <v>2573</v>
      </c>
      <c r="AV45" s="3" t="s">
        <v>2574</v>
      </c>
      <c r="AW45" s="3" t="s">
        <v>2575</v>
      </c>
      <c r="AX45" s="3" t="s">
        <v>1237</v>
      </c>
      <c r="AY45" s="3" t="s">
        <v>347</v>
      </c>
      <c r="AZ45" s="3" t="s">
        <v>545</v>
      </c>
      <c r="BA45" s="3" t="s">
        <v>546</v>
      </c>
      <c r="BB45" s="3" t="s">
        <v>121</v>
      </c>
      <c r="BC45" s="3" t="s">
        <v>1181</v>
      </c>
      <c r="BD45" s="3" t="s">
        <v>194</v>
      </c>
      <c r="BE45" s="3" t="s">
        <v>123</v>
      </c>
      <c r="BF45" s="3" t="s">
        <v>104</v>
      </c>
      <c r="BG45" s="3" t="s">
        <v>162</v>
      </c>
      <c r="BH45" s="3" t="s">
        <v>2576</v>
      </c>
      <c r="BI45" s="3" t="s">
        <v>1236</v>
      </c>
      <c r="BJ45" s="3" t="s">
        <v>1237</v>
      </c>
      <c r="BK45" s="3" t="s">
        <v>35</v>
      </c>
      <c r="BL45" s="3" t="s">
        <v>1430</v>
      </c>
      <c r="BM45" s="3" t="s">
        <v>1181</v>
      </c>
      <c r="BN45" s="3">
        <v>4.72</v>
      </c>
      <c r="BO45" s="3">
        <v>16.71</v>
      </c>
      <c r="BP45" s="3">
        <v>11.36</v>
      </c>
      <c r="BQ45" s="3">
        <v>6.94</v>
      </c>
      <c r="BR45" s="3">
        <v>22.65</v>
      </c>
      <c r="BS45" s="3">
        <v>14.61</v>
      </c>
      <c r="BT45" s="3" t="s">
        <v>2577</v>
      </c>
      <c r="BU45" s="3" t="s">
        <v>841</v>
      </c>
      <c r="BV45" s="3">
        <v>28.06</v>
      </c>
      <c r="BW45" s="3">
        <v>29.59</v>
      </c>
      <c r="BX45" s="3">
        <v>25.96</v>
      </c>
      <c r="BY45" s="3">
        <v>6.77</v>
      </c>
      <c r="BZ45" s="3">
        <v>13.66</v>
      </c>
      <c r="CA45" s="3">
        <v>8.94</v>
      </c>
      <c r="CB45" s="3">
        <v>-10.07</v>
      </c>
      <c r="CC45" s="3">
        <v>2.0699999999999998</v>
      </c>
      <c r="CD45" s="3" t="s">
        <v>2578</v>
      </c>
      <c r="CE45" s="3" t="s">
        <v>245</v>
      </c>
      <c r="CF45" s="10">
        <v>-0.52777777777777779</v>
      </c>
      <c r="CG45" s="11">
        <v>-0.87860637094338057</v>
      </c>
      <c r="CH45" s="10">
        <v>-0.8290024995803833</v>
      </c>
      <c r="CI45" s="10">
        <v>0.1471153199672699</v>
      </c>
      <c r="CJ45" s="10">
        <v>0.328224778175354</v>
      </c>
      <c r="CK45" s="10">
        <v>0.41847825050354004</v>
      </c>
      <c r="CL45" s="10">
        <v>-2.300884947180748E-2</v>
      </c>
      <c r="CM45" s="11">
        <v>-0.97485309839248657</v>
      </c>
      <c r="CN45" s="11">
        <v>0.75268816947937012</v>
      </c>
      <c r="CO45" s="11">
        <v>0.63157892227172852</v>
      </c>
      <c r="CP45" s="11">
        <v>-4.2016807943582535E-2</v>
      </c>
      <c r="CQ45" s="11">
        <v>1.7094017937779427E-2</v>
      </c>
      <c r="CR45" s="3">
        <v>20.279689022462591</v>
      </c>
      <c r="CS45" s="3">
        <v>24.253939794074675</v>
      </c>
      <c r="CT45" s="3">
        <v>2.5089605734767022</v>
      </c>
      <c r="CU45" s="10">
        <v>8.3613999187946327E-3</v>
      </c>
      <c r="CV45" s="11">
        <v>7.6898240670561793E-2</v>
      </c>
      <c r="CW45" s="3">
        <v>0.06</v>
      </c>
      <c r="CX45" s="3">
        <v>363.43033716437895</v>
      </c>
      <c r="CY45" s="3">
        <v>7798533.8871644204</v>
      </c>
      <c r="CZ45" s="3">
        <v>8.3613999187946327E-3</v>
      </c>
      <c r="DA45" s="3">
        <v>127.34524962710728</v>
      </c>
      <c r="DB45" s="3">
        <v>22256219.28025727</v>
      </c>
      <c r="DC45" s="3">
        <v>7.9433299228549008E-3</v>
      </c>
      <c r="DD45" s="3">
        <v>68.606507132141843</v>
      </c>
      <c r="DE45" s="3">
        <v>41311297.11269296</v>
      </c>
      <c r="DF45" s="3">
        <v>7.3580319285392768E-3</v>
      </c>
      <c r="DG45" s="3">
        <v>45.418167114634571</v>
      </c>
      <c r="DH45" s="3">
        <v>62402866.078819834</v>
      </c>
      <c r="DI45" s="3">
        <v>6.6891199350357063E-3</v>
      </c>
      <c r="DJ45" s="3">
        <v>28.650372546057294</v>
      </c>
      <c r="DK45" s="3">
        <v>98924500.735332683</v>
      </c>
      <c r="DL45" s="3">
        <v>5.8529799431562427E-3</v>
      </c>
      <c r="DM45" s="3">
        <v>8197900</v>
      </c>
      <c r="DN45" s="3">
        <v>8.3613999187946327E-3</v>
      </c>
      <c r="DO45" s="3">
        <v>2834223800</v>
      </c>
      <c r="DP45" s="3">
        <v>587259700</v>
      </c>
      <c r="DQ45" s="3">
        <v>2245</v>
      </c>
      <c r="DR45" s="3">
        <v>-0.53613917769657238</v>
      </c>
      <c r="DS45" s="3">
        <v>-0.9555046116139424</v>
      </c>
      <c r="DT45" s="12">
        <v>-0.52333333333333332</v>
      </c>
      <c r="DU45" s="3">
        <v>-0.20666666666666664</v>
      </c>
      <c r="DV45" s="3">
        <v>-0.73</v>
      </c>
      <c r="DW45" s="3">
        <v>-5.2055610724925518</v>
      </c>
      <c r="DX45" s="3">
        <v>0.26573262032085637</v>
      </c>
      <c r="DY45" s="3">
        <v>-5.0155676786558265</v>
      </c>
      <c r="DZ45" s="3">
        <v>4489</v>
      </c>
      <c r="EA45" s="3">
        <v>-5.0018918842358646</v>
      </c>
      <c r="EB45" s="3">
        <v>5</v>
      </c>
      <c r="EC45" s="3">
        <v>0.10747085606205596</v>
      </c>
      <c r="ED45" s="3">
        <v>1.4190827625762226</v>
      </c>
      <c r="EE45" s="13">
        <v>1.0524</v>
      </c>
      <c r="EF45" s="3">
        <v>1.0192099999999999</v>
      </c>
      <c r="EG45" s="3">
        <v>19.075732620320856</v>
      </c>
      <c r="EH45" s="3" t="s">
        <v>1106</v>
      </c>
      <c r="EI45" s="3">
        <v>0</v>
      </c>
      <c r="EJ45" s="3">
        <v>0</v>
      </c>
      <c r="EK45" s="15">
        <v>45470</v>
      </c>
      <c r="EL45" s="16">
        <v>-3.23</v>
      </c>
      <c r="EM45" s="16">
        <v>0.93</v>
      </c>
      <c r="EN45" s="16">
        <v>-1</v>
      </c>
      <c r="EO45" s="16">
        <v>0.85</v>
      </c>
      <c r="EP45" s="16">
        <v>-7.16</v>
      </c>
    </row>
    <row r="46" spans="1:146" ht="96" x14ac:dyDescent="0.25">
      <c r="C46" s="7" t="str">
        <f>""&amp;CHAR(10)&amp;Basic_Fundamental_Information_Constructure(F46)&amp;CHAR(10)&amp;Basic_Fundamental_Information_Concatenate("")</f>
        <v xml:space="preserve">
市值41.791017亿, 利润1465.67万; PE36.3; 平均PE46.4; 平均PEG19.63, PB1.71; ROIC4.6733%; ROE5.8667%; 股利率1.2146%; 毛利14.9067%; 净利5.1567%; 上一年度营收增-79.42%, 利润增-91.58%; 当季营收增-60.58%, 利润增-84.19%; 过往5年营收增-2.36%, 利润增16.63%
Income profile:
</v>
      </c>
      <c r="D46" s="3" t="s">
        <v>548</v>
      </c>
      <c r="E46" s="3" t="s">
        <v>549</v>
      </c>
      <c r="F46" s="3">
        <v>12.35</v>
      </c>
      <c r="G46" s="3">
        <v>0.41</v>
      </c>
      <c r="H46" s="3" t="s">
        <v>2579</v>
      </c>
      <c r="I46" s="3">
        <v>4179101700</v>
      </c>
      <c r="J46" s="3">
        <v>36.299999999999997</v>
      </c>
      <c r="K46" s="3">
        <v>1.71</v>
      </c>
      <c r="L46" s="3" t="s">
        <v>285</v>
      </c>
      <c r="M46" s="3" t="s">
        <v>2580</v>
      </c>
      <c r="N46" s="3" t="s">
        <v>2207</v>
      </c>
      <c r="O46" s="3" t="s">
        <v>1540</v>
      </c>
      <c r="P46" s="3">
        <v>-6.54</v>
      </c>
      <c r="Q46" s="3" t="s">
        <v>1540</v>
      </c>
      <c r="R46" s="3">
        <v>14656739</v>
      </c>
      <c r="S46" s="5">
        <v>-0.5444</v>
      </c>
      <c r="T46" s="3" t="s">
        <v>2581</v>
      </c>
      <c r="U46" s="3">
        <v>329930300</v>
      </c>
      <c r="V46" s="3">
        <v>338388800</v>
      </c>
      <c r="W46" s="3">
        <v>1.69</v>
      </c>
      <c r="X46" s="3">
        <v>0.12</v>
      </c>
      <c r="Y46" s="3">
        <v>3.23</v>
      </c>
      <c r="Z46" s="3" t="s">
        <v>1366</v>
      </c>
      <c r="AA46" s="3" t="s">
        <v>394</v>
      </c>
      <c r="AB46" s="3" t="s">
        <v>2582</v>
      </c>
      <c r="AC46" s="3" t="s">
        <v>2583</v>
      </c>
      <c r="AD46" s="3" t="s">
        <v>4</v>
      </c>
      <c r="AE46" s="3">
        <v>-1002225</v>
      </c>
      <c r="AF46" s="3" t="s">
        <v>2584</v>
      </c>
      <c r="AG46" s="3" t="s">
        <v>1905</v>
      </c>
      <c r="AH46" s="3" t="s">
        <v>2585</v>
      </c>
      <c r="AI46" s="3" t="s">
        <v>249</v>
      </c>
      <c r="AJ46" s="3" t="s">
        <v>2586</v>
      </c>
      <c r="AK46" s="3" t="s">
        <v>4</v>
      </c>
      <c r="AL46" s="3" t="s">
        <v>2587</v>
      </c>
      <c r="AM46" s="3" t="s">
        <v>4</v>
      </c>
      <c r="AN46" s="3" t="s">
        <v>2588</v>
      </c>
      <c r="AO46" s="3" t="s">
        <v>25</v>
      </c>
      <c r="AP46" s="3" t="s">
        <v>4</v>
      </c>
      <c r="AQ46" s="3" t="s">
        <v>1466</v>
      </c>
      <c r="AR46" s="3" t="s">
        <v>4</v>
      </c>
      <c r="AS46" s="3" t="s">
        <v>1965</v>
      </c>
      <c r="AT46" s="3" t="s">
        <v>4</v>
      </c>
      <c r="AU46" s="3" t="s">
        <v>2589</v>
      </c>
      <c r="AV46" s="3" t="s">
        <v>2590</v>
      </c>
      <c r="AW46" s="3" t="s">
        <v>654</v>
      </c>
      <c r="AX46" s="3" t="s">
        <v>1240</v>
      </c>
      <c r="AY46" s="3" t="s">
        <v>763</v>
      </c>
      <c r="AZ46" s="3" t="s">
        <v>550</v>
      </c>
      <c r="BA46" s="3" t="s">
        <v>553</v>
      </c>
      <c r="BB46" s="3" t="s">
        <v>554</v>
      </c>
      <c r="BC46" s="3" t="s">
        <v>78</v>
      </c>
      <c r="BD46" s="3" t="s">
        <v>764</v>
      </c>
      <c r="BE46" s="3" t="s">
        <v>551</v>
      </c>
      <c r="BF46" s="3" t="s">
        <v>108</v>
      </c>
      <c r="BG46" s="3" t="s">
        <v>95</v>
      </c>
      <c r="BH46" s="3" t="s">
        <v>2591</v>
      </c>
      <c r="BI46" s="3" t="s">
        <v>1239</v>
      </c>
      <c r="BJ46" s="3" t="s">
        <v>1240</v>
      </c>
      <c r="BK46" s="3" t="s">
        <v>871</v>
      </c>
      <c r="BL46" s="3" t="s">
        <v>1435</v>
      </c>
      <c r="BM46" s="3" t="s">
        <v>78</v>
      </c>
      <c r="BN46" s="3">
        <v>4.8099999999999996</v>
      </c>
      <c r="BO46" s="3">
        <v>6.26</v>
      </c>
      <c r="BP46" s="3">
        <v>2.95</v>
      </c>
      <c r="BQ46" s="3">
        <v>6.21</v>
      </c>
      <c r="BR46" s="3">
        <v>7.39</v>
      </c>
      <c r="BS46" s="3">
        <v>4</v>
      </c>
      <c r="BT46" s="3" t="s">
        <v>1041</v>
      </c>
      <c r="BU46" s="3" t="s">
        <v>841</v>
      </c>
      <c r="BV46" s="3">
        <v>18.18</v>
      </c>
      <c r="BW46" s="3">
        <v>16.98</v>
      </c>
      <c r="BX46" s="3">
        <v>9.56</v>
      </c>
      <c r="BY46" s="3">
        <v>5.56</v>
      </c>
      <c r="BZ46" s="3">
        <v>7.99</v>
      </c>
      <c r="CA46" s="3">
        <v>1.92</v>
      </c>
      <c r="CB46" s="3">
        <v>-10.89</v>
      </c>
      <c r="CC46" s="3">
        <v>-3.29</v>
      </c>
      <c r="CD46" s="3" t="s">
        <v>2592</v>
      </c>
      <c r="CE46" s="3" t="s">
        <v>863</v>
      </c>
      <c r="CF46" s="10">
        <v>-0.60582010582010581</v>
      </c>
      <c r="CG46" s="11">
        <v>-0.84185582371956713</v>
      </c>
      <c r="CH46" s="10">
        <v>-0.79419887065887451</v>
      </c>
      <c r="CI46" s="10">
        <v>-0.20555965602397919</v>
      </c>
      <c r="CJ46" s="10">
        <v>3.0531546100974083E-2</v>
      </c>
      <c r="CK46" s="10">
        <v>0.17545415461063385</v>
      </c>
      <c r="CL46" s="10">
        <v>0.67557519674301147</v>
      </c>
      <c r="CM46" s="11">
        <v>-0.91576606035232544</v>
      </c>
      <c r="CN46" s="11">
        <v>2.3140523433685303</v>
      </c>
      <c r="CO46" s="11">
        <v>-0.23066768050193787</v>
      </c>
      <c r="CP46" s="11">
        <v>-0.43598511815071106</v>
      </c>
      <c r="CQ46" s="11">
        <v>0.10000000149011612</v>
      </c>
      <c r="CR46" s="3">
        <v>46.39956055278418</v>
      </c>
      <c r="CS46" s="3">
        <v>19.627957369258532</v>
      </c>
      <c r="CT46" s="3">
        <v>1.2145748987854252</v>
      </c>
      <c r="CU46" s="10">
        <v>-2.363952584564686E-2</v>
      </c>
      <c r="CV46" s="11">
        <v>0.16632669717073439</v>
      </c>
      <c r="CW46" s="3">
        <v>0.06</v>
      </c>
      <c r="CX46" s="3">
        <v>164.09571731699495</v>
      </c>
      <c r="CY46" s="3" t="s">
        <v>2593</v>
      </c>
      <c r="CZ46" s="3">
        <v>-2.363952584564686E-2</v>
      </c>
      <c r="DA46" s="3">
        <v>54.698572438998319</v>
      </c>
      <c r="DB46" s="3" t="s">
        <v>2594</v>
      </c>
      <c r="DC46" s="3">
        <v>-2.2457549553364514E-2</v>
      </c>
      <c r="DD46" s="3">
        <v>27.34928621949916</v>
      </c>
      <c r="DE46" s="3" t="s">
        <v>2595</v>
      </c>
      <c r="DF46" s="3">
        <v>-2.0802782744169235E-2</v>
      </c>
      <c r="DG46" s="3">
        <v>16.409571731699497</v>
      </c>
      <c r="DH46" s="3" t="s">
        <v>2596</v>
      </c>
      <c r="DI46" s="3">
        <v>-1.8911620676517488E-2</v>
      </c>
      <c r="DJ46" s="3">
        <v>8.2047858658497486</v>
      </c>
      <c r="DK46" s="3" t="s">
        <v>2597</v>
      </c>
      <c r="DL46" s="3">
        <v>-1.6547668091952801E-2</v>
      </c>
      <c r="DM46" s="3">
        <v>14656700</v>
      </c>
      <c r="DN46" s="3">
        <v>-2.363952584564686E-2</v>
      </c>
      <c r="DO46" s="3">
        <v>2405101700</v>
      </c>
      <c r="DP46" s="3">
        <v>2223497200</v>
      </c>
      <c r="DQ46" s="3">
        <v>2251</v>
      </c>
      <c r="DR46" s="3">
        <v>-0.58218057997445893</v>
      </c>
      <c r="DS46" s="3">
        <v>-1.0081825208903015</v>
      </c>
      <c r="DT46" s="12">
        <v>-0.60666666666666669</v>
      </c>
      <c r="DU46" s="3">
        <v>-0.70666666666666667</v>
      </c>
      <c r="DV46" s="3">
        <v>-1.3133333333333335</v>
      </c>
      <c r="DW46" s="3">
        <v>-5.302112029384757</v>
      </c>
      <c r="DX46" s="3">
        <v>0.22693990719257542</v>
      </c>
      <c r="DY46" s="3">
        <v>-5.0383500729718618</v>
      </c>
      <c r="DZ46" s="3">
        <v>3170</v>
      </c>
      <c r="EA46" s="3">
        <v>-5.0145595188973413</v>
      </c>
      <c r="EB46" s="3">
        <v>5</v>
      </c>
      <c r="EC46" s="3">
        <v>0.16168117857328612</v>
      </c>
      <c r="ED46" s="3">
        <v>1.2736828169253827</v>
      </c>
      <c r="EE46" s="13">
        <v>-5.0697999999999999</v>
      </c>
      <c r="EF46" s="3">
        <v>-5.0685000000000002</v>
      </c>
      <c r="EG46" s="3">
        <v>10.126939907192575</v>
      </c>
      <c r="EH46" s="3" t="s">
        <v>1552</v>
      </c>
      <c r="EI46" s="3">
        <v>0</v>
      </c>
      <c r="EJ46" s="3">
        <v>0</v>
      </c>
      <c r="EK46" s="15">
        <v>45470</v>
      </c>
      <c r="EL46" s="16">
        <v>-7.0000000000000007E-2</v>
      </c>
      <c r="EM46" s="16">
        <v>-5.66</v>
      </c>
      <c r="EN46" s="16">
        <v>0.35</v>
      </c>
      <c r="EO46" s="16">
        <v>6.05</v>
      </c>
      <c r="EP46" s="16">
        <v>-0.13</v>
      </c>
    </row>
    <row r="47" spans="1:146" ht="96" x14ac:dyDescent="0.25">
      <c r="A47" s="3"/>
      <c r="B47" s="3"/>
      <c r="C47" s="7" t="str">
        <f>""&amp;CHAR(10)&amp;Basic_Fundamental_Information_Constructure(F47)&amp;CHAR(10)&amp;Basic_Fundamental_Information_Concatenate("")</f>
        <v xml:space="preserve">
市值27.967252亿, 利润-1331.85万; PE236.4; 平均PE51.47; 平均PEG6.49, PB3.18; ROIC5.04%; ROE5.8033%; 股利率.2006%; 毛利36.29%; 净利7.7067%; 上一年度营收增-88.69%, 利润增-130.07%; 当季营收增-78.34%, 利润增-162.32%; 过往5年营收增-7.93%, 利润增-31.6%
Income profile:
</v>
      </c>
      <c r="D47" s="3" t="s">
        <v>1241</v>
      </c>
      <c r="E47" s="3" t="s">
        <v>1242</v>
      </c>
      <c r="F47" s="3">
        <v>19.940000000000001</v>
      </c>
      <c r="G47" s="3">
        <v>-0.7</v>
      </c>
      <c r="H47" s="3" t="s">
        <v>2598</v>
      </c>
      <c r="I47" s="3">
        <v>2796725200</v>
      </c>
      <c r="J47" s="3">
        <v>236.4</v>
      </c>
      <c r="K47" s="3">
        <v>3.18</v>
      </c>
      <c r="L47" s="3" t="s">
        <v>285</v>
      </c>
      <c r="M47" s="3" t="s">
        <v>1264</v>
      </c>
      <c r="N47" s="3" t="s">
        <v>2599</v>
      </c>
      <c r="O47" s="3" t="s">
        <v>2600</v>
      </c>
      <c r="P47" s="5">
        <v>-45.35</v>
      </c>
      <c r="Q47" s="3" t="s">
        <v>2600</v>
      </c>
      <c r="R47" s="3">
        <v>-13318541</v>
      </c>
      <c r="S47" s="3">
        <v>-2.819</v>
      </c>
      <c r="T47" s="3" t="s">
        <v>2601</v>
      </c>
      <c r="U47" s="3">
        <v>89211924</v>
      </c>
      <c r="V47" s="3">
        <v>140257030</v>
      </c>
      <c r="W47" s="3">
        <v>1.7</v>
      </c>
      <c r="X47" s="3">
        <v>0.05</v>
      </c>
      <c r="Y47" s="3">
        <v>-21.27</v>
      </c>
      <c r="Z47" s="3" t="s">
        <v>2602</v>
      </c>
      <c r="AA47" s="3" t="s">
        <v>2603</v>
      </c>
      <c r="AB47" s="3" t="s">
        <v>2604</v>
      </c>
      <c r="AC47" s="3" t="s">
        <v>2605</v>
      </c>
      <c r="AD47" s="3" t="s">
        <v>4</v>
      </c>
      <c r="AE47" s="3">
        <v>-444834</v>
      </c>
      <c r="AF47" s="3" t="s">
        <v>2606</v>
      </c>
      <c r="AG47" s="3" t="s">
        <v>2607</v>
      </c>
      <c r="AH47" s="3" t="s">
        <v>2608</v>
      </c>
      <c r="AI47" s="3" t="s">
        <v>20</v>
      </c>
      <c r="AJ47" s="3" t="s">
        <v>2609</v>
      </c>
      <c r="AK47" s="3" t="s">
        <v>2610</v>
      </c>
      <c r="AL47" s="3" t="s">
        <v>2611</v>
      </c>
      <c r="AM47" s="3" t="s">
        <v>4</v>
      </c>
      <c r="AN47" s="3" t="s">
        <v>2612</v>
      </c>
      <c r="AO47" s="3" t="s">
        <v>2613</v>
      </c>
      <c r="AP47" s="3" t="s">
        <v>123</v>
      </c>
      <c r="AQ47" s="3" t="s">
        <v>173</v>
      </c>
      <c r="AR47" s="3" t="s">
        <v>4</v>
      </c>
      <c r="AS47" s="3" t="s">
        <v>1357</v>
      </c>
      <c r="AT47" s="3" t="s">
        <v>2614</v>
      </c>
      <c r="AU47" s="3" t="s">
        <v>2615</v>
      </c>
      <c r="AV47" s="3" t="s">
        <v>2616</v>
      </c>
      <c r="AW47" s="3" t="s">
        <v>2617</v>
      </c>
      <c r="AX47" s="3" t="s">
        <v>717</v>
      </c>
      <c r="AY47" s="3" t="s">
        <v>940</v>
      </c>
      <c r="AZ47" s="3" t="s">
        <v>776</v>
      </c>
      <c r="BA47" s="3" t="s">
        <v>761</v>
      </c>
      <c r="BB47" s="3" t="s">
        <v>1088</v>
      </c>
      <c r="BC47" s="3" t="s">
        <v>1243</v>
      </c>
      <c r="BD47" s="3" t="s">
        <v>1244</v>
      </c>
      <c r="BE47" s="3" t="s">
        <v>1245</v>
      </c>
      <c r="BF47" s="3" t="s">
        <v>1246</v>
      </c>
      <c r="BG47" s="3" t="s">
        <v>1247</v>
      </c>
      <c r="BH47" s="3" t="s">
        <v>176</v>
      </c>
      <c r="BI47" s="3" t="s">
        <v>753</v>
      </c>
      <c r="BJ47" s="3" t="s">
        <v>717</v>
      </c>
      <c r="BK47" s="3" t="s">
        <v>2618</v>
      </c>
      <c r="BL47" s="3" t="s">
        <v>1436</v>
      </c>
      <c r="BM47" s="3" t="s">
        <v>1243</v>
      </c>
      <c r="BN47" s="3">
        <v>2.38</v>
      </c>
      <c r="BO47" s="3">
        <v>4.58</v>
      </c>
      <c r="BP47" s="3">
        <v>8.16</v>
      </c>
      <c r="BQ47" s="3">
        <v>3.36</v>
      </c>
      <c r="BR47" s="3">
        <v>5.24</v>
      </c>
      <c r="BS47" s="3">
        <v>8.81</v>
      </c>
      <c r="BT47" s="3" t="s">
        <v>1167</v>
      </c>
      <c r="BU47" s="3" t="s">
        <v>841</v>
      </c>
      <c r="BV47" s="3">
        <v>33.450000000000003</v>
      </c>
      <c r="BW47" s="3">
        <v>31.54</v>
      </c>
      <c r="BX47" s="3">
        <v>43.88</v>
      </c>
      <c r="BY47" s="3">
        <v>2.27</v>
      </c>
      <c r="BZ47" s="3">
        <v>6.55</v>
      </c>
      <c r="CA47" s="3">
        <v>14.3</v>
      </c>
      <c r="CB47" s="3">
        <v>-8.57</v>
      </c>
      <c r="CC47" s="1">
        <v>-17.5</v>
      </c>
      <c r="CD47" s="1" t="s">
        <v>2619</v>
      </c>
      <c r="CE47" s="1" t="s">
        <v>1558</v>
      </c>
      <c r="CF47" s="10">
        <v>-0.78343216374269009</v>
      </c>
      <c r="CG47" s="11">
        <v>-1.6231800167509673</v>
      </c>
      <c r="CH47" s="10">
        <v>-0.88692188262939453</v>
      </c>
      <c r="CI47" s="10">
        <v>0.35330578684806824</v>
      </c>
      <c r="CJ47" s="10">
        <v>0.12558139860630035</v>
      </c>
      <c r="CK47" s="10">
        <v>-0.12065439671278</v>
      </c>
      <c r="CL47" s="10">
        <v>0.1319444477558136</v>
      </c>
      <c r="CM47" s="11">
        <v>-1.300703763961792</v>
      </c>
      <c r="CN47" s="11">
        <v>-0.3683311939239502</v>
      </c>
      <c r="CO47" s="11">
        <v>0.18931278586387634</v>
      </c>
      <c r="CP47" s="11">
        <v>-0.36344006657600403</v>
      </c>
      <c r="CQ47" s="11">
        <v>0.26298311352729797</v>
      </c>
      <c r="CR47" s="1">
        <v>51.474117312518345</v>
      </c>
      <c r="CS47" s="1">
        <v>6.4870588443168939</v>
      </c>
      <c r="CT47" s="1">
        <v>0.20060180541624875</v>
      </c>
      <c r="CU47" s="10">
        <v>-7.9348929226398468E-2</v>
      </c>
      <c r="CV47" s="11">
        <v>-0.31603582501411437</v>
      </c>
      <c r="CW47" s="3">
        <v>0.06</v>
      </c>
      <c r="CX47" s="3" t="e">
        <v>#VALUE!</v>
      </c>
      <c r="CY47" s="3" t="s">
        <v>855</v>
      </c>
      <c r="CZ47" s="3">
        <v>-7.9348929226398468E-2</v>
      </c>
      <c r="DA47" s="3" t="e">
        <v>#VALUE!</v>
      </c>
      <c r="DB47" s="3" t="s">
        <v>853</v>
      </c>
      <c r="DC47" s="3">
        <v>-7.5381482765078542E-2</v>
      </c>
      <c r="DD47" s="3" t="e">
        <v>#VALUE!</v>
      </c>
      <c r="DE47" s="3" t="s">
        <v>853</v>
      </c>
      <c r="DF47" s="3">
        <v>-6.9827057719230659E-2</v>
      </c>
      <c r="DG47" s="3" t="e">
        <v>#VALUE!</v>
      </c>
      <c r="DH47" s="3" t="s">
        <v>853</v>
      </c>
      <c r="DI47" s="3">
        <v>-6.3479143381118777E-2</v>
      </c>
      <c r="DJ47" s="3" t="e">
        <v>#VALUE!</v>
      </c>
      <c r="DK47" s="3" t="s">
        <v>853</v>
      </c>
      <c r="DL47" s="3">
        <v>-5.5544250458478925E-2</v>
      </c>
      <c r="DM47" s="3">
        <v>-13318500</v>
      </c>
      <c r="DN47" s="3">
        <v>-7.9348929226398468E-2</v>
      </c>
      <c r="DO47" s="3">
        <v>2442725200</v>
      </c>
      <c r="DP47" s="3">
        <v>588178140</v>
      </c>
      <c r="DQ47" s="12">
        <v>2269</v>
      </c>
      <c r="DR47" s="3">
        <v>-0.70408323451629162</v>
      </c>
      <c r="DS47" s="3">
        <v>-1.3071441917368529</v>
      </c>
      <c r="DT47" s="3">
        <v>-0.62333333333333341</v>
      </c>
      <c r="DU47" s="3">
        <v>-1.6816666666666666</v>
      </c>
      <c r="DV47" s="3">
        <v>-2.3050000000000002</v>
      </c>
      <c r="DW47" s="3">
        <v>-9.4897142857142853</v>
      </c>
      <c r="DX47" s="3">
        <v>0.28660982142856983</v>
      </c>
      <c r="DY47" s="3">
        <v>-9.0620026382653069</v>
      </c>
      <c r="DZ47" s="3">
        <v>415</v>
      </c>
      <c r="EA47" s="3">
        <v>-9.0569671989541316</v>
      </c>
      <c r="EB47" s="13">
        <v>9</v>
      </c>
      <c r="EC47" s="13">
        <v>0.20220448130122248</v>
      </c>
      <c r="ED47" s="3">
        <v>1.5970678974166217</v>
      </c>
      <c r="EE47" s="3">
        <v>1.0149999999999999</v>
      </c>
      <c r="EF47" s="3">
        <v>1.0218</v>
      </c>
      <c r="EG47" s="3">
        <v>16.12660982142857</v>
      </c>
      <c r="EH47" s="15" t="s">
        <v>1108</v>
      </c>
      <c r="EI47" s="3">
        <v>0</v>
      </c>
      <c r="EJ47" s="3">
        <v>1</v>
      </c>
      <c r="EK47" s="3">
        <v>45470</v>
      </c>
      <c r="EL47" s="3">
        <v>-1.72</v>
      </c>
      <c r="EM47" s="3">
        <v>-2.78</v>
      </c>
      <c r="EN47" s="16">
        <v>-1.89</v>
      </c>
      <c r="EO47" s="16">
        <v>5.07</v>
      </c>
      <c r="EP47" s="16">
        <v>0.68</v>
      </c>
    </row>
    <row r="48" spans="1:146" ht="96" x14ac:dyDescent="0.25">
      <c r="C48" s="7" t="str">
        <f>""&amp;CHAR(10)&amp;Basic_Fundamental_Information_Constructure(F48)&amp;CHAR(10)&amp;Basic_Fundamental_Information_Concatenate("")</f>
        <v xml:space="preserve">
市值32.711301亿, 利润1670.68万; PE62.36; 平均PE32.68; 平均PEG12.05, PB2.59; ROIC4.9433%; ROE5.9067%; 股利率.9524%; 毛利19.8833%; 净利6.5567%; 上一年度营收增-79.58%, 利润增-63.19%; 当季营收增-56.06%, 利润增-49.96%; 过往5年营收增-2.71%, 利润增-17.73%
Income profile:
</v>
      </c>
      <c r="D48" s="3" t="s">
        <v>555</v>
      </c>
      <c r="E48" s="3" t="s">
        <v>556</v>
      </c>
      <c r="F48" s="3">
        <v>10.5</v>
      </c>
      <c r="G48" s="3">
        <v>0.38</v>
      </c>
      <c r="H48" s="3" t="s">
        <v>2620</v>
      </c>
      <c r="I48" s="3">
        <v>3271130100</v>
      </c>
      <c r="J48" s="3">
        <v>62.36</v>
      </c>
      <c r="K48" s="3">
        <v>2.59</v>
      </c>
      <c r="L48" s="3" t="s">
        <v>285</v>
      </c>
      <c r="M48" s="3" t="s">
        <v>722</v>
      </c>
      <c r="N48" s="3" t="s">
        <v>1643</v>
      </c>
      <c r="O48" s="3" t="s">
        <v>370</v>
      </c>
      <c r="P48" s="3">
        <v>-13.92</v>
      </c>
      <c r="Q48" s="3" t="s">
        <v>370</v>
      </c>
      <c r="R48" s="3">
        <v>16706826</v>
      </c>
      <c r="S48" s="5">
        <v>0.40939999999999999</v>
      </c>
      <c r="T48" s="3" t="s">
        <v>2621</v>
      </c>
      <c r="U48" s="3">
        <v>288982040</v>
      </c>
      <c r="V48" s="3">
        <v>311536200</v>
      </c>
      <c r="W48" s="3">
        <v>1.21</v>
      </c>
      <c r="X48" s="3">
        <v>0.13</v>
      </c>
      <c r="Y48" s="3">
        <v>5.71</v>
      </c>
      <c r="Z48" s="3" t="s">
        <v>32</v>
      </c>
      <c r="AA48" s="3" t="s">
        <v>1056</v>
      </c>
      <c r="AB48" s="3" t="s">
        <v>2622</v>
      </c>
      <c r="AC48" s="3" t="s">
        <v>2623</v>
      </c>
      <c r="AD48" s="3" t="s">
        <v>4</v>
      </c>
      <c r="AE48" s="3">
        <v>207193</v>
      </c>
      <c r="AF48" s="3" t="s">
        <v>21</v>
      </c>
      <c r="AG48" s="3">
        <v>9972.6200000000008</v>
      </c>
      <c r="AH48" s="3" t="s">
        <v>2624</v>
      </c>
      <c r="AI48" s="3" t="s">
        <v>1133</v>
      </c>
      <c r="AJ48" s="3" t="s">
        <v>2625</v>
      </c>
      <c r="AK48" s="3" t="s">
        <v>4</v>
      </c>
      <c r="AL48" s="3" t="s">
        <v>2626</v>
      </c>
      <c r="AM48" s="3" t="s">
        <v>4</v>
      </c>
      <c r="AN48" s="3" t="s">
        <v>108</v>
      </c>
      <c r="AO48" s="3" t="s">
        <v>4</v>
      </c>
      <c r="AP48" s="3" t="s">
        <v>4</v>
      </c>
      <c r="AQ48" s="3" t="s">
        <v>56</v>
      </c>
      <c r="AR48" s="3" t="s">
        <v>4</v>
      </c>
      <c r="AS48" s="3" t="s">
        <v>759</v>
      </c>
      <c r="AT48" s="3" t="s">
        <v>4</v>
      </c>
      <c r="AU48" s="3" t="s">
        <v>2627</v>
      </c>
      <c r="AV48" s="3" t="s">
        <v>2628</v>
      </c>
      <c r="AW48" s="3" t="s">
        <v>2629</v>
      </c>
      <c r="AX48" s="3" t="s">
        <v>164</v>
      </c>
      <c r="AY48" s="3" t="s">
        <v>765</v>
      </c>
      <c r="AZ48" s="3" t="s">
        <v>557</v>
      </c>
      <c r="BA48" s="3" t="s">
        <v>558</v>
      </c>
      <c r="BB48" s="3" t="s">
        <v>97</v>
      </c>
      <c r="BC48" s="3" t="s">
        <v>1248</v>
      </c>
      <c r="BD48" s="3" t="s">
        <v>55</v>
      </c>
      <c r="BE48" s="3" t="s">
        <v>80</v>
      </c>
      <c r="BF48" s="3" t="s">
        <v>122</v>
      </c>
      <c r="BG48" s="3" t="s">
        <v>559</v>
      </c>
      <c r="BH48" s="3" t="s">
        <v>54</v>
      </c>
      <c r="BI48" s="3" t="s">
        <v>1211</v>
      </c>
      <c r="BJ48" s="3" t="s">
        <v>164</v>
      </c>
      <c r="BK48" s="3" t="s">
        <v>2630</v>
      </c>
      <c r="BL48" s="3" t="s">
        <v>1439</v>
      </c>
      <c r="BM48" s="3" t="s">
        <v>1248</v>
      </c>
      <c r="BN48" s="3">
        <v>1.66</v>
      </c>
      <c r="BO48" s="3">
        <v>2.91</v>
      </c>
      <c r="BP48" s="3">
        <v>10.26</v>
      </c>
      <c r="BQ48" s="3">
        <v>3.09</v>
      </c>
      <c r="BR48" s="3">
        <v>3.72</v>
      </c>
      <c r="BS48" s="3">
        <v>10.91</v>
      </c>
      <c r="BT48" s="3" t="s">
        <v>2631</v>
      </c>
      <c r="BU48" s="3" t="s">
        <v>841</v>
      </c>
      <c r="BV48" s="3">
        <v>21.8</v>
      </c>
      <c r="BW48" s="3">
        <v>15.77</v>
      </c>
      <c r="BX48" s="3">
        <v>22.08</v>
      </c>
      <c r="BY48" s="3">
        <v>3.85</v>
      </c>
      <c r="BZ48" s="3">
        <v>4.24</v>
      </c>
      <c r="CA48" s="3">
        <v>11.58</v>
      </c>
      <c r="CB48" s="3">
        <v>-9.9499999999999993</v>
      </c>
      <c r="CC48" s="1">
        <v>15.48</v>
      </c>
      <c r="CD48" s="1" t="s">
        <v>2632</v>
      </c>
      <c r="CE48" s="1" t="s">
        <v>1099</v>
      </c>
      <c r="CF48" s="10">
        <v>-0.56060606060606066</v>
      </c>
      <c r="CG48" s="11">
        <v>-0.49957538197949403</v>
      </c>
      <c r="CH48" s="10">
        <v>-0.79577463865280151</v>
      </c>
      <c r="CI48" s="10">
        <v>-8.0480985343456268E-2</v>
      </c>
      <c r="CJ48" s="10">
        <v>0.22009022533893585</v>
      </c>
      <c r="CK48" s="10">
        <v>0.2021709680557251</v>
      </c>
      <c r="CL48" s="10">
        <v>0.31842577457427979</v>
      </c>
      <c r="CM48" s="11">
        <v>-0.63186448812484741</v>
      </c>
      <c r="CN48" s="11">
        <v>-0.64265984296798706</v>
      </c>
      <c r="CO48" s="11">
        <v>-0.24852071702480316</v>
      </c>
      <c r="CP48" s="11">
        <v>0.1736111044883728</v>
      </c>
      <c r="CQ48" s="11">
        <v>0.46280357241630554</v>
      </c>
      <c r="CR48" s="1">
        <v>32.682426076561356</v>
      </c>
      <c r="CS48" s="1">
        <v>12.053828308947702</v>
      </c>
      <c r="CT48" s="1">
        <v>0.95238095238095233</v>
      </c>
      <c r="CU48" s="10">
        <v>-2.7113731205463409E-2</v>
      </c>
      <c r="CV48" s="11">
        <v>-0.17732607424259186</v>
      </c>
      <c r="CW48" s="3">
        <v>0.06</v>
      </c>
      <c r="CX48" s="3">
        <v>137.31714631168148</v>
      </c>
      <c r="CY48" s="3" t="s">
        <v>2633</v>
      </c>
      <c r="CZ48" s="3">
        <v>-2.7113731205463409E-2</v>
      </c>
      <c r="DA48" s="3">
        <v>45.772382103893825</v>
      </c>
      <c r="DB48" s="3" t="s">
        <v>2634</v>
      </c>
      <c r="DC48" s="3">
        <v>-2.5758044645190239E-2</v>
      </c>
      <c r="DD48" s="3">
        <v>22.886191051946913</v>
      </c>
      <c r="DE48" s="3" t="s">
        <v>2635</v>
      </c>
      <c r="DF48" s="3">
        <v>-2.3860083460807799E-2</v>
      </c>
      <c r="DG48" s="3">
        <v>13.731714631168147</v>
      </c>
      <c r="DH48" s="3" t="s">
        <v>2636</v>
      </c>
      <c r="DI48" s="3">
        <v>-2.1690984964370729E-2</v>
      </c>
      <c r="DJ48" s="3">
        <v>6.8658573155840736</v>
      </c>
      <c r="DK48" s="3" t="s">
        <v>2637</v>
      </c>
      <c r="DL48" s="3">
        <v>-1.8979611843824386E-2</v>
      </c>
      <c r="DM48" s="3">
        <v>16706800</v>
      </c>
      <c r="DN48" s="3">
        <v>-2.7113731205463409E-2</v>
      </c>
      <c r="DO48" s="3">
        <v>2294130100</v>
      </c>
      <c r="DP48" s="3">
        <v>642112720</v>
      </c>
      <c r="DQ48" s="3">
        <v>2279</v>
      </c>
      <c r="DR48" s="3">
        <v>-0.53349232940059721</v>
      </c>
      <c r="DS48" s="3">
        <v>-0.32224930773690219</v>
      </c>
      <c r="DT48" s="12">
        <v>-0.42333333333333339</v>
      </c>
      <c r="DU48" s="3">
        <v>-0.77</v>
      </c>
      <c r="DV48" s="3">
        <v>-1.1933333333333334</v>
      </c>
      <c r="DW48" s="3">
        <v>-7.3912701533621705</v>
      </c>
      <c r="DX48" s="3">
        <v>0.26085993975903549</v>
      </c>
      <c r="DY48" s="3">
        <v>-7.0277253794967525</v>
      </c>
      <c r="DZ48" s="3">
        <v>3662</v>
      </c>
      <c r="EA48" s="3">
        <v>-7.007856428475792</v>
      </c>
      <c r="EB48" s="3">
        <v>7</v>
      </c>
      <c r="EC48" s="3">
        <v>0.15102899759321708</v>
      </c>
      <c r="ED48" s="3">
        <v>2.1313734968841502</v>
      </c>
      <c r="EE48" s="13">
        <v>1.1147</v>
      </c>
      <c r="EF48" s="3">
        <v>1.0838000000000001</v>
      </c>
      <c r="EG48" s="3">
        <v>19.070859939759035</v>
      </c>
      <c r="EH48" s="3" t="s">
        <v>1108</v>
      </c>
      <c r="EI48" s="3">
        <v>0</v>
      </c>
      <c r="EJ48" s="3">
        <v>0</v>
      </c>
      <c r="EK48" s="15">
        <v>45470</v>
      </c>
      <c r="EL48" s="16">
        <v>0</v>
      </c>
      <c r="EM48" s="16">
        <v>-4.47</v>
      </c>
      <c r="EN48" s="16">
        <v>0.44</v>
      </c>
      <c r="EO48" s="16">
        <v>3.49</v>
      </c>
      <c r="EP48" s="16">
        <v>-3.09</v>
      </c>
    </row>
    <row r="49" spans="1:146" ht="96" x14ac:dyDescent="0.25">
      <c r="C49" s="7" t="str">
        <f>""&amp;CHAR(10)&amp;Basic_Fundamental_Information_Constructure(F49)&amp;CHAR(10)&amp;Basic_Fundamental_Information_Concatenate("")</f>
        <v xml:space="preserve">
市值38.692525亿, 利润2177.39万; PE48.79; 平均PE53.48; 平均PEG57.58, PB3.48; ROIC6.82%; ROE8.0267%; 股利率.3866%; 毛利21.9567%; 净利6.2867%; 上一年度营收增-75.47%, 利润增-63.56%; 当季营收增-52.01%, 利润增-50.24%; 过往5年营收增-.93%, 利润增-12.33%
Income profile:
</v>
      </c>
      <c r="D49" s="3" t="s">
        <v>560</v>
      </c>
      <c r="E49" s="3" t="s">
        <v>561</v>
      </c>
      <c r="F49" s="3">
        <v>25.42</v>
      </c>
      <c r="G49" s="3">
        <v>1.56</v>
      </c>
      <c r="H49" s="3" t="s">
        <v>2638</v>
      </c>
      <c r="I49" s="3">
        <v>3869252500</v>
      </c>
      <c r="J49" s="3">
        <v>48.79</v>
      </c>
      <c r="K49" s="3">
        <v>3.48</v>
      </c>
      <c r="L49" s="3" t="s">
        <v>285</v>
      </c>
      <c r="M49" s="3" t="s">
        <v>1402</v>
      </c>
      <c r="N49" s="3" t="s">
        <v>1388</v>
      </c>
      <c r="O49" s="3" t="s">
        <v>1069</v>
      </c>
      <c r="P49" s="3">
        <v>2.92</v>
      </c>
      <c r="Q49" s="3" t="s">
        <v>1069</v>
      </c>
      <c r="R49" s="3">
        <v>21773870</v>
      </c>
      <c r="S49" s="5">
        <v>0.14660000000000001</v>
      </c>
      <c r="T49" s="3" t="s">
        <v>2639</v>
      </c>
      <c r="U49" s="3">
        <v>142997150</v>
      </c>
      <c r="V49" s="3">
        <v>152212920</v>
      </c>
      <c r="W49" s="3">
        <v>1.82</v>
      </c>
      <c r="X49" s="3">
        <v>0.13</v>
      </c>
      <c r="Y49" s="3">
        <v>7.12</v>
      </c>
      <c r="Z49" s="3" t="s">
        <v>111</v>
      </c>
      <c r="AA49" s="3" t="s">
        <v>94</v>
      </c>
      <c r="AB49" s="3" t="s">
        <v>2640</v>
      </c>
      <c r="AC49" s="3" t="s">
        <v>2641</v>
      </c>
      <c r="AD49" s="3" t="s">
        <v>4</v>
      </c>
      <c r="AE49" s="3">
        <v>133046</v>
      </c>
      <c r="AF49" s="3" t="s">
        <v>2642</v>
      </c>
      <c r="AG49" s="3" t="s">
        <v>2643</v>
      </c>
      <c r="AH49" s="3" t="s">
        <v>2644</v>
      </c>
      <c r="AI49" s="3" t="s">
        <v>168</v>
      </c>
      <c r="AJ49" s="3" t="s">
        <v>2645</v>
      </c>
      <c r="AK49" s="3" t="s">
        <v>59</v>
      </c>
      <c r="AL49" s="3" t="s">
        <v>2646</v>
      </c>
      <c r="AM49" s="3" t="s">
        <v>4</v>
      </c>
      <c r="AN49" s="3" t="s">
        <v>2647</v>
      </c>
      <c r="AO49" s="3" t="s">
        <v>2648</v>
      </c>
      <c r="AP49" s="3" t="s">
        <v>1084</v>
      </c>
      <c r="AQ49" s="3" t="s">
        <v>1195</v>
      </c>
      <c r="AR49" s="3" t="s">
        <v>4</v>
      </c>
      <c r="AS49" s="3" t="s">
        <v>1381</v>
      </c>
      <c r="AT49" s="3" t="s">
        <v>4</v>
      </c>
      <c r="AU49" s="3" t="s">
        <v>2649</v>
      </c>
      <c r="AV49" s="3" t="s">
        <v>2650</v>
      </c>
      <c r="AW49" s="3" t="s">
        <v>2651</v>
      </c>
      <c r="AX49" s="3" t="s">
        <v>1251</v>
      </c>
      <c r="AY49" s="3" t="s">
        <v>239</v>
      </c>
      <c r="AZ49" s="3" t="s">
        <v>271</v>
      </c>
      <c r="BA49" s="3" t="s">
        <v>226</v>
      </c>
      <c r="BB49" s="3" t="s">
        <v>255</v>
      </c>
      <c r="BC49" s="3" t="s">
        <v>1252</v>
      </c>
      <c r="BD49" s="3" t="s">
        <v>83</v>
      </c>
      <c r="BE49" s="3" t="s">
        <v>96</v>
      </c>
      <c r="BF49" s="3" t="s">
        <v>562</v>
      </c>
      <c r="BG49" s="3" t="s">
        <v>563</v>
      </c>
      <c r="BH49" s="3" t="s">
        <v>1204</v>
      </c>
      <c r="BI49" s="3" t="s">
        <v>1063</v>
      </c>
      <c r="BJ49" s="3" t="s">
        <v>1251</v>
      </c>
      <c r="BK49" s="3" t="s">
        <v>2652</v>
      </c>
      <c r="BL49" s="3" t="s">
        <v>1442</v>
      </c>
      <c r="BM49" s="3" t="s">
        <v>1252</v>
      </c>
      <c r="BN49" s="3">
        <v>4.78</v>
      </c>
      <c r="BO49" s="3">
        <v>4.67</v>
      </c>
      <c r="BP49" s="3">
        <v>11.01</v>
      </c>
      <c r="BQ49" s="3">
        <v>6.56</v>
      </c>
      <c r="BR49" s="3">
        <v>5.9</v>
      </c>
      <c r="BS49" s="3">
        <v>11.62</v>
      </c>
      <c r="BT49" s="3" t="s">
        <v>2653</v>
      </c>
      <c r="BU49" s="3" t="s">
        <v>841</v>
      </c>
      <c r="BV49" s="3">
        <v>22.99</v>
      </c>
      <c r="BW49" s="3">
        <v>21.22</v>
      </c>
      <c r="BX49" s="3">
        <v>21.66</v>
      </c>
      <c r="BY49" s="3">
        <v>5.89</v>
      </c>
      <c r="BZ49" s="3">
        <v>4.74</v>
      </c>
      <c r="CA49" s="3">
        <v>8.23</v>
      </c>
      <c r="CB49" s="3">
        <v>-5.43</v>
      </c>
      <c r="CC49" s="1">
        <v>-32.32</v>
      </c>
      <c r="CD49" s="1" t="s">
        <v>2654</v>
      </c>
      <c r="CE49" s="1" t="s">
        <v>1480</v>
      </c>
      <c r="CF49" s="10">
        <v>-0.52006688963210701</v>
      </c>
      <c r="CG49" s="11">
        <v>-0.50241390342558101</v>
      </c>
      <c r="CH49" s="10">
        <v>-0.75470083951950073</v>
      </c>
      <c r="CI49" s="10">
        <v>-0.10207218676805496</v>
      </c>
      <c r="CJ49" s="10">
        <v>0.42404377460479736</v>
      </c>
      <c r="CK49" s="10">
        <v>0.26381215453147888</v>
      </c>
      <c r="CL49" s="10">
        <v>0.12248062342405319</v>
      </c>
      <c r="CM49" s="11">
        <v>-0.63559484481811523</v>
      </c>
      <c r="CN49" s="11">
        <v>-0.4254625141620636</v>
      </c>
      <c r="CO49" s="11">
        <v>3.9999999105930328E-2</v>
      </c>
      <c r="CP49" s="11">
        <v>0.2623569667339325</v>
      </c>
      <c r="CQ49" s="11">
        <v>0.14220590889453888</v>
      </c>
      <c r="CR49" s="3">
        <v>53.480017139026529</v>
      </c>
      <c r="CS49" s="3">
        <v>57.584063610401316</v>
      </c>
      <c r="CT49" s="3">
        <v>0.38664358772619983</v>
      </c>
      <c r="CU49" s="10">
        <v>-9.2872947454452522E-3</v>
      </c>
      <c r="CV49" s="11">
        <v>-0.12329889684915543</v>
      </c>
      <c r="CW49" s="3">
        <v>0.06</v>
      </c>
      <c r="CX49" s="3">
        <v>171.63909543076804</v>
      </c>
      <c r="CY49" s="3" t="s">
        <v>2655</v>
      </c>
      <c r="CZ49" s="3">
        <v>-9.2872947454452522E-3</v>
      </c>
      <c r="DA49" s="3">
        <v>57.213031810256012</v>
      </c>
      <c r="DB49" s="3" t="s">
        <v>2656</v>
      </c>
      <c r="DC49" s="3">
        <v>-8.8229300081729897E-3</v>
      </c>
      <c r="DD49" s="3">
        <v>28.606515905128006</v>
      </c>
      <c r="DE49" s="3" t="s">
        <v>2657</v>
      </c>
      <c r="DF49" s="3">
        <v>-8.1728193759918223E-3</v>
      </c>
      <c r="DG49" s="3">
        <v>17.163909543076802</v>
      </c>
      <c r="DH49" s="3" t="s">
        <v>2658</v>
      </c>
      <c r="DI49" s="3">
        <v>-7.4298357963562024E-3</v>
      </c>
      <c r="DJ49" s="3">
        <v>8.5819547715384008</v>
      </c>
      <c r="DK49" s="3" t="s">
        <v>2659</v>
      </c>
      <c r="DL49" s="3">
        <v>-6.5011063218116758E-3</v>
      </c>
      <c r="DM49" s="3">
        <v>21773900</v>
      </c>
      <c r="DN49" s="3">
        <v>-9.2872947454452522E-3</v>
      </c>
      <c r="DO49" s="3">
        <v>3737252500</v>
      </c>
      <c r="DP49" s="3">
        <v>687294020</v>
      </c>
      <c r="DQ49" s="3">
        <v>2300</v>
      </c>
      <c r="DR49" s="3">
        <v>-0.5107795948866618</v>
      </c>
      <c r="DS49" s="3">
        <v>-0.37911500657642561</v>
      </c>
      <c r="DT49" s="12">
        <v>-0.52333333333333332</v>
      </c>
      <c r="DU49" s="3">
        <v>-0.58666666666666667</v>
      </c>
      <c r="DV49" s="3">
        <v>-1.1099999999999999</v>
      </c>
      <c r="DW49" s="3">
        <v>-8.1680074257425748</v>
      </c>
      <c r="DX49" s="3">
        <v>0.3318388349514565</v>
      </c>
      <c r="DY49" s="3">
        <v>-8.0154296062433907</v>
      </c>
      <c r="DZ49" s="3">
        <v>384</v>
      </c>
      <c r="EA49" s="3">
        <v>-8.0142701211558247</v>
      </c>
      <c r="EB49" s="3">
        <v>8</v>
      </c>
      <c r="EC49" s="3">
        <v>0.24858336598496369</v>
      </c>
      <c r="ED49" s="3">
        <v>2.7067347502432777</v>
      </c>
      <c r="EE49" s="13">
        <v>-2.0190100000000002</v>
      </c>
      <c r="EF49" s="3">
        <v>-2.0644100000000001</v>
      </c>
      <c r="EG49" s="3">
        <v>24.091838834951457</v>
      </c>
      <c r="EH49" s="3" t="s">
        <v>1250</v>
      </c>
      <c r="EI49" s="3">
        <v>0</v>
      </c>
      <c r="EJ49" s="3">
        <v>1</v>
      </c>
      <c r="EK49" s="15">
        <v>45470</v>
      </c>
      <c r="EL49" s="16">
        <v>0.32</v>
      </c>
      <c r="EM49" s="16">
        <v>-6.85</v>
      </c>
      <c r="EN49" s="16">
        <v>-3.64</v>
      </c>
      <c r="EO49" s="16">
        <v>0.75</v>
      </c>
      <c r="EP49" s="16">
        <v>-4.54</v>
      </c>
    </row>
    <row r="50" spans="1:146" ht="96" x14ac:dyDescent="0.25">
      <c r="C50" s="7" t="str">
        <f>""&amp;CHAR(10)&amp;Basic_Fundamental_Information_Constructure(F50)&amp;CHAR(10)&amp;Basic_Fundamental_Information_Concatenate("")</f>
        <v xml:space="preserve">
市值159.61205亿, 利润1.62亿; PE39.54; 平均PE140.38; 平均PEG9.96, PB6.12; ROIC8.2933%; ROE9.8033%; 股利率.1721%; 毛利12.11%; 净利4.8267%; 上一年度营收增-44.12%, 利润增23.66%; 当季营收增-4.4%, 利润增43.58%; 过往5年营收增14.09%, 利润增19.77%
Income profile:
</v>
      </c>
      <c r="D50" s="3" t="s">
        <v>564</v>
      </c>
      <c r="E50" s="3" t="s">
        <v>565</v>
      </c>
      <c r="F50" s="3">
        <v>65.08</v>
      </c>
      <c r="G50" s="3">
        <v>0.62</v>
      </c>
      <c r="H50" s="3" t="s">
        <v>2660</v>
      </c>
      <c r="I50" s="3">
        <v>15961205000</v>
      </c>
      <c r="J50" s="3">
        <v>39.54</v>
      </c>
      <c r="K50" s="3">
        <v>6.12</v>
      </c>
      <c r="L50" s="3" t="s">
        <v>285</v>
      </c>
      <c r="M50" s="3" t="s">
        <v>2661</v>
      </c>
      <c r="N50" s="3" t="s">
        <v>2662</v>
      </c>
      <c r="O50" s="3" t="s">
        <v>2663</v>
      </c>
      <c r="P50" s="3">
        <v>118.38</v>
      </c>
      <c r="Q50" s="3" t="s">
        <v>2663</v>
      </c>
      <c r="R50" s="3">
        <v>162245470</v>
      </c>
      <c r="S50" s="5">
        <v>2.5339999999999998</v>
      </c>
      <c r="T50" s="3" t="s">
        <v>169</v>
      </c>
      <c r="U50" s="3">
        <v>245255150</v>
      </c>
      <c r="V50" s="3">
        <v>245255150</v>
      </c>
      <c r="W50" s="3">
        <v>2.13</v>
      </c>
      <c r="X50" s="3">
        <v>0.33</v>
      </c>
      <c r="Y50" s="3">
        <v>9.24</v>
      </c>
      <c r="Z50" s="3" t="s">
        <v>2664</v>
      </c>
      <c r="AA50" s="3" t="s">
        <v>1432</v>
      </c>
      <c r="AB50" s="3" t="s">
        <v>2665</v>
      </c>
      <c r="AC50" s="3" t="s">
        <v>2666</v>
      </c>
      <c r="AD50" s="3" t="s">
        <v>4</v>
      </c>
      <c r="AE50" s="3">
        <v>-3956074</v>
      </c>
      <c r="AF50" s="3" t="s">
        <v>2667</v>
      </c>
      <c r="AG50" s="3">
        <v>19.05</v>
      </c>
      <c r="AH50" s="3" t="s">
        <v>2668</v>
      </c>
      <c r="AI50" s="3" t="s">
        <v>2669</v>
      </c>
      <c r="AJ50" s="3" t="s">
        <v>2670</v>
      </c>
      <c r="AK50" s="3" t="s">
        <v>2671</v>
      </c>
      <c r="AL50" s="3" t="s">
        <v>2672</v>
      </c>
      <c r="AM50" s="3" t="s">
        <v>4</v>
      </c>
      <c r="AN50" s="3" t="s">
        <v>2673</v>
      </c>
      <c r="AO50" s="3" t="s">
        <v>1562</v>
      </c>
      <c r="AP50" s="3" t="s">
        <v>1092</v>
      </c>
      <c r="AQ50" s="3" t="s">
        <v>2152</v>
      </c>
      <c r="AR50" s="3" t="s">
        <v>4</v>
      </c>
      <c r="AS50" s="3" t="s">
        <v>2674</v>
      </c>
      <c r="AT50" s="3" t="s">
        <v>2675</v>
      </c>
      <c r="AU50" s="3" t="s">
        <v>1462</v>
      </c>
      <c r="AV50" s="3" t="s">
        <v>2676</v>
      </c>
      <c r="AW50" s="3" t="s">
        <v>1445</v>
      </c>
      <c r="AX50" s="3" t="s">
        <v>1256</v>
      </c>
      <c r="AY50" s="3" t="s">
        <v>573</v>
      </c>
      <c r="AZ50" s="3" t="s">
        <v>482</v>
      </c>
      <c r="BA50" s="3" t="s">
        <v>566</v>
      </c>
      <c r="BB50" s="3" t="s">
        <v>567</v>
      </c>
      <c r="BC50" s="3" t="s">
        <v>67</v>
      </c>
      <c r="BD50" s="3" t="s">
        <v>60</v>
      </c>
      <c r="BE50" s="3" t="s">
        <v>96</v>
      </c>
      <c r="BF50" s="3" t="s">
        <v>568</v>
      </c>
      <c r="BG50" s="3" t="s">
        <v>569</v>
      </c>
      <c r="BH50" s="3" t="s">
        <v>2677</v>
      </c>
      <c r="BI50" s="3" t="s">
        <v>1255</v>
      </c>
      <c r="BJ50" s="3" t="s">
        <v>1256</v>
      </c>
      <c r="BK50" s="3" t="s">
        <v>1069</v>
      </c>
      <c r="BL50" s="3" t="s">
        <v>435</v>
      </c>
      <c r="BM50" s="3" t="s">
        <v>67</v>
      </c>
      <c r="BN50" s="3">
        <v>7.62</v>
      </c>
      <c r="BO50" s="3">
        <v>8.4600000000000009</v>
      </c>
      <c r="BP50" s="3">
        <v>8.8000000000000007</v>
      </c>
      <c r="BQ50" s="3">
        <v>9.76</v>
      </c>
      <c r="BR50" s="3">
        <v>9.51</v>
      </c>
      <c r="BS50" s="3">
        <v>10.14</v>
      </c>
      <c r="BT50" s="3" t="s">
        <v>2678</v>
      </c>
      <c r="BU50" s="3" t="s">
        <v>841</v>
      </c>
      <c r="BV50" s="3">
        <v>13.57</v>
      </c>
      <c r="BW50" s="3">
        <v>11.2</v>
      </c>
      <c r="BX50" s="3">
        <v>11.56</v>
      </c>
      <c r="BY50" s="3">
        <v>6.14</v>
      </c>
      <c r="BZ50" s="3">
        <v>4.16</v>
      </c>
      <c r="CA50" s="3">
        <v>4.18</v>
      </c>
      <c r="CB50" s="3">
        <v>14.18</v>
      </c>
      <c r="CC50" s="3">
        <v>15.37</v>
      </c>
      <c r="CD50" s="3" t="s">
        <v>2679</v>
      </c>
      <c r="CE50" s="3" t="s">
        <v>1123</v>
      </c>
      <c r="CF50" s="10">
        <v>-4.402173913043466E-2</v>
      </c>
      <c r="CG50" s="11">
        <v>0.43580061946902676</v>
      </c>
      <c r="CH50" s="10">
        <v>-0.44123250246047974</v>
      </c>
      <c r="CI50" s="10">
        <v>6.3513509929180145E-2</v>
      </c>
      <c r="CJ50" s="10">
        <v>0.31614053249359131</v>
      </c>
      <c r="CK50" s="10">
        <v>0.44537270069122314</v>
      </c>
      <c r="CL50" s="10">
        <v>0.32088285684585571</v>
      </c>
      <c r="CM50" s="11">
        <v>0.23664122819900513</v>
      </c>
      <c r="CN50" s="11">
        <v>3.9682541042566299E-2</v>
      </c>
      <c r="CO50" s="11">
        <v>0.25999999046325684</v>
      </c>
      <c r="CP50" s="11">
        <v>4.9549218267202377E-2</v>
      </c>
      <c r="CQ50" s="11">
        <v>0.40285971760749817</v>
      </c>
      <c r="CR50" s="3">
        <v>140.38067026709453</v>
      </c>
      <c r="CS50" s="3">
        <v>9.9606380543125237</v>
      </c>
      <c r="CT50" s="3">
        <v>0.17209588199139522</v>
      </c>
      <c r="CU50" s="10">
        <v>0.14093541949987412</v>
      </c>
      <c r="CV50" s="11">
        <v>0.19774653911590576</v>
      </c>
      <c r="CW50" s="3">
        <v>0.06</v>
      </c>
      <c r="CX50" s="3">
        <v>91.961131134299606</v>
      </c>
      <c r="CY50" s="3">
        <v>174369375.43299964</v>
      </c>
      <c r="CZ50" s="3">
        <v>0.14093541949987412</v>
      </c>
      <c r="DA50" s="3">
        <v>28.790691078147535</v>
      </c>
      <c r="DB50" s="3">
        <v>556957974.93971598</v>
      </c>
      <c r="DC50" s="3">
        <v>0.13388864852488042</v>
      </c>
      <c r="DD50" s="3">
        <v>13.36870694111132</v>
      </c>
      <c r="DE50" s="3">
        <v>1199458187.7390618</v>
      </c>
      <c r="DF50" s="3">
        <v>0.12402316915988923</v>
      </c>
      <c r="DG50" s="3">
        <v>7.5048456929016663</v>
      </c>
      <c r="DH50" s="3">
        <v>2136646862.0622849</v>
      </c>
      <c r="DI50" s="3">
        <v>0.1127483355998993</v>
      </c>
      <c r="DJ50" s="3">
        <v>3.326400757255624</v>
      </c>
      <c r="DK50" s="3">
        <v>4820587226.3056793</v>
      </c>
      <c r="DL50" s="3">
        <v>9.8654793649911879E-2</v>
      </c>
      <c r="DM50" s="3">
        <v>162000000</v>
      </c>
      <c r="DN50" s="3">
        <v>0.14093541949987412</v>
      </c>
      <c r="DO50" s="3">
        <v>16035205000</v>
      </c>
      <c r="DP50" s="3">
        <v>1932702300</v>
      </c>
      <c r="DQ50" s="3">
        <v>2314</v>
      </c>
      <c r="DR50" s="3">
        <v>-0.18495715863030879</v>
      </c>
      <c r="DS50" s="3">
        <v>0.23805408035312101</v>
      </c>
      <c r="DT50" s="12">
        <v>-0.25666666666666677</v>
      </c>
      <c r="DU50" s="3">
        <v>1</v>
      </c>
      <c r="DV50" s="3">
        <v>0.74333333333333318</v>
      </c>
      <c r="DW50" s="3">
        <v>9.9225764476252447</v>
      </c>
      <c r="DX50" s="3">
        <v>0.42374670050761598</v>
      </c>
      <c r="DY50" s="3">
        <v>9.2341007295509421</v>
      </c>
      <c r="DZ50" s="3">
        <v>193</v>
      </c>
      <c r="EA50" s="3">
        <v>9.2252589603135</v>
      </c>
      <c r="EB50" s="3">
        <v>9</v>
      </c>
      <c r="EC50" s="3">
        <v>0.20382079642364292</v>
      </c>
      <c r="ED50" s="3">
        <v>0.80324511024539136</v>
      </c>
      <c r="EE50" s="13">
        <v>1.00241</v>
      </c>
      <c r="EF50" s="3">
        <v>1.0335099999999999</v>
      </c>
      <c r="EG50" s="3">
        <v>17.253746700507616</v>
      </c>
      <c r="EH50" s="3" t="s">
        <v>1106</v>
      </c>
      <c r="EI50" s="3">
        <v>1</v>
      </c>
      <c r="EJ50" s="3">
        <v>1</v>
      </c>
      <c r="EK50" s="15">
        <v>45470</v>
      </c>
      <c r="EL50" s="16">
        <v>-0.34</v>
      </c>
      <c r="EM50" s="16">
        <v>-2.73</v>
      </c>
      <c r="EN50" s="16">
        <v>-1.42</v>
      </c>
      <c r="EO50" s="16">
        <v>-0.63</v>
      </c>
      <c r="EP50" s="16">
        <v>-3.11</v>
      </c>
    </row>
    <row r="51" spans="1:146" ht="192" x14ac:dyDescent="0.25">
      <c r="A51" s="7" t="s">
        <v>1593</v>
      </c>
      <c r="C51" s="7" t="str">
        <f>"公司主营业务是自有品牌的移动设备周边产品、智能硬件产品等消费电子产品的自主研发、设计和销售。公司的主要产品为移动电源系列部分产品、USB充电器系列部分产品、充电线材系列部分产品、无线耳机系列部分产品、无线音箱系列部分产品、智能创新类产品。"&amp;CHAR(10)&amp;Basic_Fundamental_Information_Constructure(F51)&amp;CHAR(10)&amp;Basic_Fundamental_Information_Concatenate("（境外43%销售额）
充电类产品 34.83亿 49.30% 49.55% 43.40%
智能创新类产品 19.46亿 27.54% 27.47% 43.07%
无线音频类产品 15.63亿 22.12% 22.40% 43.73%
其他 7394.81万 1.05% 0.59% 24.25%")</f>
        <v>公司主营业务是自有品牌的移动设备周边产品、智能硬件产品等消费电子产品的自主研发、设计和销售。公司的主要产品为移动电源系列部分产品、USB充电器系列部分产品、充电线材系列部分产品、无线耳机系列部分产品、无线音箱系列部分产品、智能创新类产品。
市值345.94483亿, 利润3.11亿; PE21.36; 平均PE46.75; 平均PEG5.06, PB4.14; ROIC16.5833%; ROE17.3%; 股利率3.0553%; 毛利39.33%; 净利8.7133%; 上一年度营收增-69.28%, 利润增-72.79%; 当季营收增-38.04%, 利润增-62.11%; 过往5年营收增9.25%, 利润增9.18%
Income profile:
（境外43%销售额）
充电类产品 34.83亿 49.30% 49.55% 43.40%
智能创新类产品 19.46亿 27.54% 27.47% 43.07%
无线音频类产品 15.63亿 22.12% 22.40% 43.73%
其他 7394.81万 1.05% 0.59% 24.25%</v>
      </c>
      <c r="D51" s="3" t="s">
        <v>570</v>
      </c>
      <c r="E51" s="3" t="s">
        <v>571</v>
      </c>
      <c r="F51" s="3">
        <v>65.459999999999994</v>
      </c>
      <c r="G51" s="3">
        <v>-1.27</v>
      </c>
      <c r="H51" s="3" t="s">
        <v>2680</v>
      </c>
      <c r="I51" s="3">
        <v>34594483000</v>
      </c>
      <c r="J51" s="3">
        <v>21.36</v>
      </c>
      <c r="K51" s="3">
        <v>4.1399999999999997</v>
      </c>
      <c r="L51" s="3" t="s">
        <v>285</v>
      </c>
      <c r="M51" s="3" t="s">
        <v>2681</v>
      </c>
      <c r="N51" s="3" t="s">
        <v>2682</v>
      </c>
      <c r="O51" s="3" t="s">
        <v>2683</v>
      </c>
      <c r="P51" s="3">
        <v>30.09</v>
      </c>
      <c r="Q51" s="3" t="s">
        <v>2683</v>
      </c>
      <c r="R51" s="3">
        <v>310694250</v>
      </c>
      <c r="S51" s="5">
        <v>1.6E-2</v>
      </c>
      <c r="T51" s="3" t="s">
        <v>819</v>
      </c>
      <c r="U51" s="3">
        <v>294051840</v>
      </c>
      <c r="V51" s="3">
        <v>528482790</v>
      </c>
      <c r="W51" s="3">
        <v>1.56</v>
      </c>
      <c r="X51" s="3">
        <v>0.34</v>
      </c>
      <c r="Y51" s="3">
        <v>7.45</v>
      </c>
      <c r="Z51" s="3" t="s">
        <v>2684</v>
      </c>
      <c r="AA51" s="3" t="s">
        <v>2685</v>
      </c>
      <c r="AB51" s="3" t="s">
        <v>2686</v>
      </c>
      <c r="AC51" s="3" t="s">
        <v>59</v>
      </c>
      <c r="AD51" s="3" t="s">
        <v>4</v>
      </c>
      <c r="AE51" s="3">
        <v>1128502</v>
      </c>
      <c r="AF51" s="3" t="s">
        <v>2687</v>
      </c>
      <c r="AG51" s="3" t="s">
        <v>2688</v>
      </c>
      <c r="AH51" s="3" t="s">
        <v>2689</v>
      </c>
      <c r="AI51" s="3" t="s">
        <v>2690</v>
      </c>
      <c r="AJ51" s="3" t="s">
        <v>2691</v>
      </c>
      <c r="AK51" s="3" t="s">
        <v>4</v>
      </c>
      <c r="AL51" s="3" t="s">
        <v>2692</v>
      </c>
      <c r="AM51" s="3" t="s">
        <v>4</v>
      </c>
      <c r="AN51" s="3">
        <v>0</v>
      </c>
      <c r="AO51" s="3" t="s">
        <v>2693</v>
      </c>
      <c r="AP51" s="3" t="s">
        <v>1912</v>
      </c>
      <c r="AQ51" s="3" t="s">
        <v>2694</v>
      </c>
      <c r="AR51" s="3" t="s">
        <v>4</v>
      </c>
      <c r="AS51" s="3" t="s">
        <v>2695</v>
      </c>
      <c r="AT51" s="3" t="s">
        <v>1359</v>
      </c>
      <c r="AU51" s="3" t="s">
        <v>77</v>
      </c>
      <c r="AV51" s="3" t="s">
        <v>2696</v>
      </c>
      <c r="AW51" s="3" t="s">
        <v>1129</v>
      </c>
      <c r="AX51" s="3" t="s">
        <v>1259</v>
      </c>
      <c r="AY51" s="3" t="s">
        <v>767</v>
      </c>
      <c r="AZ51" s="3" t="s">
        <v>572</v>
      </c>
      <c r="BA51" s="3" t="s">
        <v>574</v>
      </c>
      <c r="BB51" s="3" t="s">
        <v>575</v>
      </c>
      <c r="BC51" s="3" t="s">
        <v>277</v>
      </c>
      <c r="BD51" s="3" t="s">
        <v>346</v>
      </c>
      <c r="BE51" s="3" t="s">
        <v>253</v>
      </c>
      <c r="BF51" s="3" t="s">
        <v>576</v>
      </c>
      <c r="BG51" s="3" t="s">
        <v>185</v>
      </c>
      <c r="BH51" s="3" t="s">
        <v>2697</v>
      </c>
      <c r="BI51" s="3" t="s">
        <v>1258</v>
      </c>
      <c r="BJ51" s="3" t="s">
        <v>1259</v>
      </c>
      <c r="BK51" s="3" t="s">
        <v>2698</v>
      </c>
      <c r="BL51" s="3" t="s">
        <v>1443</v>
      </c>
      <c r="BM51" s="3" t="s">
        <v>277</v>
      </c>
      <c r="BN51" s="3">
        <v>15.96</v>
      </c>
      <c r="BO51" s="3">
        <v>16.62</v>
      </c>
      <c r="BP51" s="3">
        <v>17.170000000000002</v>
      </c>
      <c r="BQ51" s="3">
        <v>16.77</v>
      </c>
      <c r="BR51" s="3">
        <v>17.809999999999999</v>
      </c>
      <c r="BS51" s="3">
        <v>17.32</v>
      </c>
      <c r="BT51" s="3" t="s">
        <v>2699</v>
      </c>
      <c r="BU51" s="3" t="s">
        <v>916</v>
      </c>
      <c r="BV51" s="3">
        <v>43.54</v>
      </c>
      <c r="BW51" s="3">
        <v>38.729999999999997</v>
      </c>
      <c r="BX51" s="3">
        <v>35.72</v>
      </c>
      <c r="BY51" s="3">
        <v>9.68</v>
      </c>
      <c r="BZ51" s="3">
        <v>8.31</v>
      </c>
      <c r="CA51" s="3">
        <v>8.15</v>
      </c>
      <c r="CB51" s="3">
        <v>-8.07</v>
      </c>
      <c r="CC51" s="3">
        <v>-6.07</v>
      </c>
      <c r="CD51" s="3" t="s">
        <v>2700</v>
      </c>
      <c r="CE51" s="3" t="s">
        <v>2701</v>
      </c>
      <c r="CF51" s="10">
        <v>-0.38041324653269176</v>
      </c>
      <c r="CG51" s="11">
        <v>-0.62110457317073164</v>
      </c>
      <c r="CH51" s="10">
        <v>-0.69279354810714722</v>
      </c>
      <c r="CI51" s="10">
        <v>0.13337041437625885</v>
      </c>
      <c r="CJ51" s="10">
        <v>0.34438151121139526</v>
      </c>
      <c r="CK51" s="10">
        <v>0.40540945529937744</v>
      </c>
      <c r="CL51" s="10">
        <v>0.27198013663291931</v>
      </c>
      <c r="CM51" s="11">
        <v>-0.72790902853012085</v>
      </c>
      <c r="CN51" s="11">
        <v>0.16395118832588196</v>
      </c>
      <c r="CO51" s="11">
        <v>0.14719626307487488</v>
      </c>
      <c r="CP51" s="11">
        <v>0.18723994493484497</v>
      </c>
      <c r="CQ51" s="11">
        <v>0.68852460384368896</v>
      </c>
      <c r="CR51" s="3">
        <v>46.749301351351349</v>
      </c>
      <c r="CS51" s="3">
        <v>5.0556403882041936</v>
      </c>
      <c r="CT51" s="3">
        <v>3.0553009471432939</v>
      </c>
      <c r="CU51" s="10">
        <v>9.2469593882560736E-2</v>
      </c>
      <c r="CV51" s="11">
        <v>9.1800594329833979E-2</v>
      </c>
      <c r="CW51" s="3">
        <v>0.06</v>
      </c>
      <c r="CX51" s="3">
        <v>95.681596309595946</v>
      </c>
      <c r="CY51" s="3">
        <v>320526456.31837398</v>
      </c>
      <c r="CZ51" s="3">
        <v>9.2469593882560736E-2</v>
      </c>
      <c r="DA51" s="3">
        <v>31.202552051363103</v>
      </c>
      <c r="DB51" s="3">
        <v>982883802.24527907</v>
      </c>
      <c r="DC51" s="3">
        <v>8.7846114188432689E-2</v>
      </c>
      <c r="DD51" s="3">
        <v>15.317368090880247</v>
      </c>
      <c r="DE51" s="3">
        <v>2002203173.4198251</v>
      </c>
      <c r="DF51" s="3">
        <v>8.1373242616653449E-2</v>
      </c>
      <c r="DG51" s="3">
        <v>9.1693257409497253</v>
      </c>
      <c r="DH51" s="3">
        <v>3344682462.6413012</v>
      </c>
      <c r="DI51" s="3">
        <v>7.3975675106048591E-2</v>
      </c>
      <c r="DJ51" s="3">
        <v>4.7039348684742777</v>
      </c>
      <c r="DK51" s="3">
        <v>6519750774.0891256</v>
      </c>
      <c r="DL51" s="3">
        <v>6.4728715717792512E-2</v>
      </c>
      <c r="DM51" s="3">
        <v>311000000</v>
      </c>
      <c r="DN51" s="3">
        <v>9.2469593882560736E-2</v>
      </c>
      <c r="DO51" s="3">
        <v>30668483000</v>
      </c>
      <c r="DP51" s="3">
        <v>6335045700</v>
      </c>
      <c r="DQ51" s="3">
        <v>2323</v>
      </c>
      <c r="DR51" s="3">
        <v>-0.47288284041525253</v>
      </c>
      <c r="DS51" s="3">
        <v>-0.71290516750056565</v>
      </c>
      <c r="DT51" s="12">
        <v>-0.42333333333333339</v>
      </c>
      <c r="DU51" s="3">
        <v>-0.3066666666666667</v>
      </c>
      <c r="DV51" s="3">
        <v>-0.73000000000000009</v>
      </c>
      <c r="DW51" s="3">
        <v>-5.7521685254027259</v>
      </c>
      <c r="DX51" s="3">
        <v>0.36294995548356851</v>
      </c>
      <c r="DY51" s="3">
        <v>-5.1376091982385708</v>
      </c>
      <c r="DZ51" s="3">
        <v>4641</v>
      </c>
      <c r="EA51" s="3">
        <v>-5.0126298853177866</v>
      </c>
      <c r="EB51" s="3">
        <v>5</v>
      </c>
      <c r="EC51" s="3">
        <v>2.7528616400166975E-2</v>
      </c>
      <c r="ED51" s="3">
        <v>0.15047074664437038</v>
      </c>
      <c r="EE51" s="13">
        <v>4.1472999999999995</v>
      </c>
      <c r="EF51" s="3">
        <v>4.1268000000000002</v>
      </c>
      <c r="EG51" s="3">
        <v>18.182949955483569</v>
      </c>
      <c r="EH51" s="3" t="s">
        <v>1569</v>
      </c>
      <c r="EI51" s="3">
        <v>0</v>
      </c>
      <c r="EJ51" s="3">
        <v>0</v>
      </c>
      <c r="EK51" s="15">
        <v>45470</v>
      </c>
      <c r="EL51" s="16">
        <v>-1.76</v>
      </c>
      <c r="EM51" s="16">
        <v>-4.41</v>
      </c>
      <c r="EN51" s="16">
        <v>2.87</v>
      </c>
      <c r="EO51" s="16">
        <v>4.55</v>
      </c>
      <c r="EP51" s="16">
        <v>-2.0499999999999998</v>
      </c>
    </row>
    <row r="52" spans="1:146" ht="132" x14ac:dyDescent="0.25">
      <c r="A52" s="7" t="s">
        <v>696</v>
      </c>
      <c r="C52" s="7" t="str">
        <f>"公司的主营业务是智能控制器及智能产品的研发、设计、生产和销售。主要产品有智能家居及家电、汽车电子等。"&amp;CHAR(10)&amp;Basic_Fundamental_Information_Constructure(F52)&amp;CHAR(10)&amp;Basic_Fundamental_Information_Concatenate("智能控制器 5.19亿 66.99% 利润占比71.32% 毛利23.74%
智能产品 2.45亿 31.58% 利润占比25.49% 毛利18.00%
其他 1108.67万 1.43% 利润占比3.19% 毛利49.66%")</f>
        <v>公司的主营业务是智能控制器及智能产品的研发、设计、生产和销售。主要产品有智能家居及家电、汽车电子等。
市值34.931528亿, 利润4027.46万; PE23.77; 平均PE38.15; 平均PEG5.22, PB2.75; ROIC11.3567%; ROE12.7367%; 股利率1.2422%; 毛利19.97%; 净利13.0333%; 上一年度营收增-67.62%, 利润增-77.75%; 当季营收增6.09%, 利润增30.97%; 过往5年营收增7.31%, 利润增18.71%
Income profile:
智能控制器 5.19亿 66.99% 利润占比71.32% 毛利23.74%
智能产品 2.45亿 31.58% 利润占比25.49% 毛利18.00%
其他 1108.67万 1.43% 利润占比3.19% 毛利49.66%</v>
      </c>
      <c r="D52" s="3" t="s">
        <v>577</v>
      </c>
      <c r="E52" s="3" t="s">
        <v>578</v>
      </c>
      <c r="F52" s="3">
        <v>24.15</v>
      </c>
      <c r="G52" s="3">
        <v>2.16</v>
      </c>
      <c r="H52" s="3" t="s">
        <v>2702</v>
      </c>
      <c r="I52" s="3">
        <v>3493152800</v>
      </c>
      <c r="J52" s="3">
        <v>23.77</v>
      </c>
      <c r="K52" s="3">
        <v>2.75</v>
      </c>
      <c r="L52" s="3" t="s">
        <v>285</v>
      </c>
      <c r="M52" s="3" t="s">
        <v>1062</v>
      </c>
      <c r="N52" s="3" t="s">
        <v>1053</v>
      </c>
      <c r="O52" s="3" t="s">
        <v>1263</v>
      </c>
      <c r="P52" s="3">
        <v>132.9</v>
      </c>
      <c r="Q52" s="3" t="s">
        <v>1263</v>
      </c>
      <c r="R52" s="3">
        <v>40274575</v>
      </c>
      <c r="S52" s="5">
        <v>21.23</v>
      </c>
      <c r="T52" s="3" t="s">
        <v>2703</v>
      </c>
      <c r="U52" s="3">
        <v>90526641</v>
      </c>
      <c r="V52" s="3">
        <v>144644010</v>
      </c>
      <c r="W52" s="3">
        <v>1.48</v>
      </c>
      <c r="X52" s="3">
        <v>0.22</v>
      </c>
      <c r="Y52" s="3">
        <v>9.64</v>
      </c>
      <c r="Z52" s="3" t="s">
        <v>1079</v>
      </c>
      <c r="AA52" s="3" t="s">
        <v>180</v>
      </c>
      <c r="AB52" s="3" t="s">
        <v>2704</v>
      </c>
      <c r="AC52" s="3" t="s">
        <v>2705</v>
      </c>
      <c r="AD52" s="3" t="s">
        <v>4</v>
      </c>
      <c r="AE52" s="3">
        <v>-7808213</v>
      </c>
      <c r="AF52" s="3" t="s">
        <v>2706</v>
      </c>
      <c r="AG52" s="3">
        <v>5309.73</v>
      </c>
      <c r="AH52" s="3" t="s">
        <v>2707</v>
      </c>
      <c r="AI52" s="3" t="s">
        <v>1441</v>
      </c>
      <c r="AJ52" s="3" t="s">
        <v>2708</v>
      </c>
      <c r="AK52" s="3" t="s">
        <v>2709</v>
      </c>
      <c r="AL52" s="3" t="s">
        <v>2710</v>
      </c>
      <c r="AM52" s="3" t="s">
        <v>4</v>
      </c>
      <c r="AN52" s="3">
        <v>0</v>
      </c>
      <c r="AO52" s="3" t="s">
        <v>52</v>
      </c>
      <c r="AP52" s="3" t="s">
        <v>2711</v>
      </c>
      <c r="AQ52" s="3" t="s">
        <v>1100</v>
      </c>
      <c r="AR52" s="3" t="s">
        <v>4</v>
      </c>
      <c r="AS52" s="3" t="s">
        <v>1383</v>
      </c>
      <c r="AT52" s="3" t="s">
        <v>4</v>
      </c>
      <c r="AU52" s="3" t="s">
        <v>2712</v>
      </c>
      <c r="AV52" s="3" t="s">
        <v>2713</v>
      </c>
      <c r="AW52" s="3" t="s">
        <v>2714</v>
      </c>
      <c r="AX52" s="3" t="s">
        <v>1261</v>
      </c>
      <c r="AY52" s="3" t="s">
        <v>768</v>
      </c>
      <c r="AZ52" s="3" t="s">
        <v>260</v>
      </c>
      <c r="BA52" s="3" t="s">
        <v>224</v>
      </c>
      <c r="BB52" s="3" t="s">
        <v>33</v>
      </c>
      <c r="BC52" s="3" t="s">
        <v>77</v>
      </c>
      <c r="BD52" s="3" t="s">
        <v>68</v>
      </c>
      <c r="BE52" s="3" t="s">
        <v>579</v>
      </c>
      <c r="BF52" s="3" t="s">
        <v>580</v>
      </c>
      <c r="BG52" s="3" t="s">
        <v>581</v>
      </c>
      <c r="BH52" s="3" t="s">
        <v>2715</v>
      </c>
      <c r="BI52" s="3" t="s">
        <v>934</v>
      </c>
      <c r="BJ52" s="3" t="s">
        <v>1261</v>
      </c>
      <c r="BK52" s="3" t="s">
        <v>71</v>
      </c>
      <c r="BL52" s="3" t="s">
        <v>1446</v>
      </c>
      <c r="BM52" s="3" t="s">
        <v>77</v>
      </c>
      <c r="BN52" s="3">
        <v>2.83</v>
      </c>
      <c r="BO52" s="3">
        <v>16.329999999999998</v>
      </c>
      <c r="BP52" s="3">
        <v>14.91</v>
      </c>
      <c r="BQ52" s="3">
        <v>5.29</v>
      </c>
      <c r="BR52" s="3">
        <v>17.21</v>
      </c>
      <c r="BS52" s="3">
        <v>15.71</v>
      </c>
      <c r="BT52" s="3" t="s">
        <v>1065</v>
      </c>
      <c r="BU52" s="3" t="s">
        <v>841</v>
      </c>
      <c r="BV52" s="3">
        <v>17.07</v>
      </c>
      <c r="BW52" s="3">
        <v>19.940000000000001</v>
      </c>
      <c r="BX52" s="3">
        <v>22.9</v>
      </c>
      <c r="BY52" s="3">
        <v>10.39</v>
      </c>
      <c r="BZ52" s="3">
        <v>14.03</v>
      </c>
      <c r="CA52" s="3">
        <v>14.68</v>
      </c>
      <c r="CB52" s="3">
        <v>-4.09</v>
      </c>
      <c r="CC52" s="3">
        <v>-10.56</v>
      </c>
      <c r="CD52" s="3" t="s">
        <v>2716</v>
      </c>
      <c r="CE52" s="3" t="s">
        <v>2717</v>
      </c>
      <c r="CF52" s="10">
        <v>6.0913705583756347E-2</v>
      </c>
      <c r="CG52" s="11">
        <v>0.30966135425778568</v>
      </c>
      <c r="CH52" s="10">
        <v>-0.67621999979019165</v>
      </c>
      <c r="CI52" s="10">
        <v>0.34479174017906189</v>
      </c>
      <c r="CJ52" s="10">
        <v>0.24031007289886475</v>
      </c>
      <c r="CK52" s="10">
        <v>0.36028119921684265</v>
      </c>
      <c r="CL52" s="10">
        <v>9.6339114010334015E-2</v>
      </c>
      <c r="CM52" s="11">
        <v>-0.77748847007751465</v>
      </c>
      <c r="CN52" s="11">
        <v>0.28368794918060303</v>
      </c>
      <c r="CO52" s="11">
        <v>0.57954353094100952</v>
      </c>
      <c r="CP52" s="11">
        <v>0.72024226188659668</v>
      </c>
      <c r="CQ52" s="11">
        <v>0.12967671453952789</v>
      </c>
      <c r="CR52" s="3">
        <v>38.150988154379689</v>
      </c>
      <c r="CS52" s="3">
        <v>5.2189830628554796</v>
      </c>
      <c r="CT52" s="3">
        <v>1.2422360248447206</v>
      </c>
      <c r="CU52" s="10">
        <v>7.310042530298233E-2</v>
      </c>
      <c r="CV52" s="11">
        <v>0.18713239729404449</v>
      </c>
      <c r="CW52" s="3">
        <v>0.06</v>
      </c>
      <c r="CX52" s="3">
        <v>69.781428841584045</v>
      </c>
      <c r="CY52" s="3">
        <v>40772349.423497632</v>
      </c>
      <c r="CZ52" s="3">
        <v>7.310042530298233E-2</v>
      </c>
      <c r="DA52" s="3">
        <v>23.133226260453831</v>
      </c>
      <c r="DB52" s="3">
        <v>122989883.38102147</v>
      </c>
      <c r="DC52" s="3">
        <v>6.9445404037833211E-2</v>
      </c>
      <c r="DD52" s="3">
        <v>11.606957097459762</v>
      </c>
      <c r="DE52" s="3">
        <v>245124779.57057971</v>
      </c>
      <c r="DF52" s="3">
        <v>6.4328374266624452E-2</v>
      </c>
      <c r="DG52" s="3">
        <v>7.1202878808561589</v>
      </c>
      <c r="DH52" s="3">
        <v>399583956.09952396</v>
      </c>
      <c r="DI52" s="3">
        <v>5.8480340242385867E-2</v>
      </c>
      <c r="DJ52" s="3">
        <v>3.8519755936323805</v>
      </c>
      <c r="DK52" s="3">
        <v>738621710.03971624</v>
      </c>
      <c r="DL52" s="3">
        <v>5.1170297712087628E-2</v>
      </c>
      <c r="DM52" s="3">
        <v>40274600</v>
      </c>
      <c r="DN52" s="3">
        <v>7.310042530298233E-2</v>
      </c>
      <c r="DO52" s="3">
        <v>2845152800</v>
      </c>
      <c r="DP52" s="3">
        <v>1094001700</v>
      </c>
      <c r="DQ52" s="3">
        <v>2371</v>
      </c>
      <c r="DR52" s="3">
        <v>-1.2186719719225983E-2</v>
      </c>
      <c r="DS52" s="3">
        <v>0.12252895696374119</v>
      </c>
      <c r="DT52" s="12">
        <v>-0.37333333333333335</v>
      </c>
      <c r="DU52" s="3">
        <v>0.40333333333333332</v>
      </c>
      <c r="DV52" s="3">
        <v>2.9999999999999971E-2</v>
      </c>
      <c r="DW52" s="3">
        <v>-8.3873106060606055</v>
      </c>
      <c r="DX52" s="3">
        <v>0.29993221631907546</v>
      </c>
      <c r="DY52" s="3">
        <v>-8.0387048072675213</v>
      </c>
      <c r="DZ52" s="3">
        <v>1596</v>
      </c>
      <c r="EA52" s="3">
        <v>-8.026616182531912</v>
      </c>
      <c r="EB52" s="3">
        <v>8</v>
      </c>
      <c r="EC52" s="3">
        <v>6.6658826729153867E-2</v>
      </c>
      <c r="ED52" s="3">
        <v>0.66704041183592744</v>
      </c>
      <c r="EE52" s="13">
        <v>-1.0992</v>
      </c>
      <c r="EF52" s="3">
        <v>-1.0819000000000001</v>
      </c>
      <c r="EG52" s="3">
        <v>20.099932216319075</v>
      </c>
      <c r="EH52" s="3" t="s">
        <v>1107</v>
      </c>
      <c r="EI52" s="3">
        <v>0</v>
      </c>
      <c r="EJ52" s="3">
        <v>0</v>
      </c>
      <c r="EK52" s="15">
        <v>45470</v>
      </c>
      <c r="EL52" s="16">
        <v>-1.1499999999999999</v>
      </c>
      <c r="EM52" s="16">
        <v>-3.89</v>
      </c>
      <c r="EN52" s="16">
        <v>1.95</v>
      </c>
      <c r="EO52" s="16">
        <v>3.89</v>
      </c>
      <c r="EP52" s="16">
        <v>-1.73</v>
      </c>
    </row>
    <row r="53" spans="1:146" ht="96" x14ac:dyDescent="0.25">
      <c r="C53" s="7" t="str">
        <f>""&amp;CHAR(10)&amp;Basic_Fundamental_Information_Constructure(F53)&amp;CHAR(10)&amp;Basic_Fundamental_Information_Concatenate("")</f>
        <v xml:space="preserve">
市值47.823133亿, 利润5982.73万; PE19.74; 平均PE29.5; 平均PEG3.13, PB2.08; ROIC14.46%; ROE14.1%; 股利率3.5436%; 毛利40.58%; 净利23.7667%; 上一年度营收增-79.4%, 利润增-80.45%; 当季营收增-53.2%, 利润增-46.58%; 过往5年营收增9.42%, 利润增12.22%
Income profile:
</v>
      </c>
      <c r="D53" s="3" t="s">
        <v>582</v>
      </c>
      <c r="E53" s="3" t="s">
        <v>583</v>
      </c>
      <c r="F53" s="3">
        <v>28.22</v>
      </c>
      <c r="G53" s="3">
        <v>0.68</v>
      </c>
      <c r="H53" s="3" t="s">
        <v>2718</v>
      </c>
      <c r="I53" s="3">
        <v>4782313300</v>
      </c>
      <c r="J53" s="3">
        <v>19.739999999999998</v>
      </c>
      <c r="K53" s="3">
        <v>2.08</v>
      </c>
      <c r="L53" s="3" t="s">
        <v>285</v>
      </c>
      <c r="M53" s="3" t="s">
        <v>1467</v>
      </c>
      <c r="N53" s="3" t="s">
        <v>2719</v>
      </c>
      <c r="O53" s="3" t="s">
        <v>114</v>
      </c>
      <c r="P53" s="3">
        <v>-8.18</v>
      </c>
      <c r="Q53" s="3" t="s">
        <v>114</v>
      </c>
      <c r="R53" s="3">
        <v>59827262</v>
      </c>
      <c r="S53" s="5">
        <v>-0.18429999999999999</v>
      </c>
      <c r="T53" s="3" t="s">
        <v>2720</v>
      </c>
      <c r="U53" s="3">
        <v>150849310</v>
      </c>
      <c r="V53" s="3">
        <v>169465390</v>
      </c>
      <c r="W53" s="3">
        <v>1.3</v>
      </c>
      <c r="X53" s="3">
        <v>0.08</v>
      </c>
      <c r="Y53" s="3">
        <v>24.38</v>
      </c>
      <c r="Z53" s="3" t="s">
        <v>179</v>
      </c>
      <c r="AA53" s="3" t="s">
        <v>167</v>
      </c>
      <c r="AB53" s="3" t="s">
        <v>2721</v>
      </c>
      <c r="AC53" s="3" t="s">
        <v>2722</v>
      </c>
      <c r="AD53" s="3" t="s">
        <v>4</v>
      </c>
      <c r="AE53" s="3">
        <v>-5392199</v>
      </c>
      <c r="AF53" s="3" t="s">
        <v>2723</v>
      </c>
      <c r="AG53" s="3">
        <v>500</v>
      </c>
      <c r="AH53" s="3" t="s">
        <v>2724</v>
      </c>
      <c r="AI53" s="3" t="s">
        <v>2725</v>
      </c>
      <c r="AJ53" s="3" t="s">
        <v>2726</v>
      </c>
      <c r="AK53" s="3" t="s">
        <v>4</v>
      </c>
      <c r="AL53" s="3" t="s">
        <v>2727</v>
      </c>
      <c r="AM53" s="3" t="s">
        <v>4</v>
      </c>
      <c r="AN53" s="3" t="s">
        <v>80</v>
      </c>
      <c r="AO53" s="3" t="s">
        <v>2728</v>
      </c>
      <c r="AP53" s="3" t="s">
        <v>64</v>
      </c>
      <c r="AQ53" s="3" t="s">
        <v>140</v>
      </c>
      <c r="AR53" s="3" t="s">
        <v>4</v>
      </c>
      <c r="AS53" s="3" t="s">
        <v>740</v>
      </c>
      <c r="AT53" s="3" t="s">
        <v>4</v>
      </c>
      <c r="AU53" s="3" t="s">
        <v>24</v>
      </c>
      <c r="AV53" s="3" t="s">
        <v>104</v>
      </c>
      <c r="AW53" s="3" t="s">
        <v>2729</v>
      </c>
      <c r="AX53" s="3" t="s">
        <v>1251</v>
      </c>
      <c r="AY53" s="3" t="s">
        <v>552</v>
      </c>
      <c r="AZ53" s="3" t="s">
        <v>183</v>
      </c>
      <c r="BA53" s="3" t="s">
        <v>6</v>
      </c>
      <c r="BB53" s="3" t="s">
        <v>132</v>
      </c>
      <c r="BC53" s="3" t="s">
        <v>102</v>
      </c>
      <c r="BD53" s="3" t="s">
        <v>384</v>
      </c>
      <c r="BE53" s="3" t="s">
        <v>48</v>
      </c>
      <c r="BF53" s="3" t="s">
        <v>123</v>
      </c>
      <c r="BG53" s="3" t="s">
        <v>585</v>
      </c>
      <c r="BH53" s="3" t="s">
        <v>2730</v>
      </c>
      <c r="BI53" s="3" t="s">
        <v>1264</v>
      </c>
      <c r="BJ53" s="3" t="s">
        <v>1251</v>
      </c>
      <c r="BK53" s="3" t="s">
        <v>115</v>
      </c>
      <c r="BL53" s="3" t="s">
        <v>5</v>
      </c>
      <c r="BM53" s="3" t="s">
        <v>102</v>
      </c>
      <c r="BN53" s="3">
        <v>8.4</v>
      </c>
      <c r="BO53" s="3">
        <v>14.65</v>
      </c>
      <c r="BP53" s="3">
        <v>20.329999999999998</v>
      </c>
      <c r="BQ53" s="3">
        <v>9.7799999999999994</v>
      </c>
      <c r="BR53" s="3">
        <v>17.690000000000001</v>
      </c>
      <c r="BS53" s="3">
        <v>14.83</v>
      </c>
      <c r="BT53" s="3" t="s">
        <v>2731</v>
      </c>
      <c r="BU53" s="3" t="s">
        <v>841</v>
      </c>
      <c r="BV53" s="3">
        <v>31.12</v>
      </c>
      <c r="BW53" s="3">
        <v>44.56</v>
      </c>
      <c r="BX53" s="3">
        <v>46.06</v>
      </c>
      <c r="BY53" s="3">
        <v>15.08</v>
      </c>
      <c r="BZ53" s="3">
        <v>26.9</v>
      </c>
      <c r="CA53" s="3">
        <v>29.32</v>
      </c>
      <c r="CB53" s="3">
        <v>-9.41</v>
      </c>
      <c r="CC53" s="3">
        <v>-2.52</v>
      </c>
      <c r="CD53" s="3" t="s">
        <v>2732</v>
      </c>
      <c r="CE53" s="3" t="s">
        <v>60</v>
      </c>
      <c r="CF53" s="10">
        <v>-0.53203883495145632</v>
      </c>
      <c r="CG53" s="11">
        <v>-0.46582801785714295</v>
      </c>
      <c r="CH53" s="10">
        <v>-0.79401707649230957</v>
      </c>
      <c r="CI53" s="10">
        <v>0.39952152967453003</v>
      </c>
      <c r="CJ53" s="10">
        <v>0.21865889430046082</v>
      </c>
      <c r="CK53" s="10">
        <v>0.35841584205627441</v>
      </c>
      <c r="CL53" s="10">
        <v>0.28826531767845154</v>
      </c>
      <c r="CM53" s="11">
        <v>-0.8044859766960144</v>
      </c>
      <c r="CN53" s="11">
        <v>0.29113924503326416</v>
      </c>
      <c r="CO53" s="11">
        <v>0.44512194395065308</v>
      </c>
      <c r="CP53" s="11">
        <v>0.43859648704528809</v>
      </c>
      <c r="CQ53" s="11">
        <v>0.24059487879276276</v>
      </c>
      <c r="CR53" s="3">
        <v>29.498641076808742</v>
      </c>
      <c r="CS53" s="3">
        <v>3.1325247108795593</v>
      </c>
      <c r="CT53" s="3">
        <v>3.5435861091424523</v>
      </c>
      <c r="CU53" s="10">
        <v>9.4168901443481445E-2</v>
      </c>
      <c r="CV53" s="11">
        <v>0.12219331562519073</v>
      </c>
      <c r="CW53" s="3">
        <v>0.06</v>
      </c>
      <c r="CX53" s="3">
        <v>54.979647271345954</v>
      </c>
      <c r="CY53" s="3">
        <v>61755821.808801495</v>
      </c>
      <c r="CZ53" s="3">
        <v>9.4168901443481445E-2</v>
      </c>
      <c r="DA53" s="3">
        <v>17.903551859172982</v>
      </c>
      <c r="DB53" s="3">
        <v>189644676.47018281</v>
      </c>
      <c r="DC53" s="3">
        <v>8.9460456371307367E-2</v>
      </c>
      <c r="DD53" s="3">
        <v>8.7719472046130154</v>
      </c>
      <c r="DE53" s="3">
        <v>387064949.29819727</v>
      </c>
      <c r="DF53" s="3">
        <v>8.286863327026367E-2</v>
      </c>
      <c r="DG53" s="3">
        <v>5.2396480063614632</v>
      </c>
      <c r="DH53" s="3">
        <v>648004082.69367445</v>
      </c>
      <c r="DI53" s="3">
        <v>7.5335121154785162E-2</v>
      </c>
      <c r="DJ53" s="3">
        <v>2.6750838293811521</v>
      </c>
      <c r="DK53" s="3">
        <v>1269236224.5655174</v>
      </c>
      <c r="DL53" s="3">
        <v>6.5918231010437006E-2</v>
      </c>
      <c r="DM53" s="3">
        <v>59827299.999999993</v>
      </c>
      <c r="DN53" s="3">
        <v>9.4168901443481445E-2</v>
      </c>
      <c r="DO53" s="3">
        <v>3395313300</v>
      </c>
      <c r="DP53" s="3">
        <v>1822275100</v>
      </c>
      <c r="DQ53" s="3">
        <v>2403</v>
      </c>
      <c r="DR53" s="3">
        <v>-0.62620773639493776</v>
      </c>
      <c r="DS53" s="3">
        <v>-0.58802133348233365</v>
      </c>
      <c r="DT53" s="12">
        <v>-0.27333333333333343</v>
      </c>
      <c r="DU53" s="3">
        <v>-5.333333333333342E-2</v>
      </c>
      <c r="DV53" s="3">
        <v>-0.32666666666666683</v>
      </c>
      <c r="DW53" s="3">
        <v>-5.2678002125398509</v>
      </c>
      <c r="DX53" s="3">
        <v>0.35755396825396812</v>
      </c>
      <c r="DY53" s="3">
        <v>-5.0368369819341128</v>
      </c>
      <c r="DZ53" s="3">
        <v>1174</v>
      </c>
      <c r="EA53" s="3">
        <v>-5.0283738475328121</v>
      </c>
      <c r="EB53" s="3">
        <v>5</v>
      </c>
      <c r="EC53" s="3">
        <v>0.10227339045453469</v>
      </c>
      <c r="ED53" s="3">
        <v>0.74351464921539434</v>
      </c>
      <c r="EE53" s="13">
        <v>-1.01281</v>
      </c>
      <c r="EF53" s="3">
        <v>-1.0364100000000001</v>
      </c>
      <c r="EG53" s="3">
        <v>22.137553968253968</v>
      </c>
      <c r="EH53" s="3" t="s">
        <v>1113</v>
      </c>
      <c r="EI53" s="3">
        <v>0</v>
      </c>
      <c r="EJ53" s="3">
        <v>1</v>
      </c>
      <c r="EK53" s="15">
        <v>45470</v>
      </c>
      <c r="EL53" s="16">
        <v>-0.59</v>
      </c>
      <c r="EM53" s="16">
        <v>-5.37</v>
      </c>
      <c r="EN53" s="16">
        <v>1.25</v>
      </c>
      <c r="EO53" s="16">
        <v>4.24</v>
      </c>
      <c r="EP53" s="16">
        <v>-2.36</v>
      </c>
    </row>
    <row r="54" spans="1:146" ht="96" x14ac:dyDescent="0.25">
      <c r="C54" s="7" t="str">
        <f>""&amp;CHAR(10)&amp;Basic_Fundamental_Information_Constructure(F54)&amp;CHAR(10)&amp;Basic_Fundamental_Information_Concatenate("")</f>
        <v xml:space="preserve">
市值31.125419亿, 利润361.71万; PE; 平均PE56.99; 平均PEG7.09, PB2.92; ROIC5.92%; ROE.5267%; 股利率.2678%; 毛利10.3033%; 净利-.25%; 上一年度营收增-73.54%, 利润增112.99%; 当季营收增-42.38%, 利润增113.92%; 过往5年营收增-8.03%, 利润增-6.97%
Income profile:
</v>
      </c>
      <c r="D54" s="3" t="s">
        <v>586</v>
      </c>
      <c r="E54" s="3" t="s">
        <v>587</v>
      </c>
      <c r="F54" s="3">
        <v>18.670000000000002</v>
      </c>
      <c r="G54" s="3">
        <v>-0.69</v>
      </c>
      <c r="H54" s="3" t="s">
        <v>2733</v>
      </c>
      <c r="I54" s="3">
        <v>3112541900</v>
      </c>
      <c r="K54" s="3">
        <v>2.92</v>
      </c>
      <c r="L54" s="3" t="s">
        <v>285</v>
      </c>
      <c r="M54" s="3" t="s">
        <v>1227</v>
      </c>
      <c r="N54" s="3" t="s">
        <v>2734</v>
      </c>
      <c r="O54" s="3" t="s">
        <v>1456</v>
      </c>
      <c r="P54" s="3">
        <v>42.4</v>
      </c>
      <c r="Q54" s="3" t="s">
        <v>1456</v>
      </c>
      <c r="R54" s="3">
        <v>3617060</v>
      </c>
      <c r="S54" s="5">
        <v>1.165</v>
      </c>
      <c r="T54" s="3" t="s">
        <v>2735</v>
      </c>
      <c r="U54" s="3">
        <v>76707436</v>
      </c>
      <c r="V54" s="3">
        <v>166713550</v>
      </c>
      <c r="W54" s="3">
        <v>2.23</v>
      </c>
      <c r="X54" s="3">
        <v>0.15</v>
      </c>
      <c r="Y54" s="3">
        <v>0.92</v>
      </c>
      <c r="Z54" s="3" t="s">
        <v>1492</v>
      </c>
      <c r="AA54" s="3" t="s">
        <v>1450</v>
      </c>
      <c r="AB54" s="3" t="s">
        <v>2736</v>
      </c>
      <c r="AC54" s="3" t="s">
        <v>2737</v>
      </c>
      <c r="AD54" s="3" t="s">
        <v>4</v>
      </c>
      <c r="AE54" s="3">
        <v>4186150</v>
      </c>
      <c r="AF54" s="3" t="s">
        <v>2738</v>
      </c>
      <c r="AG54" s="3" t="s">
        <v>2739</v>
      </c>
      <c r="AH54" s="3" t="s">
        <v>2740</v>
      </c>
      <c r="AI54" s="3" t="s">
        <v>68</v>
      </c>
      <c r="AJ54" s="3" t="s">
        <v>2741</v>
      </c>
      <c r="AK54" s="3" t="s">
        <v>2742</v>
      </c>
      <c r="AL54" s="3" t="s">
        <v>2743</v>
      </c>
      <c r="AM54" s="3" t="s">
        <v>4</v>
      </c>
      <c r="AN54" s="3" t="s">
        <v>72</v>
      </c>
      <c r="AO54" s="3" t="s">
        <v>2744</v>
      </c>
      <c r="AP54" s="3" t="s">
        <v>64</v>
      </c>
      <c r="AQ54" s="3" t="s">
        <v>1383</v>
      </c>
      <c r="AR54" s="3" t="s">
        <v>2745</v>
      </c>
      <c r="AS54" s="3" t="s">
        <v>2746</v>
      </c>
      <c r="AT54" s="3" t="s">
        <v>2747</v>
      </c>
      <c r="AU54" s="3" t="s">
        <v>23</v>
      </c>
      <c r="AV54" s="3" t="s">
        <v>2748</v>
      </c>
      <c r="AW54" s="3" t="s">
        <v>2749</v>
      </c>
      <c r="AX54" s="3" t="s">
        <v>926</v>
      </c>
      <c r="AY54" s="3" t="s">
        <v>2750</v>
      </c>
      <c r="AZ54" s="3" t="s">
        <v>81</v>
      </c>
      <c r="BA54" s="3" t="s">
        <v>590</v>
      </c>
      <c r="BB54" s="3" t="s">
        <v>591</v>
      </c>
      <c r="BC54" s="3" t="s">
        <v>2751</v>
      </c>
      <c r="BD54" s="3" t="s">
        <v>769</v>
      </c>
      <c r="BE54" s="3" t="s">
        <v>588</v>
      </c>
      <c r="BF54" s="3" t="s">
        <v>64</v>
      </c>
      <c r="BG54" s="3" t="s">
        <v>592</v>
      </c>
      <c r="BH54" s="3" t="s">
        <v>2462</v>
      </c>
      <c r="BI54" s="3" t="s">
        <v>1214</v>
      </c>
      <c r="BJ54" s="3" t="s">
        <v>926</v>
      </c>
      <c r="BK54" s="3" t="s">
        <v>2752</v>
      </c>
      <c r="BL54" s="3" t="s">
        <v>1449</v>
      </c>
      <c r="BM54" s="3" t="s">
        <v>2751</v>
      </c>
      <c r="BN54" s="3" t="s">
        <v>4</v>
      </c>
      <c r="BO54" s="3" t="s">
        <v>4</v>
      </c>
      <c r="BP54" s="3">
        <v>5.92</v>
      </c>
      <c r="BQ54" s="3">
        <v>-2.42</v>
      </c>
      <c r="BR54" s="3">
        <v>-2.5099999999999998</v>
      </c>
      <c r="BS54" s="3">
        <v>6.51</v>
      </c>
      <c r="BT54" s="3" t="s">
        <v>2753</v>
      </c>
      <c r="BU54" s="3" t="s">
        <v>841</v>
      </c>
      <c r="BV54" s="3">
        <v>11.49</v>
      </c>
      <c r="BW54" s="3">
        <v>7.06</v>
      </c>
      <c r="BX54" s="3">
        <v>12.36</v>
      </c>
      <c r="BY54" s="3">
        <v>-2.5099999999999998</v>
      </c>
      <c r="BZ54" s="3">
        <v>-2.13</v>
      </c>
      <c r="CA54" s="3">
        <v>3.89</v>
      </c>
      <c r="CB54" s="3">
        <v>-12.72</v>
      </c>
      <c r="CC54" s="3">
        <v>-1.69</v>
      </c>
      <c r="CD54" s="3" t="s">
        <v>2754</v>
      </c>
      <c r="CE54" s="3" t="s">
        <v>1429</v>
      </c>
      <c r="CF54" s="10">
        <v>-0.4238095238095238</v>
      </c>
      <c r="CG54" s="11">
        <v>1.1392253241929338</v>
      </c>
      <c r="CH54" s="10">
        <v>-0.73542273044586182</v>
      </c>
      <c r="CI54" s="10">
        <v>-0.15879824757575989</v>
      </c>
      <c r="CJ54" s="10">
        <v>7.8703664243221283E-2</v>
      </c>
      <c r="CK54" s="10">
        <v>0.19809825718402863</v>
      </c>
      <c r="CL54" s="10">
        <v>0.21579961478710175</v>
      </c>
      <c r="CM54" s="11">
        <v>1.129879355430603</v>
      </c>
      <c r="CN54" s="11">
        <v>-1.4384287595748901</v>
      </c>
      <c r="CO54" s="11">
        <v>-0.36185747385025024</v>
      </c>
      <c r="CP54" s="11">
        <v>-0.10323063284158707</v>
      </c>
      <c r="CQ54" s="11">
        <v>0.42519468069076538</v>
      </c>
      <c r="CR54" s="3">
        <v>56.986344516339678</v>
      </c>
      <c r="CS54" s="3">
        <v>7.0945699565618137</v>
      </c>
      <c r="CT54" s="3">
        <v>0.26780931976432776</v>
      </c>
      <c r="CU54" s="10">
        <v>-8.0323888361454016E-2</v>
      </c>
      <c r="CV54" s="11">
        <v>-6.9688566029071808E-2</v>
      </c>
      <c r="CW54" s="3">
        <v>0.06</v>
      </c>
      <c r="CX54" s="3">
        <v>926.30612921954048</v>
      </c>
      <c r="CY54" s="3" t="s">
        <v>2755</v>
      </c>
      <c r="CZ54" s="3">
        <v>-8.0323888361454016E-2</v>
      </c>
      <c r="DA54" s="3">
        <v>308.76870973984683</v>
      </c>
      <c r="DB54" s="3" t="s">
        <v>2756</v>
      </c>
      <c r="DC54" s="3">
        <v>-7.6307693943381313E-2</v>
      </c>
      <c r="DD54" s="3">
        <v>154.38435486992341</v>
      </c>
      <c r="DE54" s="3" t="s">
        <v>2757</v>
      </c>
      <c r="DF54" s="3">
        <v>-7.068502175807953E-2</v>
      </c>
      <c r="DG54" s="3">
        <v>92.630612921954054</v>
      </c>
      <c r="DH54" s="3" t="s">
        <v>2758</v>
      </c>
      <c r="DI54" s="3">
        <v>-6.4259110689163221E-2</v>
      </c>
      <c r="DJ54" s="3">
        <v>46.315306460977027</v>
      </c>
      <c r="DK54" s="3" t="s">
        <v>2759</v>
      </c>
      <c r="DL54" s="3">
        <v>-5.622672185301781E-2</v>
      </c>
      <c r="DM54" s="3">
        <v>3617100</v>
      </c>
      <c r="DN54" s="3">
        <v>-8.0323888361454016E-2</v>
      </c>
      <c r="DO54" s="3">
        <v>3350541900</v>
      </c>
      <c r="DP54" s="3">
        <v>286028610</v>
      </c>
      <c r="DQ54" s="3">
        <v>2407</v>
      </c>
      <c r="DR54" s="3">
        <v>-0.34348563544806976</v>
      </c>
      <c r="DS54" s="3">
        <v>1.2089138902220056</v>
      </c>
      <c r="DT54" s="12">
        <v>-0.70666666666666667</v>
      </c>
      <c r="DU54" s="3">
        <v>0.18333333333333332</v>
      </c>
      <c r="DV54" s="3">
        <v>-0.52333333333333332</v>
      </c>
      <c r="DW54" s="3">
        <v>-5.1328616352201255</v>
      </c>
      <c r="DX54" s="3">
        <v>0.23986520231213823</v>
      </c>
      <c r="DY54" s="3">
        <v>-5.0119396377285783</v>
      </c>
      <c r="DZ54" s="3">
        <v>3749</v>
      </c>
      <c r="EA54" s="3">
        <v>-5.0031800091875924</v>
      </c>
      <c r="EB54" s="3">
        <v>5</v>
      </c>
      <c r="EC54" s="3">
        <v>0.46626923846322027</v>
      </c>
      <c r="ED54" s="3">
        <v>5.1885404635675982</v>
      </c>
      <c r="EE54" s="13">
        <v>-6.0279999999999996</v>
      </c>
      <c r="EF54" s="3">
        <v>-6.0133000000000001</v>
      </c>
      <c r="EG54" s="3">
        <v>15.089865202312138</v>
      </c>
      <c r="EH54" s="3" t="s">
        <v>2510</v>
      </c>
      <c r="EI54" s="3">
        <v>0</v>
      </c>
      <c r="EJ54" s="3">
        <v>0</v>
      </c>
      <c r="EK54" s="15">
        <v>45470</v>
      </c>
      <c r="EL54" s="16">
        <v>-0.62</v>
      </c>
      <c r="EM54" s="16">
        <v>-4.79</v>
      </c>
      <c r="EN54" s="16">
        <v>1.73</v>
      </c>
      <c r="EO54" s="16">
        <v>4.46</v>
      </c>
      <c r="EP54" s="16">
        <v>-1.47</v>
      </c>
    </row>
    <row r="55" spans="1:146" ht="96" x14ac:dyDescent="0.25">
      <c r="C55" s="7" t="str">
        <f>""&amp;CHAR(10)&amp;Basic_Fundamental_Information_Constructure(F55)&amp;CHAR(10)&amp;Basic_Fundamental_Information_Concatenate("")</f>
        <v xml:space="preserve">
市值35.633356亿, 利润823.25万; PE110.7; 平均PE37.07; 平均PEG5.2, PB1.91; ROIC3.57%; ROE4.5667%; 股利率.58%; 毛利19.1867%; 净利4.9367%; 上一年度营收增-85.01%, 利润增-92.9%; 当季营收增-59.06%, 利润增-76.93%; 过往5年营收增-7.13%, 利润增-.3%
Income profile:
</v>
      </c>
      <c r="D55" s="3" t="s">
        <v>593</v>
      </c>
      <c r="E55" s="3" t="s">
        <v>594</v>
      </c>
      <c r="F55" s="3">
        <v>8.6199999999999992</v>
      </c>
      <c r="G55" s="3">
        <v>1.41</v>
      </c>
      <c r="H55" s="3" t="s">
        <v>2760</v>
      </c>
      <c r="I55" s="3">
        <v>3563335600</v>
      </c>
      <c r="J55" s="3">
        <v>110.7</v>
      </c>
      <c r="K55" s="3">
        <v>1.91</v>
      </c>
      <c r="L55" s="3" t="s">
        <v>285</v>
      </c>
      <c r="M55" s="3" t="s">
        <v>942</v>
      </c>
      <c r="N55" s="3" t="s">
        <v>1161</v>
      </c>
      <c r="O55" s="3" t="s">
        <v>72</v>
      </c>
      <c r="P55" s="3">
        <v>-17.920000000000002</v>
      </c>
      <c r="Q55" s="3" t="s">
        <v>72</v>
      </c>
      <c r="R55" s="3">
        <v>8232474</v>
      </c>
      <c r="S55" s="5">
        <v>1.75</v>
      </c>
      <c r="T55" s="3" t="s">
        <v>2761</v>
      </c>
      <c r="U55" s="3">
        <v>413380000</v>
      </c>
      <c r="V55" s="3">
        <v>413380000</v>
      </c>
      <c r="W55" s="3">
        <v>1.1599999999999999</v>
      </c>
      <c r="X55" s="3">
        <v>0.11</v>
      </c>
      <c r="Y55" s="3">
        <v>3.5</v>
      </c>
      <c r="Z55" s="3" t="s">
        <v>2223</v>
      </c>
      <c r="AA55" s="3" t="s">
        <v>161</v>
      </c>
      <c r="AB55" s="3" t="s">
        <v>2762</v>
      </c>
      <c r="AC55" s="3" t="s">
        <v>2763</v>
      </c>
      <c r="AD55" s="3" t="s">
        <v>4</v>
      </c>
      <c r="AE55" s="3">
        <v>-16162301</v>
      </c>
      <c r="AF55" s="3" t="s">
        <v>2764</v>
      </c>
      <c r="AG55" s="3" t="s">
        <v>2765</v>
      </c>
      <c r="AH55" s="3" t="s">
        <v>2766</v>
      </c>
      <c r="AI55" s="3" t="s">
        <v>537</v>
      </c>
      <c r="AJ55" s="3" t="s">
        <v>2767</v>
      </c>
      <c r="AK55" s="3" t="s">
        <v>2768</v>
      </c>
      <c r="AL55" s="3" t="s">
        <v>2769</v>
      </c>
      <c r="AM55" s="3" t="s">
        <v>4</v>
      </c>
      <c r="AN55" s="3" t="s">
        <v>2770</v>
      </c>
      <c r="AO55" s="3" t="s">
        <v>4</v>
      </c>
      <c r="AP55" s="3" t="s">
        <v>2771</v>
      </c>
      <c r="AQ55" s="3" t="s">
        <v>197</v>
      </c>
      <c r="AR55" s="3" t="s">
        <v>4</v>
      </c>
      <c r="AS55" s="3" t="s">
        <v>809</v>
      </c>
      <c r="AT55" s="3" t="s">
        <v>4</v>
      </c>
      <c r="AU55" s="3" t="s">
        <v>2772</v>
      </c>
      <c r="AV55" s="3" t="s">
        <v>2773</v>
      </c>
      <c r="AW55" s="3" t="s">
        <v>2774</v>
      </c>
      <c r="AX55" s="3" t="s">
        <v>1266</v>
      </c>
      <c r="AY55" s="3" t="s">
        <v>221</v>
      </c>
      <c r="AZ55" s="3" t="s">
        <v>595</v>
      </c>
      <c r="BA55" s="3" t="s">
        <v>118</v>
      </c>
      <c r="BB55" s="3" t="s">
        <v>596</v>
      </c>
      <c r="BC55" s="3" t="s">
        <v>27</v>
      </c>
      <c r="BD55" s="3" t="s">
        <v>770</v>
      </c>
      <c r="BE55" s="3" t="s">
        <v>127</v>
      </c>
      <c r="BF55" s="3" t="s">
        <v>46</v>
      </c>
      <c r="BG55" s="3" t="s">
        <v>597</v>
      </c>
      <c r="BH55" s="3" t="s">
        <v>1059</v>
      </c>
      <c r="BI55" s="3" t="s">
        <v>1265</v>
      </c>
      <c r="BJ55" s="3" t="s">
        <v>1266</v>
      </c>
      <c r="BK55" s="3" t="s">
        <v>2775</v>
      </c>
      <c r="BL55" s="3" t="s">
        <v>1452</v>
      </c>
      <c r="BM55" s="3" t="s">
        <v>27</v>
      </c>
      <c r="BN55" s="3">
        <v>-0.54</v>
      </c>
      <c r="BO55" s="3">
        <v>5.74</v>
      </c>
      <c r="BP55" s="3">
        <v>5.51</v>
      </c>
      <c r="BQ55" s="3">
        <v>2.2000000000000002</v>
      </c>
      <c r="BR55" s="3">
        <v>6.05</v>
      </c>
      <c r="BS55" s="3">
        <v>5.45</v>
      </c>
      <c r="BT55" s="3" t="s">
        <v>1047</v>
      </c>
      <c r="BU55" s="3" t="s">
        <v>841</v>
      </c>
      <c r="BV55" s="3">
        <v>16.61</v>
      </c>
      <c r="BW55" s="3">
        <v>19.41</v>
      </c>
      <c r="BX55" s="3">
        <v>21.54</v>
      </c>
      <c r="BY55" s="3">
        <v>1.1599999999999999</v>
      </c>
      <c r="BZ55" s="3">
        <v>7.39</v>
      </c>
      <c r="CA55" s="3">
        <v>6.26</v>
      </c>
      <c r="CB55" s="3">
        <v>-6.91</v>
      </c>
      <c r="CC55" s="3">
        <v>-8.98</v>
      </c>
      <c r="CD55" s="3" t="s">
        <v>2776</v>
      </c>
      <c r="CE55" s="3" t="s">
        <v>186</v>
      </c>
      <c r="CF55" s="10">
        <v>-0.59059233449477355</v>
      </c>
      <c r="CG55" s="11">
        <v>-0.76927763282167405</v>
      </c>
      <c r="CH55" s="10">
        <v>-0.85012751817703247</v>
      </c>
      <c r="CI55" s="10">
        <v>0.10189735144376755</v>
      </c>
      <c r="CJ55" s="10">
        <v>-0.19055742025375366</v>
      </c>
      <c r="CK55" s="10">
        <v>0.42579081654548645</v>
      </c>
      <c r="CL55" s="10">
        <v>0.15666034817695618</v>
      </c>
      <c r="CM55" s="11">
        <v>-0.92903017997741699</v>
      </c>
      <c r="CN55" s="11">
        <v>0.30131208896636963</v>
      </c>
      <c r="CO55" s="11">
        <v>-0.48473525047302246</v>
      </c>
      <c r="CP55" s="11">
        <v>0.46610170602798462</v>
      </c>
      <c r="CQ55" s="11">
        <v>0.63120192289352417</v>
      </c>
      <c r="CR55" s="3">
        <v>37.0722151726874</v>
      </c>
      <c r="CS55" s="3">
        <v>5.2018560069003668</v>
      </c>
      <c r="CT55" s="3">
        <v>0.58004640371229699</v>
      </c>
      <c r="CU55" s="10">
        <v>-7.1267284452915192E-2</v>
      </c>
      <c r="CV55" s="11">
        <v>-3.029942512512207E-3</v>
      </c>
      <c r="CW55" s="3">
        <v>0.06</v>
      </c>
      <c r="CX55" s="3">
        <v>245.652669298512</v>
      </c>
      <c r="CY55" s="3" t="s">
        <v>2777</v>
      </c>
      <c r="CZ55" s="3">
        <v>-7.1267284452915192E-2</v>
      </c>
      <c r="DA55" s="3">
        <v>81.884223099503998</v>
      </c>
      <c r="DB55" s="3" t="s">
        <v>2778</v>
      </c>
      <c r="DC55" s="3">
        <v>-6.7703920230269429E-2</v>
      </c>
      <c r="DD55" s="3">
        <v>40.942111549751999</v>
      </c>
      <c r="DE55" s="3" t="s">
        <v>2779</v>
      </c>
      <c r="DF55" s="3">
        <v>-6.2715210318565376E-2</v>
      </c>
      <c r="DG55" s="3">
        <v>24.565266929851198</v>
      </c>
      <c r="DH55" s="3" t="s">
        <v>2780</v>
      </c>
      <c r="DI55" s="3">
        <v>-5.7013827562332156E-2</v>
      </c>
      <c r="DJ55" s="3">
        <v>12.282633464925599</v>
      </c>
      <c r="DK55" s="3" t="s">
        <v>2781</v>
      </c>
      <c r="DL55" s="3">
        <v>-4.9887099117040631E-2</v>
      </c>
      <c r="DM55" s="3">
        <v>8232500</v>
      </c>
      <c r="DN55" s="3">
        <v>-7.1267284452915192E-2</v>
      </c>
      <c r="DO55" s="3">
        <v>2022335600</v>
      </c>
      <c r="DP55" s="3">
        <v>1179597500</v>
      </c>
      <c r="DQ55" s="3">
        <v>2419</v>
      </c>
      <c r="DR55" s="3">
        <v>-0.51932505004185836</v>
      </c>
      <c r="DS55" s="3">
        <v>-0.76624769030916184</v>
      </c>
      <c r="DT55" s="12">
        <v>-0.69000000000000006</v>
      </c>
      <c r="DU55" s="3">
        <v>-0.44</v>
      </c>
      <c r="DV55" s="3">
        <v>-1.1300000000000001</v>
      </c>
      <c r="DW55" s="3">
        <v>-9.7694877505567934</v>
      </c>
      <c r="DX55" s="3">
        <v>0.32210256410256549</v>
      </c>
      <c r="DY55" s="3">
        <v>-9.0939564273884983</v>
      </c>
      <c r="DZ55" s="3">
        <v>4090</v>
      </c>
      <c r="EA55" s="3">
        <v>-9.0187545119249055</v>
      </c>
      <c r="EB55" s="3">
        <v>9</v>
      </c>
      <c r="EC55" s="3">
        <v>0.10367700420920219</v>
      </c>
      <c r="ED55" s="3">
        <v>0.84909768251971551</v>
      </c>
      <c r="EE55" s="13">
        <v>5.2209999999999999E-2</v>
      </c>
      <c r="EF55" s="3">
        <v>4.5610000000000005E-2</v>
      </c>
      <c r="EG55" s="3">
        <v>20.122102564102565</v>
      </c>
      <c r="EH55" s="3">
        <v>-1</v>
      </c>
      <c r="EI55" s="3">
        <v>0</v>
      </c>
      <c r="EJ55" s="3">
        <v>0</v>
      </c>
      <c r="EK55" s="15">
        <v>45470</v>
      </c>
      <c r="EL55" s="16">
        <v>0.77</v>
      </c>
      <c r="EM55" s="16">
        <v>-3.58</v>
      </c>
      <c r="EN55" s="16">
        <v>-0.22</v>
      </c>
      <c r="EO55" s="16">
        <v>3.16</v>
      </c>
      <c r="EP55" s="16">
        <v>0.66</v>
      </c>
    </row>
    <row r="56" spans="1:146" ht="96" x14ac:dyDescent="0.25">
      <c r="C56" s="7" t="str">
        <f>""&amp;CHAR(10)&amp;Basic_Fundamental_Information_Constructure(F56)&amp;CHAR(10)&amp;Basic_Fundamental_Information_Concatenate("")</f>
        <v xml:space="preserve">
市值40.956029亿, 利润3103.57万; PE40.2; 平均PE23.76; 平均PEG3.73, PB1.27; ROIC5.3333%; ROE5.86%; 股利率.5361%; 毛利32.1633%; 净利12.3033%; 上一年度营收增-69.16%, 利润增-84.48%; 当季营收增-19.82%, 利润增76.79%; 过往5年营收增6.38%, 利润增-6.85%
Income profile:
</v>
      </c>
      <c r="D56" s="3" t="s">
        <v>598</v>
      </c>
      <c r="E56" s="3" t="s">
        <v>599</v>
      </c>
      <c r="F56" s="3">
        <v>42.9</v>
      </c>
      <c r="G56" s="3">
        <v>0.52</v>
      </c>
      <c r="H56" s="3" t="s">
        <v>2782</v>
      </c>
      <c r="I56" s="3">
        <v>4095602900</v>
      </c>
      <c r="J56" s="3">
        <v>40.200000000000003</v>
      </c>
      <c r="K56" s="3">
        <v>1.27</v>
      </c>
      <c r="L56" s="3" t="s">
        <v>285</v>
      </c>
      <c r="M56" s="3" t="s">
        <v>2783</v>
      </c>
      <c r="N56" s="3" t="s">
        <v>2784</v>
      </c>
      <c r="O56" s="3" t="s">
        <v>2785</v>
      </c>
      <c r="P56" s="3">
        <v>65.239999999999995</v>
      </c>
      <c r="Q56" s="3" t="s">
        <v>2785</v>
      </c>
      <c r="R56" s="3">
        <v>31035692</v>
      </c>
      <c r="S56" s="5">
        <v>11.32</v>
      </c>
      <c r="T56" s="3" t="s">
        <v>2786</v>
      </c>
      <c r="U56" s="3">
        <v>38440164</v>
      </c>
      <c r="V56" s="3">
        <v>95468600</v>
      </c>
      <c r="W56" s="3">
        <v>1.1499999999999999</v>
      </c>
      <c r="X56" s="3">
        <v>0.12</v>
      </c>
      <c r="Y56" s="3">
        <v>6.47</v>
      </c>
      <c r="Z56" s="3" t="s">
        <v>1094</v>
      </c>
      <c r="AA56" s="3" t="s">
        <v>233</v>
      </c>
      <c r="AB56" s="3" t="s">
        <v>2787</v>
      </c>
      <c r="AC56" s="3" t="s">
        <v>2788</v>
      </c>
      <c r="AD56" s="3" t="s">
        <v>4</v>
      </c>
      <c r="AE56" s="3">
        <v>-3666718</v>
      </c>
      <c r="AF56" s="3" t="s">
        <v>2789</v>
      </c>
      <c r="AG56" s="3" t="s">
        <v>2790</v>
      </c>
      <c r="AH56" s="3" t="s">
        <v>2791</v>
      </c>
      <c r="AI56" s="3" t="s">
        <v>1342</v>
      </c>
      <c r="AJ56" s="3" t="s">
        <v>2792</v>
      </c>
      <c r="AK56" s="3" t="s">
        <v>2793</v>
      </c>
      <c r="AL56" s="3" t="s">
        <v>2794</v>
      </c>
      <c r="AM56" s="3" t="s">
        <v>4</v>
      </c>
      <c r="AN56" s="3" t="s">
        <v>98</v>
      </c>
      <c r="AO56" s="3" t="s">
        <v>4</v>
      </c>
      <c r="AP56" s="3" t="s">
        <v>2795</v>
      </c>
      <c r="AQ56" s="3" t="s">
        <v>1176</v>
      </c>
      <c r="AR56" s="3" t="s">
        <v>4</v>
      </c>
      <c r="AS56" s="3" t="s">
        <v>2796</v>
      </c>
      <c r="AT56" s="3" t="s">
        <v>4</v>
      </c>
      <c r="AU56" s="3" t="s">
        <v>2797</v>
      </c>
      <c r="AV56" s="3" t="s">
        <v>1494</v>
      </c>
      <c r="AW56" s="3" t="s">
        <v>2798</v>
      </c>
      <c r="AX56" s="3" t="s">
        <v>1268</v>
      </c>
      <c r="AY56" s="3" t="s">
        <v>771</v>
      </c>
      <c r="AZ56" s="3" t="s">
        <v>272</v>
      </c>
      <c r="BA56" s="3" t="s">
        <v>54</v>
      </c>
      <c r="BB56" s="3" t="s">
        <v>517</v>
      </c>
      <c r="BC56" s="3" t="s">
        <v>74</v>
      </c>
      <c r="BD56" s="3" t="s">
        <v>89</v>
      </c>
      <c r="BE56" s="3" t="s">
        <v>94</v>
      </c>
      <c r="BF56" s="3" t="s">
        <v>42</v>
      </c>
      <c r="BG56" s="3" t="s">
        <v>52</v>
      </c>
      <c r="BH56" s="3" t="s">
        <v>1420</v>
      </c>
      <c r="BI56" s="3" t="s">
        <v>708</v>
      </c>
      <c r="BJ56" s="3" t="s">
        <v>1268</v>
      </c>
      <c r="BK56" s="3" t="s">
        <v>2799</v>
      </c>
      <c r="BL56" s="3" t="s">
        <v>1455</v>
      </c>
      <c r="BM56" s="3" t="s">
        <v>74</v>
      </c>
      <c r="BN56" s="3">
        <v>0.7</v>
      </c>
      <c r="BO56" s="3">
        <v>5.55</v>
      </c>
      <c r="BP56" s="3">
        <v>9.75</v>
      </c>
      <c r="BQ56" s="3">
        <v>1.51</v>
      </c>
      <c r="BR56" s="3">
        <v>6.42</v>
      </c>
      <c r="BS56" s="3">
        <v>9.65</v>
      </c>
      <c r="BT56" s="3" t="s">
        <v>2800</v>
      </c>
      <c r="BU56" s="3" t="s">
        <v>841</v>
      </c>
      <c r="BV56" s="3">
        <v>24.59</v>
      </c>
      <c r="BW56" s="3">
        <v>32.9</v>
      </c>
      <c r="BX56" s="3">
        <v>39</v>
      </c>
      <c r="BY56" s="3">
        <v>4.9000000000000004</v>
      </c>
      <c r="BZ56" s="3">
        <v>13.71</v>
      </c>
      <c r="CA56" s="3">
        <v>18.3</v>
      </c>
      <c r="CB56" s="3">
        <v>-6.43</v>
      </c>
      <c r="CC56" s="3">
        <v>-2.21</v>
      </c>
      <c r="CD56" s="3" t="s">
        <v>2801</v>
      </c>
      <c r="CE56" s="3" t="s">
        <v>2802</v>
      </c>
      <c r="CF56" s="10">
        <v>-0.19823008849557522</v>
      </c>
      <c r="CG56" s="11">
        <v>0.76790174934919198</v>
      </c>
      <c r="CH56" s="10">
        <v>-0.69162696599960327</v>
      </c>
      <c r="CI56" s="10">
        <v>0.21004937589168549</v>
      </c>
      <c r="CJ56" s="10">
        <v>0.26590198278427124</v>
      </c>
      <c r="CK56" s="10">
        <v>0.10611303150653839</v>
      </c>
      <c r="CL56" s="10">
        <v>0.42833608388900757</v>
      </c>
      <c r="CM56" s="11">
        <v>-0.8448215126991272</v>
      </c>
      <c r="CN56" s="11">
        <v>-9.9099099636077881E-2</v>
      </c>
      <c r="CO56" s="11">
        <v>3.7383176386356354E-2</v>
      </c>
      <c r="CP56" s="11">
        <v>-5.7268723845481873E-2</v>
      </c>
      <c r="CQ56" s="11">
        <v>0.62142854928970337</v>
      </c>
      <c r="CR56" s="3">
        <v>23.764766922457319</v>
      </c>
      <c r="CS56" s="3">
        <v>3.7275316675777801</v>
      </c>
      <c r="CT56" s="3">
        <v>0.53613053613053607</v>
      </c>
      <c r="CU56" s="10">
        <v>6.3754701614379877E-2</v>
      </c>
      <c r="CV56" s="11">
        <v>-6.8475522100925446E-2</v>
      </c>
      <c r="CW56" s="3">
        <v>0.06</v>
      </c>
      <c r="CX56" s="3">
        <v>41.855077015199988</v>
      </c>
      <c r="CY56" s="3">
        <v>31145633.766880568</v>
      </c>
      <c r="CZ56" s="3">
        <v>6.3754701614379877E-2</v>
      </c>
      <c r="DA56" s="3">
        <v>13.986144634563885</v>
      </c>
      <c r="DB56" s="3">
        <v>93206736.671263397</v>
      </c>
      <c r="DC56" s="3">
        <v>6.0566966533660879E-2</v>
      </c>
      <c r="DD56" s="3">
        <v>7.0912183764970163</v>
      </c>
      <c r="DE56" s="3">
        <v>183833416.31681141</v>
      </c>
      <c r="DF56" s="3">
        <v>5.6104137420654294E-2</v>
      </c>
      <c r="DG56" s="3">
        <v>4.4006052361679568</v>
      </c>
      <c r="DH56" s="3">
        <v>296232638.4756965</v>
      </c>
      <c r="DI56" s="3">
        <v>5.1003761291503906E-2</v>
      </c>
      <c r="DJ56" s="3">
        <v>2.4396472990761398</v>
      </c>
      <c r="DK56" s="3">
        <v>534340722.32230276</v>
      </c>
      <c r="DL56" s="3">
        <v>4.462829113006591E-2</v>
      </c>
      <c r="DM56" s="3">
        <v>31035700</v>
      </c>
      <c r="DN56" s="3">
        <v>6.3754701614379877E-2</v>
      </c>
      <c r="DO56" s="3">
        <v>1303602899.9999995</v>
      </c>
      <c r="DP56" s="3">
        <v>2006424700</v>
      </c>
      <c r="DQ56" s="3">
        <v>2426</v>
      </c>
      <c r="DR56" s="3">
        <v>-0.26198479010995512</v>
      </c>
      <c r="DS56" s="3">
        <v>0.83637727145011742</v>
      </c>
      <c r="DT56" s="12">
        <v>-0.39000000000000007</v>
      </c>
      <c r="DU56" s="3">
        <v>-0.13333333333333333</v>
      </c>
      <c r="DV56" s="3">
        <v>-0.52333333333333343</v>
      </c>
      <c r="DW56" s="3">
        <v>-5.3437013996889577</v>
      </c>
      <c r="DX56" s="3">
        <v>0.28193787713918284</v>
      </c>
      <c r="DY56" s="3">
        <v>-5.0522212610385058</v>
      </c>
      <c r="DZ56" s="3">
        <v>3358</v>
      </c>
      <c r="EA56" s="3">
        <v>-5.0179044323560591</v>
      </c>
      <c r="EB56" s="3">
        <v>5</v>
      </c>
      <c r="EC56" s="3">
        <v>8.0442155850195776E-2</v>
      </c>
      <c r="ED56" s="3">
        <v>0.52944109372086734</v>
      </c>
      <c r="EE56" s="13">
        <v>2.01491</v>
      </c>
      <c r="EF56" s="3">
        <v>2.0674100000000002</v>
      </c>
      <c r="EG56" s="3">
        <v>13.151937877139183</v>
      </c>
      <c r="EH56" s="3" t="s">
        <v>1148</v>
      </c>
      <c r="EI56" s="3">
        <v>0</v>
      </c>
      <c r="EJ56" s="3">
        <v>0</v>
      </c>
      <c r="EK56" s="15">
        <v>45470</v>
      </c>
      <c r="EL56" s="16">
        <v>-0.42</v>
      </c>
      <c r="EM56" s="16">
        <v>-5.94</v>
      </c>
      <c r="EN56" s="16">
        <v>-1.24</v>
      </c>
      <c r="EO56" s="16">
        <v>4.46</v>
      </c>
      <c r="EP56" s="16">
        <v>-5.25</v>
      </c>
    </row>
    <row r="57" spans="1:146" ht="96" x14ac:dyDescent="0.25">
      <c r="C57" s="7" t="str">
        <f>""&amp;CHAR(10)&amp;Basic_Fundamental_Information_Constructure(F57)&amp;CHAR(10)&amp;Basic_Fundamental_Information_Concatenate("")</f>
        <v xml:space="preserve">
市值39.7992亿, 利润-2842.30万; PE183.4; 平均PE35.72; 平均PEG9.8, PB1.51; ROIC6.88%; ROE1.96%; 股利率.8442%; 毛利16.6833%; 净利-.79%; 上一年度营收增-72.53%, 利润增81.3%; 当季营收增-37.21%, 利润增-367.22%; 过往5年营收增-3.64%, 利润增-11.1%
Income profile:
</v>
      </c>
      <c r="D57" s="3" t="s">
        <v>600</v>
      </c>
      <c r="E57" s="3" t="s">
        <v>601</v>
      </c>
      <c r="F57" s="3">
        <v>23.69</v>
      </c>
      <c r="G57" s="3">
        <v>-1.66</v>
      </c>
      <c r="H57" s="3" t="s">
        <v>2803</v>
      </c>
      <c r="I57" s="3">
        <v>3979920000</v>
      </c>
      <c r="J57" s="3">
        <v>183.4</v>
      </c>
      <c r="K57" s="3">
        <v>1.51</v>
      </c>
      <c r="L57" s="3" t="s">
        <v>285</v>
      </c>
      <c r="M57" s="3" t="s">
        <v>1070</v>
      </c>
      <c r="N57" s="3" t="s">
        <v>2804</v>
      </c>
      <c r="O57" s="3" t="s">
        <v>1379</v>
      </c>
      <c r="P57" s="3">
        <v>48.18</v>
      </c>
      <c r="Q57" s="3" t="s">
        <v>1379</v>
      </c>
      <c r="R57" s="3">
        <v>-28423015</v>
      </c>
      <c r="S57" s="5">
        <v>-1.9530000000000001</v>
      </c>
      <c r="T57" s="3" t="s">
        <v>2805</v>
      </c>
      <c r="U57" s="3">
        <v>92386350</v>
      </c>
      <c r="V57" s="3">
        <v>168000000</v>
      </c>
      <c r="W57" s="3">
        <v>1.8</v>
      </c>
      <c r="X57" s="3">
        <v>0.09</v>
      </c>
      <c r="Y57" s="3">
        <v>-8.23</v>
      </c>
      <c r="Z57" s="3" t="s">
        <v>2806</v>
      </c>
      <c r="AA57" s="3" t="s">
        <v>2807</v>
      </c>
      <c r="AB57" s="3" t="s">
        <v>2808</v>
      </c>
      <c r="AC57" s="3" t="s">
        <v>2809</v>
      </c>
      <c r="AD57" s="3" t="s">
        <v>4</v>
      </c>
      <c r="AE57" s="3">
        <v>7230204</v>
      </c>
      <c r="AF57" s="3" t="s">
        <v>2810</v>
      </c>
      <c r="AG57" s="3">
        <v>0.25</v>
      </c>
      <c r="AH57" s="3" t="s">
        <v>2811</v>
      </c>
      <c r="AI57" s="3" t="s">
        <v>2812</v>
      </c>
      <c r="AJ57" s="3" t="s">
        <v>2813</v>
      </c>
      <c r="AK57" s="3" t="s">
        <v>2814</v>
      </c>
      <c r="AL57" s="3" t="s">
        <v>2815</v>
      </c>
      <c r="AM57" s="3" t="s">
        <v>4</v>
      </c>
      <c r="AN57" s="3" t="s">
        <v>2816</v>
      </c>
      <c r="AO57" s="3" t="s">
        <v>1387</v>
      </c>
      <c r="AP57" s="3" t="s">
        <v>105</v>
      </c>
      <c r="AQ57" s="3" t="s">
        <v>370</v>
      </c>
      <c r="AR57" s="3" t="s">
        <v>4</v>
      </c>
      <c r="AS57" s="3" t="s">
        <v>2817</v>
      </c>
      <c r="AT57" s="3" t="s">
        <v>1084</v>
      </c>
      <c r="AU57" s="3" t="s">
        <v>2818</v>
      </c>
      <c r="AV57" s="3" t="s">
        <v>2819</v>
      </c>
      <c r="AW57" s="3" t="s">
        <v>35</v>
      </c>
      <c r="AX57" s="3" t="s">
        <v>1270</v>
      </c>
      <c r="AY57" s="3" t="s">
        <v>772</v>
      </c>
      <c r="AZ57" s="3" t="s">
        <v>428</v>
      </c>
      <c r="BA57" s="3" t="s">
        <v>602</v>
      </c>
      <c r="BB57" s="3" t="s">
        <v>603</v>
      </c>
      <c r="BC57" s="3" t="s">
        <v>1271</v>
      </c>
      <c r="BD57" s="3" t="s">
        <v>20</v>
      </c>
      <c r="BE57" s="3" t="s">
        <v>138</v>
      </c>
      <c r="BF57" s="3" t="s">
        <v>469</v>
      </c>
      <c r="BG57" s="3" t="s">
        <v>167</v>
      </c>
      <c r="BH57" s="3" t="s">
        <v>2820</v>
      </c>
      <c r="BI57" s="3" t="s">
        <v>1054</v>
      </c>
      <c r="BJ57" s="3" t="s">
        <v>1270</v>
      </c>
      <c r="BK57" s="3" t="s">
        <v>2821</v>
      </c>
      <c r="BL57" s="3" t="s">
        <v>1457</v>
      </c>
      <c r="BM57" s="3" t="s">
        <v>1271</v>
      </c>
      <c r="BN57" s="3" t="s">
        <v>4</v>
      </c>
      <c r="BO57" s="3" t="s">
        <v>4</v>
      </c>
      <c r="BP57" s="3">
        <v>6.88</v>
      </c>
      <c r="BQ57" s="3">
        <v>1.04</v>
      </c>
      <c r="BR57" s="3">
        <v>-5.66</v>
      </c>
      <c r="BS57" s="3">
        <v>10.5</v>
      </c>
      <c r="BT57" s="3" t="s">
        <v>2822</v>
      </c>
      <c r="BU57" s="3" t="s">
        <v>841</v>
      </c>
      <c r="BV57" s="3">
        <v>20.260000000000002</v>
      </c>
      <c r="BW57" s="3">
        <v>5.46</v>
      </c>
      <c r="BX57" s="3">
        <v>24.33</v>
      </c>
      <c r="BY57" s="3">
        <v>1.1100000000000001</v>
      </c>
      <c r="BZ57" s="3">
        <v>-11.73</v>
      </c>
      <c r="CA57" s="3">
        <v>8.25</v>
      </c>
      <c r="CB57" s="3">
        <v>-9.68</v>
      </c>
      <c r="CC57" s="3">
        <v>-15.95</v>
      </c>
      <c r="CD57" s="3" t="s">
        <v>2823</v>
      </c>
      <c r="CE57" s="3" t="s">
        <v>2824</v>
      </c>
      <c r="CF57" s="10">
        <v>-0.37212643678160917</v>
      </c>
      <c r="CG57" s="11">
        <v>-3.6721898915066844</v>
      </c>
      <c r="CH57" s="10">
        <v>-0.72533005475997925</v>
      </c>
      <c r="CI57" s="10">
        <v>-0.15237073600292206</v>
      </c>
      <c r="CJ57" s="10">
        <v>0.40810203552246094</v>
      </c>
      <c r="CK57" s="10">
        <v>-0.19650398194789886</v>
      </c>
      <c r="CL57" s="10">
        <v>0.48389989137649536</v>
      </c>
      <c r="CM57" s="11">
        <v>0.81300657987594604</v>
      </c>
      <c r="CN57" s="11">
        <v>-1.9743589162826538</v>
      </c>
      <c r="CO57" s="11">
        <v>-0.28767123818397522</v>
      </c>
      <c r="CP57" s="11">
        <v>-0.33027523756027222</v>
      </c>
      <c r="CQ57" s="11">
        <v>1.2244898080825806</v>
      </c>
      <c r="CR57" s="3">
        <v>35.716933128121369</v>
      </c>
      <c r="CS57" s="3">
        <v>9.8014202162916018</v>
      </c>
      <c r="CT57" s="3">
        <v>0.84423807513718863</v>
      </c>
      <c r="CU57" s="10">
        <v>-3.6440569162368777E-2</v>
      </c>
      <c r="CV57" s="11">
        <v>-0.11096180081367493</v>
      </c>
      <c r="CW57" s="3">
        <v>0.06</v>
      </c>
      <c r="CX57" s="3" t="e">
        <v>#VALUE!</v>
      </c>
      <c r="CY57" s="3" t="s">
        <v>855</v>
      </c>
      <c r="CZ57" s="3">
        <v>-3.6440569162368777E-2</v>
      </c>
      <c r="DA57" s="3" t="e">
        <v>#VALUE!</v>
      </c>
      <c r="DB57" s="3" t="s">
        <v>853</v>
      </c>
      <c r="DC57" s="3">
        <v>-3.4618540704250335E-2</v>
      </c>
      <c r="DD57" s="3" t="e">
        <v>#VALUE!</v>
      </c>
      <c r="DE57" s="3" t="s">
        <v>853</v>
      </c>
      <c r="DF57" s="3">
        <v>-3.2067700862884525E-2</v>
      </c>
      <c r="DG57" s="3" t="e">
        <v>#VALUE!</v>
      </c>
      <c r="DH57" s="3" t="s">
        <v>853</v>
      </c>
      <c r="DI57" s="3">
        <v>-2.9152455329895022E-2</v>
      </c>
      <c r="DJ57" s="3" t="e">
        <v>#VALUE!</v>
      </c>
      <c r="DK57" s="3" t="s">
        <v>853</v>
      </c>
      <c r="DL57" s="3">
        <v>-2.5508398413658144E-2</v>
      </c>
      <c r="DM57" s="3">
        <v>-28423000</v>
      </c>
      <c r="DN57" s="3">
        <v>-3.6440569162368777E-2</v>
      </c>
      <c r="DO57" s="3">
        <v>3273920000</v>
      </c>
      <c r="DP57" s="3">
        <v>805479000.00000024</v>
      </c>
      <c r="DQ57" s="3">
        <v>2498</v>
      </c>
      <c r="DR57" s="3">
        <v>-0.33568586761924041</v>
      </c>
      <c r="DS57" s="3">
        <v>-3.5612280906930094</v>
      </c>
      <c r="DT57" s="12">
        <v>-0.80666666666666664</v>
      </c>
      <c r="DU57" s="3">
        <v>-1.7483333333333333</v>
      </c>
      <c r="DV57" s="3">
        <v>-2.5549999999999997</v>
      </c>
      <c r="DW57" s="3">
        <v>-9.6068965517241374</v>
      </c>
      <c r="DX57" s="3">
        <v>0.34704920689505181</v>
      </c>
      <c r="DY57" s="3">
        <v>-9.1256574497018246</v>
      </c>
      <c r="DZ57" s="3">
        <v>27</v>
      </c>
      <c r="EA57" s="3">
        <v>-9.1249935062298189</v>
      </c>
      <c r="EB57" s="3">
        <v>9</v>
      </c>
      <c r="EC57" s="3">
        <v>6.2359523809523823E-2</v>
      </c>
      <c r="ED57" s="3">
        <v>0.30118214285714284</v>
      </c>
      <c r="EE57" s="13">
        <v>-4.0343099999999996</v>
      </c>
      <c r="EF57" s="3">
        <v>-4.07151</v>
      </c>
      <c r="EG57" s="3">
        <v>14.207049206895052</v>
      </c>
      <c r="EH57" s="3" t="s">
        <v>2825</v>
      </c>
      <c r="EI57" s="3">
        <v>0</v>
      </c>
      <c r="EJ57" s="3">
        <v>1</v>
      </c>
      <c r="EK57" s="15">
        <v>45470</v>
      </c>
      <c r="EL57" s="16">
        <v>-0.99</v>
      </c>
      <c r="EM57" s="16">
        <v>-5.32</v>
      </c>
      <c r="EN57" s="16">
        <v>-2.58</v>
      </c>
      <c r="EO57" s="16">
        <v>2</v>
      </c>
      <c r="EP57" s="16">
        <v>-3.72</v>
      </c>
    </row>
    <row r="58" spans="1:146" ht="96" x14ac:dyDescent="0.25">
      <c r="C58" s="7" t="str">
        <f>""&amp;CHAR(10)&amp;Basic_Fundamental_Information_Constructure(F58)&amp;CHAR(10)&amp;Basic_Fundamental_Information_Concatenate("")</f>
        <v xml:space="preserve">
市值23.920056亿, 利润62.90万; PE115; 平均PE53.51; 平均PEG17.05, PB2.81; ROIC6.6733%; ROE8.4767%; 股利率.2033%; 毛利24.2333%; 净利7.7767%; 上一年度营收增-74.96%, 利润增-99.14%; 当季营收增-40.69%, 利润增-94.94%; 过往5年营收增-3.14%, 利润增14.13%
Income profile:
</v>
      </c>
      <c r="D58" s="3" t="s">
        <v>604</v>
      </c>
      <c r="E58" s="3" t="s">
        <v>774</v>
      </c>
      <c r="F58" s="3">
        <v>24.6</v>
      </c>
      <c r="G58" s="3">
        <v>20</v>
      </c>
      <c r="H58" s="3" t="s">
        <v>2826</v>
      </c>
      <c r="I58" s="3">
        <v>2392005600</v>
      </c>
      <c r="J58" s="3">
        <v>115</v>
      </c>
      <c r="K58" s="3">
        <v>2.81</v>
      </c>
      <c r="L58" s="3" t="s">
        <v>285</v>
      </c>
      <c r="M58" s="3" t="s">
        <v>1391</v>
      </c>
      <c r="N58" s="3" t="s">
        <v>54</v>
      </c>
      <c r="O58" s="3" t="s">
        <v>247</v>
      </c>
      <c r="P58" s="3">
        <v>41.3</v>
      </c>
      <c r="Q58" s="3" t="s">
        <v>247</v>
      </c>
      <c r="R58" s="3">
        <v>629025</v>
      </c>
      <c r="S58" s="5">
        <v>0.1988</v>
      </c>
      <c r="T58" s="3" t="s">
        <v>2827</v>
      </c>
      <c r="U58" s="3">
        <v>45201150</v>
      </c>
      <c r="V58" s="3">
        <v>97236000</v>
      </c>
      <c r="W58" s="3">
        <v>1.44</v>
      </c>
      <c r="X58" s="3">
        <v>0.14000000000000001</v>
      </c>
      <c r="Y58" s="3">
        <v>0.59</v>
      </c>
      <c r="Z58" s="3" t="s">
        <v>103</v>
      </c>
      <c r="AA58" s="3" t="s">
        <v>79</v>
      </c>
      <c r="AB58" s="3" t="s">
        <v>2828</v>
      </c>
      <c r="AC58" s="3" t="s">
        <v>2829</v>
      </c>
      <c r="AD58" s="3" t="s">
        <v>4</v>
      </c>
      <c r="AE58" s="3">
        <v>-461034</v>
      </c>
      <c r="AF58" s="3" t="s">
        <v>2830</v>
      </c>
      <c r="AG58" s="3">
        <v>1862.06</v>
      </c>
      <c r="AH58" s="3" t="s">
        <v>2831</v>
      </c>
      <c r="AI58" s="3" t="s">
        <v>108</v>
      </c>
      <c r="AJ58" s="3" t="s">
        <v>2832</v>
      </c>
      <c r="AK58" s="3" t="s">
        <v>2833</v>
      </c>
      <c r="AL58" s="3" t="s">
        <v>2834</v>
      </c>
      <c r="AM58" s="3" t="s">
        <v>4</v>
      </c>
      <c r="AN58" s="3" t="s">
        <v>2835</v>
      </c>
      <c r="AO58" s="3" t="s">
        <v>104</v>
      </c>
      <c r="AP58" s="3" t="s">
        <v>4</v>
      </c>
      <c r="AQ58" s="3" t="s">
        <v>56</v>
      </c>
      <c r="AR58" s="3" t="s">
        <v>4</v>
      </c>
      <c r="AS58" s="3" t="s">
        <v>2836</v>
      </c>
      <c r="AT58" s="3" t="s">
        <v>2837</v>
      </c>
      <c r="AU58" s="3" t="s">
        <v>2838</v>
      </c>
      <c r="AV58" s="3" t="s">
        <v>2839</v>
      </c>
      <c r="AW58" s="3" t="s">
        <v>2840</v>
      </c>
      <c r="AX58" s="3" t="s">
        <v>1273</v>
      </c>
      <c r="AY58" s="3" t="s">
        <v>224</v>
      </c>
      <c r="AZ58" s="3" t="s">
        <v>222</v>
      </c>
      <c r="BA58" s="3" t="s">
        <v>242</v>
      </c>
      <c r="BB58" s="3" t="s">
        <v>119</v>
      </c>
      <c r="BC58" s="3" t="s">
        <v>1274</v>
      </c>
      <c r="BD58" s="3" t="s">
        <v>775</v>
      </c>
      <c r="BE58" s="3" t="s">
        <v>605</v>
      </c>
      <c r="BF58" s="3" t="s">
        <v>606</v>
      </c>
      <c r="BG58" s="3" t="s">
        <v>607</v>
      </c>
      <c r="BH58" s="3" t="s">
        <v>2841</v>
      </c>
      <c r="BI58" s="3" t="s">
        <v>919</v>
      </c>
      <c r="BJ58" s="3" t="s">
        <v>1273</v>
      </c>
      <c r="BK58" s="3" t="s">
        <v>2842</v>
      </c>
      <c r="BL58" s="3" t="s">
        <v>1459</v>
      </c>
      <c r="BM58" s="3" t="s">
        <v>1274</v>
      </c>
      <c r="BN58" s="3">
        <v>1.78</v>
      </c>
      <c r="BO58" s="3">
        <v>8.16</v>
      </c>
      <c r="BP58" s="3">
        <v>10.08</v>
      </c>
      <c r="BQ58" s="3">
        <v>1.77</v>
      </c>
      <c r="BR58" s="3">
        <v>8.76</v>
      </c>
      <c r="BS58" s="3">
        <v>14.9</v>
      </c>
      <c r="BT58" s="3" t="s">
        <v>1047</v>
      </c>
      <c r="BU58" s="3" t="s">
        <v>841</v>
      </c>
      <c r="BV58" s="3">
        <v>23.3</v>
      </c>
      <c r="BW58" s="3">
        <v>24.94</v>
      </c>
      <c r="BX58" s="3">
        <v>24.46</v>
      </c>
      <c r="BY58" s="3">
        <v>3.32</v>
      </c>
      <c r="BZ58" s="3">
        <v>10.61</v>
      </c>
      <c r="CA58" s="3">
        <v>9.4</v>
      </c>
      <c r="CB58" s="3">
        <v>24.81</v>
      </c>
      <c r="CC58" s="3">
        <v>18.21</v>
      </c>
      <c r="CD58" s="3" t="s">
        <v>2843</v>
      </c>
      <c r="CE58" s="3" t="s">
        <v>64</v>
      </c>
      <c r="CF58" s="10">
        <v>-0.40689655172413791</v>
      </c>
      <c r="CG58" s="11">
        <v>-0.94939583115451764</v>
      </c>
      <c r="CH58" s="10">
        <v>-0.74963611364364624</v>
      </c>
      <c r="CI58" s="10">
        <v>0.20738136768341064</v>
      </c>
      <c r="CJ58" s="10">
        <v>7.1563087403774261E-2</v>
      </c>
      <c r="CK58" s="10">
        <v>0.26128265261650085</v>
      </c>
      <c r="CL58" s="10">
        <v>5.2499998360872269E-2</v>
      </c>
      <c r="CM58" s="11">
        <v>-0.99137139320373535</v>
      </c>
      <c r="CN58" s="11">
        <v>0.36254292726516724</v>
      </c>
      <c r="CO58" s="11">
        <v>-0.19434665143489838</v>
      </c>
      <c r="CP58" s="11">
        <v>0.28318709135055542</v>
      </c>
      <c r="CQ58" s="11">
        <v>1.2467255592346191</v>
      </c>
      <c r="CR58" s="3">
        <v>53.508698685065589</v>
      </c>
      <c r="CS58" s="3">
        <v>17.050869007024705</v>
      </c>
      <c r="CT58" s="3">
        <v>0.2032520325203252</v>
      </c>
      <c r="CU58" s="10">
        <v>-3.1381801515817639E-2</v>
      </c>
      <c r="CV58" s="11">
        <v>0.14134750664234161</v>
      </c>
      <c r="CW58" s="3">
        <v>0.06</v>
      </c>
      <c r="CX58" s="3">
        <v>3009.5478537360891</v>
      </c>
      <c r="CY58" s="3" t="s">
        <v>2844</v>
      </c>
      <c r="CZ58" s="3">
        <v>-3.1381801515817639E-2</v>
      </c>
      <c r="DA58" s="3">
        <v>1003.1826179120296</v>
      </c>
      <c r="DB58" s="3" t="s">
        <v>2845</v>
      </c>
      <c r="DC58" s="3">
        <v>-2.9812711440026757E-2</v>
      </c>
      <c r="DD58" s="3">
        <v>501.59130895601481</v>
      </c>
      <c r="DE58" s="3" t="s">
        <v>2846</v>
      </c>
      <c r="DF58" s="3">
        <v>-2.7615985333919523E-2</v>
      </c>
      <c r="DG58" s="3">
        <v>300.9547853736089</v>
      </c>
      <c r="DH58" s="3" t="s">
        <v>2847</v>
      </c>
      <c r="DI58" s="3">
        <v>-2.5105441212654112E-2</v>
      </c>
      <c r="DJ58" s="3">
        <v>150.47739268680445</v>
      </c>
      <c r="DK58" s="3" t="s">
        <v>2848</v>
      </c>
      <c r="DL58" s="3">
        <v>-2.1967261061072347E-2</v>
      </c>
      <c r="DM58" s="3">
        <v>629000</v>
      </c>
      <c r="DN58" s="3">
        <v>-3.1381801515817639E-2</v>
      </c>
      <c r="DO58" s="3">
        <v>1893005600</v>
      </c>
      <c r="DP58" s="3">
        <v>203677090</v>
      </c>
      <c r="DQ58" s="3">
        <v>2512</v>
      </c>
      <c r="DR58" s="3">
        <v>-0.37551475020832026</v>
      </c>
      <c r="DS58" s="3">
        <v>-1.0907433377968592</v>
      </c>
      <c r="DT58" s="12">
        <v>-0.50666666666666671</v>
      </c>
      <c r="DU58" s="3">
        <v>-0.44</v>
      </c>
      <c r="DV58" s="3">
        <v>-0.94666666666666677</v>
      </c>
      <c r="DW58" s="3">
        <v>5.7339782345828292</v>
      </c>
      <c r="DX58" s="3">
        <v>0.89113333333333544</v>
      </c>
      <c r="DY58" s="3">
        <v>5.3678209592906088</v>
      </c>
      <c r="DZ58" s="3">
        <v>3121</v>
      </c>
      <c r="EA58" s="3">
        <v>5.1431694497121372</v>
      </c>
      <c r="EB58" s="3">
        <v>5</v>
      </c>
      <c r="EC58" s="3">
        <v>0.57207001522070011</v>
      </c>
      <c r="ED58" s="3">
        <v>1.1415525114155252</v>
      </c>
      <c r="EE58" s="13">
        <v>-1.0002</v>
      </c>
      <c r="EF58" s="3">
        <v>-1.0140100000000001</v>
      </c>
      <c r="EG58" s="3">
        <v>39.501133333333335</v>
      </c>
      <c r="EH58" s="3" t="s">
        <v>1113</v>
      </c>
      <c r="EI58" s="3">
        <v>1</v>
      </c>
      <c r="EJ58" s="3">
        <v>0</v>
      </c>
      <c r="EK58" s="15">
        <v>45470</v>
      </c>
      <c r="EL58" s="16">
        <v>0.12</v>
      </c>
      <c r="EM58" s="16">
        <v>-5.83</v>
      </c>
      <c r="EN58" s="16">
        <v>-0.25</v>
      </c>
      <c r="EO58" s="16">
        <v>6.96</v>
      </c>
      <c r="EP58" s="16">
        <v>-1.42</v>
      </c>
    </row>
    <row r="59" spans="1:146" ht="96" x14ac:dyDescent="0.25">
      <c r="C59" s="7" t="str">
        <f>""&amp;CHAR(10)&amp;Basic_Fundamental_Information_Constructure(F59)&amp;CHAR(10)&amp;Basic_Fundamental_Information_Concatenate("")</f>
        <v xml:space="preserve">
市值32.301亿, 利润2779.22万; PE32.98; 平均PE33.08; 平均PEG48.94, PB1.66; ROIC8.1367%; ROE12.0133%; 股利率2.5077%; 毛利38.9167%; 净利18.45%; 上一年度营收增-81.82%, 利润增-82.41%; 当季营收增-53.74%, 利润增-52.6%; 过往5年营收增.68%, 利润增13.82%
Income profile:
</v>
      </c>
      <c r="D59" s="3" t="s">
        <v>777</v>
      </c>
      <c r="E59" s="3" t="s">
        <v>778</v>
      </c>
      <c r="F59" s="3">
        <v>35.89</v>
      </c>
      <c r="G59" s="3">
        <v>-0.03</v>
      </c>
      <c r="H59" s="3" t="s">
        <v>2849</v>
      </c>
      <c r="I59" s="3">
        <v>3230100000</v>
      </c>
      <c r="J59" s="3">
        <v>32.979999999999997</v>
      </c>
      <c r="K59" s="3">
        <v>1.66</v>
      </c>
      <c r="L59" s="3" t="s">
        <v>285</v>
      </c>
      <c r="M59" s="3" t="s">
        <v>1433</v>
      </c>
      <c r="N59" s="3" t="s">
        <v>673</v>
      </c>
      <c r="O59" s="3" t="s">
        <v>915</v>
      </c>
      <c r="P59" s="3">
        <v>-2.95</v>
      </c>
      <c r="Q59" s="3" t="s">
        <v>915</v>
      </c>
      <c r="R59" s="3">
        <v>27792224</v>
      </c>
      <c r="S59" s="5">
        <v>-0.2215</v>
      </c>
      <c r="T59" s="3" t="s">
        <v>2850</v>
      </c>
      <c r="U59" s="3">
        <v>32496750</v>
      </c>
      <c r="V59" s="3">
        <v>90000000</v>
      </c>
      <c r="W59" s="3">
        <v>1.26</v>
      </c>
      <c r="X59" s="3">
        <v>0.05</v>
      </c>
      <c r="Y59" s="3">
        <v>21.22</v>
      </c>
      <c r="Z59" s="3" t="s">
        <v>71</v>
      </c>
      <c r="AA59" s="3" t="s">
        <v>2851</v>
      </c>
      <c r="AB59" s="3" t="s">
        <v>2852</v>
      </c>
      <c r="AC59" s="3" t="s">
        <v>2853</v>
      </c>
      <c r="AD59" s="3" t="s">
        <v>4</v>
      </c>
      <c r="AE59" s="3">
        <v>-167876</v>
      </c>
      <c r="AF59" s="3" t="s">
        <v>2854</v>
      </c>
      <c r="AG59" s="3">
        <v>5001.8500000000004</v>
      </c>
      <c r="AH59" s="3" t="s">
        <v>2855</v>
      </c>
      <c r="AI59" s="3" t="s">
        <v>28</v>
      </c>
      <c r="AJ59" s="3" t="s">
        <v>2856</v>
      </c>
      <c r="AK59" s="3" t="s">
        <v>2857</v>
      </c>
      <c r="AL59" s="3" t="s">
        <v>2858</v>
      </c>
      <c r="AM59" s="3" t="s">
        <v>4</v>
      </c>
      <c r="AN59" s="3" t="s">
        <v>1438</v>
      </c>
      <c r="AO59" s="3" t="s">
        <v>24</v>
      </c>
      <c r="AP59" s="3" t="s">
        <v>2859</v>
      </c>
      <c r="AQ59" s="3" t="s">
        <v>2860</v>
      </c>
      <c r="AR59" s="3" t="s">
        <v>4</v>
      </c>
      <c r="AS59" s="3" t="s">
        <v>394</v>
      </c>
      <c r="AT59" s="3" t="s">
        <v>8</v>
      </c>
      <c r="AU59" s="3" t="s">
        <v>2861</v>
      </c>
      <c r="AV59" s="3" t="s">
        <v>2862</v>
      </c>
      <c r="AW59" s="3" t="s">
        <v>2863</v>
      </c>
      <c r="AX59" s="3" t="s">
        <v>610</v>
      </c>
      <c r="AY59" s="3" t="s">
        <v>241</v>
      </c>
      <c r="AZ59" s="3" t="s">
        <v>524</v>
      </c>
      <c r="BA59" s="3" t="s">
        <v>190</v>
      </c>
      <c r="BB59" s="3" t="s">
        <v>773</v>
      </c>
      <c r="BC59" s="3" t="s">
        <v>144</v>
      </c>
      <c r="BD59" s="3" t="s">
        <v>105</v>
      </c>
      <c r="BE59" s="3" t="s">
        <v>67</v>
      </c>
      <c r="BF59" s="3" t="s">
        <v>779</v>
      </c>
      <c r="BG59" s="3" t="s">
        <v>780</v>
      </c>
      <c r="BH59" s="3" t="s">
        <v>202</v>
      </c>
      <c r="BI59" s="3" t="s">
        <v>192</v>
      </c>
      <c r="BJ59" s="3" t="s">
        <v>610</v>
      </c>
      <c r="BK59" s="3" t="s">
        <v>170</v>
      </c>
      <c r="BL59" s="3" t="s">
        <v>1460</v>
      </c>
      <c r="BM59" s="3" t="s">
        <v>144</v>
      </c>
      <c r="BN59" s="3">
        <v>4.9000000000000004</v>
      </c>
      <c r="BO59" s="3">
        <v>7.46</v>
      </c>
      <c r="BP59" s="3">
        <v>12.05</v>
      </c>
      <c r="BQ59" s="3">
        <v>5.27</v>
      </c>
      <c r="BR59" s="3">
        <v>8.66</v>
      </c>
      <c r="BS59" s="3">
        <v>22.11</v>
      </c>
      <c r="BT59" s="3" t="s">
        <v>2864</v>
      </c>
      <c r="BU59" s="3" t="s">
        <v>841</v>
      </c>
      <c r="BV59" s="3">
        <v>38.53</v>
      </c>
      <c r="BW59" s="3">
        <v>40.53</v>
      </c>
      <c r="BX59" s="3">
        <v>37.69</v>
      </c>
      <c r="BY59" s="3">
        <v>15.39</v>
      </c>
      <c r="BZ59" s="3">
        <v>21.54</v>
      </c>
      <c r="CA59" s="3">
        <v>18.420000000000002</v>
      </c>
      <c r="CB59" s="3">
        <v>-10.48</v>
      </c>
      <c r="CC59" s="3">
        <v>-11.38</v>
      </c>
      <c r="CD59" s="3" t="s">
        <v>2865</v>
      </c>
      <c r="CE59" s="3" t="s">
        <v>2866</v>
      </c>
      <c r="CF59" s="10">
        <v>-0.53736654804270467</v>
      </c>
      <c r="CG59" s="11">
        <v>-0.52602033907554924</v>
      </c>
      <c r="CH59" s="10">
        <v>-0.81818181276321411</v>
      </c>
      <c r="CI59" s="10">
        <v>-3.378378227353096E-2</v>
      </c>
      <c r="CJ59" s="10">
        <v>0.13671274483203888</v>
      </c>
      <c r="CK59" s="10">
        <v>0.46292135119438171</v>
      </c>
      <c r="CL59" s="10">
        <v>0.28612717986106873</v>
      </c>
      <c r="CM59" s="11">
        <v>-0.82410001754760742</v>
      </c>
      <c r="CN59" s="11">
        <v>0.15328466892242432</v>
      </c>
      <c r="CO59" s="11">
        <v>4.5801527798175812E-2</v>
      </c>
      <c r="CP59" s="11">
        <v>0.55412697792053223</v>
      </c>
      <c r="CQ59" s="11">
        <v>0.76173657178878784</v>
      </c>
      <c r="CR59" s="3">
        <v>33.07666431655538</v>
      </c>
      <c r="CS59" s="3">
        <v>48.936230139341852</v>
      </c>
      <c r="CT59" s="3">
        <v>2.5076623014767345</v>
      </c>
      <c r="CU59" s="10">
        <v>6.7591361701488497E-3</v>
      </c>
      <c r="CV59" s="11">
        <v>0.13816994577646255</v>
      </c>
      <c r="CW59" s="3">
        <v>0.06</v>
      </c>
      <c r="CX59" s="3">
        <v>69.331752886291596</v>
      </c>
      <c r="CY59" s="3">
        <v>26396274.77761133</v>
      </c>
      <c r="CZ59" s="3">
        <v>6.7591361701488497E-3</v>
      </c>
      <c r="DA59" s="3">
        <v>24.327274712485789</v>
      </c>
      <c r="DB59" s="3">
        <v>75228319.720528141</v>
      </c>
      <c r="DC59" s="3">
        <v>6.4211793616414069E-3</v>
      </c>
      <c r="DD59" s="3">
        <v>13.128746999190678</v>
      </c>
      <c r="DE59" s="3">
        <v>139396394.80544615</v>
      </c>
      <c r="DF59" s="3">
        <v>5.9480398297309875E-3</v>
      </c>
      <c r="DG59" s="3">
        <v>8.706747348015961</v>
      </c>
      <c r="DH59" s="3">
        <v>210193304.89899102</v>
      </c>
      <c r="DI59" s="3">
        <v>5.4073089361190802E-3</v>
      </c>
      <c r="DJ59" s="3">
        <v>5.5106158072626199</v>
      </c>
      <c r="DK59" s="3">
        <v>332104444.22346628</v>
      </c>
      <c r="DL59" s="3">
        <v>4.7313953191041947E-3</v>
      </c>
      <c r="DM59" s="3">
        <v>27792199.999999996</v>
      </c>
      <c r="DN59" s="3">
        <v>6.7591361701488497E-3</v>
      </c>
      <c r="DO59" s="3">
        <v>1830100000.0000002</v>
      </c>
      <c r="DP59" s="3">
        <v>936864060</v>
      </c>
      <c r="DQ59" s="3">
        <v>2529</v>
      </c>
      <c r="DR59" s="3">
        <v>-0.54412568421285357</v>
      </c>
      <c r="DS59" s="3">
        <v>-0.66419028485201181</v>
      </c>
      <c r="DT59" s="12">
        <v>-0.55666666666666675</v>
      </c>
      <c r="DU59" s="3">
        <v>-8.6666666666666711E-2</v>
      </c>
      <c r="DV59" s="3">
        <v>-0.64333333333333342</v>
      </c>
      <c r="DW59" s="3">
        <v>-9.9209138840070299</v>
      </c>
      <c r="DX59" s="3">
        <v>0.27910102022885269</v>
      </c>
      <c r="DY59" s="3">
        <v>-9.0820543666079434</v>
      </c>
      <c r="DZ59" s="3">
        <v>1966</v>
      </c>
      <c r="EA59" s="3">
        <v>-9.0504851132319715</v>
      </c>
      <c r="EB59" s="3">
        <v>9</v>
      </c>
      <c r="EC59" s="3">
        <v>9.5776666666666663E-2</v>
      </c>
      <c r="ED59" s="3">
        <v>1.0749222222222221</v>
      </c>
      <c r="EE59" s="13">
        <v>3.0489000000000002</v>
      </c>
      <c r="EF59" s="3">
        <v>3.0123000000000002</v>
      </c>
      <c r="EG59" s="3">
        <v>19.089101020228853</v>
      </c>
      <c r="EH59" s="3" t="s">
        <v>1587</v>
      </c>
      <c r="EI59" s="3">
        <v>0</v>
      </c>
      <c r="EJ59" s="3">
        <v>0</v>
      </c>
      <c r="EK59" s="15">
        <v>45470</v>
      </c>
      <c r="EL59" s="16">
        <v>-1.39</v>
      </c>
      <c r="EM59" s="16">
        <v>-4.84</v>
      </c>
      <c r="EN59" s="16">
        <v>-2.64</v>
      </c>
      <c r="EO59" s="16">
        <v>8.58</v>
      </c>
      <c r="EP59" s="16">
        <v>-3.66</v>
      </c>
    </row>
    <row r="60" spans="1:146" ht="96" x14ac:dyDescent="0.25">
      <c r="C60" s="7" t="str">
        <f>""&amp;CHAR(10)&amp;Basic_Fundamental_Information_Constructure(F60)&amp;CHAR(10)&amp;Basic_Fundamental_Information_Concatenate("")</f>
        <v xml:space="preserve">
市值39.8288亿, 利润1971.50万; PE4243; 平均PE34.52; 平均PEG6.76, PB1.33; ROIC-30.48%; ROE8.9267%; 股利率0%; 毛利21.5967%; 净利7.4533%; 上一年度营收增-75.11%, 利润增-85.71%; 当季营收增-44.82%, 利润增92.27%; 过往5年营收增-5.11%, 利润增19.46%
Income profile:
</v>
      </c>
      <c r="D60" s="3" t="s">
        <v>781</v>
      </c>
      <c r="E60" s="3" t="s">
        <v>782</v>
      </c>
      <c r="F60" s="3">
        <v>17.05</v>
      </c>
      <c r="G60" s="3">
        <v>-0.12</v>
      </c>
      <c r="H60" s="3" t="s">
        <v>2867</v>
      </c>
      <c r="I60" s="3">
        <v>3982880000</v>
      </c>
      <c r="J60" s="3">
        <v>4243</v>
      </c>
      <c r="K60" s="3">
        <v>1.33</v>
      </c>
      <c r="L60" s="3" t="s">
        <v>285</v>
      </c>
      <c r="M60" s="3" t="s">
        <v>1231</v>
      </c>
      <c r="N60" s="3" t="s">
        <v>2868</v>
      </c>
      <c r="O60" s="3" t="s">
        <v>1139</v>
      </c>
      <c r="P60" s="3">
        <v>12.95</v>
      </c>
      <c r="Q60" s="3" t="s">
        <v>1139</v>
      </c>
      <c r="R60" s="3">
        <v>19714995</v>
      </c>
      <c r="S60" s="5">
        <v>-5.7500000000000002E-2</v>
      </c>
      <c r="T60" s="3" t="s">
        <v>2869</v>
      </c>
      <c r="U60" s="3">
        <v>76416213</v>
      </c>
      <c r="V60" s="3">
        <v>233600000</v>
      </c>
      <c r="W60" s="3">
        <v>1.3</v>
      </c>
      <c r="X60" s="3">
        <v>0.1</v>
      </c>
      <c r="Y60" s="3">
        <v>4.82</v>
      </c>
      <c r="Z60" s="3" t="s">
        <v>1476</v>
      </c>
      <c r="AA60" s="3" t="s">
        <v>1450</v>
      </c>
      <c r="AB60" s="3" t="s">
        <v>2870</v>
      </c>
      <c r="AC60" s="3" t="s">
        <v>2871</v>
      </c>
      <c r="AD60" s="3" t="s">
        <v>4</v>
      </c>
      <c r="AE60" s="3">
        <v>-5506220</v>
      </c>
      <c r="AF60" s="3" t="s">
        <v>2872</v>
      </c>
      <c r="AG60" s="3" t="s">
        <v>2873</v>
      </c>
      <c r="AH60" s="3" t="s">
        <v>2874</v>
      </c>
      <c r="AI60" s="3" t="s">
        <v>937</v>
      </c>
      <c r="AJ60" s="3" t="s">
        <v>2875</v>
      </c>
      <c r="AK60" s="3" t="s">
        <v>104</v>
      </c>
      <c r="AL60" s="3" t="s">
        <v>2876</v>
      </c>
      <c r="AM60" s="3" t="s">
        <v>4</v>
      </c>
      <c r="AN60" s="3" t="s">
        <v>2877</v>
      </c>
      <c r="AO60" s="3" t="s">
        <v>2878</v>
      </c>
      <c r="AP60" s="3" t="s">
        <v>197</v>
      </c>
      <c r="AQ60" s="3" t="s">
        <v>218</v>
      </c>
      <c r="AR60" s="3" t="s">
        <v>4</v>
      </c>
      <c r="AS60" s="3" t="s">
        <v>2879</v>
      </c>
      <c r="AT60" s="3" t="s">
        <v>4</v>
      </c>
      <c r="AU60" s="3" t="s">
        <v>2880</v>
      </c>
      <c r="AV60" s="3" t="s">
        <v>2881</v>
      </c>
      <c r="AW60" s="3" t="s">
        <v>2882</v>
      </c>
      <c r="AX60" s="3" t="s">
        <v>1275</v>
      </c>
      <c r="AY60" s="3" t="s">
        <v>728</v>
      </c>
      <c r="AZ60" s="3" t="s">
        <v>415</v>
      </c>
      <c r="BA60" s="3" t="s">
        <v>783</v>
      </c>
      <c r="BB60" s="3" t="s">
        <v>490</v>
      </c>
      <c r="BC60" s="3" t="s">
        <v>79</v>
      </c>
      <c r="BD60" s="3" t="s">
        <v>84</v>
      </c>
      <c r="BE60" s="3" t="s">
        <v>125</v>
      </c>
      <c r="BF60" s="3" t="s">
        <v>107</v>
      </c>
      <c r="BG60" s="3" t="s">
        <v>784</v>
      </c>
      <c r="BH60" s="3" t="s">
        <v>2883</v>
      </c>
      <c r="BI60" s="3" t="s">
        <v>939</v>
      </c>
      <c r="BJ60" s="3" t="s">
        <v>1275</v>
      </c>
      <c r="BK60" s="3" t="s">
        <v>2884</v>
      </c>
      <c r="BL60" s="3" t="s">
        <v>1463</v>
      </c>
      <c r="BM60" s="3" t="s">
        <v>79</v>
      </c>
      <c r="BN60" s="3">
        <v>-114.39</v>
      </c>
      <c r="BO60" s="3">
        <v>4.47</v>
      </c>
      <c r="BP60" s="3">
        <v>18.48</v>
      </c>
      <c r="BQ60" s="3">
        <v>0.37</v>
      </c>
      <c r="BR60" s="3">
        <v>4.7699999999999996</v>
      </c>
      <c r="BS60" s="3">
        <v>21.64</v>
      </c>
      <c r="BT60" s="3" t="s">
        <v>1043</v>
      </c>
      <c r="BU60" s="3" t="s">
        <v>841</v>
      </c>
      <c r="BV60" s="3">
        <v>15.24</v>
      </c>
      <c r="BW60" s="3">
        <v>21.66</v>
      </c>
      <c r="BX60" s="3">
        <v>27.89</v>
      </c>
      <c r="BY60" s="3">
        <v>0.11</v>
      </c>
      <c r="BZ60" s="3">
        <v>8.7899999999999991</v>
      </c>
      <c r="CA60" s="3">
        <v>13.46</v>
      </c>
      <c r="CB60" s="3">
        <v>-5.01</v>
      </c>
      <c r="CC60" s="3">
        <v>-29.63</v>
      </c>
      <c r="CD60" s="3" t="s">
        <v>2885</v>
      </c>
      <c r="CE60" s="3" t="s">
        <v>835</v>
      </c>
      <c r="CF60" s="10">
        <v>-0.44822695035460991</v>
      </c>
      <c r="CG60" s="11">
        <v>0.92273884294296671</v>
      </c>
      <c r="CH60" s="10">
        <v>-0.75111967325210571</v>
      </c>
      <c r="CI60" s="10">
        <v>4.2000044137239456E-2</v>
      </c>
      <c r="CJ60" s="10">
        <v>0.27659568190574646</v>
      </c>
      <c r="CK60" s="10">
        <v>0.11374413967132568</v>
      </c>
      <c r="CL60" s="10">
        <v>6.3508063554763794E-2</v>
      </c>
      <c r="CM60" s="11">
        <v>-0.85713768005371094</v>
      </c>
      <c r="CN60" s="11">
        <v>-0.31683167815208435</v>
      </c>
      <c r="CO60" s="11">
        <v>9.7826085984706879E-2</v>
      </c>
      <c r="CP60" s="11">
        <v>0.78640776872634888</v>
      </c>
      <c r="CQ60" s="11">
        <v>1.2627267837524414</v>
      </c>
      <c r="CR60" s="3">
        <v>34.521903173675192</v>
      </c>
      <c r="CS60" s="3">
        <v>6.7617948298990154</v>
      </c>
      <c r="CT60" s="3">
        <v>0</v>
      </c>
      <c r="CU60" s="10">
        <v>-5.1054348796606065E-2</v>
      </c>
      <c r="CV60" s="11">
        <v>0.19459825605154038</v>
      </c>
      <c r="CW60" s="3">
        <v>0.06</v>
      </c>
      <c r="CX60" s="3">
        <v>89.012427085975148</v>
      </c>
      <c r="CY60" s="3" t="s">
        <v>2886</v>
      </c>
      <c r="CZ60" s="3">
        <v>-5.1054348796606065E-2</v>
      </c>
      <c r="DA60" s="3">
        <v>29.670809028658383</v>
      </c>
      <c r="DB60" s="3" t="s">
        <v>2887</v>
      </c>
      <c r="DC60" s="3">
        <v>-4.8501631356775758E-2</v>
      </c>
      <c r="DD60" s="3">
        <v>14.835404514329191</v>
      </c>
      <c r="DE60" s="3" t="s">
        <v>2888</v>
      </c>
      <c r="DF60" s="3">
        <v>-4.4927826941013341E-2</v>
      </c>
      <c r="DG60" s="3">
        <v>8.9012427085975148</v>
      </c>
      <c r="DH60" s="3" t="s">
        <v>2889</v>
      </c>
      <c r="DI60" s="3">
        <v>-4.0843479037284858E-2</v>
      </c>
      <c r="DJ60" s="3">
        <v>4.4506213542987574</v>
      </c>
      <c r="DK60" s="3" t="s">
        <v>2890</v>
      </c>
      <c r="DL60" s="3">
        <v>-3.5738044157624244E-2</v>
      </c>
      <c r="DM60" s="3">
        <v>19715000</v>
      </c>
      <c r="DN60" s="3">
        <v>-5.1054348796606065E-2</v>
      </c>
      <c r="DO60" s="3">
        <v>1754880000</v>
      </c>
      <c r="DP60" s="3">
        <v>1381614400</v>
      </c>
      <c r="DQ60" s="3">
        <v>2563</v>
      </c>
      <c r="DR60" s="3">
        <v>-0.39717260155800382</v>
      </c>
      <c r="DS60" s="3">
        <v>0.72814058689142636</v>
      </c>
      <c r="DT60" s="12">
        <v>-0.64</v>
      </c>
      <c r="DU60" s="3">
        <v>0.16999999999999996</v>
      </c>
      <c r="DV60" s="3">
        <v>-0.47000000000000008</v>
      </c>
      <c r="DW60" s="3">
        <v>-8.1690853864326698</v>
      </c>
      <c r="DX60" s="3">
        <v>0.25408333333333416</v>
      </c>
      <c r="DY60" s="3">
        <v>-8.0125264090448862</v>
      </c>
      <c r="DZ60" s="3">
        <v>526</v>
      </c>
      <c r="EA60" s="3">
        <v>-8.0112369978594433</v>
      </c>
      <c r="EB60" s="3">
        <v>8</v>
      </c>
      <c r="EC60" s="3">
        <v>0.1065582191780822</v>
      </c>
      <c r="ED60" s="3">
        <v>1.4383561643835616</v>
      </c>
      <c r="EE60" s="13">
        <v>-5.0510999999999999</v>
      </c>
      <c r="EF60" s="3">
        <v>-5.0293999999999999</v>
      </c>
      <c r="EG60" s="3">
        <v>18.074083333333334</v>
      </c>
      <c r="EH60" s="3" t="s">
        <v>1552</v>
      </c>
      <c r="EI60" s="3">
        <v>0</v>
      </c>
      <c r="EJ60" s="3">
        <v>1</v>
      </c>
      <c r="EK60" s="15">
        <v>45470</v>
      </c>
      <c r="EL60" s="16">
        <v>-0.83</v>
      </c>
      <c r="EM60" s="16">
        <v>-3.96</v>
      </c>
      <c r="EN60" s="16">
        <v>0.33</v>
      </c>
      <c r="EO60" s="16">
        <v>4.71</v>
      </c>
      <c r="EP60" s="16">
        <v>-2.17</v>
      </c>
    </row>
    <row r="61" spans="1:146" ht="96" x14ac:dyDescent="0.25">
      <c r="C61" s="7" t="str">
        <f>""&amp;CHAR(10)&amp;Basic_Fundamental_Information_Constructure(F61)&amp;CHAR(10)&amp;Basic_Fundamental_Information_Concatenate("")</f>
        <v xml:space="preserve">
市值19.817726亿, 利润289.25万; PE54.17; 平均PE39.65; 平均PEG4.14, PB1.6; ROIC5.5033%; ROE7.35%; 股利率1.544%; 毛利19.38%; 净利4.7167%; 上一年度营收增-76.5%, 利润增-93.5%; 当季营收增-49.37%, 利润增-84.16%; 过往5年营收增-9.57%, 利润增-9.24%
Income profile:
</v>
      </c>
      <c r="D61" s="3" t="s">
        <v>785</v>
      </c>
      <c r="E61" s="3" t="s">
        <v>786</v>
      </c>
      <c r="F61" s="3">
        <v>19.43</v>
      </c>
      <c r="G61" s="3">
        <v>1.73</v>
      </c>
      <c r="H61" s="3" t="s">
        <v>2891</v>
      </c>
      <c r="I61" s="3">
        <v>1981772600</v>
      </c>
      <c r="J61" s="3">
        <v>54.17</v>
      </c>
      <c r="K61" s="3">
        <v>1.6</v>
      </c>
      <c r="L61" s="3" t="s">
        <v>285</v>
      </c>
      <c r="M61" s="3" t="s">
        <v>1404</v>
      </c>
      <c r="N61" s="3" t="s">
        <v>379</v>
      </c>
      <c r="O61" s="3" t="s">
        <v>2241</v>
      </c>
      <c r="P61" s="3">
        <v>7.36</v>
      </c>
      <c r="Q61" s="3" t="s">
        <v>2241</v>
      </c>
      <c r="R61" s="3">
        <v>2892518</v>
      </c>
      <c r="S61" s="5">
        <v>-0.59760000000000002</v>
      </c>
      <c r="T61" s="3" t="s">
        <v>2892</v>
      </c>
      <c r="U61" s="3">
        <v>49456700</v>
      </c>
      <c r="V61" s="3">
        <v>101995500</v>
      </c>
      <c r="W61" s="3">
        <v>1.42</v>
      </c>
      <c r="X61" s="3">
        <v>0.13</v>
      </c>
      <c r="Y61" s="3">
        <v>1.18</v>
      </c>
      <c r="Z61" s="3" t="s">
        <v>1055</v>
      </c>
      <c r="AA61" s="3" t="s">
        <v>529</v>
      </c>
      <c r="AB61" s="3" t="s">
        <v>2893</v>
      </c>
      <c r="AC61" s="3" t="s">
        <v>2894</v>
      </c>
      <c r="AD61" s="3" t="s">
        <v>4</v>
      </c>
      <c r="AE61" s="3">
        <v>-3494365</v>
      </c>
      <c r="AF61" s="3" t="s">
        <v>21</v>
      </c>
      <c r="AG61" s="3" t="s">
        <v>2895</v>
      </c>
      <c r="AH61" s="3" t="s">
        <v>2896</v>
      </c>
      <c r="AI61" s="3" t="s">
        <v>1433</v>
      </c>
      <c r="AJ61" s="3" t="s">
        <v>2897</v>
      </c>
      <c r="AK61" s="3" t="s">
        <v>2898</v>
      </c>
      <c r="AL61" s="3" t="s">
        <v>2899</v>
      </c>
      <c r="AM61" s="3" t="s">
        <v>4</v>
      </c>
      <c r="AN61" s="3" t="s">
        <v>2900</v>
      </c>
      <c r="AO61" s="3" t="s">
        <v>4</v>
      </c>
      <c r="AP61" s="3" t="s">
        <v>2901</v>
      </c>
      <c r="AQ61" s="3" t="s">
        <v>138</v>
      </c>
      <c r="AR61" s="3" t="s">
        <v>4</v>
      </c>
      <c r="AS61" s="3" t="s">
        <v>474</v>
      </c>
      <c r="AT61" s="3" t="s">
        <v>892</v>
      </c>
      <c r="AU61" s="3" t="s">
        <v>2902</v>
      </c>
      <c r="AV61" s="3" t="s">
        <v>2903</v>
      </c>
      <c r="AW61" s="3" t="s">
        <v>2904</v>
      </c>
      <c r="AX61" s="3" t="s">
        <v>1276</v>
      </c>
      <c r="AY61" s="3" t="s">
        <v>787</v>
      </c>
      <c r="AZ61" s="3" t="s">
        <v>654</v>
      </c>
      <c r="BA61" s="3" t="s">
        <v>789</v>
      </c>
      <c r="BB61" s="3" t="s">
        <v>200</v>
      </c>
      <c r="BC61" s="3" t="s">
        <v>1277</v>
      </c>
      <c r="BD61" s="3" t="s">
        <v>788</v>
      </c>
      <c r="BE61" s="3" t="s">
        <v>790</v>
      </c>
      <c r="BF61" s="3" t="s">
        <v>791</v>
      </c>
      <c r="BG61" s="3" t="s">
        <v>792</v>
      </c>
      <c r="BH61" s="3" t="s">
        <v>1672</v>
      </c>
      <c r="BI61" s="3" t="s">
        <v>85</v>
      </c>
      <c r="BJ61" s="3" t="s">
        <v>1276</v>
      </c>
      <c r="BK61" s="3" t="s">
        <v>2905</v>
      </c>
      <c r="BL61" s="3" t="s">
        <v>1465</v>
      </c>
      <c r="BM61" s="3" t="s">
        <v>1277</v>
      </c>
      <c r="BN61" s="3">
        <v>0.65</v>
      </c>
      <c r="BO61" s="3">
        <v>3.1</v>
      </c>
      <c r="BP61" s="3">
        <v>12.76</v>
      </c>
      <c r="BQ61" s="3">
        <v>2.09</v>
      </c>
      <c r="BR61" s="3">
        <v>4.26</v>
      </c>
      <c r="BS61" s="3">
        <v>15.7</v>
      </c>
      <c r="BT61" s="3" t="s">
        <v>1065</v>
      </c>
      <c r="BU61" s="3" t="s">
        <v>841</v>
      </c>
      <c r="BV61" s="3">
        <v>19.809999999999999</v>
      </c>
      <c r="BW61" s="3">
        <v>18.91</v>
      </c>
      <c r="BX61" s="3">
        <v>19.420000000000002</v>
      </c>
      <c r="BY61" s="3">
        <v>3.82</v>
      </c>
      <c r="BZ61" s="3">
        <v>4.2699999999999996</v>
      </c>
      <c r="CA61" s="3">
        <v>6.06</v>
      </c>
      <c r="CB61" s="3">
        <v>-8.74</v>
      </c>
      <c r="CC61" s="3">
        <v>-1.17</v>
      </c>
      <c r="CD61" s="3" t="s">
        <v>2906</v>
      </c>
      <c r="CE61" s="3" t="s">
        <v>2907</v>
      </c>
      <c r="CF61" s="10">
        <v>-0.49374999999999991</v>
      </c>
      <c r="CG61" s="11">
        <v>-0.84157704483464968</v>
      </c>
      <c r="CH61" s="10">
        <v>-0.76499032974243164</v>
      </c>
      <c r="CI61" s="10">
        <v>-0.21903322637081146</v>
      </c>
      <c r="CJ61" s="10">
        <v>0.21467889845371246</v>
      </c>
      <c r="CK61" s="10">
        <v>0.1558854728937149</v>
      </c>
      <c r="CL61" s="10">
        <v>0.13477738201618195</v>
      </c>
      <c r="CM61" s="11">
        <v>-0.93496143817901611</v>
      </c>
      <c r="CN61" s="11">
        <v>-0.45005106925964355</v>
      </c>
      <c r="CO61" s="11">
        <v>0.10552807152271271</v>
      </c>
      <c r="CP61" s="11">
        <v>0.2025754302740097</v>
      </c>
      <c r="CQ61" s="11">
        <v>0.61486285924911499</v>
      </c>
      <c r="CR61" s="3">
        <v>39.651537306967526</v>
      </c>
      <c r="CS61" s="3">
        <v>4.1417427066583699</v>
      </c>
      <c r="CT61" s="3">
        <v>1.5440041173443129</v>
      </c>
      <c r="CU61" s="10">
        <v>-9.5736360549926763E-2</v>
      </c>
      <c r="CV61" s="11">
        <v>-9.2409229278564459E-2</v>
      </c>
      <c r="CW61" s="3">
        <v>0.06</v>
      </c>
      <c r="CX61" s="3">
        <v>439.67937770095074</v>
      </c>
      <c r="CY61" s="3" t="s">
        <v>2908</v>
      </c>
      <c r="CZ61" s="3">
        <v>-9.5736360549926763E-2</v>
      </c>
      <c r="DA61" s="3">
        <v>146.55979256698359</v>
      </c>
      <c r="DB61" s="3" t="s">
        <v>2909</v>
      </c>
      <c r="DC61" s="3">
        <v>-9.0949542522430427E-2</v>
      </c>
      <c r="DD61" s="3">
        <v>73.279896283491794</v>
      </c>
      <c r="DE61" s="3" t="s">
        <v>2910</v>
      </c>
      <c r="DF61" s="3">
        <v>-8.4247997283935547E-2</v>
      </c>
      <c r="DG61" s="3">
        <v>43.967937770095077</v>
      </c>
      <c r="DH61" s="3" t="s">
        <v>2911</v>
      </c>
      <c r="DI61" s="3">
        <v>-7.6589088439941416E-2</v>
      </c>
      <c r="DJ61" s="3">
        <v>21.983968885047538</v>
      </c>
      <c r="DK61" s="3" t="s">
        <v>2912</v>
      </c>
      <c r="DL61" s="3">
        <v>-6.7015452384948729E-2</v>
      </c>
      <c r="DM61" s="3">
        <v>2892500</v>
      </c>
      <c r="DN61" s="3">
        <v>-9.5736360549926763E-2</v>
      </c>
      <c r="DO61" s="3">
        <v>1271772600</v>
      </c>
      <c r="DP61" s="3">
        <v>835185440</v>
      </c>
      <c r="DQ61" s="3">
        <v>2573</v>
      </c>
      <c r="DR61" s="3">
        <v>-0.39801363945007318</v>
      </c>
      <c r="DS61" s="3">
        <v>-0.74916781555608525</v>
      </c>
      <c r="DT61" s="12">
        <v>-0.67333333333333334</v>
      </c>
      <c r="DU61" s="3">
        <v>-0.60666666666666669</v>
      </c>
      <c r="DV61" s="3">
        <v>-1.28</v>
      </c>
      <c r="DW61" s="3">
        <v>-5.1338672768878721</v>
      </c>
      <c r="DX61" s="3">
        <v>0.32587237792657209</v>
      </c>
      <c r="DY61" s="3">
        <v>-5.0222048835439459</v>
      </c>
      <c r="DZ61" s="3">
        <v>449</v>
      </c>
      <c r="EA61" s="3">
        <v>-5.0202538086493798</v>
      </c>
      <c r="EB61" s="3">
        <v>5</v>
      </c>
      <c r="EC61" s="3">
        <v>0.15687064625400141</v>
      </c>
      <c r="ED61" s="3">
        <v>0.94573093911005879</v>
      </c>
      <c r="EE61" s="13">
        <v>-1.1328</v>
      </c>
      <c r="EF61" s="3">
        <v>-1.0786</v>
      </c>
      <c r="EG61" s="3">
        <v>16.165872377926572</v>
      </c>
      <c r="EH61" s="3" t="s">
        <v>1107</v>
      </c>
      <c r="EI61" s="3">
        <v>0</v>
      </c>
      <c r="EJ61" s="3">
        <v>1</v>
      </c>
      <c r="EK61" s="15">
        <v>45470</v>
      </c>
      <c r="EL61" s="16">
        <v>-0.52</v>
      </c>
      <c r="EM61" s="16">
        <v>-6.64</v>
      </c>
      <c r="EN61" s="16">
        <v>4.92</v>
      </c>
      <c r="EO61" s="16">
        <v>15.18</v>
      </c>
      <c r="EP61" s="16">
        <v>-5.42</v>
      </c>
    </row>
    <row r="62" spans="1:146" ht="96" x14ac:dyDescent="0.25">
      <c r="C62" s="7" t="str">
        <f>""&amp;CHAR(10)&amp;Basic_Fundamental_Information_Constructure(F62)&amp;CHAR(10)&amp;Basic_Fundamental_Information_Concatenate("")</f>
        <v xml:space="preserve">
市值54.361359亿, 利润17.42万; PE344.2; 平均PE55.24; 平均PEG17.69, PB4.1; ROIC10.5733%; ROE14.7433%; 股利率.184%; 毛利26.13%; 净利10.5633%; 上一年度营收增-82.51%, 利润增-99.91%; 当季营收增-49.14%, 利润增-99.25%; 过往5年营收增-3.12%, 利润增21.96%
Income profile:
</v>
      </c>
      <c r="D62" s="3" t="s">
        <v>793</v>
      </c>
      <c r="E62" s="3" t="s">
        <v>794</v>
      </c>
      <c r="F62" s="3">
        <v>13.59</v>
      </c>
      <c r="G62" s="3">
        <v>-1.31</v>
      </c>
      <c r="H62" s="3" t="s">
        <v>2913</v>
      </c>
      <c r="I62" s="3">
        <v>5436135900</v>
      </c>
      <c r="J62" s="3">
        <v>344.2</v>
      </c>
      <c r="K62" s="3">
        <v>4.0999999999999996</v>
      </c>
      <c r="L62" s="3" t="s">
        <v>285</v>
      </c>
      <c r="M62" s="3" t="s">
        <v>110</v>
      </c>
      <c r="N62" s="3" t="s">
        <v>2914</v>
      </c>
      <c r="O62" s="3" t="s">
        <v>921</v>
      </c>
      <c r="P62" s="3">
        <v>5.51</v>
      </c>
      <c r="Q62" s="3" t="s">
        <v>921</v>
      </c>
      <c r="R62" s="3">
        <v>174194</v>
      </c>
      <c r="S62" s="5">
        <v>-0.98160000000000003</v>
      </c>
      <c r="T62" s="3" t="s">
        <v>2915</v>
      </c>
      <c r="U62" s="3">
        <v>57866002</v>
      </c>
      <c r="V62" s="3">
        <v>400010000</v>
      </c>
      <c r="W62" s="3">
        <v>1.25</v>
      </c>
      <c r="X62" s="3">
        <v>0.13</v>
      </c>
      <c r="Y62" s="3">
        <v>0.08</v>
      </c>
      <c r="Z62" s="3" t="s">
        <v>137</v>
      </c>
      <c r="AA62" s="3" t="s">
        <v>1111</v>
      </c>
      <c r="AB62" s="3" t="s">
        <v>2916</v>
      </c>
      <c r="AC62" s="3" t="s">
        <v>2917</v>
      </c>
      <c r="AD62" s="3" t="s">
        <v>4</v>
      </c>
      <c r="AE62" s="3">
        <v>-1498887</v>
      </c>
      <c r="AF62" s="3" t="s">
        <v>2918</v>
      </c>
      <c r="AG62" s="3" t="s">
        <v>2919</v>
      </c>
      <c r="AH62" s="3" t="s">
        <v>2920</v>
      </c>
      <c r="AI62" s="3" t="s">
        <v>941</v>
      </c>
      <c r="AJ62" s="3" t="s">
        <v>2921</v>
      </c>
      <c r="AK62" s="3" t="s">
        <v>4</v>
      </c>
      <c r="AL62" s="3" t="s">
        <v>2922</v>
      </c>
      <c r="AM62" s="3" t="s">
        <v>4</v>
      </c>
      <c r="AN62" s="3" t="s">
        <v>111</v>
      </c>
      <c r="AO62" s="3" t="s">
        <v>4</v>
      </c>
      <c r="AP62" s="3" t="s">
        <v>4</v>
      </c>
      <c r="AQ62" s="3" t="s">
        <v>529</v>
      </c>
      <c r="AR62" s="3" t="s">
        <v>2923</v>
      </c>
      <c r="AS62" s="3" t="s">
        <v>40</v>
      </c>
      <c r="AT62" s="3" t="s">
        <v>4</v>
      </c>
      <c r="AU62" s="3" t="s">
        <v>2924</v>
      </c>
      <c r="AV62" s="3" t="s">
        <v>2925</v>
      </c>
      <c r="AW62" s="3" t="s">
        <v>2926</v>
      </c>
      <c r="AX62" s="3" t="s">
        <v>1077</v>
      </c>
      <c r="AY62" s="3" t="s">
        <v>687</v>
      </c>
      <c r="AZ62" s="3" t="s">
        <v>280</v>
      </c>
      <c r="BA62" s="3" t="s">
        <v>377</v>
      </c>
      <c r="BB62" s="3" t="s">
        <v>795</v>
      </c>
      <c r="BC62" s="3" t="s">
        <v>194</v>
      </c>
      <c r="BD62" s="3" t="s">
        <v>82</v>
      </c>
      <c r="BE62" s="3" t="s">
        <v>162</v>
      </c>
      <c r="BF62" s="3" t="s">
        <v>796</v>
      </c>
      <c r="BG62" s="3" t="s">
        <v>797</v>
      </c>
      <c r="BH62" s="3" t="s">
        <v>1373</v>
      </c>
      <c r="BI62" s="3" t="s">
        <v>1135</v>
      </c>
      <c r="BJ62" s="3" t="s">
        <v>1077</v>
      </c>
      <c r="BK62" s="3" t="s">
        <v>2927</v>
      </c>
      <c r="BL62" s="3" t="s">
        <v>1468</v>
      </c>
      <c r="BM62" s="3" t="s">
        <v>194</v>
      </c>
      <c r="BN62" s="3">
        <v>1.8</v>
      </c>
      <c r="BO62" s="3">
        <v>13.39</v>
      </c>
      <c r="BP62" s="3">
        <v>16.53</v>
      </c>
      <c r="BQ62" s="3">
        <v>2.4500000000000002</v>
      </c>
      <c r="BR62" s="3">
        <v>14.98</v>
      </c>
      <c r="BS62" s="3">
        <v>26.8</v>
      </c>
      <c r="BT62" s="3" t="s">
        <v>1283</v>
      </c>
      <c r="BU62" s="3" t="s">
        <v>841</v>
      </c>
      <c r="BV62" s="3">
        <v>22.07</v>
      </c>
      <c r="BW62" s="3">
        <v>27.98</v>
      </c>
      <c r="BX62" s="3">
        <v>28.34</v>
      </c>
      <c r="BY62" s="3">
        <v>2.87</v>
      </c>
      <c r="BZ62" s="3">
        <v>15.61</v>
      </c>
      <c r="CA62" s="3">
        <v>13.21</v>
      </c>
      <c r="CB62" s="3">
        <v>-12.97</v>
      </c>
      <c r="CC62" s="3">
        <v>-2.62</v>
      </c>
      <c r="CD62" s="3" t="s">
        <v>2928</v>
      </c>
      <c r="CE62" s="3" t="s">
        <v>1364</v>
      </c>
      <c r="CF62" s="10">
        <v>-0.49144254278728605</v>
      </c>
      <c r="CG62" s="11">
        <v>-0.99250597993495204</v>
      </c>
      <c r="CH62" s="10">
        <v>-0.82506304979324341</v>
      </c>
      <c r="CI62" s="10">
        <v>-0.1066867932677269</v>
      </c>
      <c r="CJ62" s="10">
        <v>0.19801978766918182</v>
      </c>
      <c r="CK62" s="10">
        <v>0.564788818359375</v>
      </c>
      <c r="CL62" s="10">
        <v>1.2838801369071007E-2</v>
      </c>
      <c r="CM62" s="11">
        <v>-0.99906337261199951</v>
      </c>
      <c r="CN62" s="11">
        <v>5.681818351149559E-2</v>
      </c>
      <c r="CO62" s="11">
        <v>0.50427353382110596</v>
      </c>
      <c r="CP62" s="11">
        <v>0.59131920337677002</v>
      </c>
      <c r="CQ62" s="11">
        <v>0.94458812475204468</v>
      </c>
      <c r="CR62" s="3">
        <v>55.235216955717426</v>
      </c>
      <c r="CS62" s="3">
        <v>17.69197793775626</v>
      </c>
      <c r="CT62" s="3">
        <v>0.18395879323031641</v>
      </c>
      <c r="CU62" s="10">
        <v>-3.1220487132668496E-2</v>
      </c>
      <c r="CV62" s="11">
        <v>0.21958713456988335</v>
      </c>
      <c r="CW62" s="3">
        <v>0.06</v>
      </c>
      <c r="CX62" s="3">
        <v>25419.838691159588</v>
      </c>
      <c r="CY62" s="3" t="s">
        <v>2929</v>
      </c>
      <c r="CZ62" s="3">
        <v>-3.1220487132668496E-2</v>
      </c>
      <c r="DA62" s="3">
        <v>8473.2795637198615</v>
      </c>
      <c r="DB62" s="3" t="s">
        <v>2930</v>
      </c>
      <c r="DC62" s="3">
        <v>-2.9659462776035071E-2</v>
      </c>
      <c r="DD62" s="3">
        <v>4236.6397818599307</v>
      </c>
      <c r="DE62" s="3" t="s">
        <v>2931</v>
      </c>
      <c r="DF62" s="3">
        <v>-2.7474028676748277E-2</v>
      </c>
      <c r="DG62" s="3">
        <v>2541.9838691159584</v>
      </c>
      <c r="DH62" s="3" t="s">
        <v>2932</v>
      </c>
      <c r="DI62" s="3">
        <v>-2.4976389706134798E-2</v>
      </c>
      <c r="DJ62" s="3">
        <v>1270.9919345579792</v>
      </c>
      <c r="DK62" s="3" t="s">
        <v>2933</v>
      </c>
      <c r="DL62" s="3">
        <v>-2.1854340992867947E-2</v>
      </c>
      <c r="DM62" s="3">
        <v>174200.00000000003</v>
      </c>
      <c r="DN62" s="3">
        <v>-3.1220487132668496E-2</v>
      </c>
      <c r="DO62" s="3">
        <v>4428135900</v>
      </c>
      <c r="DP62" s="3">
        <v>461756760</v>
      </c>
      <c r="DQ62" s="3">
        <v>2607</v>
      </c>
      <c r="DR62" s="3">
        <v>-0.46022205565461755</v>
      </c>
      <c r="DS62" s="3">
        <v>-1.2120931145048355</v>
      </c>
      <c r="DT62" s="12">
        <v>-0.52333333333333332</v>
      </c>
      <c r="DU62" s="3">
        <v>-0.32333333333333331</v>
      </c>
      <c r="DV62" s="3">
        <v>-0.84666666666666668</v>
      </c>
      <c r="DW62" s="3">
        <v>-5.2020046260601385</v>
      </c>
      <c r="DX62" s="3">
        <v>0.25854282115869143</v>
      </c>
      <c r="DY62" s="3">
        <v>-5.0199061057390724</v>
      </c>
      <c r="DZ62" s="3">
        <v>573</v>
      </c>
      <c r="EA62" s="3">
        <v>-5.017673972942891</v>
      </c>
      <c r="EB62" s="3">
        <v>5</v>
      </c>
      <c r="EC62" s="3">
        <v>9.780130496737581E-2</v>
      </c>
      <c r="ED62" s="3">
        <v>0.992475188120297</v>
      </c>
      <c r="EE62" s="13">
        <v>2.0891099999999998</v>
      </c>
      <c r="EF62" s="3">
        <v>2.1286100000000001</v>
      </c>
      <c r="EG62" s="3">
        <v>16.098542821158691</v>
      </c>
      <c r="EH62" s="3" t="s">
        <v>1148</v>
      </c>
      <c r="EI62" s="3">
        <v>0</v>
      </c>
      <c r="EJ62" s="3">
        <v>1</v>
      </c>
      <c r="EK62" s="15">
        <v>45470</v>
      </c>
      <c r="EL62" s="16">
        <v>-3.37</v>
      </c>
      <c r="EM62" s="16">
        <v>0.67</v>
      </c>
      <c r="EN62" s="16">
        <v>4.46</v>
      </c>
      <c r="EO62" s="16">
        <v>0.05</v>
      </c>
      <c r="EP62" s="16">
        <v>-3.95</v>
      </c>
    </row>
    <row r="63" spans="1:146" ht="96" x14ac:dyDescent="0.25">
      <c r="C63" s="7" t="str">
        <f>""&amp;CHAR(10)&amp;Basic_Fundamental_Information_Constructure(F63)&amp;CHAR(10)&amp;Basic_Fundamental_Information_Concatenate("")</f>
        <v xml:space="preserve">
市值19.375148亿, 利润-675.08万; PE; 平均PE62.8; 平均PEG19.61, PB2.15; ROIC5.705%; ROE4.9733%; 股利率0%; 毛利14.43%; 净利1.5267%; 上一年度营收增-59.21%, 利润增-120.93%; 当季营收增-12.34%, 利润增66.29%; 过往5年营收增-3.2%, 利润增7.34%
Income profile:
</v>
      </c>
      <c r="D63" s="3" t="s">
        <v>798</v>
      </c>
      <c r="E63" s="3" t="s">
        <v>799</v>
      </c>
      <c r="F63" s="3">
        <v>20.22</v>
      </c>
      <c r="G63" s="3">
        <v>-4.8899999999999997</v>
      </c>
      <c r="H63" s="3" t="s">
        <v>2934</v>
      </c>
      <c r="I63" s="3">
        <v>1937514800</v>
      </c>
      <c r="K63" s="3">
        <v>2.15</v>
      </c>
      <c r="L63" s="3" t="s">
        <v>285</v>
      </c>
      <c r="M63" s="3" t="s">
        <v>1480</v>
      </c>
      <c r="N63" s="3" t="s">
        <v>1367</v>
      </c>
      <c r="O63" s="3" t="s">
        <v>25</v>
      </c>
      <c r="P63" s="3">
        <v>104.95</v>
      </c>
      <c r="Q63" s="3" t="s">
        <v>25</v>
      </c>
      <c r="R63" s="3">
        <v>-6750780</v>
      </c>
      <c r="S63" s="5">
        <v>-2.1600000000000001E-2</v>
      </c>
      <c r="T63" s="3" t="s">
        <v>2935</v>
      </c>
      <c r="U63" s="3">
        <v>35971700</v>
      </c>
      <c r="V63" s="3">
        <v>95821700</v>
      </c>
      <c r="W63" s="3">
        <v>1.66</v>
      </c>
      <c r="X63" s="3">
        <v>0.14000000000000001</v>
      </c>
      <c r="Y63" s="3">
        <v>-4.3099999999999996</v>
      </c>
      <c r="Z63" s="3" t="s">
        <v>1060</v>
      </c>
      <c r="AA63" s="3" t="s">
        <v>74</v>
      </c>
      <c r="AB63" s="3" t="s">
        <v>2936</v>
      </c>
      <c r="AC63" s="3" t="s">
        <v>2937</v>
      </c>
      <c r="AD63" s="3" t="s">
        <v>4</v>
      </c>
      <c r="AE63" s="3">
        <v>1577931</v>
      </c>
      <c r="AF63" s="3" t="s">
        <v>2938</v>
      </c>
      <c r="AG63" s="3" t="s">
        <v>2939</v>
      </c>
      <c r="AH63" s="3" t="s">
        <v>2940</v>
      </c>
      <c r="AI63" s="3" t="s">
        <v>20</v>
      </c>
      <c r="AJ63" s="3" t="s">
        <v>2941</v>
      </c>
      <c r="AK63" s="3" t="s">
        <v>2942</v>
      </c>
      <c r="AL63" s="3" t="s">
        <v>2943</v>
      </c>
      <c r="AM63" s="3" t="s">
        <v>4</v>
      </c>
      <c r="AN63" s="3" t="s">
        <v>2944</v>
      </c>
      <c r="AO63" s="3" t="s">
        <v>60</v>
      </c>
      <c r="AP63" s="3" t="s">
        <v>2945</v>
      </c>
      <c r="AQ63" s="3" t="s">
        <v>2946</v>
      </c>
      <c r="AR63" s="3" t="s">
        <v>2947</v>
      </c>
      <c r="AS63" s="3" t="s">
        <v>363</v>
      </c>
      <c r="AT63" s="3" t="s">
        <v>4</v>
      </c>
      <c r="AU63" s="3" t="s">
        <v>2948</v>
      </c>
      <c r="AV63" s="3" t="s">
        <v>2949</v>
      </c>
      <c r="AW63" s="3" t="s">
        <v>53</v>
      </c>
      <c r="AX63" s="3" t="s">
        <v>6</v>
      </c>
      <c r="AY63" s="3" t="s">
        <v>199</v>
      </c>
      <c r="AZ63" s="3" t="s">
        <v>801</v>
      </c>
      <c r="BA63" s="3" t="s">
        <v>7</v>
      </c>
      <c r="BB63" s="3" t="s">
        <v>743</v>
      </c>
      <c r="BC63" s="3" t="s">
        <v>2950</v>
      </c>
      <c r="BD63" s="3" t="s">
        <v>800</v>
      </c>
      <c r="BE63" s="3" t="s">
        <v>802</v>
      </c>
      <c r="BF63" s="3" t="s">
        <v>803</v>
      </c>
      <c r="BG63" s="3" t="s">
        <v>804</v>
      </c>
      <c r="BH63" s="3" t="s">
        <v>2951</v>
      </c>
      <c r="BI63" s="3" t="s">
        <v>72</v>
      </c>
      <c r="BJ63" s="3" t="s">
        <v>6</v>
      </c>
      <c r="BK63" s="3" t="s">
        <v>2952</v>
      </c>
      <c r="BL63" s="3" t="s">
        <v>1469</v>
      </c>
      <c r="BM63" s="3" t="s">
        <v>2950</v>
      </c>
      <c r="BN63" s="3" t="s">
        <v>4</v>
      </c>
      <c r="BO63" s="3">
        <v>3.13</v>
      </c>
      <c r="BP63" s="3">
        <v>8.2799999999999994</v>
      </c>
      <c r="BQ63" s="3">
        <v>-3.42</v>
      </c>
      <c r="BR63" s="3">
        <v>3.32</v>
      </c>
      <c r="BS63" s="3">
        <v>15.02</v>
      </c>
      <c r="BT63" s="3" t="s">
        <v>1043</v>
      </c>
      <c r="BU63" s="3" t="s">
        <v>841</v>
      </c>
      <c r="BV63" s="3">
        <v>7.46</v>
      </c>
      <c r="BW63" s="3">
        <v>16</v>
      </c>
      <c r="BX63" s="3">
        <v>19.829999999999998</v>
      </c>
      <c r="BY63" s="3">
        <v>-10.7</v>
      </c>
      <c r="BZ63" s="3">
        <v>6.4</v>
      </c>
      <c r="CA63" s="3">
        <v>8.8800000000000008</v>
      </c>
      <c r="CB63" s="3">
        <v>-8.84</v>
      </c>
      <c r="CC63" s="3">
        <v>20.57</v>
      </c>
      <c r="CD63" s="3" t="s">
        <v>2953</v>
      </c>
      <c r="CE63" s="3" t="s">
        <v>1253</v>
      </c>
      <c r="CF63" s="10">
        <v>-0.12340425531914893</v>
      </c>
      <c r="CG63" s="11">
        <v>0.66285714285714281</v>
      </c>
      <c r="CH63" s="10">
        <v>-0.59207922220230103</v>
      </c>
      <c r="CI63" s="10">
        <v>-0.18019481003284454</v>
      </c>
      <c r="CJ63" s="10">
        <v>0.40639269351959229</v>
      </c>
      <c r="CK63" s="10">
        <v>-1.1286681517958641E-2</v>
      </c>
      <c r="CL63" s="10">
        <v>0.21703296899795532</v>
      </c>
      <c r="CM63" s="11">
        <v>-1.2092888355255127</v>
      </c>
      <c r="CN63" s="11">
        <v>-0.4099544882774353</v>
      </c>
      <c r="CO63" s="11">
        <v>0.34258073568344116</v>
      </c>
      <c r="CP63" s="11">
        <v>-0.13817860186100006</v>
      </c>
      <c r="CQ63" s="11">
        <v>1.7818005084991455</v>
      </c>
      <c r="CR63" s="3">
        <v>62.797686037736668</v>
      </c>
      <c r="CS63" s="3">
        <v>19.607726588653623</v>
      </c>
      <c r="CT63" s="3">
        <v>0</v>
      </c>
      <c r="CU63" s="10">
        <v>-3.2027010247111319E-2</v>
      </c>
      <c r="CV63" s="11">
        <v>7.3391863703727717E-2</v>
      </c>
      <c r="CW63" s="3">
        <v>0.06</v>
      </c>
      <c r="CX63" s="3" t="e">
        <v>#VALUE!</v>
      </c>
      <c r="CY63" s="3" t="s">
        <v>855</v>
      </c>
      <c r="CZ63" s="3">
        <v>-3.2027010247111319E-2</v>
      </c>
      <c r="DA63" s="3" t="e">
        <v>#VALUE!</v>
      </c>
      <c r="DB63" s="3" t="s">
        <v>853</v>
      </c>
      <c r="DC63" s="3">
        <v>-3.042565973475575E-2</v>
      </c>
      <c r="DD63" s="3" t="e">
        <v>#VALUE!</v>
      </c>
      <c r="DE63" s="3" t="s">
        <v>853</v>
      </c>
      <c r="DF63" s="3">
        <v>-2.818376901745796E-2</v>
      </c>
      <c r="DG63" s="3" t="e">
        <v>#VALUE!</v>
      </c>
      <c r="DH63" s="3" t="s">
        <v>853</v>
      </c>
      <c r="DI63" s="3">
        <v>-2.5621608197689057E-2</v>
      </c>
      <c r="DJ63" s="3" t="e">
        <v>#VALUE!</v>
      </c>
      <c r="DK63" s="3" t="s">
        <v>853</v>
      </c>
      <c r="DL63" s="3">
        <v>-2.2418907172977922E-2</v>
      </c>
      <c r="DM63" s="3">
        <v>-6750800</v>
      </c>
      <c r="DN63" s="3">
        <v>-3.2027010247111319E-2</v>
      </c>
      <c r="DO63" s="3">
        <v>1433514800</v>
      </c>
      <c r="DP63" s="3">
        <v>348953830</v>
      </c>
      <c r="DQ63" s="3">
        <v>2609</v>
      </c>
      <c r="DR63" s="3">
        <v>-9.1377245072037622E-2</v>
      </c>
      <c r="DS63" s="3">
        <v>0.58946527915341507</v>
      </c>
      <c r="DT63" s="12">
        <v>-0.52333333333333332</v>
      </c>
      <c r="DU63" s="3">
        <v>-1.0250000000000001</v>
      </c>
      <c r="DV63" s="3">
        <v>-1.5483333333333333</v>
      </c>
      <c r="DW63" s="3">
        <v>-7.300578034682081</v>
      </c>
      <c r="DX63" s="3">
        <v>0.46324726359832613</v>
      </c>
      <c r="DY63" s="3">
        <v>-7.0911494665151036</v>
      </c>
      <c r="DZ63" s="3">
        <v>1419</v>
      </c>
      <c r="EA63" s="3">
        <v>-7.0658380980249014</v>
      </c>
      <c r="EB63" s="3">
        <v>7</v>
      </c>
      <c r="EC63" s="3">
        <v>0.75636416385849969</v>
      </c>
      <c r="ED63" s="3">
        <v>2.4942158195899258</v>
      </c>
      <c r="EE63" s="13">
        <v>-2.0971000000000002</v>
      </c>
      <c r="EF63" s="3">
        <v>-2.1377999999999999</v>
      </c>
      <c r="EG63" s="3">
        <v>16.303247263598326</v>
      </c>
      <c r="EH63" s="3" t="s">
        <v>1551</v>
      </c>
      <c r="EI63" s="3">
        <v>0</v>
      </c>
      <c r="EJ63" s="3">
        <v>1</v>
      </c>
      <c r="EK63" s="15">
        <v>45470</v>
      </c>
      <c r="EL63" s="16">
        <v>2.41</v>
      </c>
      <c r="EM63" s="16">
        <v>3.03</v>
      </c>
      <c r="EN63" s="16">
        <v>-4.12</v>
      </c>
      <c r="EO63" s="16">
        <v>0</v>
      </c>
      <c r="EP63" s="16">
        <v>4.07</v>
      </c>
    </row>
    <row r="64" spans="1:146" ht="96" x14ac:dyDescent="0.25">
      <c r="C64" s="7" t="str">
        <f>""&amp;CHAR(10)&amp;Basic_Fundamental_Information_Constructure(F64)&amp;CHAR(10)&amp;Basic_Fundamental_Information_Concatenate("")</f>
        <v xml:space="preserve">
市值24.128258亿, 利润-687.42万; PE; 平均PE34.03; 平均PEG2.86, PB1.07; ROIC5.585%; ROE11.0133%; 股利率0%; 毛利26.9667%; 净利6.0233%; 上一年度营收增-82.93%, 利润增-110.76%; 当季营收增-54.22%, 利润增-627.82%; 过往5年营收增11.89%, 利润增376.28%
Income profile:
</v>
      </c>
      <c r="D64" s="3" t="s">
        <v>805</v>
      </c>
      <c r="E64" s="3" t="s">
        <v>806</v>
      </c>
      <c r="F64" s="3">
        <v>21</v>
      </c>
      <c r="G64" s="3">
        <v>0.53</v>
      </c>
      <c r="H64" s="3" t="s">
        <v>2954</v>
      </c>
      <c r="I64" s="3">
        <v>2412825800</v>
      </c>
      <c r="K64" s="3">
        <v>1.07</v>
      </c>
      <c r="L64" s="3" t="s">
        <v>285</v>
      </c>
      <c r="M64" s="3" t="s">
        <v>1100</v>
      </c>
      <c r="N64" s="3" t="s">
        <v>2955</v>
      </c>
      <c r="O64" s="3" t="s">
        <v>123</v>
      </c>
      <c r="P64" s="3">
        <v>-6.22</v>
      </c>
      <c r="Q64" s="3" t="s">
        <v>123</v>
      </c>
      <c r="R64" s="3">
        <v>-6874243</v>
      </c>
      <c r="S64" s="5">
        <v>-1.9950000000000001</v>
      </c>
      <c r="T64" s="3" t="s">
        <v>2956</v>
      </c>
      <c r="U64" s="3">
        <v>41176465</v>
      </c>
      <c r="V64" s="3">
        <v>114896465</v>
      </c>
      <c r="W64" s="3">
        <v>1.1100000000000001</v>
      </c>
      <c r="X64" s="3">
        <v>0.04</v>
      </c>
      <c r="Y64" s="3">
        <v>-6.22</v>
      </c>
      <c r="Z64" s="3" t="s">
        <v>35</v>
      </c>
      <c r="AA64" s="3" t="s">
        <v>2957</v>
      </c>
      <c r="AB64" s="3" t="s">
        <v>2958</v>
      </c>
      <c r="AC64" s="3" t="s">
        <v>2959</v>
      </c>
      <c r="AD64" s="3" t="s">
        <v>4</v>
      </c>
      <c r="AE64" s="3">
        <v>-4937218</v>
      </c>
      <c r="AF64" s="3" t="s">
        <v>2960</v>
      </c>
      <c r="AG64" s="3" t="s">
        <v>2961</v>
      </c>
      <c r="AH64" s="3" t="s">
        <v>2962</v>
      </c>
      <c r="AI64" s="3" t="s">
        <v>2963</v>
      </c>
      <c r="AJ64" s="3" t="s">
        <v>2964</v>
      </c>
      <c r="AK64" s="3" t="s">
        <v>2965</v>
      </c>
      <c r="AL64" s="3" t="s">
        <v>2966</v>
      </c>
      <c r="AM64" s="3" t="s">
        <v>4</v>
      </c>
      <c r="AN64" s="3" t="s">
        <v>1410</v>
      </c>
      <c r="AO64" s="3" t="s">
        <v>2967</v>
      </c>
      <c r="AP64" s="3" t="s">
        <v>2968</v>
      </c>
      <c r="AQ64" s="3" t="s">
        <v>95</v>
      </c>
      <c r="AR64" s="3" t="s">
        <v>4</v>
      </c>
      <c r="AS64" s="3" t="s">
        <v>25</v>
      </c>
      <c r="AT64" s="3" t="s">
        <v>4</v>
      </c>
      <c r="AU64" s="3" t="s">
        <v>2969</v>
      </c>
      <c r="AV64" s="3" t="s">
        <v>2970</v>
      </c>
      <c r="AW64" s="3" t="s">
        <v>2971</v>
      </c>
      <c r="AX64" s="3" t="s">
        <v>1281</v>
      </c>
      <c r="AY64" s="3" t="s">
        <v>766</v>
      </c>
      <c r="AZ64" s="3" t="s">
        <v>807</v>
      </c>
      <c r="BA64" s="3" t="s">
        <v>808</v>
      </c>
      <c r="BB64" s="3" t="s">
        <v>809</v>
      </c>
      <c r="BC64" s="3" t="s">
        <v>2972</v>
      </c>
      <c r="BD64" s="3" t="s">
        <v>8</v>
      </c>
      <c r="BE64" s="3" t="s">
        <v>106</v>
      </c>
      <c r="BF64" s="3" t="s">
        <v>811</v>
      </c>
      <c r="BG64" s="3" t="s">
        <v>812</v>
      </c>
      <c r="BH64" s="3" t="s">
        <v>1073</v>
      </c>
      <c r="BI64" s="3" t="s">
        <v>1055</v>
      </c>
      <c r="BJ64" s="3" t="s">
        <v>1281</v>
      </c>
      <c r="BK64" s="3" t="s">
        <v>2973</v>
      </c>
      <c r="BL64" s="3" t="s">
        <v>1472</v>
      </c>
      <c r="BM64" s="3" t="s">
        <v>2972</v>
      </c>
      <c r="BN64" s="3" t="s">
        <v>4</v>
      </c>
      <c r="BO64" s="3">
        <v>1.69</v>
      </c>
      <c r="BP64" s="3">
        <v>9.48</v>
      </c>
      <c r="BQ64" s="3">
        <v>-0.06</v>
      </c>
      <c r="BR64" s="3">
        <v>2.78</v>
      </c>
      <c r="BS64" s="3">
        <v>30.32</v>
      </c>
      <c r="BT64" s="3" t="s">
        <v>1043</v>
      </c>
      <c r="BU64" s="3" t="s">
        <v>916</v>
      </c>
      <c r="BV64" s="3">
        <v>24.09</v>
      </c>
      <c r="BW64" s="3">
        <v>25.91</v>
      </c>
      <c r="BX64" s="3">
        <v>30.9</v>
      </c>
      <c r="BY64" s="3">
        <v>-4.43</v>
      </c>
      <c r="BZ64" s="3">
        <v>9.51</v>
      </c>
      <c r="CA64" s="3">
        <v>12.99</v>
      </c>
      <c r="CB64" s="3">
        <v>-9.68</v>
      </c>
      <c r="CC64" s="3">
        <v>-5.75</v>
      </c>
      <c r="CD64" s="3" t="s">
        <v>2974</v>
      </c>
      <c r="CE64" s="3" t="s">
        <v>2975</v>
      </c>
      <c r="CF64" s="10">
        <v>-0.54216867469879537</v>
      </c>
      <c r="CG64" s="11">
        <v>-6.278182106934886</v>
      </c>
      <c r="CH64" s="10">
        <v>-0.82934129238128662</v>
      </c>
      <c r="CI64" s="10">
        <v>-0.30271399021148682</v>
      </c>
      <c r="CJ64" s="10">
        <v>-0.11623616516590118</v>
      </c>
      <c r="CK64" s="10">
        <v>1.053030252456665</v>
      </c>
      <c r="CL64" s="10">
        <v>0.78983050584793091</v>
      </c>
      <c r="CM64" s="11">
        <v>-1.1076184511184692</v>
      </c>
      <c r="CN64" s="11">
        <v>-0.48487338423728943</v>
      </c>
      <c r="CO64" s="11">
        <v>-0.3575129508972168</v>
      </c>
      <c r="CP64" s="11">
        <v>2.9571723937988281</v>
      </c>
      <c r="CQ64" s="11">
        <v>17.807003021240234</v>
      </c>
      <c r="CR64" s="3">
        <v>34.034033669748709</v>
      </c>
      <c r="CS64" s="3">
        <v>2.8620745358097408</v>
      </c>
      <c r="CT64" s="3">
        <v>0</v>
      </c>
      <c r="CU64" s="10">
        <v>0.11891386210918427</v>
      </c>
      <c r="CV64" s="11">
        <v>3.7628341257572173</v>
      </c>
      <c r="CW64" s="3">
        <v>0.06</v>
      </c>
      <c r="CX64" s="3" t="e">
        <v>#VALUE!</v>
      </c>
      <c r="CY64" s="3" t="s">
        <v>855</v>
      </c>
      <c r="CZ64" s="3">
        <v>0.11891386210918427</v>
      </c>
      <c r="DA64" s="3" t="e">
        <v>#VALUE!</v>
      </c>
      <c r="DB64" s="3" t="s">
        <v>853</v>
      </c>
      <c r="DC64" s="3">
        <v>0.11296816900372506</v>
      </c>
      <c r="DD64" s="3" t="e">
        <v>#VALUE!</v>
      </c>
      <c r="DE64" s="3" t="s">
        <v>853</v>
      </c>
      <c r="DF64" s="3">
        <v>0.10464419865608215</v>
      </c>
      <c r="DG64" s="3" t="e">
        <v>#VALUE!</v>
      </c>
      <c r="DH64" s="3" t="s">
        <v>853</v>
      </c>
      <c r="DI64" s="3">
        <v>9.5131089687347417E-2</v>
      </c>
      <c r="DJ64" s="3" t="e">
        <v>#VALUE!</v>
      </c>
      <c r="DK64" s="3" t="s">
        <v>853</v>
      </c>
      <c r="DL64" s="3">
        <v>8.3239703476428978E-2</v>
      </c>
      <c r="DM64" s="3">
        <v>-6874200</v>
      </c>
      <c r="DN64" s="3">
        <v>0.11891386210918427</v>
      </c>
      <c r="DO64" s="3">
        <v>467825800</v>
      </c>
      <c r="DP64" s="3">
        <v>1077234680</v>
      </c>
      <c r="DQ64" s="3">
        <v>2615</v>
      </c>
      <c r="DR64" s="3">
        <v>-0.66108253680797968</v>
      </c>
      <c r="DS64" s="3">
        <v>-10.041016232692103</v>
      </c>
      <c r="DT64" s="12">
        <v>-0.49000000000000005</v>
      </c>
      <c r="DU64" s="3">
        <v>-1.1986666666666668</v>
      </c>
      <c r="DV64" s="3">
        <v>-1.6886666666666668</v>
      </c>
      <c r="DW64" s="3">
        <v>-5.5940082644628095</v>
      </c>
      <c r="DX64" s="3">
        <v>0.32861224389775728</v>
      </c>
      <c r="DY64" s="3">
        <v>-5.0823368184310027</v>
      </c>
      <c r="DZ64" s="3">
        <v>1882</v>
      </c>
      <c r="EA64" s="3">
        <v>-5.0520123776703088</v>
      </c>
      <c r="EB64" s="3">
        <v>5</v>
      </c>
      <c r="EC64" s="3">
        <v>0.1181550711764718</v>
      </c>
      <c r="ED64" s="3">
        <v>0.85241438890221732</v>
      </c>
      <c r="EE64" s="13">
        <v>4.0164099999999996</v>
      </c>
      <c r="EF64" s="3">
        <v>4.0449099999999998</v>
      </c>
      <c r="EG64" s="3">
        <v>19.138612243897757</v>
      </c>
      <c r="EH64" s="3" t="s">
        <v>1280</v>
      </c>
      <c r="EI64" s="3">
        <v>0</v>
      </c>
      <c r="EJ64" s="3">
        <v>0</v>
      </c>
      <c r="EK64" s="15">
        <v>45470</v>
      </c>
      <c r="EL64" s="16">
        <v>0.13</v>
      </c>
      <c r="EM64" s="16">
        <v>-4.7</v>
      </c>
      <c r="EN64" s="16">
        <v>1.04</v>
      </c>
      <c r="EO64" s="16">
        <v>3.78</v>
      </c>
      <c r="EP64" s="16">
        <v>-2.85</v>
      </c>
    </row>
    <row r="65" spans="1:146" ht="96" x14ac:dyDescent="0.25">
      <c r="A65" s="3"/>
      <c r="B65" s="3"/>
      <c r="C65" s="7" t="str">
        <f>""&amp;CHAR(10)&amp;Basic_Fundamental_Information_Constructure(F65)&amp;CHAR(10)&amp;Basic_Fundamental_Information_Concatenate("")</f>
        <v xml:space="preserve">
市值35.230656亿, 利润4793.55万; PE21.99; 平均PE41.14; 平均PEG13.29, PB2; ROIC14.5433%; ROE18.4367%; 股利率2.7732%; 毛利25.5033%; 净利12.9367%; 上一年度营收增-65.52%, 利润增-56.42%; 当季营收增-39.7%, 利润增-35.88%; 过往5年营收增3.1%, 利润增8.16%
Income profile:
</v>
      </c>
      <c r="D65" s="3" t="s">
        <v>1081</v>
      </c>
      <c r="E65" s="3" t="s">
        <v>1082</v>
      </c>
      <c r="F65" s="3">
        <v>36.06</v>
      </c>
      <c r="G65" s="3">
        <v>0.47</v>
      </c>
      <c r="H65" s="3" t="s">
        <v>2976</v>
      </c>
      <c r="I65" s="3">
        <v>3523065600</v>
      </c>
      <c r="J65" s="3">
        <v>21.99</v>
      </c>
      <c r="K65" s="3">
        <v>2</v>
      </c>
      <c r="L65" s="3" t="s">
        <v>285</v>
      </c>
      <c r="M65" s="3" t="s">
        <v>1416</v>
      </c>
      <c r="N65" s="3" t="s">
        <v>1396</v>
      </c>
      <c r="O65" s="3" t="s">
        <v>1140</v>
      </c>
      <c r="P65" s="3">
        <v>31.01</v>
      </c>
      <c r="Q65" s="3" t="s">
        <v>1140</v>
      </c>
      <c r="R65" s="3">
        <v>47935462</v>
      </c>
      <c r="S65" s="3">
        <v>0.38219999999999998</v>
      </c>
      <c r="T65" s="3" t="s">
        <v>2977</v>
      </c>
      <c r="U65" s="3">
        <v>26412600</v>
      </c>
      <c r="V65" s="3">
        <v>97700100</v>
      </c>
      <c r="W65" s="3">
        <v>1.33</v>
      </c>
      <c r="X65" s="3">
        <v>0.15</v>
      </c>
      <c r="Y65" s="3">
        <v>14.22</v>
      </c>
      <c r="Z65" s="3" t="s">
        <v>809</v>
      </c>
      <c r="AA65" s="3" t="s">
        <v>2978</v>
      </c>
      <c r="AB65" s="3" t="s">
        <v>2979</v>
      </c>
      <c r="AC65" s="3" t="s">
        <v>2980</v>
      </c>
      <c r="AD65" s="3" t="s">
        <v>4</v>
      </c>
      <c r="AE65" s="3">
        <v>-9669404</v>
      </c>
      <c r="AF65" s="3" t="s">
        <v>2981</v>
      </c>
      <c r="AG65" s="3">
        <v>7732.96</v>
      </c>
      <c r="AH65" s="3" t="s">
        <v>2982</v>
      </c>
      <c r="AI65" s="3" t="s">
        <v>1361</v>
      </c>
      <c r="AJ65" s="3" t="s">
        <v>2983</v>
      </c>
      <c r="AK65" s="3" t="s">
        <v>67</v>
      </c>
      <c r="AL65" s="3" t="s">
        <v>2984</v>
      </c>
      <c r="AM65" s="3" t="s">
        <v>4</v>
      </c>
      <c r="AN65" s="3" t="s">
        <v>2985</v>
      </c>
      <c r="AO65" s="3" t="s">
        <v>2986</v>
      </c>
      <c r="AP65" s="3" t="s">
        <v>243</v>
      </c>
      <c r="AQ65" s="3" t="s">
        <v>43</v>
      </c>
      <c r="AR65" s="3" t="s">
        <v>2987</v>
      </c>
      <c r="AS65" s="3" t="s">
        <v>1076</v>
      </c>
      <c r="AT65" s="3" t="s">
        <v>4</v>
      </c>
      <c r="AU65" s="3" t="s">
        <v>2988</v>
      </c>
      <c r="AV65" s="3" t="s">
        <v>95</v>
      </c>
      <c r="AW65" s="3" t="s">
        <v>2989</v>
      </c>
      <c r="AX65" s="3" t="s">
        <v>1201</v>
      </c>
      <c r="AY65" s="3" t="s">
        <v>1057</v>
      </c>
      <c r="AZ65" s="3" t="s">
        <v>281</v>
      </c>
      <c r="BA65" s="3" t="s">
        <v>858</v>
      </c>
      <c r="BB65" s="3" t="s">
        <v>236</v>
      </c>
      <c r="BC65" s="3" t="s">
        <v>95</v>
      </c>
      <c r="BD65" s="3" t="s">
        <v>105</v>
      </c>
      <c r="BE65" s="3" t="s">
        <v>83</v>
      </c>
      <c r="BF65" s="3" t="s">
        <v>1085</v>
      </c>
      <c r="BG65" s="3" t="s">
        <v>1086</v>
      </c>
      <c r="BH65" s="3" t="s">
        <v>2990</v>
      </c>
      <c r="BI65" s="3" t="s">
        <v>931</v>
      </c>
      <c r="BJ65" s="3" t="s">
        <v>1201</v>
      </c>
      <c r="BK65" s="3" t="s">
        <v>167</v>
      </c>
      <c r="BL65" s="3" t="s">
        <v>1474</v>
      </c>
      <c r="BM65" s="3" t="s">
        <v>95</v>
      </c>
      <c r="BN65" s="3">
        <v>5.64</v>
      </c>
      <c r="BO65" s="3">
        <v>10.54</v>
      </c>
      <c r="BP65" s="3">
        <v>27.45</v>
      </c>
      <c r="BQ65" s="3">
        <v>6.43</v>
      </c>
      <c r="BR65" s="3">
        <v>18.93</v>
      </c>
      <c r="BS65" s="3">
        <v>29.95</v>
      </c>
      <c r="BT65" s="3" t="s">
        <v>2991</v>
      </c>
      <c r="BU65" s="3" t="s">
        <v>841</v>
      </c>
      <c r="BV65" s="3">
        <v>25.7</v>
      </c>
      <c r="BW65" s="3">
        <v>23.69</v>
      </c>
      <c r="BX65" s="3">
        <v>27.12</v>
      </c>
      <c r="BY65" s="3">
        <v>13.22</v>
      </c>
      <c r="BZ65" s="3">
        <v>11.66</v>
      </c>
      <c r="CA65" s="3">
        <v>13.93</v>
      </c>
      <c r="CB65" s="3">
        <v>-7.06</v>
      </c>
      <c r="CC65" s="1">
        <v>-12.26</v>
      </c>
      <c r="CD65" s="1" t="s">
        <v>2992</v>
      </c>
      <c r="CE65" s="1" t="s">
        <v>2993</v>
      </c>
      <c r="CF65" s="10">
        <v>-0.39698492462311558</v>
      </c>
      <c r="CG65" s="11">
        <v>-0.35881984395669952</v>
      </c>
      <c r="CH65" s="10">
        <v>-0.65517240762710571</v>
      </c>
      <c r="CI65" s="10">
        <v>-6.6603235900402069E-3</v>
      </c>
      <c r="CJ65" s="10">
        <v>0.48236954212188721</v>
      </c>
      <c r="CK65" s="10">
        <v>0.13078150153160095</v>
      </c>
      <c r="CL65" s="10">
        <v>0.20345489680767059</v>
      </c>
      <c r="CM65" s="11">
        <v>-0.56422275304794312</v>
      </c>
      <c r="CN65" s="11">
        <v>-0.19708029925823212</v>
      </c>
      <c r="CO65" s="11">
        <v>0.31730768084526062</v>
      </c>
      <c r="CP65" s="11">
        <v>0.67546284198760986</v>
      </c>
      <c r="CQ65" s="11">
        <v>0.17673465609550476</v>
      </c>
      <c r="CR65" s="1">
        <v>41.144683017827859</v>
      </c>
      <c r="CS65" s="1">
        <v>13.291926690283926</v>
      </c>
      <c r="CT65" s="1">
        <v>2.7731558513588461</v>
      </c>
      <c r="CU65" s="10">
        <v>3.0954641848802568E-2</v>
      </c>
      <c r="CV65" s="11">
        <v>8.1640425324440005E-2</v>
      </c>
      <c r="CW65" s="3">
        <v>0.06</v>
      </c>
      <c r="CX65" s="3">
        <v>47.575507704232955</v>
      </c>
      <c r="CY65" s="3">
        <v>46622005.881455913</v>
      </c>
      <c r="CZ65" s="3">
        <v>3.0954641848802568E-2</v>
      </c>
      <c r="DA65" s="3">
        <v>16.34968124641393</v>
      </c>
      <c r="DB65" s="3">
        <v>135664149.44551295</v>
      </c>
      <c r="DC65" s="3">
        <v>2.940690975636244E-2</v>
      </c>
      <c r="DD65" s="3">
        <v>8.5952904016156335</v>
      </c>
      <c r="DE65" s="3">
        <v>258055923.22780347</v>
      </c>
      <c r="DF65" s="3">
        <v>2.7240084826946259E-2</v>
      </c>
      <c r="DG65" s="3">
        <v>5.5465549021453073</v>
      </c>
      <c r="DH65" s="3">
        <v>399899692.53564811</v>
      </c>
      <c r="DI65" s="3">
        <v>2.4763713479042056E-2</v>
      </c>
      <c r="DJ65" s="3">
        <v>3.330381285381685</v>
      </c>
      <c r="DK65" s="3">
        <v>666009507.60080743</v>
      </c>
      <c r="DL65" s="3">
        <v>2.1668249294161796E-2</v>
      </c>
      <c r="DM65" s="3">
        <v>47935500</v>
      </c>
      <c r="DN65" s="3">
        <v>3.0954641848802568E-2</v>
      </c>
      <c r="DO65" s="3">
        <v>2218065600</v>
      </c>
      <c r="DP65" s="3">
        <v>1483203100</v>
      </c>
      <c r="DQ65" s="12">
        <v>2687</v>
      </c>
      <c r="DR65" s="3">
        <v>-0.42793956647191816</v>
      </c>
      <c r="DS65" s="3">
        <v>-0.44046026928113952</v>
      </c>
      <c r="DT65" s="3">
        <v>-0.54</v>
      </c>
      <c r="DU65" s="3">
        <v>-7.0000000000000021E-2</v>
      </c>
      <c r="DV65" s="3">
        <v>-0.6100000000000001</v>
      </c>
      <c r="DW65" s="3">
        <v>-9.5758564437194131</v>
      </c>
      <c r="DX65" s="3">
        <v>0.32944863378821043</v>
      </c>
      <c r="DY65" s="3">
        <v>-9.0975780876463919</v>
      </c>
      <c r="DZ65" s="3">
        <v>2301</v>
      </c>
      <c r="EA65" s="3">
        <v>-9.0536393049312558</v>
      </c>
      <c r="EB65" s="13">
        <v>9</v>
      </c>
      <c r="EC65" s="3">
        <v>7.1414461192977285E-2</v>
      </c>
      <c r="ED65" s="3">
        <v>0.42145197394884959</v>
      </c>
      <c r="EE65" s="3">
        <v>-1.103</v>
      </c>
      <c r="EF65" s="3">
        <v>1.0031000000000001</v>
      </c>
      <c r="EG65" s="3">
        <v>16.16944863378821</v>
      </c>
      <c r="EH65" s="15" t="s">
        <v>1108</v>
      </c>
      <c r="EI65" s="16">
        <v>0</v>
      </c>
      <c r="EJ65" s="16">
        <v>0</v>
      </c>
      <c r="EK65" s="16">
        <v>45470</v>
      </c>
      <c r="EL65" s="16">
        <v>-1.23</v>
      </c>
      <c r="EM65" s="16">
        <v>-6.01</v>
      </c>
      <c r="EN65" s="16">
        <v>20.010000000000002</v>
      </c>
      <c r="EO65" s="16">
        <v>20</v>
      </c>
      <c r="EP65" s="16">
        <v>20.010000000000002</v>
      </c>
    </row>
    <row r="66" spans="1:146" ht="96" x14ac:dyDescent="0.25">
      <c r="A66" s="3"/>
      <c r="B66" s="3"/>
      <c r="C66" s="7" t="str">
        <f>""&amp;CHAR(10)&amp;Basic_Fundamental_Information_Constructure(F66)&amp;CHAR(10)&amp;Basic_Fundamental_Information_Concatenate("")</f>
        <v xml:space="preserve">
市值49.290795亿, 利润439.90万; PE113.3; 平均PE123.71; 平均PEG11.94, PB4.74; ROIC6.9033%; ROE11.1233%; 股利率.39%; 毛利23.4167%; 净利7.8767%; 上一年度营收增-74.58%, 利润增-91.06%; 当季营收增-49.5%, 利润增4.81%; 过往5年营收增-10.36%, 利润增.5%
Income profile:
</v>
      </c>
      <c r="D66" s="3" t="s">
        <v>951</v>
      </c>
      <c r="E66" s="3" t="s">
        <v>952</v>
      </c>
      <c r="F66" s="3">
        <v>23.85</v>
      </c>
      <c r="G66" s="3">
        <v>1.23</v>
      </c>
      <c r="H66" s="3" t="s">
        <v>2994</v>
      </c>
      <c r="I66" s="3">
        <v>4929079500</v>
      </c>
      <c r="J66" s="3">
        <v>113.3</v>
      </c>
      <c r="K66" s="3">
        <v>4.74</v>
      </c>
      <c r="L66" s="3" t="s">
        <v>285</v>
      </c>
      <c r="M66" s="3" t="s">
        <v>936</v>
      </c>
      <c r="N66" s="3" t="s">
        <v>270</v>
      </c>
      <c r="O66" s="3" t="s">
        <v>56</v>
      </c>
      <c r="P66" s="3">
        <v>30.13</v>
      </c>
      <c r="Q66" s="3" t="s">
        <v>56</v>
      </c>
      <c r="R66" s="3">
        <v>4399036</v>
      </c>
      <c r="S66" s="3">
        <v>1.5429999999999999</v>
      </c>
      <c r="T66" s="3" t="s">
        <v>2995</v>
      </c>
      <c r="U66" s="3">
        <v>78709808</v>
      </c>
      <c r="V66" s="3">
        <v>206670000</v>
      </c>
      <c r="W66" s="3">
        <v>1.8</v>
      </c>
      <c r="X66" s="3">
        <v>0.08</v>
      </c>
      <c r="Y66" s="3">
        <v>2.92</v>
      </c>
      <c r="Z66" s="3" t="s">
        <v>2996</v>
      </c>
      <c r="AA66" s="3" t="s">
        <v>64</v>
      </c>
      <c r="AB66" s="3" t="s">
        <v>2997</v>
      </c>
      <c r="AC66" s="3" t="s">
        <v>2998</v>
      </c>
      <c r="AD66" s="3" t="s">
        <v>4</v>
      </c>
      <c r="AE66" s="3">
        <v>635950</v>
      </c>
      <c r="AF66" s="3" t="s">
        <v>2999</v>
      </c>
      <c r="AG66" s="3">
        <v>0.3</v>
      </c>
      <c r="AH66" s="3" t="s">
        <v>3000</v>
      </c>
      <c r="AI66" s="3" t="s">
        <v>3001</v>
      </c>
      <c r="AJ66" s="3" t="s">
        <v>3002</v>
      </c>
      <c r="AK66" s="3" t="s">
        <v>3003</v>
      </c>
      <c r="AL66" s="3" t="s">
        <v>3004</v>
      </c>
      <c r="AM66" s="3" t="s">
        <v>4</v>
      </c>
      <c r="AN66" s="3" t="s">
        <v>3005</v>
      </c>
      <c r="AO66" s="3" t="s">
        <v>920</v>
      </c>
      <c r="AP66" s="3" t="s">
        <v>3006</v>
      </c>
      <c r="AQ66" s="3" t="s">
        <v>857</v>
      </c>
      <c r="AR66" s="3" t="s">
        <v>4</v>
      </c>
      <c r="AS66" s="3" t="s">
        <v>3007</v>
      </c>
      <c r="AT66" s="3" t="s">
        <v>3008</v>
      </c>
      <c r="AU66" s="3" t="s">
        <v>3009</v>
      </c>
      <c r="AV66" s="3" t="s">
        <v>3010</v>
      </c>
      <c r="AW66" s="3" t="s">
        <v>3011</v>
      </c>
      <c r="AX66" s="3" t="s">
        <v>938</v>
      </c>
      <c r="AY66" s="3" t="s">
        <v>864</v>
      </c>
      <c r="AZ66" s="3" t="s">
        <v>740</v>
      </c>
      <c r="BA66" s="3" t="s">
        <v>93</v>
      </c>
      <c r="BB66" s="3" t="s">
        <v>852</v>
      </c>
      <c r="BC66" s="3" t="s">
        <v>3012</v>
      </c>
      <c r="BD66" s="3" t="s">
        <v>953</v>
      </c>
      <c r="BE66" s="3" t="s">
        <v>954</v>
      </c>
      <c r="BF66" s="3" t="s">
        <v>955</v>
      </c>
      <c r="BG66" s="3" t="s">
        <v>956</v>
      </c>
      <c r="BH66" s="3" t="s">
        <v>576</v>
      </c>
      <c r="BI66" s="3" t="s">
        <v>129</v>
      </c>
      <c r="BJ66" s="3" t="s">
        <v>938</v>
      </c>
      <c r="BK66" s="3" t="s">
        <v>3013</v>
      </c>
      <c r="BL66" s="3" t="s">
        <v>1477</v>
      </c>
      <c r="BM66" s="3" t="s">
        <v>3012</v>
      </c>
      <c r="BN66" s="3">
        <v>2</v>
      </c>
      <c r="BO66" s="3">
        <v>6.45</v>
      </c>
      <c r="BP66" s="3">
        <v>12.26</v>
      </c>
      <c r="BQ66" s="3">
        <v>2.31</v>
      </c>
      <c r="BR66" s="3">
        <v>9.59</v>
      </c>
      <c r="BS66" s="3">
        <v>21.47</v>
      </c>
      <c r="BT66" s="3" t="s">
        <v>3014</v>
      </c>
      <c r="BU66" s="3" t="s">
        <v>841</v>
      </c>
      <c r="BV66" s="3">
        <v>19.59</v>
      </c>
      <c r="BW66" s="3">
        <v>23.67</v>
      </c>
      <c r="BX66" s="3">
        <v>26.99</v>
      </c>
      <c r="BY66" s="3">
        <v>4.04</v>
      </c>
      <c r="BZ66" s="3">
        <v>9.14</v>
      </c>
      <c r="CA66" s="3">
        <v>10.45</v>
      </c>
      <c r="CB66" s="3">
        <v>-8.59</v>
      </c>
      <c r="CC66" s="1">
        <v>1.2</v>
      </c>
      <c r="CD66" s="1" t="s">
        <v>3015</v>
      </c>
      <c r="CE66" s="1" t="s">
        <v>99</v>
      </c>
      <c r="CF66" s="10">
        <v>-0.49498327759197325</v>
      </c>
      <c r="CG66" s="11">
        <v>4.8088249309063184E-2</v>
      </c>
      <c r="CH66" s="10">
        <v>-0.74579125642776489</v>
      </c>
      <c r="CI66" s="10">
        <v>-3.8834951817989349E-2</v>
      </c>
      <c r="CJ66" s="10">
        <v>2.1487602964043617E-2</v>
      </c>
      <c r="CK66" s="10">
        <v>0.25518673658370972</v>
      </c>
      <c r="CL66" s="10">
        <v>-1.0266940109431744E-2</v>
      </c>
      <c r="CM66" s="11">
        <v>-0.91057652235031128</v>
      </c>
      <c r="CN66" s="11">
        <v>-0.21447333693504333</v>
      </c>
      <c r="CO66" s="11">
        <v>4.0587224066257477E-2</v>
      </c>
      <c r="CP66" s="11">
        <v>0.59424573183059692</v>
      </c>
      <c r="CQ66" s="11">
        <v>0.51518630981445313</v>
      </c>
      <c r="CR66" s="1">
        <v>123.71121380938557</v>
      </c>
      <c r="CS66" s="1">
        <v>11.936194876260849</v>
      </c>
      <c r="CT66" s="1">
        <v>0.3899698113207547</v>
      </c>
      <c r="CU66" s="10">
        <v>-0.10364376176148653</v>
      </c>
      <c r="CV66" s="11">
        <v>4.9938812851905824E-3</v>
      </c>
      <c r="CW66" s="3">
        <v>0.06</v>
      </c>
      <c r="CX66" s="3">
        <v>1065.7148215503523</v>
      </c>
      <c r="CY66" s="3" t="s">
        <v>3016</v>
      </c>
      <c r="CZ66" s="3">
        <v>-0.10364376176148653</v>
      </c>
      <c r="DA66" s="3">
        <v>355.23827385011742</v>
      </c>
      <c r="DB66" s="3" t="s">
        <v>3017</v>
      </c>
      <c r="DC66" s="3">
        <v>-9.8461573673412198E-2</v>
      </c>
      <c r="DD66" s="3">
        <v>177.61913692505871</v>
      </c>
      <c r="DE66" s="3" t="s">
        <v>3018</v>
      </c>
      <c r="DF66" s="3">
        <v>-9.1206510350108141E-2</v>
      </c>
      <c r="DG66" s="3">
        <v>106.57148215503524</v>
      </c>
      <c r="DH66" s="3" t="s">
        <v>3019</v>
      </c>
      <c r="DI66" s="3">
        <v>-8.2915009409189222E-2</v>
      </c>
      <c r="DJ66" s="3">
        <v>53.285741077517621</v>
      </c>
      <c r="DK66" s="3" t="s">
        <v>3020</v>
      </c>
      <c r="DL66" s="3">
        <v>-7.2550633233040562E-2</v>
      </c>
      <c r="DM66" s="3">
        <v>4399000</v>
      </c>
      <c r="DN66" s="3">
        <v>-0.10364376176148653</v>
      </c>
      <c r="DO66" s="3">
        <v>4688079500</v>
      </c>
      <c r="DP66" s="3">
        <v>311284880</v>
      </c>
      <c r="DQ66" s="12">
        <v>2691</v>
      </c>
      <c r="DR66" s="3">
        <v>-0.39133951583048671</v>
      </c>
      <c r="DS66" s="3">
        <v>4.3094368023872599E-2</v>
      </c>
      <c r="DT66" s="3">
        <v>-0.65666666666666662</v>
      </c>
      <c r="DU66" s="3">
        <v>-0.26666666666666666</v>
      </c>
      <c r="DV66" s="3">
        <v>-0.92333333333333334</v>
      </c>
      <c r="DW66" s="3">
        <v>-5.1396973224679856</v>
      </c>
      <c r="DX66" s="3">
        <v>0.33274260869565186</v>
      </c>
      <c r="DY66" s="3">
        <v>-5.0227347066862382</v>
      </c>
      <c r="DZ66" s="3">
        <v>431</v>
      </c>
      <c r="EA66" s="3">
        <v>-5.0208171609755201</v>
      </c>
      <c r="EB66" s="13">
        <v>5</v>
      </c>
      <c r="EC66" s="3">
        <v>9.0556926501185464E-2</v>
      </c>
      <c r="ED66" s="3">
        <v>0.55644263802196736</v>
      </c>
      <c r="EE66" s="3">
        <v>1.1599999999999999E-2</v>
      </c>
      <c r="EF66" s="3">
        <v>3.010000000000001E-3</v>
      </c>
      <c r="EG66" s="3">
        <v>17.162742608695652</v>
      </c>
      <c r="EH66" s="15">
        <v>-1</v>
      </c>
      <c r="EI66" s="16">
        <v>0</v>
      </c>
      <c r="EJ66" s="16">
        <v>1</v>
      </c>
      <c r="EK66" s="16">
        <v>45470</v>
      </c>
      <c r="EL66" s="16">
        <v>0.68</v>
      </c>
      <c r="EM66" s="16">
        <v>-4.83</v>
      </c>
      <c r="EN66" s="16">
        <v>0.18</v>
      </c>
      <c r="EO66" s="16">
        <v>2.75</v>
      </c>
      <c r="EP66" s="16">
        <v>-1.46</v>
      </c>
    </row>
    <row r="67" spans="1:146" ht="180" x14ac:dyDescent="0.25">
      <c r="C67" s="7" t="str">
        <f>"公司的主营业务是为客户提供包括产品设计研发、材料选型验证、模具设计、试制、测试、量产等一系列服务。公司主要产品为消费电子精密功能件和结构件，产品主要应用于平板电脑、笔记本电脑、一体机电脑、智能家居、3D打印、无人机等消费电子产品领域。"&amp;CHAR(10)&amp;Basic_Fundamental_Information_Constructure(F67)&amp;CHAR(10)&amp;Basic_Fundamental_Information_Concatenate("精密功能件及结构件 3.08亿 94.30% 5935.76万 94.58% 19.27%
其他业务 987.24万 3.02% 447.54万 7.13% 45.33%
碳纳米管 876.26万 2.68% -107.34万 -1.71% -12.25%")</f>
        <v>公司的主营业务是为客户提供包括产品设计研发、材料选型验证、模具设计、试制、测试、量产等一系列服务。公司主要产品为消费电子精密功能件和结构件，产品主要应用于平板电脑、笔记本电脑、一体机电脑、智能家居、3D打印、无人机等消费电子产品领域。
市值21.065867亿, 利润-507.81万; PE; 平均PE40.5; 平均PEG16.15, PB1.6; ROIC12.325%; ROE10.7%; 股利率0%; 毛利25.8433%; 净利2.52%; 上一年度营收增-84.24%, 利润增-105.92%; 当季营收增-50.15%, 利润增50%; 过往5年营收增2.51%, 利润增599.91%
Income profile:
精密功能件及结构件 3.08亿 94.30% 5935.76万 94.58% 19.27%
其他业务 987.24万 3.02% 447.54万 7.13% 45.33%
碳纳米管 876.26万 2.68% -107.34万 -1.71% -12.25%</v>
      </c>
      <c r="D67" s="3" t="s">
        <v>943</v>
      </c>
      <c r="E67" s="3" t="s">
        <v>1087</v>
      </c>
      <c r="F67" s="3">
        <v>29.18</v>
      </c>
      <c r="G67" s="3">
        <v>0.79</v>
      </c>
      <c r="H67" s="3" t="s">
        <v>3021</v>
      </c>
      <c r="I67" s="3">
        <v>2106586700</v>
      </c>
      <c r="K67" s="3">
        <v>1.6</v>
      </c>
      <c r="L67" s="3" t="s">
        <v>285</v>
      </c>
      <c r="M67" s="3" t="s">
        <v>2744</v>
      </c>
      <c r="N67" s="3" t="s">
        <v>3022</v>
      </c>
      <c r="O67" s="3" t="s">
        <v>116</v>
      </c>
      <c r="P67" s="3">
        <v>13.95</v>
      </c>
      <c r="Q67" s="3" t="s">
        <v>116</v>
      </c>
      <c r="R67" s="3">
        <v>-5078064</v>
      </c>
      <c r="S67" s="3">
        <v>0.5726</v>
      </c>
      <c r="T67" s="3" t="s">
        <v>3023</v>
      </c>
      <c r="U67" s="3">
        <v>26875368</v>
      </c>
      <c r="V67" s="3">
        <v>72192828</v>
      </c>
      <c r="W67" s="3">
        <v>1.2</v>
      </c>
      <c r="X67" s="3">
        <v>0.1</v>
      </c>
      <c r="Y67" s="3">
        <v>-3.61</v>
      </c>
      <c r="Z67" s="3" t="s">
        <v>80</v>
      </c>
      <c r="AA67" s="3" t="s">
        <v>53</v>
      </c>
      <c r="AB67" s="3" t="s">
        <v>3024</v>
      </c>
      <c r="AC67" s="3" t="s">
        <v>3025</v>
      </c>
      <c r="AD67" s="3" t="s">
        <v>4</v>
      </c>
      <c r="AE67" s="3">
        <v>-821740</v>
      </c>
      <c r="AF67" s="3" t="s">
        <v>3026</v>
      </c>
      <c r="AG67" s="3">
        <v>9839.41</v>
      </c>
      <c r="AH67" s="3" t="s">
        <v>3027</v>
      </c>
      <c r="AI67" s="3" t="s">
        <v>22</v>
      </c>
      <c r="AJ67" s="3" t="s">
        <v>3028</v>
      </c>
      <c r="AK67" s="3" t="s">
        <v>3029</v>
      </c>
      <c r="AL67" s="3" t="s">
        <v>3030</v>
      </c>
      <c r="AM67" s="3" t="s">
        <v>4</v>
      </c>
      <c r="AN67" s="3" t="s">
        <v>3031</v>
      </c>
      <c r="AO67" s="3" t="s">
        <v>3032</v>
      </c>
      <c r="AP67" s="3" t="s">
        <v>4</v>
      </c>
      <c r="AQ67" s="3" t="s">
        <v>139</v>
      </c>
      <c r="AR67" s="3" t="s">
        <v>4</v>
      </c>
      <c r="AS67" s="3" t="s">
        <v>1891</v>
      </c>
      <c r="AT67" s="3" t="s">
        <v>4</v>
      </c>
      <c r="AU67" s="3" t="s">
        <v>3033</v>
      </c>
      <c r="AV67" s="3" t="s">
        <v>3034</v>
      </c>
      <c r="AW67" s="3" t="s">
        <v>3035</v>
      </c>
      <c r="AX67" s="3" t="s">
        <v>1276</v>
      </c>
      <c r="AY67" s="3" t="s">
        <v>256</v>
      </c>
      <c r="AZ67" s="3" t="s">
        <v>287</v>
      </c>
      <c r="BA67" s="3" t="s">
        <v>517</v>
      </c>
      <c r="BB67" s="3" t="s">
        <v>933</v>
      </c>
      <c r="BC67" s="3" t="s">
        <v>1284</v>
      </c>
      <c r="BD67" s="3" t="s">
        <v>944</v>
      </c>
      <c r="BE67" s="3" t="s">
        <v>945</v>
      </c>
      <c r="BF67" s="3" t="s">
        <v>946</v>
      </c>
      <c r="BG67" s="3" t="s">
        <v>947</v>
      </c>
      <c r="BH67" s="3" t="s">
        <v>1341</v>
      </c>
      <c r="BI67" s="3" t="s">
        <v>469</v>
      </c>
      <c r="BJ67" s="3" t="s">
        <v>1276</v>
      </c>
      <c r="BK67" s="3" t="s">
        <v>3036</v>
      </c>
      <c r="BL67" s="3" t="s">
        <v>1482</v>
      </c>
      <c r="BM67" s="3" t="s">
        <v>1284</v>
      </c>
      <c r="BN67" s="3" t="s">
        <v>4</v>
      </c>
      <c r="BO67" s="3">
        <v>7.36</v>
      </c>
      <c r="BP67" s="3">
        <v>17.29</v>
      </c>
      <c r="BQ67" s="3">
        <v>-1.18</v>
      </c>
      <c r="BR67" s="3">
        <v>11.64</v>
      </c>
      <c r="BS67" s="3">
        <v>21.64</v>
      </c>
      <c r="BT67" s="3" t="s">
        <v>1043</v>
      </c>
      <c r="BU67" s="3" t="s">
        <v>841</v>
      </c>
      <c r="BV67" s="3">
        <v>21.57</v>
      </c>
      <c r="BW67" s="3">
        <v>28.5</v>
      </c>
      <c r="BX67" s="3">
        <v>27.46</v>
      </c>
      <c r="BY67" s="3">
        <v>-8.77</v>
      </c>
      <c r="BZ67" s="3">
        <v>7.38</v>
      </c>
      <c r="CA67" s="3">
        <v>8.9499999999999993</v>
      </c>
      <c r="CB67" s="3">
        <v>-10.33</v>
      </c>
      <c r="CC67" s="1">
        <v>-5.44</v>
      </c>
      <c r="CD67" s="1" t="s">
        <v>3037</v>
      </c>
      <c r="CE67" s="1" t="s">
        <v>3038</v>
      </c>
      <c r="CF67" s="10">
        <v>-0.50152905198776754</v>
      </c>
      <c r="CG67" s="11">
        <v>0.50001339057146232</v>
      </c>
      <c r="CH67" s="10">
        <v>-0.84235978126525879</v>
      </c>
      <c r="CI67" s="10">
        <v>3.2967034727334976E-2</v>
      </c>
      <c r="CJ67" s="10">
        <v>0.16802801191806793</v>
      </c>
      <c r="CK67" s="10">
        <v>0.41186162829399109</v>
      </c>
      <c r="CL67" s="10">
        <v>0.35491070151329041</v>
      </c>
      <c r="CM67" s="11">
        <v>-1.0591579675674438</v>
      </c>
      <c r="CN67" s="11">
        <v>-9.9108763039112091E-2</v>
      </c>
      <c r="CO67" s="11">
        <v>0.36488154530525208</v>
      </c>
      <c r="CP67" s="11">
        <v>1.8304882571101189E-2</v>
      </c>
      <c r="CQ67" s="11">
        <v>30.77058219909668</v>
      </c>
      <c r="CR67" s="1">
        <v>40.497212506936691</v>
      </c>
      <c r="CS67" s="1">
        <v>16.146235978136861</v>
      </c>
      <c r="CT67" s="1">
        <v>0</v>
      </c>
      <c r="CU67" s="10">
        <v>2.5081519037485123E-2</v>
      </c>
      <c r="CV67" s="11">
        <v>5.9991003792732958</v>
      </c>
      <c r="CW67" s="3">
        <v>0.06</v>
      </c>
      <c r="CX67" s="3" t="e">
        <v>#VALUE!</v>
      </c>
      <c r="CY67" s="3" t="s">
        <v>855</v>
      </c>
      <c r="CZ67" s="3">
        <v>2.5081519037485123E-2</v>
      </c>
      <c r="DA67" s="3" t="e">
        <v>#VALUE!</v>
      </c>
      <c r="DB67" s="3" t="s">
        <v>853</v>
      </c>
      <c r="DC67" s="3">
        <v>2.3827443085610866E-2</v>
      </c>
      <c r="DD67" s="3" t="e">
        <v>#VALUE!</v>
      </c>
      <c r="DE67" s="3" t="s">
        <v>853</v>
      </c>
      <c r="DF67" s="3">
        <v>2.2071736752986907E-2</v>
      </c>
      <c r="DG67" s="3" t="e">
        <v>#VALUE!</v>
      </c>
      <c r="DH67" s="3" t="s">
        <v>853</v>
      </c>
      <c r="DI67" s="3">
        <v>2.0065215229988099E-2</v>
      </c>
      <c r="DJ67" s="3" t="e">
        <v>#VALUE!</v>
      </c>
      <c r="DK67" s="3" t="s">
        <v>853</v>
      </c>
      <c r="DL67" s="3">
        <v>1.7557063326239585E-2</v>
      </c>
      <c r="DM67" s="3">
        <v>-5078100</v>
      </c>
      <c r="DN67" s="3">
        <v>2.5081519037485123E-2</v>
      </c>
      <c r="DO67" s="3">
        <v>1030586700</v>
      </c>
      <c r="DP67" s="3">
        <v>609227820</v>
      </c>
      <c r="DQ67" s="3">
        <v>2729</v>
      </c>
      <c r="DR67" s="3">
        <v>-0.52661057102525266</v>
      </c>
      <c r="DS67" s="3">
        <v>-5.4990869887018334</v>
      </c>
      <c r="DT67" s="12">
        <v>-0.42333333333333339</v>
      </c>
      <c r="DU67" s="3">
        <v>-0.41666666666666674</v>
      </c>
      <c r="DV67" s="3">
        <v>-0.84000000000000008</v>
      </c>
      <c r="DW67" s="3">
        <v>-5.5266214908034854</v>
      </c>
      <c r="DX67" s="3">
        <v>0.40113764196091017</v>
      </c>
      <c r="DY67" s="3">
        <v>-5.1533193390384664</v>
      </c>
      <c r="DZ67" s="3">
        <v>1</v>
      </c>
      <c r="EA67" s="3">
        <v>-5.1532893352539189</v>
      </c>
      <c r="EB67" s="3">
        <v>5</v>
      </c>
      <c r="EC67" s="3">
        <v>0.36724008096759969</v>
      </c>
      <c r="ED67" s="3">
        <v>1.2613967692192358</v>
      </c>
      <c r="EE67" s="13">
        <v>7.3100000000000005E-3</v>
      </c>
      <c r="EF67" s="3">
        <v>4.0310000000000006E-2</v>
      </c>
      <c r="EG67" s="3">
        <v>11.29113764196091</v>
      </c>
      <c r="EH67" s="3">
        <v>-1</v>
      </c>
      <c r="EI67" s="3">
        <v>0</v>
      </c>
      <c r="EJ67" s="3">
        <v>1</v>
      </c>
      <c r="EK67" s="15">
        <v>45470</v>
      </c>
      <c r="EL67" s="16">
        <v>0.22</v>
      </c>
      <c r="EM67" s="16">
        <v>-5.31</v>
      </c>
      <c r="EN67" s="16">
        <v>-0.54</v>
      </c>
      <c r="EO67" s="16">
        <v>4.34</v>
      </c>
      <c r="EP67" s="16">
        <v>-3.3</v>
      </c>
    </row>
    <row r="68" spans="1:146" ht="96" x14ac:dyDescent="0.25">
      <c r="A68" s="3"/>
      <c r="B68" s="3"/>
      <c r="C68" s="7" t="str">
        <f>""&amp;CHAR(10)&amp;Basic_Fundamental_Information_Constructure(F68)&amp;CHAR(10)&amp;Basic_Fundamental_Information_Concatenate("")</f>
        <v xml:space="preserve">
市值31.86144亿, 利润1736.09万; PE44.38; 平均PE46.18; 平均PEG5.33, PB2.02; ROIC12.79%; ROE10.94%; 股利率1.2821%; 毛利28.2367%; 净利10.4367%; 上一年度营收增-78.72%, 利润增-82%; 当季营收增-51.56%, 利润增-54.43%; 过往5年营收增-8.67%, 利润增7.25%
Income profile:
</v>
      </c>
      <c r="D68" s="3" t="s">
        <v>1286</v>
      </c>
      <c r="E68" s="3" t="s">
        <v>1287</v>
      </c>
      <c r="F68" s="3">
        <v>18.72</v>
      </c>
      <c r="G68" s="3">
        <v>6.91</v>
      </c>
      <c r="H68" s="3" t="s">
        <v>3039</v>
      </c>
      <c r="I68" s="3">
        <v>3186144000</v>
      </c>
      <c r="J68" s="3">
        <v>44.38</v>
      </c>
      <c r="K68" s="3">
        <v>2.02</v>
      </c>
      <c r="L68" s="3" t="s">
        <v>285</v>
      </c>
      <c r="M68" s="3" t="s">
        <v>3040</v>
      </c>
      <c r="N68" s="3" t="s">
        <v>3041</v>
      </c>
      <c r="O68" s="3" t="s">
        <v>194</v>
      </c>
      <c r="P68" s="5">
        <v>0.56000000000000005</v>
      </c>
      <c r="Q68" s="3" t="s">
        <v>194</v>
      </c>
      <c r="R68" s="3">
        <v>17360904</v>
      </c>
      <c r="S68" s="3">
        <v>-4.2099999999999999E-2</v>
      </c>
      <c r="T68" s="3" t="s">
        <v>3042</v>
      </c>
      <c r="U68" s="3">
        <v>43000000</v>
      </c>
      <c r="V68" s="3">
        <v>170200000</v>
      </c>
      <c r="W68" s="3">
        <v>1.1299999999999999</v>
      </c>
      <c r="X68" s="3">
        <v>0.1</v>
      </c>
      <c r="Y68" s="3">
        <v>9.34</v>
      </c>
      <c r="Z68" s="3" t="s">
        <v>116</v>
      </c>
      <c r="AA68" s="3" t="s">
        <v>105</v>
      </c>
      <c r="AB68" s="3" t="s">
        <v>3043</v>
      </c>
      <c r="AC68" s="3" t="s">
        <v>3044</v>
      </c>
      <c r="AD68" s="3" t="s">
        <v>4</v>
      </c>
      <c r="AE68" s="3">
        <v>-4578065</v>
      </c>
      <c r="AF68" s="3" t="s">
        <v>3045</v>
      </c>
      <c r="AG68" s="3" t="s">
        <v>3046</v>
      </c>
      <c r="AH68" s="3" t="s">
        <v>3047</v>
      </c>
      <c r="AI68" s="3" t="s">
        <v>3048</v>
      </c>
      <c r="AJ68" s="3" t="s">
        <v>3049</v>
      </c>
      <c r="AK68" s="3" t="s">
        <v>3050</v>
      </c>
      <c r="AL68" s="3" t="s">
        <v>3051</v>
      </c>
      <c r="AM68" s="3" t="s">
        <v>4</v>
      </c>
      <c r="AN68" s="3" t="s">
        <v>3052</v>
      </c>
      <c r="AO68" s="3" t="s">
        <v>3053</v>
      </c>
      <c r="AP68" s="3" t="s">
        <v>4</v>
      </c>
      <c r="AQ68" s="3" t="s">
        <v>247</v>
      </c>
      <c r="AR68" s="3" t="s">
        <v>4</v>
      </c>
      <c r="AS68" s="3" t="s">
        <v>25</v>
      </c>
      <c r="AT68" s="3" t="s">
        <v>4</v>
      </c>
      <c r="AU68" s="3" t="s">
        <v>3054</v>
      </c>
      <c r="AV68" s="3" t="s">
        <v>3055</v>
      </c>
      <c r="AW68" s="3" t="s">
        <v>3056</v>
      </c>
      <c r="AX68" s="3" t="s">
        <v>101</v>
      </c>
      <c r="AY68" s="3" t="s">
        <v>642</v>
      </c>
      <c r="AZ68" s="3" t="s">
        <v>234</v>
      </c>
      <c r="BA68" s="3" t="s">
        <v>226</v>
      </c>
      <c r="BB68" s="3" t="s">
        <v>248</v>
      </c>
      <c r="BC68" s="3" t="s">
        <v>1288</v>
      </c>
      <c r="BD68" s="3" t="s">
        <v>83</v>
      </c>
      <c r="BE68" s="3" t="s">
        <v>23</v>
      </c>
      <c r="BF68" s="3" t="s">
        <v>1289</v>
      </c>
      <c r="BG68" s="3" t="s">
        <v>1290</v>
      </c>
      <c r="BH68" s="3" t="s">
        <v>260</v>
      </c>
      <c r="BI68" s="3" t="s">
        <v>166</v>
      </c>
      <c r="BJ68" s="3" t="s">
        <v>101</v>
      </c>
      <c r="BK68" s="3" t="s">
        <v>3057</v>
      </c>
      <c r="BL68" s="3" t="s">
        <v>1485</v>
      </c>
      <c r="BM68" s="3" t="s">
        <v>1288</v>
      </c>
      <c r="BN68" s="3">
        <v>3.96</v>
      </c>
      <c r="BO68" s="3">
        <v>15.32</v>
      </c>
      <c r="BP68" s="3">
        <v>19.09</v>
      </c>
      <c r="BQ68" s="3">
        <v>6.14</v>
      </c>
      <c r="BR68" s="3">
        <v>15.74</v>
      </c>
      <c r="BS68" s="3" t="s">
        <v>4</v>
      </c>
      <c r="BT68" s="3" t="s">
        <v>3058</v>
      </c>
      <c r="BU68" s="3" t="s">
        <v>841</v>
      </c>
      <c r="BV68" s="3">
        <v>28.39</v>
      </c>
      <c r="BW68" s="3">
        <v>27.58</v>
      </c>
      <c r="BX68" s="3">
        <v>28.74</v>
      </c>
      <c r="BY68" s="3">
        <v>9.3699999999999992</v>
      </c>
      <c r="BZ68" s="3">
        <v>11.04</v>
      </c>
      <c r="CA68" s="3">
        <v>10.9</v>
      </c>
      <c r="CB68" s="3">
        <v>-3.16</v>
      </c>
      <c r="CC68" s="1">
        <v>-5.5</v>
      </c>
      <c r="CD68" s="1" t="s">
        <v>3059</v>
      </c>
      <c r="CE68" s="1" t="s">
        <v>1300</v>
      </c>
      <c r="CF68" s="10">
        <v>-0.515625</v>
      </c>
      <c r="CG68" s="11">
        <v>-0.54431050367341149</v>
      </c>
      <c r="CH68" s="10">
        <v>-0.78718537092208862</v>
      </c>
      <c r="CI68" s="10">
        <v>-8.0967403948307037E-2</v>
      </c>
      <c r="CJ68" s="10">
        <v>9.5622122287750244E-2</v>
      </c>
      <c r="CK68" s="10">
        <v>0.19889502227306366</v>
      </c>
      <c r="CL68" s="10">
        <v>0.14015747606754303</v>
      </c>
      <c r="CM68" s="11">
        <v>-0.81997418403625488</v>
      </c>
      <c r="CN68" s="11">
        <v>-7.2734616696834564E-2</v>
      </c>
      <c r="CO68" s="11">
        <v>1.9607843831181526E-2</v>
      </c>
      <c r="CP68" s="11">
        <v>0.88626909255981445</v>
      </c>
      <c r="CQ68" s="11">
        <v>0.34954029321670532</v>
      </c>
      <c r="CR68" s="1">
        <v>46.182615046068193</v>
      </c>
      <c r="CS68" s="1">
        <v>5.3269829856617719</v>
      </c>
      <c r="CT68" s="3">
        <v>1.2820512820512822</v>
      </c>
      <c r="CU68" s="10">
        <v>-8.6695630848407743E-2</v>
      </c>
      <c r="CV68" s="11">
        <v>7.2541685774922371E-2</v>
      </c>
      <c r="CW68" s="3">
        <v>0.06</v>
      </c>
      <c r="CX68" s="3">
        <v>105.24477417645399</v>
      </c>
      <c r="CY68" s="3" t="s">
        <v>3060</v>
      </c>
      <c r="CZ68" s="3">
        <v>-8.6695630848407743E-2</v>
      </c>
      <c r="DA68" s="3">
        <v>35.081591392151331</v>
      </c>
      <c r="DB68" s="3" t="s">
        <v>3061</v>
      </c>
      <c r="DC68" s="3">
        <v>-8.2360849305987346E-2</v>
      </c>
      <c r="DD68" s="3">
        <v>17.540795696075666</v>
      </c>
      <c r="DE68" s="3" t="s">
        <v>3062</v>
      </c>
      <c r="DF68" s="3">
        <v>-7.6292155146598817E-2</v>
      </c>
      <c r="DG68" s="3">
        <v>10.524477417645398</v>
      </c>
      <c r="DH68" s="3" t="s">
        <v>3063</v>
      </c>
      <c r="DI68" s="3">
        <v>-6.93565046787262E-2</v>
      </c>
      <c r="DJ68" s="3">
        <v>5.2622387088226992</v>
      </c>
      <c r="DK68" s="3" t="s">
        <v>3064</v>
      </c>
      <c r="DL68" s="3">
        <v>-6.0686941593885414E-2</v>
      </c>
      <c r="DM68" s="3">
        <v>17360900</v>
      </c>
      <c r="DN68" s="3">
        <v>-8.6695630848407743E-2</v>
      </c>
      <c r="DO68" s="3">
        <v>1827144000</v>
      </c>
      <c r="DP68" s="3">
        <v>1361232900</v>
      </c>
      <c r="DQ68" s="12">
        <v>2732</v>
      </c>
      <c r="DR68" s="3">
        <v>-0.42892936915159224</v>
      </c>
      <c r="DS68" s="3">
        <v>-0.61685218944833387</v>
      </c>
      <c r="DT68" s="3">
        <v>-0.65666666666666662</v>
      </c>
      <c r="DU68" s="3">
        <v>-0.22</v>
      </c>
      <c r="DV68" s="3">
        <v>-0.87666666666666659</v>
      </c>
      <c r="DW68" s="3">
        <v>-8.5745454545454542</v>
      </c>
      <c r="DX68" s="3">
        <v>0.58770441176470656</v>
      </c>
      <c r="DY68" s="3">
        <v>-8.0446447165775403</v>
      </c>
      <c r="DZ68" s="3">
        <v>1111</v>
      </c>
      <c r="EA68" s="3">
        <v>-8.0349382038343613</v>
      </c>
      <c r="EB68" s="13">
        <v>8</v>
      </c>
      <c r="EC68" s="13">
        <v>0.12418096357226792</v>
      </c>
      <c r="ED68" s="3">
        <v>1.5981198589894241</v>
      </c>
      <c r="EE68" s="3">
        <v>-1.0138100000000001</v>
      </c>
      <c r="EF68" s="3">
        <v>-1.03071</v>
      </c>
      <c r="EG68" s="3">
        <v>51.077704411764707</v>
      </c>
      <c r="EH68" s="15" t="s">
        <v>1113</v>
      </c>
      <c r="EI68" s="3">
        <v>0</v>
      </c>
      <c r="EJ68" s="3">
        <v>1</v>
      </c>
      <c r="EK68" s="3">
        <v>45470</v>
      </c>
      <c r="EL68" s="3">
        <v>0.42</v>
      </c>
      <c r="EM68" s="3">
        <v>-6.09</v>
      </c>
      <c r="EN68" s="16">
        <v>-1.23</v>
      </c>
      <c r="EO68" s="16">
        <v>3.76</v>
      </c>
      <c r="EP68" s="16">
        <v>-1.69</v>
      </c>
    </row>
    <row r="69" spans="1:146" ht="96" x14ac:dyDescent="0.25">
      <c r="A69" s="3"/>
      <c r="B69" s="3"/>
      <c r="C69" s="7" t="str">
        <f>""&amp;CHAR(10)&amp;Basic_Fundamental_Information_Constructure(F69)&amp;CHAR(10)&amp;Basic_Fundamental_Information_Concatenate("")</f>
        <v xml:space="preserve">
市值39.959464亿, 利润4034.72万; PE25.4; 平均PE70.8; 平均PEG4.09, PB2.09; ROIC17.4167%; ROE12.835%; 股利率1.467%; 毛利19.0267%; 净利7.7367%; 上一年度营收增-63.23%, 利润增-39.65%; 当季营收增-42.82%, 利润增-25.11%; 过往5年营收增17.32%, 利润增149.75%
Income profile:
</v>
      </c>
      <c r="D69" s="3" t="s">
        <v>1292</v>
      </c>
      <c r="E69" s="3" t="s">
        <v>1293</v>
      </c>
      <c r="F69" s="3">
        <v>24.54</v>
      </c>
      <c r="G69" s="3">
        <v>0.12</v>
      </c>
      <c r="H69" s="3" t="s">
        <v>3065</v>
      </c>
      <c r="I69" s="3">
        <v>3995946400</v>
      </c>
      <c r="J69" s="3">
        <v>25.4</v>
      </c>
      <c r="K69" s="3">
        <v>2.09</v>
      </c>
      <c r="L69" s="3" t="s">
        <v>285</v>
      </c>
      <c r="M69" s="3" t="s">
        <v>3066</v>
      </c>
      <c r="N69" s="3" t="s">
        <v>3067</v>
      </c>
      <c r="O69" s="3" t="s">
        <v>474</v>
      </c>
      <c r="P69" s="5">
        <v>52.21</v>
      </c>
      <c r="Q69" s="3" t="s">
        <v>474</v>
      </c>
      <c r="R69" s="3">
        <v>40347152</v>
      </c>
      <c r="S69" s="3">
        <v>1.1120000000000001</v>
      </c>
      <c r="T69" s="3" t="s">
        <v>3068</v>
      </c>
      <c r="U69" s="3">
        <v>64043000</v>
      </c>
      <c r="V69" s="3">
        <v>162834000</v>
      </c>
      <c r="W69" s="3">
        <v>1.29</v>
      </c>
      <c r="X69" s="3">
        <v>0.16</v>
      </c>
      <c r="Y69" s="3">
        <v>9.8800000000000008</v>
      </c>
      <c r="Z69" s="3" t="s">
        <v>3069</v>
      </c>
      <c r="AA69" s="3" t="s">
        <v>854</v>
      </c>
      <c r="AB69" s="3" t="s">
        <v>3070</v>
      </c>
      <c r="AC69" s="3" t="s">
        <v>3071</v>
      </c>
      <c r="AD69" s="3" t="s">
        <v>4</v>
      </c>
      <c r="AE69" s="3">
        <v>-7101890</v>
      </c>
      <c r="AF69" s="3" t="s">
        <v>3072</v>
      </c>
      <c r="AG69" s="3" t="s">
        <v>3073</v>
      </c>
      <c r="AH69" s="3" t="s">
        <v>3074</v>
      </c>
      <c r="AI69" s="3" t="s">
        <v>1342</v>
      </c>
      <c r="AJ69" s="3" t="s">
        <v>3075</v>
      </c>
      <c r="AK69" s="3" t="s">
        <v>4</v>
      </c>
      <c r="AL69" s="3" t="s">
        <v>3076</v>
      </c>
      <c r="AM69" s="3" t="s">
        <v>4</v>
      </c>
      <c r="AN69" s="3" t="s">
        <v>3077</v>
      </c>
      <c r="AO69" s="3" t="s">
        <v>4</v>
      </c>
      <c r="AP69" s="3" t="s">
        <v>3078</v>
      </c>
      <c r="AQ69" s="3" t="s">
        <v>3079</v>
      </c>
      <c r="AR69" s="3" t="s">
        <v>3080</v>
      </c>
      <c r="AS69" s="3" t="s">
        <v>91</v>
      </c>
      <c r="AT69" s="3">
        <v>2497.67</v>
      </c>
      <c r="AU69" s="3" t="s">
        <v>53</v>
      </c>
      <c r="AV69" s="3" t="s">
        <v>3081</v>
      </c>
      <c r="AW69" s="3" t="s">
        <v>3082</v>
      </c>
      <c r="AX69" s="3" t="s">
        <v>1294</v>
      </c>
      <c r="AY69" s="3" t="s">
        <v>1296</v>
      </c>
      <c r="AZ69" s="3" t="s">
        <v>1260</v>
      </c>
      <c r="BA69" s="3" t="s">
        <v>278</v>
      </c>
      <c r="BB69" s="3" t="s">
        <v>1249</v>
      </c>
      <c r="BC69" s="3" t="s">
        <v>1295</v>
      </c>
      <c r="BD69" s="3" t="s">
        <v>26</v>
      </c>
      <c r="BE69" s="3" t="s">
        <v>1297</v>
      </c>
      <c r="BF69" s="3" t="s">
        <v>1298</v>
      </c>
      <c r="BG69" s="3" t="s">
        <v>1299</v>
      </c>
      <c r="BH69" s="3" t="s">
        <v>3083</v>
      </c>
      <c r="BI69" s="3" t="s">
        <v>226</v>
      </c>
      <c r="BJ69" s="3" t="s">
        <v>1294</v>
      </c>
      <c r="BK69" s="3" t="s">
        <v>63</v>
      </c>
      <c r="BL69" s="3" t="s">
        <v>1486</v>
      </c>
      <c r="BM69" s="3" t="s">
        <v>1295</v>
      </c>
      <c r="BN69" s="3">
        <v>7.48</v>
      </c>
      <c r="BO69" s="3">
        <v>12.38</v>
      </c>
      <c r="BP69" s="3">
        <v>32.39</v>
      </c>
      <c r="BQ69" s="3">
        <v>11.34</v>
      </c>
      <c r="BR69" s="3">
        <v>14.33</v>
      </c>
      <c r="BS69" s="3" t="s">
        <v>4</v>
      </c>
      <c r="BT69" s="3" t="s">
        <v>3084</v>
      </c>
      <c r="BU69" s="3" t="s">
        <v>841</v>
      </c>
      <c r="BV69" s="3">
        <v>20.309999999999999</v>
      </c>
      <c r="BW69" s="3">
        <v>18.79</v>
      </c>
      <c r="BX69" s="3">
        <v>17.98</v>
      </c>
      <c r="BY69" s="3">
        <v>7.78</v>
      </c>
      <c r="BZ69" s="3">
        <v>6.03</v>
      </c>
      <c r="CA69" s="3">
        <v>9.4</v>
      </c>
      <c r="CB69" s="3">
        <v>-6.05</v>
      </c>
      <c r="CC69" s="1">
        <v>-8.7200000000000006</v>
      </c>
      <c r="CD69" s="1" t="s">
        <v>3085</v>
      </c>
      <c r="CE69" s="1" t="s">
        <v>3086</v>
      </c>
      <c r="CF69" s="10">
        <v>-0.42817679558011057</v>
      </c>
      <c r="CG69" s="11">
        <v>-0.25111918717959186</v>
      </c>
      <c r="CH69" s="10">
        <v>-0.63232684135437012</v>
      </c>
      <c r="CI69" s="10">
        <v>-0.20198445022106171</v>
      </c>
      <c r="CJ69" s="10">
        <v>0.12340769171714783</v>
      </c>
      <c r="CK69" s="10">
        <v>1.2671480178833008</v>
      </c>
      <c r="CL69" s="10">
        <v>0.30969268083572388</v>
      </c>
      <c r="CM69" s="11">
        <v>-0.39646711945533752</v>
      </c>
      <c r="CN69" s="11">
        <v>-0.49354773759841919</v>
      </c>
      <c r="CO69" s="11">
        <v>0.75164592266082764</v>
      </c>
      <c r="CP69" s="11">
        <v>8.1017208099365234</v>
      </c>
      <c r="CQ69" s="11">
        <v>-0.47585827112197876</v>
      </c>
      <c r="CR69" s="1">
        <v>70.801489757034474</v>
      </c>
      <c r="CS69" s="1">
        <v>4.0881427675395576</v>
      </c>
      <c r="CT69" s="3">
        <v>1.4669926650366749</v>
      </c>
      <c r="CU69" s="10">
        <v>0.17318741977214813</v>
      </c>
      <c r="CV69" s="11">
        <v>1.4974987208843231</v>
      </c>
      <c r="CW69" s="3">
        <v>0.06</v>
      </c>
      <c r="CX69" s="3">
        <v>61.894874049941414</v>
      </c>
      <c r="CY69" s="3">
        <v>44655497.606632844</v>
      </c>
      <c r="CZ69" s="3">
        <v>0.17318741977214813</v>
      </c>
      <c r="DA69" s="3">
        <v>18.863718461437092</v>
      </c>
      <c r="DB69" s="3">
        <v>146521822.07078141</v>
      </c>
      <c r="DC69" s="3">
        <v>0.16452804878354071</v>
      </c>
      <c r="DD69" s="3">
        <v>8.4353396845733037</v>
      </c>
      <c r="DE69" s="3">
        <v>327662726.49988872</v>
      </c>
      <c r="DF69" s="3">
        <v>0.15240492939949035</v>
      </c>
      <c r="DG69" s="3">
        <v>4.5273712186425294</v>
      </c>
      <c r="DH69" s="3">
        <v>610496967.56006932</v>
      </c>
      <c r="DI69" s="3">
        <v>0.13854993581771852</v>
      </c>
      <c r="DJ69" s="3">
        <v>1.8032796888226768</v>
      </c>
      <c r="DK69" s="3">
        <v>1532733062.5037551</v>
      </c>
      <c r="DL69" s="3">
        <v>0.12123119384050368</v>
      </c>
      <c r="DM69" s="3">
        <v>40347200</v>
      </c>
      <c r="DN69" s="3">
        <v>0.17318741977214813</v>
      </c>
      <c r="DO69" s="3">
        <v>2763946400</v>
      </c>
      <c r="DP69" s="3">
        <v>1486864900</v>
      </c>
      <c r="DQ69" s="12">
        <v>2771</v>
      </c>
      <c r="DR69" s="3">
        <v>-0.6013642153522587</v>
      </c>
      <c r="DS69" s="3">
        <v>-1.748617908063915</v>
      </c>
      <c r="DT69" s="3">
        <v>-0.59</v>
      </c>
      <c r="DU69" s="3">
        <v>7.4999999999999997E-2</v>
      </c>
      <c r="DV69" s="3">
        <v>-0.51500000000000001</v>
      </c>
      <c r="DW69" s="3">
        <v>-9.6938073394495419</v>
      </c>
      <c r="DX69" s="3">
        <v>0.32184366211974413</v>
      </c>
      <c r="DY69" s="3">
        <v>-9.1400406142000516</v>
      </c>
      <c r="DZ69" s="3">
        <v>433</v>
      </c>
      <c r="EA69" s="3">
        <v>-9.128174159024196</v>
      </c>
      <c r="EB69" s="13">
        <v>9</v>
      </c>
      <c r="EC69" s="13">
        <v>0.1062296571968999</v>
      </c>
      <c r="ED69" s="3">
        <v>0.52629671935836497</v>
      </c>
      <c r="EE69" s="3">
        <v>4.0579000000000001</v>
      </c>
      <c r="EF69" s="3">
        <v>4.0412999999999997</v>
      </c>
      <c r="EG69" s="3">
        <v>12.201843662119744</v>
      </c>
      <c r="EH69" s="15" t="s">
        <v>1569</v>
      </c>
      <c r="EI69" s="3">
        <v>0</v>
      </c>
      <c r="EJ69" s="3">
        <v>1</v>
      </c>
      <c r="EK69" s="3">
        <v>45470</v>
      </c>
      <c r="EL69" s="3">
        <v>-1.61</v>
      </c>
      <c r="EM69" s="3">
        <v>-6.5</v>
      </c>
      <c r="EN69" s="16">
        <v>-0.73</v>
      </c>
      <c r="EO69" s="16">
        <v>6.32</v>
      </c>
      <c r="EP69" s="16">
        <v>-1.66</v>
      </c>
    </row>
    <row r="70" spans="1:146" ht="96" x14ac:dyDescent="0.25">
      <c r="A70" s="3"/>
      <c r="B70" s="3"/>
      <c r="C70" s="7" t="str">
        <f>""&amp;CHAR(10)&amp;Basic_Fundamental_Information_Constructure(F70)&amp;CHAR(10)&amp;Basic_Fundamental_Information_Concatenate("")</f>
        <v xml:space="preserve">
市值32.320019亿, 利润1139.43万; PE32.11; 平均PE38.04; 平均PEG76.33, PB1.95; ROIC16.0067%; ROE14.675%; 股利率1.6474%; 毛利29.5033%; 净利12.0667%; 上一年度营收增-76.91%, 利润增-90%; 当季营收增-46.14%, 利润增-78.69%; 过往5年营收增.5%, 利润增.88%
Income profile:
</v>
      </c>
      <c r="D70" s="3" t="s">
        <v>1301</v>
      </c>
      <c r="E70" s="3" t="s">
        <v>1302</v>
      </c>
      <c r="F70" s="3">
        <v>30.35</v>
      </c>
      <c r="G70" s="3">
        <v>-0.69</v>
      </c>
      <c r="H70" s="3" t="s">
        <v>3087</v>
      </c>
      <c r="I70" s="3">
        <v>3232001900</v>
      </c>
      <c r="J70" s="3">
        <v>32.11</v>
      </c>
      <c r="K70" s="3">
        <v>1.95</v>
      </c>
      <c r="L70" s="3" t="s">
        <v>285</v>
      </c>
      <c r="M70" s="3" t="s">
        <v>3088</v>
      </c>
      <c r="N70" s="3" t="s">
        <v>3089</v>
      </c>
      <c r="O70" s="3" t="s">
        <v>1461</v>
      </c>
      <c r="P70" s="5">
        <v>12.33</v>
      </c>
      <c r="Q70" s="3" t="s">
        <v>1461</v>
      </c>
      <c r="R70" s="3">
        <v>11394326</v>
      </c>
      <c r="S70" s="3">
        <v>-0.55159999999999998</v>
      </c>
      <c r="T70" s="3" t="s">
        <v>3090</v>
      </c>
      <c r="U70" s="3">
        <v>26600000</v>
      </c>
      <c r="V70" s="3">
        <v>106491000</v>
      </c>
      <c r="W70" s="3">
        <v>1.24</v>
      </c>
      <c r="X70" s="3">
        <v>0.11</v>
      </c>
      <c r="Y70" s="3">
        <v>4.76</v>
      </c>
      <c r="Z70" s="3" t="s">
        <v>89</v>
      </c>
      <c r="AA70" s="3" t="s">
        <v>80</v>
      </c>
      <c r="AB70" s="3" t="s">
        <v>3091</v>
      </c>
      <c r="AC70" s="3" t="s">
        <v>3092</v>
      </c>
      <c r="AD70" s="3" t="s">
        <v>4</v>
      </c>
      <c r="AE70" s="3">
        <v>-1887219</v>
      </c>
      <c r="AF70" s="3" t="s">
        <v>3093</v>
      </c>
      <c r="AG70" s="3" t="s">
        <v>3094</v>
      </c>
      <c r="AH70" s="3" t="s">
        <v>3095</v>
      </c>
      <c r="AI70" s="3" t="s">
        <v>193</v>
      </c>
      <c r="AJ70" s="3" t="s">
        <v>3096</v>
      </c>
      <c r="AK70" s="3" t="s">
        <v>4</v>
      </c>
      <c r="AL70" s="3" t="s">
        <v>3097</v>
      </c>
      <c r="AM70" s="3" t="s">
        <v>4</v>
      </c>
      <c r="AN70" s="3" t="s">
        <v>3098</v>
      </c>
      <c r="AO70" s="3" t="s">
        <v>3099</v>
      </c>
      <c r="AP70" s="3" t="s">
        <v>3100</v>
      </c>
      <c r="AQ70" s="3" t="s">
        <v>142</v>
      </c>
      <c r="AR70" s="3" t="s">
        <v>4</v>
      </c>
      <c r="AS70" s="3" t="s">
        <v>201</v>
      </c>
      <c r="AT70" s="3" t="s">
        <v>4</v>
      </c>
      <c r="AU70" s="3" t="s">
        <v>3101</v>
      </c>
      <c r="AV70" s="3" t="s">
        <v>3102</v>
      </c>
      <c r="AW70" s="3" t="s">
        <v>3103</v>
      </c>
      <c r="AX70" s="3" t="s">
        <v>1303</v>
      </c>
      <c r="AY70" s="3" t="s">
        <v>1050</v>
      </c>
      <c r="AZ70" s="3" t="s">
        <v>200</v>
      </c>
      <c r="BA70" s="3" t="s">
        <v>1099</v>
      </c>
      <c r="BB70" s="3" t="s">
        <v>927</v>
      </c>
      <c r="BC70" s="3" t="s">
        <v>123</v>
      </c>
      <c r="BD70" s="3" t="s">
        <v>35</v>
      </c>
      <c r="BE70" s="3" t="s">
        <v>1304</v>
      </c>
      <c r="BF70" s="3" t="s">
        <v>107</v>
      </c>
      <c r="BG70" s="3" t="s">
        <v>1305</v>
      </c>
      <c r="BH70" s="3" t="s">
        <v>1417</v>
      </c>
      <c r="BI70" s="3" t="s">
        <v>185</v>
      </c>
      <c r="BJ70" s="3" t="s">
        <v>1303</v>
      </c>
      <c r="BK70" s="3" t="s">
        <v>99</v>
      </c>
      <c r="BL70" s="3" t="s">
        <v>1487</v>
      </c>
      <c r="BM70" s="3" t="s">
        <v>123</v>
      </c>
      <c r="BN70" s="3">
        <v>6.86</v>
      </c>
      <c r="BO70" s="3">
        <v>16</v>
      </c>
      <c r="BP70" s="3">
        <v>25.16</v>
      </c>
      <c r="BQ70" s="3">
        <v>7.49</v>
      </c>
      <c r="BR70" s="3">
        <v>21.86</v>
      </c>
      <c r="BS70" s="3" t="s">
        <v>4</v>
      </c>
      <c r="BT70" s="3" t="s">
        <v>1323</v>
      </c>
      <c r="BU70" s="3" t="s">
        <v>841</v>
      </c>
      <c r="BV70" s="3">
        <v>30.44</v>
      </c>
      <c r="BW70" s="3">
        <v>28.89</v>
      </c>
      <c r="BX70" s="3">
        <v>29.18</v>
      </c>
      <c r="BY70" s="3">
        <v>11.43</v>
      </c>
      <c r="BZ70" s="3">
        <v>11.58</v>
      </c>
      <c r="CA70" s="3">
        <v>13.19</v>
      </c>
      <c r="CB70" s="3">
        <v>-9.4</v>
      </c>
      <c r="CC70" s="1">
        <v>-7.95</v>
      </c>
      <c r="CD70" s="1" t="s">
        <v>3104</v>
      </c>
      <c r="CE70" s="1" t="s">
        <v>710</v>
      </c>
      <c r="CF70" s="10">
        <v>-0.46135831381733022</v>
      </c>
      <c r="CG70" s="11">
        <v>-0.78688451431296813</v>
      </c>
      <c r="CH70" s="10">
        <v>-0.76907628774642944</v>
      </c>
      <c r="CI70" s="10">
        <v>1.0050251148641109E-3</v>
      </c>
      <c r="CJ70" s="10">
        <v>0.19735258817672729</v>
      </c>
      <c r="CK70" s="10">
        <v>0.25150603055953979</v>
      </c>
      <c r="CL70" s="10">
        <v>0.34412956237792969</v>
      </c>
      <c r="CM70" s="11">
        <v>-0.90004998445510864</v>
      </c>
      <c r="CN70" s="11">
        <v>-0.11627907305955887</v>
      </c>
      <c r="CO70" s="11">
        <v>0.36572542786598206</v>
      </c>
      <c r="CP70" s="11">
        <v>-8.2958288490772247E-2</v>
      </c>
      <c r="CQ70" s="11">
        <v>0.77737897634506226</v>
      </c>
      <c r="CR70" s="1">
        <v>38.038461349850657</v>
      </c>
      <c r="CS70" s="1">
        <v>76.33058914641812</v>
      </c>
      <c r="CT70" s="3">
        <v>1.6474464579901154</v>
      </c>
      <c r="CU70" s="10">
        <v>4.983383696526289E-3</v>
      </c>
      <c r="CV70" s="11">
        <v>8.7634116411209103E-3</v>
      </c>
      <c r="CW70" s="3">
        <v>0.06</v>
      </c>
      <c r="CX70" s="3">
        <v>183.28416328272377</v>
      </c>
      <c r="CY70" s="3">
        <v>10802907.706465404</v>
      </c>
      <c r="CZ70" s="3">
        <v>4.983383696526289E-3</v>
      </c>
      <c r="DA70" s="3">
        <v>64.409671612902912</v>
      </c>
      <c r="DB70" s="3">
        <v>30740754.461529575</v>
      </c>
      <c r="DC70" s="3">
        <v>4.7342145116999745E-3</v>
      </c>
      <c r="DD70" s="3">
        <v>34.826354091047804</v>
      </c>
      <c r="DE70" s="3">
        <v>56853551.044235334</v>
      </c>
      <c r="DF70" s="3">
        <v>4.3853776529431347E-3</v>
      </c>
      <c r="DG70" s="3">
        <v>23.141380545172385</v>
      </c>
      <c r="DH70" s="3">
        <v>85561096.760627627</v>
      </c>
      <c r="DI70" s="3">
        <v>3.9867069572210312E-3</v>
      </c>
      <c r="DJ70" s="3">
        <v>14.700140175480056</v>
      </c>
      <c r="DK70" s="3">
        <v>134692722.40700522</v>
      </c>
      <c r="DL70" s="3">
        <v>3.4883685875684019E-3</v>
      </c>
      <c r="DM70" s="3">
        <v>11394300</v>
      </c>
      <c r="DN70" s="3">
        <v>4.983383696526289E-3</v>
      </c>
      <c r="DO70" s="3">
        <v>1980001900.0000002</v>
      </c>
      <c r="DP70" s="3">
        <v>941454540</v>
      </c>
      <c r="DQ70" s="12">
        <v>2773</v>
      </c>
      <c r="DR70" s="3">
        <v>-0.46634169751385651</v>
      </c>
      <c r="DS70" s="3">
        <v>-0.79564792595408906</v>
      </c>
      <c r="DT70" s="3">
        <v>-0.42333333333333339</v>
      </c>
      <c r="DU70" s="3">
        <v>-0.44</v>
      </c>
      <c r="DV70" s="3">
        <v>-0.8633333333333334</v>
      </c>
      <c r="DW70" s="3">
        <v>-5.8457446808510642</v>
      </c>
      <c r="DX70" s="3">
        <v>0.24840144927536173</v>
      </c>
      <c r="DY70" s="3">
        <v>-5.0493927150786311</v>
      </c>
      <c r="DZ70" s="3">
        <v>1019</v>
      </c>
      <c r="EA70" s="3">
        <v>-5.0395431697429904</v>
      </c>
      <c r="EB70" s="13">
        <v>5</v>
      </c>
      <c r="EC70" s="13">
        <v>0.11352226948756233</v>
      </c>
      <c r="ED70" s="3">
        <v>1.9438262388370846</v>
      </c>
      <c r="EE70" s="3">
        <v>2.0399999999999998E-2</v>
      </c>
      <c r="EF70" s="3">
        <v>2.4E-2</v>
      </c>
      <c r="EG70" s="3">
        <v>19.058401449275362</v>
      </c>
      <c r="EH70" s="15" t="s">
        <v>1045</v>
      </c>
      <c r="EI70" s="3">
        <v>0</v>
      </c>
      <c r="EJ70" s="3">
        <v>1</v>
      </c>
      <c r="EK70" s="3">
        <v>45470</v>
      </c>
      <c r="EL70" s="3">
        <v>-1.18</v>
      </c>
      <c r="EM70" s="3">
        <v>-5.73</v>
      </c>
      <c r="EN70" s="16">
        <v>0.53</v>
      </c>
      <c r="EO70" s="16">
        <v>3.36</v>
      </c>
      <c r="EP70" s="16">
        <v>0.36</v>
      </c>
    </row>
    <row r="71" spans="1:146" ht="96" x14ac:dyDescent="0.25">
      <c r="A71" s="3"/>
      <c r="B71" s="3"/>
      <c r="C71" s="7" t="str">
        <f>""&amp;CHAR(10)&amp;Basic_Fundamental_Information_Constructure(F71)&amp;CHAR(10)&amp;Basic_Fundamental_Information_Concatenate("")</f>
        <v xml:space="preserve">
市值41.2776亿, 利润1780.80万; PE43.3; 平均PE33.42; 平均PEG14.03, PB1.91; ROIC14.33%; ROE17.8933%; 股利率2.0604%; 毛利54.5167%; 净利42.4933%; 上一年度营收增-84.29%, 利润增-89.46%; 当季营收增-53.47%, 利润增-66.29%; 过往5年营收增-2.38%, 利润增-.16%
Income profile:
</v>
      </c>
      <c r="D71" s="3" t="s">
        <v>1090</v>
      </c>
      <c r="E71" s="3" t="s">
        <v>1091</v>
      </c>
      <c r="F71" s="3">
        <v>14.56</v>
      </c>
      <c r="G71" s="3">
        <v>-0.88</v>
      </c>
      <c r="H71" s="3" t="s">
        <v>3105</v>
      </c>
      <c r="I71" s="3">
        <v>4127760000</v>
      </c>
      <c r="J71" s="3">
        <v>43.3</v>
      </c>
      <c r="K71" s="3">
        <v>1.91</v>
      </c>
      <c r="L71" s="3" t="s">
        <v>285</v>
      </c>
      <c r="M71" s="3" t="s">
        <v>3106</v>
      </c>
      <c r="N71" s="3" t="s">
        <v>3107</v>
      </c>
      <c r="O71" s="3" t="s">
        <v>3108</v>
      </c>
      <c r="P71" s="5">
        <v>24</v>
      </c>
      <c r="Q71" s="3" t="s">
        <v>3108</v>
      </c>
      <c r="R71" s="3">
        <v>17807997</v>
      </c>
      <c r="S71" s="3">
        <v>-7.4899999999999994E-2</v>
      </c>
      <c r="T71" s="3" t="s">
        <v>3109</v>
      </c>
      <c r="U71" s="3">
        <v>82077047</v>
      </c>
      <c r="V71" s="3">
        <v>283500000</v>
      </c>
      <c r="W71" s="3">
        <v>1.08</v>
      </c>
      <c r="X71" s="3">
        <v>0.03</v>
      </c>
      <c r="Y71" s="3">
        <v>30.14</v>
      </c>
      <c r="Z71" s="3" t="s">
        <v>3110</v>
      </c>
      <c r="AA71" s="3" t="s">
        <v>3111</v>
      </c>
      <c r="AB71" s="3" t="s">
        <v>3112</v>
      </c>
      <c r="AC71" s="3" t="s">
        <v>3113</v>
      </c>
      <c r="AD71" s="3" t="s">
        <v>4</v>
      </c>
      <c r="AE71" s="3">
        <v>-11581602</v>
      </c>
      <c r="AF71" s="3" t="s">
        <v>21</v>
      </c>
      <c r="AG71" s="3" t="s">
        <v>4</v>
      </c>
      <c r="AH71" s="3" t="s">
        <v>3114</v>
      </c>
      <c r="AI71" s="3" t="s">
        <v>883</v>
      </c>
      <c r="AJ71" s="3" t="s">
        <v>3115</v>
      </c>
      <c r="AK71" s="3" t="s">
        <v>3116</v>
      </c>
      <c r="AL71" s="3" t="s">
        <v>3117</v>
      </c>
      <c r="AM71" s="3" t="s">
        <v>4</v>
      </c>
      <c r="AN71" s="3" t="s">
        <v>3118</v>
      </c>
      <c r="AO71" s="3" t="s">
        <v>3119</v>
      </c>
      <c r="AP71" s="3" t="s">
        <v>4</v>
      </c>
      <c r="AQ71" s="3" t="s">
        <v>3120</v>
      </c>
      <c r="AR71" s="3" t="s">
        <v>4</v>
      </c>
      <c r="AS71" s="3" t="s">
        <v>44</v>
      </c>
      <c r="AT71" s="3" t="s">
        <v>4</v>
      </c>
      <c r="AU71" s="3" t="s">
        <v>3121</v>
      </c>
      <c r="AV71" s="3" t="s">
        <v>3122</v>
      </c>
      <c r="AW71" s="3" t="s">
        <v>3123</v>
      </c>
      <c r="AX71" s="3" t="s">
        <v>1079</v>
      </c>
      <c r="AY71" s="3" t="s">
        <v>547</v>
      </c>
      <c r="AZ71" s="3" t="s">
        <v>1094</v>
      </c>
      <c r="BA71" s="3" t="s">
        <v>117</v>
      </c>
      <c r="BB71" s="3" t="s">
        <v>94</v>
      </c>
      <c r="BC71" s="3" t="s">
        <v>80</v>
      </c>
      <c r="BD71" s="3" t="s">
        <v>529</v>
      </c>
      <c r="BE71" s="3" t="s">
        <v>197</v>
      </c>
      <c r="BF71" s="3" t="s">
        <v>170</v>
      </c>
      <c r="BG71" s="3" t="s">
        <v>1095</v>
      </c>
      <c r="BH71" s="3" t="s">
        <v>2978</v>
      </c>
      <c r="BI71" s="3" t="s">
        <v>55</v>
      </c>
      <c r="BJ71" s="3" t="s">
        <v>1079</v>
      </c>
      <c r="BK71" s="3" t="s">
        <v>3124</v>
      </c>
      <c r="BL71" s="3" t="s">
        <v>1489</v>
      </c>
      <c r="BM71" s="3" t="s">
        <v>80</v>
      </c>
      <c r="BN71" s="3">
        <v>1.76</v>
      </c>
      <c r="BO71" s="3">
        <v>10.17</v>
      </c>
      <c r="BP71" s="3">
        <v>31.06</v>
      </c>
      <c r="BQ71" s="3">
        <v>3.53</v>
      </c>
      <c r="BR71" s="3">
        <v>16.59</v>
      </c>
      <c r="BS71" s="3">
        <v>33.56</v>
      </c>
      <c r="BT71" s="3" t="s">
        <v>1065</v>
      </c>
      <c r="BU71" s="3" t="s">
        <v>841</v>
      </c>
      <c r="BV71" s="3">
        <v>44.66</v>
      </c>
      <c r="BW71" s="3">
        <v>55.63</v>
      </c>
      <c r="BX71" s="3">
        <v>63.26</v>
      </c>
      <c r="BY71" s="3">
        <v>36.47</v>
      </c>
      <c r="BZ71" s="3">
        <v>44.86</v>
      </c>
      <c r="CA71" s="3">
        <v>46.15</v>
      </c>
      <c r="CB71" s="3">
        <v>-7.85</v>
      </c>
      <c r="CC71" s="1">
        <v>-21.38</v>
      </c>
      <c r="CD71" s="1" t="s">
        <v>3125</v>
      </c>
      <c r="CE71" s="1" t="s">
        <v>224</v>
      </c>
      <c r="CF71" s="10">
        <v>-0.53473779527559051</v>
      </c>
      <c r="CG71" s="11">
        <v>-0.66286397179930856</v>
      </c>
      <c r="CH71" s="10">
        <v>-0.84285032749176025</v>
      </c>
      <c r="CI71" s="10">
        <v>-0.1214953288435936</v>
      </c>
      <c r="CJ71" s="10">
        <v>7.0588234812021255E-3</v>
      </c>
      <c r="CK71" s="10">
        <v>0.58582091331481934</v>
      </c>
      <c r="CL71" s="10">
        <v>0.25233644247055054</v>
      </c>
      <c r="CM71" s="11">
        <v>-0.89462721347808838</v>
      </c>
      <c r="CN71" s="11">
        <v>-0.14646464586257935</v>
      </c>
      <c r="CO71" s="11">
        <v>0.185628741979599</v>
      </c>
      <c r="CP71" s="11">
        <v>0.57547169923782349</v>
      </c>
      <c r="CQ71" s="11">
        <v>0.27181133627891541</v>
      </c>
      <c r="CR71" s="1">
        <v>33.416226620740069</v>
      </c>
      <c r="CS71" s="1">
        <v>14.025171369402774</v>
      </c>
      <c r="CT71" s="1">
        <v>2.0604395604395602</v>
      </c>
      <c r="CU71" s="10">
        <v>-2.3825895413756369E-2</v>
      </c>
      <c r="CV71" s="11">
        <v>-1.6360163688659668E-3</v>
      </c>
      <c r="CW71" s="3">
        <v>0.06</v>
      </c>
      <c r="CX71" s="3">
        <v>114.65126909254268</v>
      </c>
      <c r="CY71" s="3" t="s">
        <v>3126</v>
      </c>
      <c r="CZ71" s="3">
        <v>-2.3825895413756369E-2</v>
      </c>
      <c r="DA71" s="3">
        <v>38.217089697514226</v>
      </c>
      <c r="DB71" s="3" t="s">
        <v>3127</v>
      </c>
      <c r="DC71" s="3">
        <v>-2.2634600643068551E-2</v>
      </c>
      <c r="DD71" s="3">
        <v>19.108544848757113</v>
      </c>
      <c r="DE71" s="3" t="s">
        <v>3128</v>
      </c>
      <c r="DF71" s="3">
        <v>-2.0966787964105605E-2</v>
      </c>
      <c r="DG71" s="3">
        <v>11.465126909254268</v>
      </c>
      <c r="DH71" s="3" t="s">
        <v>3129</v>
      </c>
      <c r="DI71" s="3">
        <v>-1.9060716331005097E-2</v>
      </c>
      <c r="DJ71" s="3">
        <v>5.732563454627134</v>
      </c>
      <c r="DK71" s="3" t="s">
        <v>3130</v>
      </c>
      <c r="DL71" s="3">
        <v>-1.6678126789629457E-2</v>
      </c>
      <c r="DM71" s="3">
        <v>17808000</v>
      </c>
      <c r="DN71" s="3">
        <v>-2.3825895413756369E-2</v>
      </c>
      <c r="DO71" s="3">
        <v>2041709800</v>
      </c>
      <c r="DP71" s="3">
        <v>1920919300</v>
      </c>
      <c r="DQ71" s="12">
        <v>2775</v>
      </c>
      <c r="DR71" s="3">
        <v>-0.51091189986183416</v>
      </c>
      <c r="DS71" s="3">
        <v>-0.66122795543044255</v>
      </c>
      <c r="DT71" s="3">
        <v>-0.55666666666666675</v>
      </c>
      <c r="DU71" s="3">
        <v>-0.42333333333333339</v>
      </c>
      <c r="DV71" s="3">
        <v>-0.9800000000000002</v>
      </c>
      <c r="DW71" s="3">
        <v>-9.3671655753040231</v>
      </c>
      <c r="DX71" s="3">
        <v>0.22871335676625634</v>
      </c>
      <c r="DY71" s="3">
        <v>-9.0252291791681536</v>
      </c>
      <c r="DZ71" s="3">
        <v>3224</v>
      </c>
      <c r="EA71" s="3">
        <v>-9.0093115913720432</v>
      </c>
      <c r="EB71" s="13">
        <v>9</v>
      </c>
      <c r="EC71" s="3">
        <v>0.13791146384479719</v>
      </c>
      <c r="ED71" s="3">
        <v>2.0070546737213406</v>
      </c>
      <c r="EE71" s="3">
        <v>2.9410000000000002E-2</v>
      </c>
      <c r="EF71" s="3">
        <v>3.4700000000000009E-2</v>
      </c>
      <c r="EG71" s="3">
        <v>16.068713356766256</v>
      </c>
      <c r="EH71" s="15" t="s">
        <v>1045</v>
      </c>
      <c r="EI71" s="16">
        <v>0</v>
      </c>
      <c r="EJ71" s="16">
        <v>0</v>
      </c>
      <c r="EK71" s="16">
        <v>45470</v>
      </c>
      <c r="EL71" s="16">
        <v>1.71</v>
      </c>
      <c r="EM71" s="16">
        <v>-6.81</v>
      </c>
      <c r="EN71" s="16">
        <v>-0.69</v>
      </c>
      <c r="EO71" s="16">
        <v>3.2</v>
      </c>
      <c r="EP71" s="16">
        <v>6.41</v>
      </c>
    </row>
    <row r="72" spans="1:146" ht="96" x14ac:dyDescent="0.25">
      <c r="A72" s="3"/>
      <c r="B72" s="3"/>
      <c r="C72" s="7" t="str">
        <f>""&amp;CHAR(10)&amp;Basic_Fundamental_Information_Constructure(F72)&amp;CHAR(10)&amp;Basic_Fundamental_Information_Concatenate("")</f>
        <v xml:space="preserve">
市值49.15614亿, 利润1433.15万; PE69.6; 平均PE81.49; 平均PEG12.24, PB1.96; ROIC11.0567%; ROE10.205%; 股利率1.0471%; 毛利33.4833%; 净利16.7667%; 上一年度营收增-69.79%, 利润增-87.75%; 当季营收增-30.4%, 利润增-66.07%; 过往5年营收增-6.66%, 利润增11.71%
Income profile:
</v>
      </c>
      <c r="D72" s="3" t="s">
        <v>1306</v>
      </c>
      <c r="E72" s="3" t="s">
        <v>1307</v>
      </c>
      <c r="F72" s="3">
        <v>38.200000000000003</v>
      </c>
      <c r="G72" s="3">
        <v>0.57999999999999996</v>
      </c>
      <c r="H72" s="3" t="s">
        <v>3131</v>
      </c>
      <c r="I72" s="3">
        <v>4915614000</v>
      </c>
      <c r="J72" s="3">
        <v>69.599999999999994</v>
      </c>
      <c r="K72" s="3">
        <v>1.96</v>
      </c>
      <c r="L72" s="3" t="s">
        <v>285</v>
      </c>
      <c r="M72" s="3" t="s">
        <v>67</v>
      </c>
      <c r="N72" s="3" t="s">
        <v>3132</v>
      </c>
      <c r="O72" s="3" t="s">
        <v>78</v>
      </c>
      <c r="P72" s="5">
        <v>40.700000000000003</v>
      </c>
      <c r="Q72" s="3" t="s">
        <v>78</v>
      </c>
      <c r="R72" s="3">
        <v>14331495</v>
      </c>
      <c r="S72" s="3">
        <v>-0.14269999999999999</v>
      </c>
      <c r="T72" s="3" t="s">
        <v>3133</v>
      </c>
      <c r="U72" s="3">
        <v>32170300</v>
      </c>
      <c r="V72" s="3">
        <v>128680995</v>
      </c>
      <c r="W72" s="3">
        <v>1.1100000000000001</v>
      </c>
      <c r="X72" s="3">
        <v>0.06</v>
      </c>
      <c r="Y72" s="3">
        <v>17.59</v>
      </c>
      <c r="Z72" s="3" t="s">
        <v>122</v>
      </c>
      <c r="AA72" s="3" t="s">
        <v>139</v>
      </c>
      <c r="AB72" s="3" t="s">
        <v>3134</v>
      </c>
      <c r="AC72" s="3" t="s">
        <v>3135</v>
      </c>
      <c r="AD72" s="3" t="s">
        <v>4</v>
      </c>
      <c r="AE72" s="3">
        <v>-4368942</v>
      </c>
      <c r="AF72" s="3" t="s">
        <v>3136</v>
      </c>
      <c r="AG72" s="3">
        <v>5631.67</v>
      </c>
      <c r="AH72" s="3" t="s">
        <v>3137</v>
      </c>
      <c r="AI72" s="3" t="s">
        <v>3138</v>
      </c>
      <c r="AJ72" s="3" t="s">
        <v>3139</v>
      </c>
      <c r="AK72" s="3" t="s">
        <v>3140</v>
      </c>
      <c r="AL72" s="3" t="s">
        <v>3141</v>
      </c>
      <c r="AM72" s="3" t="s">
        <v>4</v>
      </c>
      <c r="AN72" s="3" t="s">
        <v>3142</v>
      </c>
      <c r="AO72" s="3" t="s">
        <v>4</v>
      </c>
      <c r="AP72" s="3" t="s">
        <v>3143</v>
      </c>
      <c r="AQ72" s="3" t="s">
        <v>915</v>
      </c>
      <c r="AR72" s="3" t="s">
        <v>4</v>
      </c>
      <c r="AS72" s="3" t="s">
        <v>115</v>
      </c>
      <c r="AT72" s="3" t="s">
        <v>4</v>
      </c>
      <c r="AU72" s="3" t="s">
        <v>3144</v>
      </c>
      <c r="AV72" s="3" t="s">
        <v>3145</v>
      </c>
      <c r="AW72" s="3" t="s">
        <v>3146</v>
      </c>
      <c r="AX72" s="3" t="s">
        <v>1076</v>
      </c>
      <c r="AY72" s="3" t="s">
        <v>1066</v>
      </c>
      <c r="AZ72" s="3" t="s">
        <v>1180</v>
      </c>
      <c r="BA72" s="3" t="s">
        <v>1211</v>
      </c>
      <c r="BB72" s="3" t="s">
        <v>474</v>
      </c>
      <c r="BC72" s="3" t="s">
        <v>162</v>
      </c>
      <c r="BD72" s="3" t="s">
        <v>1308</v>
      </c>
      <c r="BE72" s="3" t="s">
        <v>1309</v>
      </c>
      <c r="BF72" s="3" t="s">
        <v>1310</v>
      </c>
      <c r="BG72" s="3" t="s">
        <v>1311</v>
      </c>
      <c r="BH72" s="3" t="s">
        <v>3147</v>
      </c>
      <c r="BI72" s="3" t="s">
        <v>1144</v>
      </c>
      <c r="BJ72" s="3" t="s">
        <v>1076</v>
      </c>
      <c r="BK72" s="3" t="s">
        <v>3148</v>
      </c>
      <c r="BL72" s="3" t="s">
        <v>1491</v>
      </c>
      <c r="BM72" s="3" t="s">
        <v>162</v>
      </c>
      <c r="BN72" s="3">
        <v>3.13</v>
      </c>
      <c r="BO72" s="3">
        <v>14.51</v>
      </c>
      <c r="BP72" s="3">
        <v>15.53</v>
      </c>
      <c r="BQ72" s="3">
        <v>3.5</v>
      </c>
      <c r="BR72" s="3">
        <v>16.91</v>
      </c>
      <c r="BS72" s="3" t="s">
        <v>4</v>
      </c>
      <c r="BT72" s="3" t="s">
        <v>1285</v>
      </c>
      <c r="BU72" s="3" t="s">
        <v>841</v>
      </c>
      <c r="BV72" s="3">
        <v>34.58</v>
      </c>
      <c r="BW72" s="3">
        <v>36.03</v>
      </c>
      <c r="BX72" s="3">
        <v>29.84</v>
      </c>
      <c r="BY72" s="3">
        <v>15.05</v>
      </c>
      <c r="BZ72" s="3">
        <v>20.309999999999999</v>
      </c>
      <c r="CA72" s="3">
        <v>14.94</v>
      </c>
      <c r="CB72" s="3">
        <v>-9.7100000000000009</v>
      </c>
      <c r="CC72" s="1">
        <v>-18.36</v>
      </c>
      <c r="CD72" s="1" t="s">
        <v>3149</v>
      </c>
      <c r="CE72" s="1" t="s">
        <v>46</v>
      </c>
      <c r="CF72" s="10">
        <v>-0.30399999999999999</v>
      </c>
      <c r="CG72" s="11">
        <v>-0.66074885488051704</v>
      </c>
      <c r="CH72" s="10">
        <v>-0.69791668653488159</v>
      </c>
      <c r="CI72" s="10">
        <v>-6.3414633274078369E-2</v>
      </c>
      <c r="CJ72" s="10">
        <v>0.23246492445468903</v>
      </c>
      <c r="CK72" s="10">
        <v>8.0086581408977509E-2</v>
      </c>
      <c r="CL72" s="10">
        <v>0.11594203114509583</v>
      </c>
      <c r="CM72" s="11">
        <v>-0.87750852108001709</v>
      </c>
      <c r="CN72" s="11">
        <v>0.27382710576057434</v>
      </c>
      <c r="CO72" s="11">
        <v>0.401755690574646</v>
      </c>
      <c r="CP72" s="11">
        <v>0.84561216831207275</v>
      </c>
      <c r="CQ72" s="11">
        <v>-5.8423526585102081E-2</v>
      </c>
      <c r="CR72" s="1">
        <v>81.493715627155211</v>
      </c>
      <c r="CS72" s="1">
        <v>12.242257315491713</v>
      </c>
      <c r="CT72" s="3">
        <v>1.0471204188481675</v>
      </c>
      <c r="CU72" s="10">
        <v>-6.6567556560039515E-2</v>
      </c>
      <c r="CV72" s="11">
        <v>0.11705258339643479</v>
      </c>
      <c r="CW72" s="3">
        <v>0.06</v>
      </c>
      <c r="CX72" s="3">
        <v>168.41321564386143</v>
      </c>
      <c r="CY72" s="3" t="s">
        <v>3150</v>
      </c>
      <c r="CZ72" s="3">
        <v>-6.6567556560039515E-2</v>
      </c>
      <c r="DA72" s="3">
        <v>56.137738547953809</v>
      </c>
      <c r="DB72" s="3" t="s">
        <v>3151</v>
      </c>
      <c r="DC72" s="3">
        <v>-6.3239178732037535E-2</v>
      </c>
      <c r="DD72" s="3">
        <v>28.068869273976905</v>
      </c>
      <c r="DE72" s="3" t="s">
        <v>3152</v>
      </c>
      <c r="DF72" s="3">
        <v>-5.8579449772834774E-2</v>
      </c>
      <c r="DG72" s="3">
        <v>16.841321564386142</v>
      </c>
      <c r="DH72" s="3" t="s">
        <v>3153</v>
      </c>
      <c r="DI72" s="3">
        <v>-5.3254045248031616E-2</v>
      </c>
      <c r="DJ72" s="3">
        <v>8.420660782193071</v>
      </c>
      <c r="DK72" s="3" t="s">
        <v>3154</v>
      </c>
      <c r="DL72" s="3">
        <v>-4.6597289592027656E-2</v>
      </c>
      <c r="DM72" s="3">
        <v>14331500</v>
      </c>
      <c r="DN72" s="3">
        <v>-6.6567556560039515E-2</v>
      </c>
      <c r="DO72" s="3">
        <v>2413614000</v>
      </c>
      <c r="DP72" s="3">
        <v>1891140900</v>
      </c>
      <c r="DQ72" s="12">
        <v>2799</v>
      </c>
      <c r="DR72" s="3">
        <v>-0.23743244343996048</v>
      </c>
      <c r="DS72" s="3">
        <v>-0.77780143827695181</v>
      </c>
      <c r="DT72" s="3">
        <v>-0.64</v>
      </c>
      <c r="DU72" s="3">
        <v>-0.25666666666666665</v>
      </c>
      <c r="DV72" s="3">
        <v>-0.89666666666666672</v>
      </c>
      <c r="DW72" s="3">
        <v>-9.5288671023965144</v>
      </c>
      <c r="DX72" s="3">
        <v>0.32347203389830437</v>
      </c>
      <c r="DY72" s="3">
        <v>-9.0600116257708354</v>
      </c>
      <c r="DZ72" s="3">
        <v>1065</v>
      </c>
      <c r="EA72" s="3">
        <v>-9.0475043104193791</v>
      </c>
      <c r="EB72" s="13">
        <v>9</v>
      </c>
      <c r="EC72" s="13">
        <v>0.10405343850504109</v>
      </c>
      <c r="ED72" s="3">
        <v>0.91699632878965542</v>
      </c>
      <c r="EE72" s="3">
        <v>4.0194999999999999</v>
      </c>
      <c r="EF72" s="3">
        <v>4.0364000000000004</v>
      </c>
      <c r="EG72" s="3">
        <v>21.113472033898304</v>
      </c>
      <c r="EH72" s="15" t="s">
        <v>1569</v>
      </c>
      <c r="EI72" s="3">
        <v>0</v>
      </c>
      <c r="EJ72" s="3">
        <v>1</v>
      </c>
      <c r="EK72" s="3">
        <v>45470</v>
      </c>
      <c r="EL72" s="3">
        <v>-0.77</v>
      </c>
      <c r="EM72" s="3">
        <v>-4.21</v>
      </c>
      <c r="EN72" s="16">
        <v>0.87</v>
      </c>
      <c r="EO72" s="16">
        <v>5.16</v>
      </c>
      <c r="EP72" s="16">
        <v>1.69</v>
      </c>
    </row>
    <row r="73" spans="1:146" ht="96" x14ac:dyDescent="0.25">
      <c r="A73" s="3"/>
      <c r="B73" s="3"/>
      <c r="C73" s="7" t="str">
        <f>""&amp;CHAR(10)&amp;Basic_Fundamental_Information_Constructure(F73)&amp;CHAR(10)&amp;Basic_Fundamental_Information_Concatenate("")</f>
        <v xml:space="preserve">
市值30.204亿, 利润833.04万; PE49.53; 平均PE69.07; 平均PEG17.91, PB4.12; ROIC11.6633%; ROE11.75%; 股利率.6675%; 毛利32.2067%; 净利16.4167%; 上一年度营收增-73.25%, 利润增-86.25%; 当季营收增-39.6%, 利润增-62.83%; 过往5年营收增3.86%, 利润增3.83%
Income profile:
</v>
      </c>
      <c r="D73" s="5" t="s">
        <v>1554</v>
      </c>
      <c r="E73" s="3" t="s">
        <v>1555</v>
      </c>
      <c r="F73" s="3">
        <v>41.95</v>
      </c>
      <c r="G73" s="3">
        <v>4.4800000000000004</v>
      </c>
      <c r="H73" s="3" t="s">
        <v>3155</v>
      </c>
      <c r="I73" s="3">
        <v>3020400000</v>
      </c>
      <c r="J73" s="3">
        <v>49.53</v>
      </c>
      <c r="K73" s="3">
        <v>4.12</v>
      </c>
      <c r="L73" s="3" t="s">
        <v>285</v>
      </c>
      <c r="M73" s="3" t="s">
        <v>1363</v>
      </c>
      <c r="N73" s="3" t="s">
        <v>1464</v>
      </c>
      <c r="O73" s="3" t="s">
        <v>3156</v>
      </c>
      <c r="P73" s="5">
        <v>51.31</v>
      </c>
      <c r="Q73" s="3" t="s">
        <v>3156</v>
      </c>
      <c r="R73" s="3">
        <v>8330438</v>
      </c>
      <c r="S73" s="3">
        <v>0.53149999999999997</v>
      </c>
      <c r="T73" s="3" t="s">
        <v>3157</v>
      </c>
      <c r="U73" s="3">
        <v>18000000</v>
      </c>
      <c r="V73" s="3">
        <v>72000000</v>
      </c>
      <c r="W73" s="3">
        <v>1.29</v>
      </c>
      <c r="X73" s="3">
        <v>0.11</v>
      </c>
      <c r="Y73" s="3">
        <v>8.9</v>
      </c>
      <c r="Z73" s="3" t="s">
        <v>3158</v>
      </c>
      <c r="AA73" s="3" t="s">
        <v>3159</v>
      </c>
      <c r="AB73" s="3" t="s">
        <v>3160</v>
      </c>
      <c r="AC73" s="3" t="s">
        <v>3161</v>
      </c>
      <c r="AD73" s="3" t="s">
        <v>4</v>
      </c>
      <c r="AE73" s="3">
        <v>816017</v>
      </c>
      <c r="AF73" s="3" t="s">
        <v>3162</v>
      </c>
      <c r="AG73" s="3" t="s">
        <v>4</v>
      </c>
      <c r="AH73" s="3" t="s">
        <v>3163</v>
      </c>
      <c r="AI73" s="3" t="s">
        <v>36</v>
      </c>
      <c r="AJ73" s="3" t="s">
        <v>3164</v>
      </c>
      <c r="AK73" s="3" t="s">
        <v>3165</v>
      </c>
      <c r="AL73" s="3" t="s">
        <v>3166</v>
      </c>
      <c r="AM73" s="3" t="s">
        <v>4</v>
      </c>
      <c r="AN73" s="3" t="s">
        <v>892</v>
      </c>
      <c r="AO73" s="3" t="s">
        <v>95</v>
      </c>
      <c r="AP73" s="3" t="s">
        <v>4</v>
      </c>
      <c r="AQ73" s="3" t="s">
        <v>3167</v>
      </c>
      <c r="AR73" s="3" t="s">
        <v>4</v>
      </c>
      <c r="AS73" s="3" t="s">
        <v>3168</v>
      </c>
      <c r="AT73" s="3" t="s">
        <v>4</v>
      </c>
      <c r="AU73" s="3" t="s">
        <v>3169</v>
      </c>
      <c r="AV73" s="3" t="s">
        <v>3170</v>
      </c>
      <c r="AW73" s="3" t="s">
        <v>44</v>
      </c>
      <c r="AX73" s="3" t="s">
        <v>1556</v>
      </c>
      <c r="AY73" s="3" t="s">
        <v>3171</v>
      </c>
      <c r="AZ73" s="3" t="s">
        <v>1163</v>
      </c>
      <c r="BA73" s="3" t="s">
        <v>70</v>
      </c>
      <c r="BB73" s="3" t="s">
        <v>39</v>
      </c>
      <c r="BC73" s="3" t="s">
        <v>1557</v>
      </c>
      <c r="BD73" s="3" t="s">
        <v>3172</v>
      </c>
      <c r="BE73" s="3" t="s">
        <v>3173</v>
      </c>
      <c r="BF73" s="3" t="s">
        <v>3174</v>
      </c>
      <c r="BG73" s="3" t="s">
        <v>3175</v>
      </c>
      <c r="BH73" s="3" t="s">
        <v>1049</v>
      </c>
      <c r="BI73" s="3" t="s">
        <v>44</v>
      </c>
      <c r="BJ73" s="3" t="s">
        <v>1556</v>
      </c>
      <c r="BK73" s="3" t="s">
        <v>3176</v>
      </c>
      <c r="BL73" s="3" t="s">
        <v>3177</v>
      </c>
      <c r="BM73" s="3" t="s">
        <v>1557</v>
      </c>
      <c r="BN73" s="3">
        <v>7.1</v>
      </c>
      <c r="BO73" s="3">
        <v>12.36</v>
      </c>
      <c r="BP73" s="3">
        <v>15.53</v>
      </c>
      <c r="BQ73" s="3">
        <v>11.75</v>
      </c>
      <c r="BR73" s="3" t="s">
        <v>4</v>
      </c>
      <c r="BS73" s="3" t="s">
        <v>4</v>
      </c>
      <c r="BT73" s="3" t="s">
        <v>3178</v>
      </c>
      <c r="BU73" s="3" t="s">
        <v>841</v>
      </c>
      <c r="BV73" s="3">
        <v>31.2</v>
      </c>
      <c r="BW73" s="3">
        <v>31.81</v>
      </c>
      <c r="BX73" s="3">
        <v>33.61</v>
      </c>
      <c r="BY73" s="3">
        <v>15.27</v>
      </c>
      <c r="BZ73" s="3">
        <v>17.309999999999999</v>
      </c>
      <c r="CA73" s="3">
        <v>16.670000000000002</v>
      </c>
      <c r="CB73" s="3">
        <v>-5.6</v>
      </c>
      <c r="CC73" s="1">
        <v>-12.46</v>
      </c>
      <c r="CD73" s="1" t="s">
        <v>3179</v>
      </c>
      <c r="CE73" s="1" t="s">
        <v>3180</v>
      </c>
      <c r="CF73" s="10">
        <v>-0.39597870967741933</v>
      </c>
      <c r="CG73" s="11">
        <v>-0.62827139669790277</v>
      </c>
      <c r="CH73" s="10">
        <v>-0.73250484466552734</v>
      </c>
      <c r="CI73" s="10">
        <v>4.4776119291782379E-2</v>
      </c>
      <c r="CJ73" s="10">
        <v>0.32411068677902222</v>
      </c>
      <c r="CK73" s="10">
        <v>2.8455285355448723E-2</v>
      </c>
      <c r="CL73" s="10">
        <v>0.52795028686523438</v>
      </c>
      <c r="CM73" s="11">
        <v>-0.8624536395072937</v>
      </c>
      <c r="CN73" s="11">
        <v>8.3645559847354889E-2</v>
      </c>
      <c r="CO73" s="11">
        <v>7.67010897397995E-2</v>
      </c>
      <c r="CP73" s="11">
        <v>-8.8650621473789215E-2</v>
      </c>
      <c r="CQ73" s="11">
        <v>0.98211628198623657</v>
      </c>
      <c r="CR73" s="1">
        <v>69.067972635630838</v>
      </c>
      <c r="CS73" s="1">
        <v>17.912976875785471</v>
      </c>
      <c r="CT73" s="3">
        <v>0.66746126340881995</v>
      </c>
      <c r="CU73" s="10">
        <v>3.8557506725192071E-2</v>
      </c>
      <c r="CV73" s="11">
        <v>3.827173411846161E-2</v>
      </c>
      <c r="CW73" s="3">
        <v>0.06</v>
      </c>
      <c r="CX73" s="3">
        <v>332.08009863007044</v>
      </c>
      <c r="CY73" s="3">
        <v>8161886.2773806965</v>
      </c>
      <c r="CZ73" s="3">
        <v>3.8557506725192071E-2</v>
      </c>
      <c r="DA73" s="3">
        <v>113.38061856093725</v>
      </c>
      <c r="DB73" s="3">
        <v>23905320.277850445</v>
      </c>
      <c r="DC73" s="3">
        <v>3.6629631388932465E-2</v>
      </c>
      <c r="DD73" s="3">
        <v>59.111815304451696</v>
      </c>
      <c r="DE73" s="3">
        <v>45852085.34098056</v>
      </c>
      <c r="DF73" s="3">
        <v>3.3930605918169023E-2</v>
      </c>
      <c r="DG73" s="3">
        <v>37.80867370023271</v>
      </c>
      <c r="DH73" s="3">
        <v>71687254.133522213</v>
      </c>
      <c r="DI73" s="3">
        <v>3.0846005380153658E-2</v>
      </c>
      <c r="DJ73" s="3">
        <v>22.304903810689026</v>
      </c>
      <c r="DK73" s="3">
        <v>121515879.33327529</v>
      </c>
      <c r="DL73" s="3">
        <v>2.6990254707634449E-2</v>
      </c>
      <c r="DM73" s="3">
        <v>8330400</v>
      </c>
      <c r="DN73" s="3">
        <v>3.8557506725192071E-2</v>
      </c>
      <c r="DO73" s="3">
        <v>2710400000</v>
      </c>
      <c r="DP73" s="3">
        <v>212387040</v>
      </c>
      <c r="DQ73" s="12">
        <v>2836</v>
      </c>
      <c r="DR73" s="3">
        <v>-0.43453621640261142</v>
      </c>
      <c r="DS73" s="3">
        <v>-0.6665431308163644</v>
      </c>
      <c r="DT73" s="3">
        <v>-0.54</v>
      </c>
      <c r="DU73" s="3">
        <v>-0.57333333333333336</v>
      </c>
      <c r="DV73" s="3">
        <v>-1.1133333333333333</v>
      </c>
      <c r="DW73" s="3">
        <v>-8.4494382022471903</v>
      </c>
      <c r="DX73" s="3">
        <v>0.3732297886794147</v>
      </c>
      <c r="DY73" s="3">
        <v>-8.0688673207547925</v>
      </c>
      <c r="DZ73" s="3">
        <v>1782</v>
      </c>
      <c r="EA73" s="3">
        <v>-8.0448513588007735</v>
      </c>
      <c r="EB73" s="13">
        <v>8</v>
      </c>
      <c r="EC73" s="13">
        <v>0.18004861111111112</v>
      </c>
      <c r="ED73" s="3">
        <v>1.1750236111111112</v>
      </c>
      <c r="EE73" s="3">
        <v>22.004100000000001</v>
      </c>
      <c r="EF73" s="3">
        <v>22.016110000000001</v>
      </c>
      <c r="EG73" s="3">
        <v>22.153229788679415</v>
      </c>
      <c r="EH73" s="15" t="s">
        <v>3181</v>
      </c>
      <c r="EI73" s="3">
        <v>0</v>
      </c>
      <c r="EJ73" s="3">
        <v>0</v>
      </c>
      <c r="EK73" s="3">
        <v>45470</v>
      </c>
      <c r="EL73" s="3">
        <v>-3.43</v>
      </c>
      <c r="EM73" s="3">
        <v>-5.55</v>
      </c>
      <c r="EN73" s="16">
        <v>-1.88</v>
      </c>
      <c r="EO73" s="16">
        <v>4.01</v>
      </c>
      <c r="EP73" s="16">
        <v>-2.02</v>
      </c>
    </row>
    <row r="74" spans="1:146" ht="96" x14ac:dyDescent="0.25">
      <c r="A74" s="9"/>
      <c r="B74" s="9"/>
      <c r="C74" s="7" t="str">
        <f>""&amp;CHAR(10)&amp;Basic_Fundamental_Information_Constructure(F74)&amp;CHAR(10)&amp;Basic_Fundamental_Information_Concatenate("")</f>
        <v xml:space="preserve">
市值23.8848亿, 利润330.51万; PE187.9; 平均PE221.87; 平均PEG10.36, PB2.35; ROIC3.28%; ROE2.5867%; 股利率0%; 毛利12.15%; 净利6.2267%; 上一年度营收增-85.88%, 利润增-81.87%; 当季营收增-65.36%, 利润增-63.54%; 过往5年营收增-21.42%, 利润增-81.87%
Income profile:
</v>
      </c>
      <c r="D74" s="3" t="s">
        <v>608</v>
      </c>
      <c r="E74" s="3" t="s">
        <v>609</v>
      </c>
      <c r="F74" s="3">
        <v>3.11</v>
      </c>
      <c r="G74" s="3">
        <v>1.63</v>
      </c>
      <c r="H74" s="3" t="s">
        <v>3182</v>
      </c>
      <c r="I74" s="3">
        <v>2388480000</v>
      </c>
      <c r="J74" s="3">
        <v>187.9</v>
      </c>
      <c r="K74" s="3">
        <v>2.35</v>
      </c>
      <c r="L74" s="3" t="s">
        <v>285</v>
      </c>
      <c r="M74" s="3" t="s">
        <v>63</v>
      </c>
      <c r="N74" s="3" t="s">
        <v>1672</v>
      </c>
      <c r="O74" s="3" t="s">
        <v>3183</v>
      </c>
      <c r="P74" s="3">
        <v>-30.08</v>
      </c>
      <c r="Q74" s="3" t="s">
        <v>3183</v>
      </c>
      <c r="R74" s="3">
        <v>3305148</v>
      </c>
      <c r="S74" s="5">
        <v>-0.27350000000000002</v>
      </c>
      <c r="T74" s="3" t="s">
        <v>3184</v>
      </c>
      <c r="U74" s="3">
        <v>768000000</v>
      </c>
      <c r="V74" s="3">
        <v>768000000</v>
      </c>
      <c r="W74" s="3">
        <v>1.1000000000000001</v>
      </c>
      <c r="X74" s="3" t="s">
        <v>4</v>
      </c>
      <c r="Y74" s="3">
        <v>4.6900000000000004</v>
      </c>
      <c r="Z74" s="3" t="s">
        <v>4</v>
      </c>
      <c r="AA74" s="3" t="s">
        <v>4</v>
      </c>
      <c r="AB74" s="3" t="s">
        <v>4</v>
      </c>
      <c r="AC74" s="3" t="s">
        <v>4</v>
      </c>
      <c r="AD74" s="3" t="s">
        <v>4</v>
      </c>
      <c r="AE74" s="3">
        <v>-2571547</v>
      </c>
      <c r="AF74" s="3" t="s">
        <v>3185</v>
      </c>
      <c r="AG74" s="3">
        <v>4129.03</v>
      </c>
      <c r="AH74" s="3" t="s">
        <v>3186</v>
      </c>
      <c r="AI74" s="3" t="s">
        <v>227</v>
      </c>
      <c r="AJ74" s="3" t="s">
        <v>3187</v>
      </c>
      <c r="AK74" s="3" t="s">
        <v>4</v>
      </c>
      <c r="AL74" s="3" t="s">
        <v>3188</v>
      </c>
      <c r="AM74" s="3" t="s">
        <v>4</v>
      </c>
      <c r="AN74" s="3">
        <v>0</v>
      </c>
      <c r="AO74" s="3" t="s">
        <v>4</v>
      </c>
      <c r="AP74" s="3" t="s">
        <v>4</v>
      </c>
      <c r="AQ74" s="3" t="s">
        <v>3189</v>
      </c>
      <c r="AR74" s="3" t="s">
        <v>3190</v>
      </c>
      <c r="AS74" s="3" t="s">
        <v>4</v>
      </c>
      <c r="AT74" s="3" t="s">
        <v>4</v>
      </c>
      <c r="AU74" s="3" t="s">
        <v>3191</v>
      </c>
      <c r="AV74" s="3" t="s">
        <v>3192</v>
      </c>
      <c r="AW74" s="3" t="s">
        <v>4</v>
      </c>
      <c r="AX74" s="3" t="s">
        <v>1080</v>
      </c>
      <c r="AY74" s="3" t="s">
        <v>4</v>
      </c>
      <c r="AZ74" s="3" t="s">
        <v>610</v>
      </c>
      <c r="BA74" s="3" t="s">
        <v>611</v>
      </c>
      <c r="BB74" s="3" t="s">
        <v>517</v>
      </c>
      <c r="BC74" s="3" t="s">
        <v>1312</v>
      </c>
      <c r="BD74" s="3" t="s">
        <v>4</v>
      </c>
      <c r="BE74" s="3" t="s">
        <v>4</v>
      </c>
      <c r="BF74" s="3" t="s">
        <v>4</v>
      </c>
      <c r="BG74" s="3" t="s">
        <v>4</v>
      </c>
      <c r="BH74" s="3" t="s">
        <v>688</v>
      </c>
      <c r="BI74" s="3" t="s">
        <v>137</v>
      </c>
      <c r="BJ74" s="3" t="s">
        <v>1080</v>
      </c>
      <c r="BK74" s="3" t="s">
        <v>3193</v>
      </c>
      <c r="BL74" s="3" t="s">
        <v>1493</v>
      </c>
      <c r="BM74" s="3" t="s">
        <v>1312</v>
      </c>
      <c r="BN74" s="3">
        <v>1.53</v>
      </c>
      <c r="BO74" s="3">
        <v>2.72</v>
      </c>
      <c r="BP74" s="3">
        <v>5.59</v>
      </c>
      <c r="BQ74" s="3">
        <v>1.45</v>
      </c>
      <c r="BR74" s="3">
        <v>1.84</v>
      </c>
      <c r="BS74" s="3">
        <v>4.47</v>
      </c>
      <c r="BT74" s="3" t="s">
        <v>1043</v>
      </c>
      <c r="BU74" s="3" t="s">
        <v>841</v>
      </c>
      <c r="BV74" s="3">
        <v>12.75</v>
      </c>
      <c r="BW74" s="3">
        <v>12.5</v>
      </c>
      <c r="BX74" s="3">
        <v>11.2</v>
      </c>
      <c r="BY74" s="3">
        <v>5.33</v>
      </c>
      <c r="BZ74" s="3">
        <v>6.08</v>
      </c>
      <c r="CA74" s="3">
        <v>7.27</v>
      </c>
      <c r="CB74" s="3">
        <v>-2.5099999999999998</v>
      </c>
      <c r="CC74" s="1">
        <v>-6.89</v>
      </c>
      <c r="CD74" s="1" t="s">
        <v>3194</v>
      </c>
      <c r="CE74" s="1" t="s">
        <v>178</v>
      </c>
      <c r="CF74" s="10">
        <v>-0.65357889908256883</v>
      </c>
      <c r="CG74" s="11">
        <v>-0.63540666056280537</v>
      </c>
      <c r="CH74" s="10">
        <v>-0.85884147882461548</v>
      </c>
      <c r="CI74" s="10" t="s">
        <v>4</v>
      </c>
      <c r="CJ74" s="10" t="s">
        <v>4</v>
      </c>
      <c r="CK74" s="10">
        <v>0.33147114515304565</v>
      </c>
      <c r="CL74" s="10">
        <v>-0.11532124876976013</v>
      </c>
      <c r="CM74" s="11">
        <v>-0.81865817308425903</v>
      </c>
      <c r="CN74" s="11" t="s">
        <v>4</v>
      </c>
      <c r="CO74" s="11" t="s">
        <v>4</v>
      </c>
      <c r="CP74" s="11" t="s">
        <v>4</v>
      </c>
      <c r="CQ74" s="11" t="s">
        <v>4</v>
      </c>
      <c r="CR74" s="1">
        <v>221.8653191459716</v>
      </c>
      <c r="CS74" s="1">
        <v>10.356382059798888</v>
      </c>
      <c r="CT74" s="3">
        <v>0</v>
      </c>
      <c r="CU74" s="10">
        <v>-0.21423052748044333</v>
      </c>
      <c r="CV74" s="11">
        <v>-0.81865817308425903</v>
      </c>
      <c r="CW74" s="3">
        <v>0.06</v>
      </c>
      <c r="CX74" s="3">
        <v>440.37396750476535</v>
      </c>
      <c r="CY74" s="3" t="s">
        <v>3195</v>
      </c>
      <c r="CZ74" s="3">
        <v>-0.21423052748044333</v>
      </c>
      <c r="DA74" s="3">
        <v>146.79132250158847</v>
      </c>
      <c r="DB74" s="3" t="s">
        <v>3196</v>
      </c>
      <c r="DC74" s="3">
        <v>-0.20351900110642115</v>
      </c>
      <c r="DD74" s="3">
        <v>73.395661250794234</v>
      </c>
      <c r="DE74" s="3" t="s">
        <v>3197</v>
      </c>
      <c r="DF74" s="3">
        <v>-0.18852286418279013</v>
      </c>
      <c r="DG74" s="3">
        <v>44.037396750476539</v>
      </c>
      <c r="DH74" s="3" t="s">
        <v>3198</v>
      </c>
      <c r="DI74" s="3">
        <v>-0.17138442198435466</v>
      </c>
      <c r="DJ74" s="3">
        <v>22.018698375238269</v>
      </c>
      <c r="DK74" s="3" t="s">
        <v>3199</v>
      </c>
      <c r="DL74" s="3">
        <v>-0.14996136923631032</v>
      </c>
      <c r="DM74" s="3">
        <v>3305100</v>
      </c>
      <c r="DN74" s="3">
        <v>-0.21423052748044333</v>
      </c>
      <c r="DO74" s="3">
        <v>1455480000</v>
      </c>
      <c r="DP74" s="3">
        <v>933448290</v>
      </c>
      <c r="DQ74" s="3">
        <v>2945</v>
      </c>
      <c r="DR74" s="3">
        <v>-0.43934837160212548</v>
      </c>
      <c r="DS74" s="3">
        <v>0.18325151252145366</v>
      </c>
      <c r="DT74" s="12">
        <v>-1.1599999999999999</v>
      </c>
      <c r="DU74" s="3">
        <v>-2.3199999999999998</v>
      </c>
      <c r="DV74" s="3">
        <v>-3.4799999999999995</v>
      </c>
      <c r="DW74" s="3">
        <v>-8.3642960812772138</v>
      </c>
      <c r="DX74" s="3">
        <v>0.32806546391752606</v>
      </c>
      <c r="DY74" s="3">
        <v>-8.0466537466521029</v>
      </c>
      <c r="DZ74" s="3">
        <v>2425</v>
      </c>
      <c r="EA74" s="3">
        <v>-8.0245137592487072</v>
      </c>
      <c r="EB74" s="3">
        <v>8</v>
      </c>
      <c r="EC74" s="3">
        <v>6.4699739583333318E-2</v>
      </c>
      <c r="ED74" s="3">
        <v>0.50520833333333337</v>
      </c>
      <c r="EE74" s="13">
        <v>-2.1382099999999999</v>
      </c>
      <c r="EF74" s="3">
        <v>-3.02251</v>
      </c>
      <c r="EG74" s="3">
        <v>20.128065463917526</v>
      </c>
      <c r="EH74" s="3" t="s">
        <v>1639</v>
      </c>
      <c r="EI74" s="3">
        <v>0</v>
      </c>
      <c r="EJ74" s="3">
        <v>0</v>
      </c>
      <c r="EK74" s="15">
        <v>45470</v>
      </c>
      <c r="EL74" s="16">
        <v>0.93</v>
      </c>
      <c r="EM74" s="16">
        <v>-3.93</v>
      </c>
      <c r="EN74" s="16">
        <v>-0.42</v>
      </c>
      <c r="EO74" s="16">
        <v>-3.72</v>
      </c>
      <c r="EP74" s="16">
        <v>-3.43</v>
      </c>
    </row>
    <row r="75" spans="1:146" ht="96" x14ac:dyDescent="0.25">
      <c r="C75" s="7" t="str">
        <f>""&amp;CHAR(10)&amp;Basic_Fundamental_Information_Constructure(F75)&amp;CHAR(10)&amp;Basic_Fundamental_Information_Concatenate("")</f>
        <v xml:space="preserve">
市值36.231572亿, 利润-9342.48万; PE; 平均PE-17.79; 平均PEG-.79, PB1.86; ROIC0%; ROE-9.6233%; 股利率0%; 毛利4.0067%; 净利-2.0667%; 上一年度营收增-85.88%, 利润增70.25%; 当季营收增-43.5%, 利润增24.66%; 过往5年营收增-22.59%, 利润增70.25%
Income profile:
</v>
      </c>
      <c r="D75" s="3" t="s">
        <v>613</v>
      </c>
      <c r="E75" s="3" t="s">
        <v>614</v>
      </c>
      <c r="F75" s="3">
        <v>6.11</v>
      </c>
      <c r="G75" s="3">
        <v>0.66</v>
      </c>
      <c r="H75" s="3" t="s">
        <v>3200</v>
      </c>
      <c r="I75" s="3">
        <v>3623157200</v>
      </c>
      <c r="K75" s="3">
        <v>1.86</v>
      </c>
      <c r="L75" s="3" t="s">
        <v>285</v>
      </c>
      <c r="M75" s="3" t="s">
        <v>3201</v>
      </c>
      <c r="N75" s="3" t="s">
        <v>3202</v>
      </c>
      <c r="O75" s="3" t="s">
        <v>3203</v>
      </c>
      <c r="P75" s="3">
        <v>22.2</v>
      </c>
      <c r="Q75" s="3" t="s">
        <v>3203</v>
      </c>
      <c r="R75" s="3">
        <v>-93424830</v>
      </c>
      <c r="S75" s="5">
        <v>-0.24640000000000001</v>
      </c>
      <c r="T75" s="3" t="s">
        <v>3204</v>
      </c>
      <c r="U75" s="3">
        <v>592988080</v>
      </c>
      <c r="V75" s="3">
        <v>592988080</v>
      </c>
      <c r="W75" s="3">
        <v>3.61</v>
      </c>
      <c r="X75" s="3" t="s">
        <v>4</v>
      </c>
      <c r="Y75" s="3">
        <v>-3.8</v>
      </c>
      <c r="Z75" s="3" t="s">
        <v>4</v>
      </c>
      <c r="AA75" s="3" t="s">
        <v>4</v>
      </c>
      <c r="AB75" s="3" t="s">
        <v>4</v>
      </c>
      <c r="AC75" s="3" t="s">
        <v>4</v>
      </c>
      <c r="AD75" s="3" t="s">
        <v>4</v>
      </c>
      <c r="AE75" s="3">
        <v>22083916</v>
      </c>
      <c r="AF75" s="3" t="s">
        <v>3205</v>
      </c>
      <c r="AG75" s="3" t="s">
        <v>3206</v>
      </c>
      <c r="AH75" s="3" t="s">
        <v>3207</v>
      </c>
      <c r="AI75" s="3" t="s">
        <v>1423</v>
      </c>
      <c r="AJ75" s="3" t="s">
        <v>3208</v>
      </c>
      <c r="AK75" s="3" t="s">
        <v>4</v>
      </c>
      <c r="AL75" s="3" t="s">
        <v>3209</v>
      </c>
      <c r="AM75" s="3" t="s">
        <v>4</v>
      </c>
      <c r="AN75" s="3" t="s">
        <v>3210</v>
      </c>
      <c r="AO75" s="3" t="s">
        <v>4</v>
      </c>
      <c r="AP75" s="3" t="s">
        <v>3211</v>
      </c>
      <c r="AQ75" s="3" t="s">
        <v>3212</v>
      </c>
      <c r="AR75" s="3" t="s">
        <v>4</v>
      </c>
      <c r="AS75" s="3" t="s">
        <v>4</v>
      </c>
      <c r="AT75" s="3" t="s">
        <v>4</v>
      </c>
      <c r="AU75" s="3" t="s">
        <v>3213</v>
      </c>
      <c r="AV75" s="3" t="s">
        <v>1448</v>
      </c>
      <c r="AW75" s="3" t="s">
        <v>3214</v>
      </c>
      <c r="AX75" s="3" t="s">
        <v>1314</v>
      </c>
      <c r="AY75" s="3" t="s">
        <v>4</v>
      </c>
      <c r="AZ75" s="3" t="s">
        <v>615</v>
      </c>
      <c r="BA75" s="3" t="s">
        <v>616</v>
      </c>
      <c r="BB75" s="3" t="s">
        <v>617</v>
      </c>
      <c r="BC75" s="3" t="s">
        <v>3215</v>
      </c>
      <c r="BD75" s="3" t="s">
        <v>4</v>
      </c>
      <c r="BE75" s="3" t="s">
        <v>4</v>
      </c>
      <c r="BF75" s="3" t="s">
        <v>4</v>
      </c>
      <c r="BG75" s="3" t="s">
        <v>4</v>
      </c>
      <c r="BH75" s="3" t="s">
        <v>3216</v>
      </c>
      <c r="BI75" s="3" t="s">
        <v>1313</v>
      </c>
      <c r="BJ75" s="3" t="s">
        <v>1314</v>
      </c>
      <c r="BK75" s="3" t="s">
        <v>3217</v>
      </c>
      <c r="BL75" s="3" t="s">
        <v>1494</v>
      </c>
      <c r="BM75" s="3" t="s">
        <v>3215</v>
      </c>
      <c r="BN75" s="3" t="s">
        <v>4</v>
      </c>
      <c r="BO75" s="3" t="s">
        <v>4</v>
      </c>
      <c r="BP75" s="3" t="s">
        <v>4</v>
      </c>
      <c r="BQ75" s="3">
        <v>-5.86</v>
      </c>
      <c r="BR75" s="3">
        <v>-11.71</v>
      </c>
      <c r="BS75" s="3">
        <v>-11.3</v>
      </c>
      <c r="BT75" s="3" t="s">
        <v>1043</v>
      </c>
      <c r="BU75" s="3" t="s">
        <v>841</v>
      </c>
      <c r="BV75" s="3">
        <v>6.57</v>
      </c>
      <c r="BW75" s="3">
        <v>2.95</v>
      </c>
      <c r="BX75" s="3">
        <v>2.5</v>
      </c>
      <c r="BY75" s="3">
        <v>-2.61</v>
      </c>
      <c r="BZ75" s="3">
        <v>-1.93</v>
      </c>
      <c r="CA75" s="3">
        <v>-1.66</v>
      </c>
      <c r="CB75" s="3">
        <v>-3.78</v>
      </c>
      <c r="CC75" s="3">
        <v>-21.97</v>
      </c>
      <c r="CD75" s="3" t="s">
        <v>3218</v>
      </c>
      <c r="CE75" s="3" t="s">
        <v>1352</v>
      </c>
      <c r="CF75" s="10">
        <v>-0.43496131528046422</v>
      </c>
      <c r="CG75" s="11">
        <v>0.24657395161290321</v>
      </c>
      <c r="CH75" s="10">
        <v>-0.8587915301322937</v>
      </c>
      <c r="CI75" s="10" t="s">
        <v>4</v>
      </c>
      <c r="CJ75" s="10" t="s">
        <v>4</v>
      </c>
      <c r="CK75" s="10">
        <v>0.14564470946788788</v>
      </c>
      <c r="CL75" s="10">
        <v>3.5308107733726501E-2</v>
      </c>
      <c r="CM75" s="11">
        <v>0.70246881246566772</v>
      </c>
      <c r="CN75" s="11" t="s">
        <v>4</v>
      </c>
      <c r="CO75" s="11" t="s">
        <v>4</v>
      </c>
      <c r="CP75" s="11" t="s">
        <v>4</v>
      </c>
      <c r="CQ75" s="11" t="s">
        <v>4</v>
      </c>
      <c r="CR75" s="1">
        <v>-17.785648787211777</v>
      </c>
      <c r="CS75" s="1">
        <v>-0.7871628654985362</v>
      </c>
      <c r="CT75" s="3">
        <v>0</v>
      </c>
      <c r="CU75" s="10">
        <v>-0.22594623764355978</v>
      </c>
      <c r="CV75" s="11">
        <v>0.70246881246566772</v>
      </c>
      <c r="CW75" s="3">
        <v>0.06</v>
      </c>
      <c r="CX75" s="3" t="e">
        <v>#VALUE!</v>
      </c>
      <c r="CY75" s="3" t="s">
        <v>855</v>
      </c>
      <c r="CZ75" s="3">
        <v>-0.22594623764355978</v>
      </c>
      <c r="DA75" s="3" t="e">
        <v>#VALUE!</v>
      </c>
      <c r="DB75" s="3" t="s">
        <v>853</v>
      </c>
      <c r="DC75" s="3">
        <v>-0.21464892576138178</v>
      </c>
      <c r="DD75" s="3" t="e">
        <v>#VALUE!</v>
      </c>
      <c r="DE75" s="3" t="s">
        <v>853</v>
      </c>
      <c r="DF75" s="3">
        <v>-0.19883268912633262</v>
      </c>
      <c r="DG75" s="3" t="e">
        <v>#VALUE!</v>
      </c>
      <c r="DH75" s="3" t="s">
        <v>853</v>
      </c>
      <c r="DI75" s="3">
        <v>-0.18075699011484783</v>
      </c>
      <c r="DJ75" s="3" t="e">
        <v>#VALUE!</v>
      </c>
      <c r="DK75" s="3" t="s">
        <v>853</v>
      </c>
      <c r="DL75" s="3">
        <v>-0.15816236635049183</v>
      </c>
      <c r="DM75" s="3">
        <v>-93424800</v>
      </c>
      <c r="DN75" s="3">
        <v>-0.22594623764355978</v>
      </c>
      <c r="DO75" s="3">
        <v>7228157200</v>
      </c>
      <c r="DP75" s="3">
        <v>4997755500</v>
      </c>
      <c r="DQ75" s="3">
        <v>3004</v>
      </c>
      <c r="DR75" s="3">
        <v>-0.20901507763690444</v>
      </c>
      <c r="DS75" s="3">
        <v>-0.45589486085276454</v>
      </c>
      <c r="DT75" s="12">
        <v>-1.1599999999999999</v>
      </c>
      <c r="DU75" s="3">
        <v>-0.96499999999999997</v>
      </c>
      <c r="DV75" s="3">
        <v>-2.125</v>
      </c>
      <c r="DW75" s="3">
        <v>-8.172052799271734</v>
      </c>
      <c r="DX75" s="3">
        <v>0.28241025163093952</v>
      </c>
      <c r="DY75" s="3">
        <v>-8.014178914481791</v>
      </c>
      <c r="DZ75" s="3">
        <v>1723</v>
      </c>
      <c r="EA75" s="3">
        <v>-8.0093980397944868</v>
      </c>
      <c r="EB75" s="3">
        <v>8</v>
      </c>
      <c r="EC75" s="3">
        <v>0.14911969225418498</v>
      </c>
      <c r="ED75" s="3">
        <v>1.809479880270106</v>
      </c>
      <c r="EE75" s="13">
        <v>-3.06901</v>
      </c>
      <c r="EF75" s="3">
        <v>-3.0746099999999998</v>
      </c>
      <c r="EG75" s="3">
        <v>20.08241025163094</v>
      </c>
      <c r="EH75" s="3" t="s">
        <v>1639</v>
      </c>
      <c r="EI75" s="3">
        <v>0</v>
      </c>
      <c r="EJ75" s="3">
        <v>0</v>
      </c>
      <c r="EK75" s="15">
        <v>45470</v>
      </c>
      <c r="EL75" s="16">
        <v>0</v>
      </c>
      <c r="EM75" s="16">
        <v>-4.49</v>
      </c>
      <c r="EN75" s="16">
        <v>1.76</v>
      </c>
      <c r="EO75" s="16">
        <v>3.18</v>
      </c>
      <c r="EP75" s="16">
        <v>-0.56000000000000005</v>
      </c>
    </row>
    <row r="76" spans="1:146" ht="96" x14ac:dyDescent="0.25">
      <c r="C76" s="7" t="str">
        <f>""&amp;CHAR(10)&amp;Basic_Fundamental_Information_Constructure(F76)&amp;CHAR(10)&amp;Basic_Fundamental_Information_Concatenate("")</f>
        <v xml:space="preserve">
市值120.179598亿, 利润1.05亿; PE34.35; 平均PE55.64; 平均PEG3.57, PB2.93; ROIC6.68%; ROE7.8667%; 股利率.2849%; 毛利15.62%; 净利10.0933%; 上一年度营收增-78.33%, 利润增-60.67%; 当季营收增-56.72%, 利润增-51.16%; 过往5年营收增-15.59%, 利润增-7.06%
Income profile:
</v>
      </c>
      <c r="D76" s="3" t="s">
        <v>886</v>
      </c>
      <c r="E76" s="3" t="s">
        <v>887</v>
      </c>
      <c r="F76" s="3">
        <v>26.4</v>
      </c>
      <c r="G76" s="3">
        <v>0.8</v>
      </c>
      <c r="H76" s="3" t="s">
        <v>3219</v>
      </c>
      <c r="I76" s="3">
        <v>12017959800</v>
      </c>
      <c r="J76" s="3">
        <v>34.35</v>
      </c>
      <c r="K76" s="3">
        <v>2.93</v>
      </c>
      <c r="L76" s="3" t="s">
        <v>285</v>
      </c>
      <c r="M76" s="3" t="s">
        <v>1658</v>
      </c>
      <c r="N76" s="3" t="s">
        <v>3220</v>
      </c>
      <c r="O76" s="3" t="s">
        <v>935</v>
      </c>
      <c r="P76" s="3">
        <v>-9.02</v>
      </c>
      <c r="Q76" s="3" t="s">
        <v>935</v>
      </c>
      <c r="R76" s="3">
        <v>105012038</v>
      </c>
      <c r="S76" s="5">
        <v>0.1125</v>
      </c>
      <c r="T76" s="3" t="s">
        <v>24</v>
      </c>
      <c r="U76" s="3">
        <v>455225750</v>
      </c>
      <c r="V76" s="3">
        <v>455225750</v>
      </c>
      <c r="W76" s="3">
        <v>1.63</v>
      </c>
      <c r="X76" s="3">
        <v>0.09</v>
      </c>
      <c r="Y76" s="3">
        <v>17.32</v>
      </c>
      <c r="Z76" s="3" t="s">
        <v>1409</v>
      </c>
      <c r="AA76" s="3" t="s">
        <v>273</v>
      </c>
      <c r="AB76" s="3" t="s">
        <v>3221</v>
      </c>
      <c r="AC76" s="3" t="s">
        <v>3222</v>
      </c>
      <c r="AD76" s="3" t="s">
        <v>4</v>
      </c>
      <c r="AE76" s="3">
        <v>12367469</v>
      </c>
      <c r="AF76" s="3" t="s">
        <v>3223</v>
      </c>
      <c r="AG76" s="3" t="s">
        <v>3224</v>
      </c>
      <c r="AH76" s="3" t="s">
        <v>3225</v>
      </c>
      <c r="AI76" s="3" t="s">
        <v>3226</v>
      </c>
      <c r="AJ76" s="3" t="s">
        <v>3227</v>
      </c>
      <c r="AK76" s="3" t="s">
        <v>1372</v>
      </c>
      <c r="AL76" s="3" t="s">
        <v>3228</v>
      </c>
      <c r="AM76" s="3" t="s">
        <v>4</v>
      </c>
      <c r="AN76" s="3" t="s">
        <v>3229</v>
      </c>
      <c r="AO76" s="3" t="s">
        <v>2812</v>
      </c>
      <c r="AP76" s="3" t="s">
        <v>854</v>
      </c>
      <c r="AQ76" s="3" t="s">
        <v>1444</v>
      </c>
      <c r="AR76" s="3" t="s">
        <v>4</v>
      </c>
      <c r="AS76" s="3" t="s">
        <v>3230</v>
      </c>
      <c r="AT76" s="3" t="s">
        <v>247</v>
      </c>
      <c r="AU76" s="3" t="s">
        <v>647</v>
      </c>
      <c r="AV76" s="3" t="s">
        <v>3231</v>
      </c>
      <c r="AW76" s="3" t="s">
        <v>3232</v>
      </c>
      <c r="AX76" s="3" t="s">
        <v>1315</v>
      </c>
      <c r="AY76" s="3" t="s">
        <v>888</v>
      </c>
      <c r="AZ76" s="3" t="s">
        <v>279</v>
      </c>
      <c r="BA76" s="3" t="s">
        <v>890</v>
      </c>
      <c r="BB76" s="3" t="s">
        <v>891</v>
      </c>
      <c r="BC76" s="3" t="s">
        <v>58</v>
      </c>
      <c r="BD76" s="3" t="s">
        <v>100</v>
      </c>
      <c r="BE76" s="3" t="s">
        <v>131</v>
      </c>
      <c r="BF76" s="3" t="s">
        <v>179</v>
      </c>
      <c r="BG76" s="3" t="s">
        <v>42</v>
      </c>
      <c r="BH76" s="3" t="s">
        <v>3233</v>
      </c>
      <c r="BI76" s="3" t="s">
        <v>602</v>
      </c>
      <c r="BJ76" s="3" t="s">
        <v>1315</v>
      </c>
      <c r="BK76" s="3" t="s">
        <v>1422</v>
      </c>
      <c r="BL76" s="3" t="s">
        <v>810</v>
      </c>
      <c r="BM76" s="3" t="s">
        <v>58</v>
      </c>
      <c r="BN76" s="3">
        <v>6.78</v>
      </c>
      <c r="BO76" s="3">
        <v>6.79</v>
      </c>
      <c r="BP76" s="3">
        <v>6.47</v>
      </c>
      <c r="BQ76" s="3">
        <v>8.35</v>
      </c>
      <c r="BR76" s="3">
        <v>7.66</v>
      </c>
      <c r="BS76" s="3">
        <v>7.59</v>
      </c>
      <c r="BT76" s="3" t="s">
        <v>3234</v>
      </c>
      <c r="BU76" s="3" t="s">
        <v>841</v>
      </c>
      <c r="BV76" s="3">
        <v>18.149999999999999</v>
      </c>
      <c r="BW76" s="3">
        <v>14.73</v>
      </c>
      <c r="BX76" s="3">
        <v>13.98</v>
      </c>
      <c r="BY76" s="3">
        <v>12.55</v>
      </c>
      <c r="BZ76" s="3">
        <v>9.8699999999999992</v>
      </c>
      <c r="CA76" s="3">
        <v>7.86</v>
      </c>
      <c r="CB76" s="3">
        <v>-4.07</v>
      </c>
      <c r="CC76" s="3">
        <v>-12.04</v>
      </c>
      <c r="CD76" s="3" t="s">
        <v>3235</v>
      </c>
      <c r="CE76" s="3" t="s">
        <v>27</v>
      </c>
      <c r="CF76" s="10">
        <v>-0.56720916214587103</v>
      </c>
      <c r="CG76" s="11">
        <v>-0.51157191627906973</v>
      </c>
      <c r="CH76" s="10">
        <v>-0.78334331512451172</v>
      </c>
      <c r="CI76" s="10">
        <v>-7.5850531458854675E-2</v>
      </c>
      <c r="CJ76" s="10">
        <v>-6.2973655760288239E-2</v>
      </c>
      <c r="CK76" s="10">
        <v>-0.12123990058898926</v>
      </c>
      <c r="CL76" s="10">
        <v>0.26378399133682251</v>
      </c>
      <c r="CM76" s="11">
        <v>-0.60674154758453369</v>
      </c>
      <c r="CN76" s="11">
        <v>0.15086206793785095</v>
      </c>
      <c r="CO76" s="11">
        <v>-0.14074073731899261</v>
      </c>
      <c r="CP76" s="11">
        <v>0.38461539149284363</v>
      </c>
      <c r="CQ76" s="11">
        <v>-0.14096915721893311</v>
      </c>
      <c r="CR76" s="3">
        <v>55.63870277777778</v>
      </c>
      <c r="CS76" s="3">
        <v>3.5683063098304206</v>
      </c>
      <c r="CT76" s="3">
        <v>0.28492424242424241</v>
      </c>
      <c r="CU76" s="10">
        <v>-0.15592468231916429</v>
      </c>
      <c r="CV76" s="11">
        <v>-7.0594796538352961E-2</v>
      </c>
      <c r="CW76" s="3">
        <v>0.06</v>
      </c>
      <c r="CX76" s="3">
        <v>97.780569523809518</v>
      </c>
      <c r="CY76" s="3" t="s">
        <v>1896</v>
      </c>
      <c r="CZ76" s="3">
        <v>-0.15592468231916429</v>
      </c>
      <c r="DA76" s="3">
        <v>32.593523174603177</v>
      </c>
      <c r="DB76" s="3" t="s">
        <v>1897</v>
      </c>
      <c r="DC76" s="3">
        <v>-0.14812844820320606</v>
      </c>
      <c r="DD76" s="3">
        <v>16.296761587301589</v>
      </c>
      <c r="DE76" s="3" t="s">
        <v>1898</v>
      </c>
      <c r="DF76" s="3">
        <v>-0.13721372044086458</v>
      </c>
      <c r="DG76" s="3">
        <v>9.7780569523809522</v>
      </c>
      <c r="DH76" s="3" t="s">
        <v>1899</v>
      </c>
      <c r="DI76" s="3">
        <v>-0.12473974585533143</v>
      </c>
      <c r="DJ76" s="3">
        <v>4.8890284761904761</v>
      </c>
      <c r="DK76" s="3" t="s">
        <v>1900</v>
      </c>
      <c r="DL76" s="3">
        <v>-0.109147277623415</v>
      </c>
      <c r="DM76" s="3">
        <v>105000000</v>
      </c>
      <c r="DN76" s="3">
        <v>-0.15592468231916429</v>
      </c>
      <c r="DO76" s="3">
        <v>10266959800</v>
      </c>
      <c r="DP76" s="3">
        <v>1155717600</v>
      </c>
      <c r="DQ76" s="3">
        <v>3128</v>
      </c>
      <c r="DR76" s="3">
        <v>-0.41128447982670674</v>
      </c>
      <c r="DS76" s="3">
        <v>-0.44097711974071674</v>
      </c>
      <c r="DT76" s="12">
        <v>-0.67333333333333334</v>
      </c>
      <c r="DU76" s="3">
        <v>-0.28666666666666668</v>
      </c>
      <c r="DV76" s="3">
        <v>-0.96</v>
      </c>
      <c r="DW76" s="3">
        <v>-8.3380398671096341</v>
      </c>
      <c r="DX76" s="3">
        <v>0.37702672413793237</v>
      </c>
      <c r="DY76" s="3">
        <v>-8.0463204956180547</v>
      </c>
      <c r="DZ76" s="3">
        <v>1530</v>
      </c>
      <c r="EA76" s="3">
        <v>-8.032451540961377</v>
      </c>
      <c r="EB76" s="3">
        <v>8</v>
      </c>
      <c r="EC76" s="3">
        <v>3.4916961529526835E-2</v>
      </c>
      <c r="ED76" s="3">
        <v>0.25481862570384034</v>
      </c>
      <c r="EE76" s="13">
        <v>1.1093</v>
      </c>
      <c r="EF76" s="3">
        <v>1.0805</v>
      </c>
      <c r="EG76" s="3">
        <v>24.137026724137932</v>
      </c>
      <c r="EH76" s="3" t="s">
        <v>1108</v>
      </c>
      <c r="EI76" s="3">
        <v>0</v>
      </c>
      <c r="EJ76" s="3">
        <v>0</v>
      </c>
      <c r="EK76" s="15">
        <v>45470</v>
      </c>
      <c r="EL76" s="16">
        <v>-0.49</v>
      </c>
      <c r="EM76" s="16">
        <v>-1.78</v>
      </c>
      <c r="EN76" s="16">
        <v>1.31</v>
      </c>
      <c r="EO76" s="16">
        <v>-0.37</v>
      </c>
      <c r="EP76" s="16">
        <v>-2.88</v>
      </c>
    </row>
    <row r="77" spans="1:146" ht="96" x14ac:dyDescent="0.25">
      <c r="C77" s="7" t="str">
        <f>""&amp;CHAR(10)&amp;Basic_Fundamental_Information_Constructure(F77)&amp;CHAR(10)&amp;Basic_Fundamental_Information_Concatenate("")</f>
        <v xml:space="preserve">
市值3.0535766亿, 利润-1131.40万; PE; 平均PE-1.12; 平均PEG-.02, PB; ROIC0%; ROE-83.315%; 股利率0%; 毛利-20.7467%; 净利-143.64%; 上一年度营收增-96.42%, 利润增86.1%; 当季营收增-83.11%, 利润增66.44%; 过往5年营收增-52.55%, 利润增14.63%
Income profile:
</v>
      </c>
      <c r="D77" s="3" t="s">
        <v>618</v>
      </c>
      <c r="E77" s="3" t="s">
        <v>1589</v>
      </c>
      <c r="F77" s="3">
        <v>1.07</v>
      </c>
      <c r="G77" s="3">
        <v>1.9</v>
      </c>
      <c r="H77" s="3" t="s">
        <v>3236</v>
      </c>
      <c r="I77" s="3">
        <v>305357660</v>
      </c>
      <c r="L77" s="3" t="s">
        <v>285</v>
      </c>
      <c r="M77" s="3" t="s">
        <v>131</v>
      </c>
      <c r="N77" s="3" t="s">
        <v>3237</v>
      </c>
      <c r="O77" s="3" t="s">
        <v>3238</v>
      </c>
      <c r="P77" s="3">
        <v>-67.23</v>
      </c>
      <c r="Q77" s="3" t="s">
        <v>3238</v>
      </c>
      <c r="R77" s="3">
        <v>-11314002</v>
      </c>
      <c r="S77" s="5">
        <v>0.3054</v>
      </c>
      <c r="T77" s="3" t="s">
        <v>3239</v>
      </c>
      <c r="U77" s="3">
        <v>252523820</v>
      </c>
      <c r="V77" s="3">
        <v>285380990</v>
      </c>
      <c r="W77" s="3" t="s">
        <v>4</v>
      </c>
      <c r="X77" s="3">
        <v>0.02</v>
      </c>
      <c r="Y77" s="3">
        <v>-312.20999999999998</v>
      </c>
      <c r="Z77" s="3" t="s">
        <v>3240</v>
      </c>
      <c r="AA77" s="3" t="s">
        <v>3241</v>
      </c>
      <c r="AB77" s="3" t="s">
        <v>3242</v>
      </c>
      <c r="AC77" s="3" t="s">
        <v>3243</v>
      </c>
      <c r="AD77" s="3" t="s">
        <v>4</v>
      </c>
      <c r="AE77" s="3">
        <v>1613402</v>
      </c>
      <c r="AF77" s="3" t="s">
        <v>3244</v>
      </c>
      <c r="AG77" s="3">
        <v>480</v>
      </c>
      <c r="AH77" s="3" t="s">
        <v>3245</v>
      </c>
      <c r="AI77" s="3" t="s">
        <v>3246</v>
      </c>
      <c r="AJ77" s="3" t="s">
        <v>4</v>
      </c>
      <c r="AK77" s="3" t="s">
        <v>3247</v>
      </c>
      <c r="AL77" s="3" t="s">
        <v>3248</v>
      </c>
      <c r="AM77" s="3" t="s">
        <v>4</v>
      </c>
      <c r="AN77" s="3">
        <v>0</v>
      </c>
      <c r="AO77" s="3" t="s">
        <v>3249</v>
      </c>
      <c r="AP77" s="3" t="s">
        <v>4</v>
      </c>
      <c r="AQ77" s="3" t="s">
        <v>3250</v>
      </c>
      <c r="AR77" s="3" t="s">
        <v>3251</v>
      </c>
      <c r="AS77" s="3" t="s">
        <v>857</v>
      </c>
      <c r="AT77" s="3" t="s">
        <v>4</v>
      </c>
      <c r="AU77" s="3" t="s">
        <v>3252</v>
      </c>
      <c r="AV77" s="3" t="s">
        <v>4</v>
      </c>
      <c r="AW77" s="3" t="s">
        <v>3253</v>
      </c>
      <c r="AX77" s="3" t="s">
        <v>139</v>
      </c>
      <c r="AY77" s="3" t="s">
        <v>860</v>
      </c>
      <c r="AZ77" s="3" t="s">
        <v>619</v>
      </c>
      <c r="BA77" s="3" t="s">
        <v>576</v>
      </c>
      <c r="BB77" s="3" t="s">
        <v>620</v>
      </c>
      <c r="BC77" s="3" t="s">
        <v>3254</v>
      </c>
      <c r="BD77" s="3" t="s">
        <v>3255</v>
      </c>
      <c r="BE77" s="3" t="s">
        <v>359</v>
      </c>
      <c r="BF77" s="3" t="s">
        <v>621</v>
      </c>
      <c r="BG77" s="3" t="s">
        <v>589</v>
      </c>
      <c r="BH77" s="3" t="s">
        <v>3256</v>
      </c>
      <c r="BI77" s="3" t="s">
        <v>1316</v>
      </c>
      <c r="BJ77" s="3" t="s">
        <v>139</v>
      </c>
      <c r="BK77" s="3" t="s">
        <v>1338</v>
      </c>
      <c r="BL77" s="3" t="s">
        <v>1497</v>
      </c>
      <c r="BM77" s="3" t="s">
        <v>3254</v>
      </c>
      <c r="BN77" s="3" t="s">
        <v>4</v>
      </c>
      <c r="BO77" s="3" t="s">
        <v>4</v>
      </c>
      <c r="BP77" s="3" t="s">
        <v>4</v>
      </c>
      <c r="BQ77" s="3" t="s">
        <v>4</v>
      </c>
      <c r="BR77" s="3">
        <v>-109.31</v>
      </c>
      <c r="BS77" s="3">
        <v>-57.32</v>
      </c>
      <c r="BT77" s="3" t="s">
        <v>1043</v>
      </c>
      <c r="BU77" s="3" t="s">
        <v>841</v>
      </c>
      <c r="BV77" s="3">
        <v>-65.099999999999994</v>
      </c>
      <c r="BW77" s="3">
        <v>-2.84</v>
      </c>
      <c r="BX77" s="3">
        <v>5.7</v>
      </c>
      <c r="BY77" s="3">
        <v>-311.13</v>
      </c>
      <c r="BZ77" s="3">
        <v>-83.69</v>
      </c>
      <c r="CA77" s="3">
        <v>-36.1</v>
      </c>
      <c r="CB77" s="3">
        <v>7</v>
      </c>
      <c r="CC77" s="3">
        <v>-4.46</v>
      </c>
      <c r="CD77" s="3" t="s">
        <v>3257</v>
      </c>
      <c r="CE77" s="3" t="s">
        <v>734</v>
      </c>
      <c r="CF77" s="10">
        <v>-0.83105088592127085</v>
      </c>
      <c r="CG77" s="11">
        <v>0.66439144634387259</v>
      </c>
      <c r="CH77" s="10">
        <v>-0.96415466070175171</v>
      </c>
      <c r="CI77" s="10">
        <v>-0.44897958636283875</v>
      </c>
      <c r="CJ77" s="10">
        <v>-0.7914893627166748</v>
      </c>
      <c r="CK77" s="10">
        <v>0.30374479293823242</v>
      </c>
      <c r="CL77" s="10">
        <v>-0.72668689489364624</v>
      </c>
      <c r="CM77" s="11">
        <v>0.86096125841140747</v>
      </c>
      <c r="CN77" s="11">
        <v>-0.36819982528686523</v>
      </c>
      <c r="CO77" s="11">
        <v>0.76947867870330811</v>
      </c>
      <c r="CP77" s="11">
        <v>0.696827232837677</v>
      </c>
      <c r="CQ77" s="11">
        <v>-1.2277486324310303</v>
      </c>
      <c r="CR77" s="3">
        <v>-1.1150127117754403</v>
      </c>
      <c r="CS77" s="3">
        <v>-2.121759898896072E-2</v>
      </c>
      <c r="CT77" s="3">
        <v>0</v>
      </c>
      <c r="CU77" s="10">
        <v>-0.52551314234733582</v>
      </c>
      <c r="CV77" s="11">
        <v>0.14626374244689941</v>
      </c>
      <c r="CW77" s="3">
        <v>0.06</v>
      </c>
      <c r="CX77" s="3" t="e">
        <v>#VALUE!</v>
      </c>
      <c r="CY77" s="3" t="s">
        <v>855</v>
      </c>
      <c r="CZ77" s="3">
        <v>-0.52551314234733582</v>
      </c>
      <c r="DA77" s="3" t="e">
        <v>#VALUE!</v>
      </c>
      <c r="DB77" s="3" t="s">
        <v>853</v>
      </c>
      <c r="DC77" s="3">
        <v>-0.49923748522996902</v>
      </c>
      <c r="DD77" s="3" t="e">
        <v>#VALUE!</v>
      </c>
      <c r="DE77" s="3" t="s">
        <v>853</v>
      </c>
      <c r="DF77" s="3">
        <v>-0.46245156526565551</v>
      </c>
      <c r="DG77" s="3" t="e">
        <v>#VALUE!</v>
      </c>
      <c r="DH77" s="3" t="s">
        <v>853</v>
      </c>
      <c r="DI77" s="3">
        <v>-0.42041051387786865</v>
      </c>
      <c r="DJ77" s="3" t="e">
        <v>#VALUE!</v>
      </c>
      <c r="DK77" s="3" t="s">
        <v>853</v>
      </c>
      <c r="DL77" s="3">
        <v>-0.36785919964313507</v>
      </c>
      <c r="DM77" s="3">
        <v>-11314000</v>
      </c>
      <c r="DN77" s="3">
        <v>-0.52551314234733582</v>
      </c>
      <c r="DO77" s="3">
        <v>604790260</v>
      </c>
      <c r="DP77" s="3">
        <v>-164006320</v>
      </c>
      <c r="DQ77" s="3">
        <v>3558</v>
      </c>
      <c r="DR77" s="3">
        <v>-0.30553774357393504</v>
      </c>
      <c r="DS77" s="3">
        <v>0.51812770389697316</v>
      </c>
      <c r="DT77" s="12">
        <v>-1.0533333333333335</v>
      </c>
      <c r="DU77" s="3">
        <v>-2.0583333333333336</v>
      </c>
      <c r="DV77" s="3">
        <v>-3.1116666666666672</v>
      </c>
      <c r="DW77" s="3">
        <v>5.637142857142857</v>
      </c>
      <c r="DX77" s="3">
        <v>0.2638026666666663</v>
      </c>
      <c r="DY77" s="3">
        <v>5.0788799847619046</v>
      </c>
      <c r="DZ77" s="3">
        <v>2446</v>
      </c>
      <c r="EA77" s="3">
        <v>5.0411225595705895</v>
      </c>
      <c r="EB77" s="3">
        <v>5</v>
      </c>
      <c r="EC77" s="3">
        <v>6.5072309126126451E-2</v>
      </c>
      <c r="ED77" s="3">
        <v>0.5256131461314224</v>
      </c>
      <c r="EE77" s="13">
        <v>2.0424000000000002</v>
      </c>
      <c r="EF77" s="3">
        <v>2.0266999999999999</v>
      </c>
      <c r="EG77" s="3">
        <v>14.123802666666666</v>
      </c>
      <c r="EH77" s="3" t="s">
        <v>1112</v>
      </c>
      <c r="EI77" s="3">
        <v>1</v>
      </c>
      <c r="EJ77" s="3">
        <v>0</v>
      </c>
      <c r="EK77" s="15">
        <v>45470</v>
      </c>
      <c r="EL77" s="16">
        <v>0.55000000000000004</v>
      </c>
      <c r="EM77" s="16">
        <v>-2.56</v>
      </c>
      <c r="EN77" s="16">
        <v>0.72</v>
      </c>
      <c r="EO77" s="16">
        <v>0.95</v>
      </c>
      <c r="EP77" s="16">
        <v>-1.57</v>
      </c>
    </row>
    <row r="78" spans="1:146" ht="168" x14ac:dyDescent="0.25">
      <c r="C78" s="7" t="str">
        <f>"公司的主营业务为通信及移动网络设备、云计算及工业互联网；主要产品有网络设备、电信设备、通信网络设备高精密机构件、服务器、存储设备、云服务设备高精密机构件、精密工具、工业机器人。"&amp;CHAR(10)&amp;Basic_Fundamental_Information_Constructure(F78)&amp;CHAR(10)&amp;Basic_Fundamental_Information_Concatenate("通信及移动网络设备 2589.66亿 58.92% 76.80% 10.83%
云计算 1776.94亿 40.43% 20.15% 4.14%
工业互联网 16.85亿 0.38% 2.02% 43.87%
其他业务 12.12亿 0.28% 1.03% 30.94%")</f>
        <v>公司的主营业务为通信及移动网络设备、云计算及工业互联网；主要产品有网络设备、电信设备、通信网络设备高精密机构件、服务器、存储设备、云服务设备高精密机构件、精密工具、工业机器人。
市值5380.1308亿, 利润41.85亿; PE24.35; 平均PE33.21; 平均PEG3.05, PB3.7; ROIC9.7267%; ROE14.98%; 股利率2.1418%; 毛利7.8767%; 净利4.2967%; 上一年度营收增-76.81%, 利润增-79.15%; 当季营收增-42.6%, 利润增-41.56%; 过往5年营收增-10.9%, 利润增-12.05%
Income profile:
通信及移动网络设备 2589.66亿 58.92% 76.80% 10.83%
云计算 1776.94亿 40.43% 20.15% 4.14%
工业互联网 16.85亿 0.38% 2.02% 43.87%
其他业务 12.12亿 0.28% 1.03% 30.94%</v>
      </c>
      <c r="D78" s="3" t="s">
        <v>622</v>
      </c>
      <c r="E78" s="3" t="s">
        <v>623</v>
      </c>
      <c r="F78" s="3">
        <v>27.08</v>
      </c>
      <c r="G78" s="3">
        <v>-0.7</v>
      </c>
      <c r="H78" s="3" t="s">
        <v>3258</v>
      </c>
      <c r="I78" s="3">
        <v>538013080000</v>
      </c>
      <c r="J78" s="3">
        <v>24.35</v>
      </c>
      <c r="K78" s="3">
        <v>3.7</v>
      </c>
      <c r="L78" s="3" t="s">
        <v>285</v>
      </c>
      <c r="M78" s="3" t="s">
        <v>3259</v>
      </c>
      <c r="N78" s="3" t="s">
        <v>3260</v>
      </c>
      <c r="O78" s="3" t="s">
        <v>3261</v>
      </c>
      <c r="P78" s="3">
        <v>12.09</v>
      </c>
      <c r="Q78" s="3" t="s">
        <v>3261</v>
      </c>
      <c r="R78" s="3">
        <v>4184884000</v>
      </c>
      <c r="S78" s="5">
        <v>0.3377</v>
      </c>
      <c r="T78" s="3" t="s">
        <v>3262</v>
      </c>
      <c r="U78" s="3">
        <v>19862051000</v>
      </c>
      <c r="V78" s="3">
        <v>19867544000</v>
      </c>
      <c r="W78" s="3">
        <v>1.9</v>
      </c>
      <c r="X78" s="3">
        <v>0.42</v>
      </c>
      <c r="Y78" s="3">
        <v>3.53</v>
      </c>
      <c r="Z78" s="3" t="s">
        <v>3263</v>
      </c>
      <c r="AA78" s="3" t="s">
        <v>3264</v>
      </c>
      <c r="AB78" s="3" t="s">
        <v>1220</v>
      </c>
      <c r="AC78" s="3" t="s">
        <v>3265</v>
      </c>
      <c r="AD78" s="3" t="s">
        <v>4</v>
      </c>
      <c r="AE78" s="3">
        <v>-244218000</v>
      </c>
      <c r="AF78" s="3" t="s">
        <v>3266</v>
      </c>
      <c r="AG78" s="3" t="s">
        <v>3267</v>
      </c>
      <c r="AH78" s="3" t="s">
        <v>3268</v>
      </c>
      <c r="AI78" s="3" t="s">
        <v>3269</v>
      </c>
      <c r="AJ78" s="3" t="s">
        <v>3270</v>
      </c>
      <c r="AK78" s="3" t="s">
        <v>3271</v>
      </c>
      <c r="AL78" s="3" t="s">
        <v>3272</v>
      </c>
      <c r="AM78" s="3" t="s">
        <v>4</v>
      </c>
      <c r="AN78" s="3" t="s">
        <v>3273</v>
      </c>
      <c r="AO78" s="3" t="s">
        <v>3274</v>
      </c>
      <c r="AP78" s="3" t="s">
        <v>4</v>
      </c>
      <c r="AQ78" s="3" t="s">
        <v>3275</v>
      </c>
      <c r="AR78" s="3" t="s">
        <v>4</v>
      </c>
      <c r="AS78" s="3" t="s">
        <v>3276</v>
      </c>
      <c r="AT78" s="3" t="s">
        <v>3277</v>
      </c>
      <c r="AU78" s="3" t="s">
        <v>3278</v>
      </c>
      <c r="AV78" s="3" t="s">
        <v>3279</v>
      </c>
      <c r="AW78" s="3" t="s">
        <v>3280</v>
      </c>
      <c r="AX78" s="3" t="s">
        <v>1318</v>
      </c>
      <c r="AY78" s="3" t="s">
        <v>815</v>
      </c>
      <c r="AZ78" s="3" t="s">
        <v>624</v>
      </c>
      <c r="BA78" s="3" t="s">
        <v>626</v>
      </c>
      <c r="BB78" s="3" t="s">
        <v>627</v>
      </c>
      <c r="BC78" s="3" t="s">
        <v>1319</v>
      </c>
      <c r="BD78" s="3" t="s">
        <v>816</v>
      </c>
      <c r="BE78" s="3" t="s">
        <v>625</v>
      </c>
      <c r="BF78" s="3" t="s">
        <v>628</v>
      </c>
      <c r="BG78" s="3" t="s">
        <v>629</v>
      </c>
      <c r="BH78" s="3" t="s">
        <v>3281</v>
      </c>
      <c r="BI78" s="3" t="s">
        <v>1317</v>
      </c>
      <c r="BJ78" s="3" t="s">
        <v>1318</v>
      </c>
      <c r="BK78" s="3" t="s">
        <v>3282</v>
      </c>
      <c r="BL78" s="3" t="s">
        <v>1498</v>
      </c>
      <c r="BM78" s="3" t="s">
        <v>1319</v>
      </c>
      <c r="BN78" s="3">
        <v>6.74</v>
      </c>
      <c r="BO78" s="3">
        <v>10.83</v>
      </c>
      <c r="BP78" s="3">
        <v>11.61</v>
      </c>
      <c r="BQ78" s="3">
        <v>10.75</v>
      </c>
      <c r="BR78" s="3">
        <v>16.170000000000002</v>
      </c>
      <c r="BS78" s="3">
        <v>18.02</v>
      </c>
      <c r="BT78" s="3" t="s">
        <v>3283</v>
      </c>
      <c r="BU78" s="3" t="s">
        <v>841</v>
      </c>
      <c r="BV78" s="3">
        <v>8.06</v>
      </c>
      <c r="BW78" s="3">
        <v>7.26</v>
      </c>
      <c r="BX78" s="3">
        <v>8.31</v>
      </c>
      <c r="BY78" s="3">
        <v>4.41</v>
      </c>
      <c r="BZ78" s="3">
        <v>3.92</v>
      </c>
      <c r="CA78" s="3">
        <v>4.5599999999999996</v>
      </c>
      <c r="CB78" s="3">
        <v>-1.17</v>
      </c>
      <c r="CC78" s="3">
        <v>5.7</v>
      </c>
      <c r="CD78" s="3" t="s">
        <v>1088</v>
      </c>
      <c r="CE78" s="3" t="s">
        <v>3284</v>
      </c>
      <c r="CF78" s="10">
        <v>-0.42600688667930514</v>
      </c>
      <c r="CG78" s="11">
        <v>-0.41560061443932411</v>
      </c>
      <c r="CH78" s="10">
        <v>-0.76811957359313965</v>
      </c>
      <c r="CI78" s="10">
        <v>0.16446784138679504</v>
      </c>
      <c r="CJ78" s="10">
        <v>1.7997333779931068E-2</v>
      </c>
      <c r="CK78" s="10">
        <v>5.6491602212190628E-2</v>
      </c>
      <c r="CL78" s="10">
        <v>-1.6081782057881355E-2</v>
      </c>
      <c r="CM78" s="11">
        <v>-0.79151099920272827</v>
      </c>
      <c r="CN78" s="11">
        <v>3.1484544742852449E-3</v>
      </c>
      <c r="CO78" s="11">
        <v>0.14795488119125366</v>
      </c>
      <c r="CP78" s="11">
        <v>-6.3151732087135315E-2</v>
      </c>
      <c r="CQ78" s="11">
        <v>0.1008165031671524</v>
      </c>
      <c r="CR78" s="3">
        <v>33.20829240692543</v>
      </c>
      <c r="CS78" s="3">
        <v>3.0452657147149873</v>
      </c>
      <c r="CT78" s="3">
        <v>2.1418020679468244</v>
      </c>
      <c r="CU78" s="10">
        <v>-0.10904891565442085</v>
      </c>
      <c r="CV78" s="11">
        <v>-0.12054857849143445</v>
      </c>
      <c r="CW78" s="3">
        <v>0.06</v>
      </c>
      <c r="CX78" s="3">
        <v>128.85760573476702</v>
      </c>
      <c r="CY78" s="3" t="s">
        <v>3285</v>
      </c>
      <c r="CZ78" s="3">
        <v>-0.10904891565442085</v>
      </c>
      <c r="DA78" s="3">
        <v>42.952535244922345</v>
      </c>
      <c r="DB78" s="3" t="s">
        <v>3286</v>
      </c>
      <c r="DC78" s="3">
        <v>-0.10359646987169981</v>
      </c>
      <c r="DD78" s="3">
        <v>21.476267622461172</v>
      </c>
      <c r="DE78" s="3" t="s">
        <v>3287</v>
      </c>
      <c r="DF78" s="3">
        <v>-9.5963045775890349E-2</v>
      </c>
      <c r="DG78" s="3">
        <v>12.885760573476702</v>
      </c>
      <c r="DH78" s="3" t="s">
        <v>3288</v>
      </c>
      <c r="DI78" s="3">
        <v>-8.7239132523536683E-2</v>
      </c>
      <c r="DJ78" s="3">
        <v>6.442880286738351</v>
      </c>
      <c r="DK78" s="3" t="s">
        <v>3289</v>
      </c>
      <c r="DL78" s="3">
        <v>-7.6334240958094587E-2</v>
      </c>
      <c r="DM78" s="3">
        <v>4185000000</v>
      </c>
      <c r="DN78" s="3">
        <v>-0.10904891565442085</v>
      </c>
      <c r="DO78" s="3">
        <v>539269080000</v>
      </c>
      <c r="DP78" s="3">
        <v>116377470000</v>
      </c>
      <c r="DQ78" s="3">
        <v>3673</v>
      </c>
      <c r="DR78" s="3">
        <v>-0.31695797102488432</v>
      </c>
      <c r="DS78" s="3">
        <v>-0.29505203594788965</v>
      </c>
      <c r="DT78" s="12">
        <v>-0.62333333333333341</v>
      </c>
      <c r="DU78" s="3">
        <v>-0.55333333333333334</v>
      </c>
      <c r="DV78" s="3">
        <v>-1.1766666666666667</v>
      </c>
      <c r="DW78" s="3">
        <v>1.0569999999999999</v>
      </c>
      <c r="DX78" s="3">
        <v>0.35109993130596706</v>
      </c>
      <c r="DY78" s="3">
        <v>1.0057626960844401</v>
      </c>
      <c r="DZ78" s="3">
        <v>427</v>
      </c>
      <c r="EA78" s="3">
        <v>1.0052811557266992</v>
      </c>
      <c r="EB78" s="3">
        <v>1</v>
      </c>
      <c r="EC78" s="3">
        <v>2.1744006204289769E-2</v>
      </c>
      <c r="ED78" s="3">
        <v>0.21507439470122727</v>
      </c>
      <c r="EE78" s="13">
        <v>-1.0058100000000001</v>
      </c>
      <c r="EF78" s="3">
        <v>-1.03451</v>
      </c>
      <c r="EG78" s="3">
        <v>25.101099931305967</v>
      </c>
      <c r="EH78" s="3" t="s">
        <v>1113</v>
      </c>
      <c r="EI78" s="3">
        <v>0</v>
      </c>
      <c r="EJ78" s="3">
        <v>1</v>
      </c>
      <c r="EK78" s="15">
        <v>45470</v>
      </c>
      <c r="EL78" s="16">
        <v>-0.32</v>
      </c>
      <c r="EM78" s="16">
        <v>-3.45</v>
      </c>
      <c r="EN78" s="16">
        <v>7.0000000000000007E-2</v>
      </c>
      <c r="EO78" s="16">
        <v>1.46</v>
      </c>
      <c r="EP78" s="16">
        <v>-2.87</v>
      </c>
    </row>
    <row r="79" spans="1:146" ht="96" x14ac:dyDescent="0.25">
      <c r="C79" s="7" t="str">
        <f>""&amp;CHAR(10)&amp;Basic_Fundamental_Information_Constructure(F79)&amp;CHAR(10)&amp;Basic_Fundamental_Information_Concatenate("")</f>
        <v xml:space="preserve">
市值327.66922亿, 利润3.35亿; PE16.34; 平均PE20.84; 平均PEG75.81, PB1.95; ROIC10.3467%; ROE14.99%; 股利率1.8219%; 毛利9.9133%; 净利3.68%; 上一年度营收增-80.31%, 利润增-89.05%; 当季营收增-49.78%, 利润增-56.36%; 过往5年营收增-.27%, 利润增5.45%
Income profile:
</v>
      </c>
      <c r="D79" s="3" t="s">
        <v>630</v>
      </c>
      <c r="E79" s="3" t="s">
        <v>631</v>
      </c>
      <c r="F79" s="3">
        <v>14.82</v>
      </c>
      <c r="G79" s="3">
        <v>-2.1800000000000002</v>
      </c>
      <c r="H79" s="3" t="s">
        <v>3290</v>
      </c>
      <c r="I79" s="3">
        <v>32766922000</v>
      </c>
      <c r="J79" s="3">
        <v>16.34</v>
      </c>
      <c r="K79" s="3">
        <v>1.95</v>
      </c>
      <c r="L79" s="3" t="s">
        <v>285</v>
      </c>
      <c r="M79" s="3" t="s">
        <v>3291</v>
      </c>
      <c r="N79" s="3" t="s">
        <v>3292</v>
      </c>
      <c r="O79" s="3" t="s">
        <v>3293</v>
      </c>
      <c r="P79" s="3">
        <v>3.8</v>
      </c>
      <c r="Q79" s="3" t="s">
        <v>3293</v>
      </c>
      <c r="R79" s="3">
        <v>334683660</v>
      </c>
      <c r="S79" s="5">
        <v>0.20630000000000001</v>
      </c>
      <c r="T79" s="3" t="s">
        <v>3171</v>
      </c>
      <c r="U79" s="3">
        <v>2210993400</v>
      </c>
      <c r="V79" s="3">
        <v>2210993400</v>
      </c>
      <c r="W79" s="3">
        <v>2.2599999999999998</v>
      </c>
      <c r="X79" s="3">
        <v>0.34</v>
      </c>
      <c r="Y79" s="3">
        <v>2.4500000000000002</v>
      </c>
      <c r="Z79" s="3" t="s">
        <v>3294</v>
      </c>
      <c r="AA79" s="3" t="s">
        <v>3295</v>
      </c>
      <c r="AB79" s="3" t="s">
        <v>23</v>
      </c>
      <c r="AC79" s="3" t="s">
        <v>3296</v>
      </c>
      <c r="AD79" s="3" t="s">
        <v>4</v>
      </c>
      <c r="AE79" s="3">
        <v>72017983</v>
      </c>
      <c r="AF79" s="3" t="s">
        <v>3297</v>
      </c>
      <c r="AG79" s="3" t="s">
        <v>3298</v>
      </c>
      <c r="AH79" s="3" t="s">
        <v>3299</v>
      </c>
      <c r="AI79" s="3" t="s">
        <v>3300</v>
      </c>
      <c r="AJ79" s="3" t="s">
        <v>3301</v>
      </c>
      <c r="AK79" s="3" t="s">
        <v>3302</v>
      </c>
      <c r="AL79" s="3" t="s">
        <v>3303</v>
      </c>
      <c r="AM79" s="3" t="s">
        <v>4</v>
      </c>
      <c r="AN79" s="3" t="s">
        <v>3304</v>
      </c>
      <c r="AO79" s="3" t="s">
        <v>3305</v>
      </c>
      <c r="AP79" s="3" t="s">
        <v>4</v>
      </c>
      <c r="AQ79" s="3" t="s">
        <v>3306</v>
      </c>
      <c r="AR79" s="3" t="s">
        <v>4</v>
      </c>
      <c r="AS79" s="3" t="s">
        <v>3307</v>
      </c>
      <c r="AT79" s="3" t="s">
        <v>3308</v>
      </c>
      <c r="AU79" s="3" t="s">
        <v>3309</v>
      </c>
      <c r="AV79" s="3" t="s">
        <v>3310</v>
      </c>
      <c r="AW79" s="3" t="s">
        <v>1381</v>
      </c>
      <c r="AX79" s="3" t="s">
        <v>1321</v>
      </c>
      <c r="AY79" s="3" t="s">
        <v>817</v>
      </c>
      <c r="AZ79" s="3" t="s">
        <v>632</v>
      </c>
      <c r="BA79" s="3" t="s">
        <v>633</v>
      </c>
      <c r="BB79" s="3" t="s">
        <v>634</v>
      </c>
      <c r="BC79" s="3" t="s">
        <v>1322</v>
      </c>
      <c r="BD79" s="3" t="s">
        <v>818</v>
      </c>
      <c r="BE79" s="3" t="s">
        <v>282</v>
      </c>
      <c r="BF79" s="3" t="s">
        <v>590</v>
      </c>
      <c r="BG79" s="3" t="s">
        <v>368</v>
      </c>
      <c r="BH79" s="3" t="s">
        <v>3311</v>
      </c>
      <c r="BI79" s="3" t="s">
        <v>1320</v>
      </c>
      <c r="BJ79" s="3" t="s">
        <v>1321</v>
      </c>
      <c r="BK79" s="3" t="s">
        <v>3312</v>
      </c>
      <c r="BL79" s="3" t="s">
        <v>1279</v>
      </c>
      <c r="BM79" s="3" t="s">
        <v>1322</v>
      </c>
      <c r="BN79" s="3">
        <v>6.08</v>
      </c>
      <c r="BO79" s="3">
        <v>14.29</v>
      </c>
      <c r="BP79" s="3">
        <v>10.67</v>
      </c>
      <c r="BQ79" s="3">
        <v>8.7100000000000009</v>
      </c>
      <c r="BR79" s="3">
        <v>21.43</v>
      </c>
      <c r="BS79" s="3">
        <v>14.83</v>
      </c>
      <c r="BT79" s="3" t="s">
        <v>3313</v>
      </c>
      <c r="BU79" s="3" t="s">
        <v>841</v>
      </c>
      <c r="BV79" s="3">
        <v>9.6300000000000008</v>
      </c>
      <c r="BW79" s="3">
        <v>10.49</v>
      </c>
      <c r="BX79" s="3">
        <v>9.6199999999999992</v>
      </c>
      <c r="BY79" s="3">
        <v>3.21</v>
      </c>
      <c r="BZ79" s="3">
        <v>4.47</v>
      </c>
      <c r="CA79" s="3">
        <v>3.36</v>
      </c>
      <c r="CB79" s="3">
        <v>-7.66</v>
      </c>
      <c r="CC79" s="3">
        <v>-1.1299999999999999</v>
      </c>
      <c r="CD79" s="3" t="s">
        <v>3314</v>
      </c>
      <c r="CE79" s="3" t="s">
        <v>168</v>
      </c>
      <c r="CF79" s="10">
        <v>-0.497803915729919</v>
      </c>
      <c r="CG79" s="11">
        <v>-0.56364581486310295</v>
      </c>
      <c r="CH79" s="10">
        <v>-0.80308252573013306</v>
      </c>
      <c r="CI79" s="10">
        <v>0.23898729681968689</v>
      </c>
      <c r="CJ79" s="10">
        <v>0.15942643582820892</v>
      </c>
      <c r="CK79" s="10">
        <v>0.28201264142990112</v>
      </c>
      <c r="CL79" s="10">
        <v>0.10891208797693253</v>
      </c>
      <c r="CM79" s="11">
        <v>-0.89052283763885498</v>
      </c>
      <c r="CN79" s="11">
        <v>0.64693218469619751</v>
      </c>
      <c r="CO79" s="11">
        <v>6.8430095911026001E-2</v>
      </c>
      <c r="CP79" s="11">
        <v>0.37797152996063232</v>
      </c>
      <c r="CQ79" s="11">
        <v>6.949152797460556E-2</v>
      </c>
      <c r="CR79" s="3">
        <v>20.839679033283868</v>
      </c>
      <c r="CS79" s="3">
        <v>75.813382146135581</v>
      </c>
      <c r="CT79" s="3">
        <v>1.8218623481781377</v>
      </c>
      <c r="CU79" s="10">
        <v>-2.7488127350807192E-3</v>
      </c>
      <c r="CV79" s="11">
        <v>5.446050018072128E-2</v>
      </c>
      <c r="CW79" s="3">
        <v>0.06</v>
      </c>
      <c r="CX79" s="3">
        <v>112.45349850746268</v>
      </c>
      <c r="CY79" s="3" t="s">
        <v>3315</v>
      </c>
      <c r="CZ79" s="3">
        <v>-2.7488127350807192E-3</v>
      </c>
      <c r="DA79" s="3">
        <v>37.484499502487559</v>
      </c>
      <c r="DB79" s="3" t="s">
        <v>3316</v>
      </c>
      <c r="DC79" s="3">
        <v>-2.611372098326683E-3</v>
      </c>
      <c r="DD79" s="3">
        <v>18.742249751243779</v>
      </c>
      <c r="DE79" s="3" t="s">
        <v>3317</v>
      </c>
      <c r="DF79" s="3">
        <v>-2.4189552068710329E-3</v>
      </c>
      <c r="DG79" s="3">
        <v>11.245349850746269</v>
      </c>
      <c r="DH79" s="3" t="s">
        <v>3318</v>
      </c>
      <c r="DI79" s="3">
        <v>-2.1990501880645753E-3</v>
      </c>
      <c r="DJ79" s="3">
        <v>5.6226749253731345</v>
      </c>
      <c r="DK79" s="3" t="s">
        <v>3319</v>
      </c>
      <c r="DL79" s="3">
        <v>-1.9241689145565032E-3</v>
      </c>
      <c r="DM79" s="3">
        <v>335000000</v>
      </c>
      <c r="DN79" s="3">
        <v>-2.7488127350807192E-3</v>
      </c>
      <c r="DO79" s="3">
        <v>37671922000</v>
      </c>
      <c r="DP79" s="3">
        <v>13315627000</v>
      </c>
      <c r="DQ79" s="3">
        <v>3701</v>
      </c>
      <c r="DR79" s="3">
        <v>-0.49505510299483829</v>
      </c>
      <c r="DS79" s="3">
        <v>-0.61810631504382418</v>
      </c>
      <c r="DT79" s="12">
        <v>-0.37333333333333335</v>
      </c>
      <c r="DU79" s="3">
        <v>-0.13666666666666669</v>
      </c>
      <c r="DV79" s="3">
        <v>-0.51</v>
      </c>
      <c r="DW79" s="3">
        <v>-5.1475195822454305</v>
      </c>
      <c r="DX79" s="3">
        <v>0.4663980044543416</v>
      </c>
      <c r="DY79" s="3">
        <v>-5.0260221599260326</v>
      </c>
      <c r="DZ79" s="3">
        <v>2763</v>
      </c>
      <c r="EA79" s="3">
        <v>-5.0119518609288454</v>
      </c>
      <c r="EB79" s="3">
        <v>5</v>
      </c>
      <c r="EC79" s="3">
        <v>3.5822223621291678E-2</v>
      </c>
      <c r="ED79" s="3">
        <v>0.20307613763116616</v>
      </c>
      <c r="EE79" s="13">
        <v>8.4610000000000005E-2</v>
      </c>
      <c r="EF79" s="3">
        <v>7.0409999999999986E-2</v>
      </c>
      <c r="EG79" s="3">
        <v>29.176398004454342</v>
      </c>
      <c r="EH79" s="3">
        <v>-1</v>
      </c>
      <c r="EI79" s="3">
        <v>0</v>
      </c>
      <c r="EJ79" s="3">
        <v>0</v>
      </c>
      <c r="EK79" s="15">
        <v>45470</v>
      </c>
      <c r="EL79" s="16">
        <v>-0.27</v>
      </c>
      <c r="EM79" s="16">
        <v>0.27</v>
      </c>
      <c r="EN79" s="16">
        <v>-0.67</v>
      </c>
      <c r="EO79" s="16">
        <v>0.67</v>
      </c>
      <c r="EP79" s="16">
        <v>1.42</v>
      </c>
    </row>
    <row r="80" spans="1:146" ht="96" x14ac:dyDescent="0.25">
      <c r="A80" s="3"/>
      <c r="B80" s="3"/>
      <c r="C80" s="7" t="str">
        <f>""&amp;CHAR(10)&amp;Basic_Fundamental_Information_Constructure(F80)&amp;CHAR(10)&amp;Basic_Fundamental_Information_Concatenate("")</f>
        <v xml:space="preserve">
市值37.05623亿, 利润2104.05万; PE37.91; 平均PE43.46; 平均PEG25.82, PB3.17; ROIC17.8167%; ROE19.6767%; 股利率1.8195%; 毛利25.0967%; 净利14.7833%; 上一年度营收增-82.54%, 利润增-86.68%; 当季营收增-48.03%, 利润增-49.44%; 过往5年营收增1.68%, 利润增.31%
Income profile:
</v>
      </c>
      <c r="D80" s="3" t="s">
        <v>958</v>
      </c>
      <c r="E80" s="3" t="s">
        <v>959</v>
      </c>
      <c r="F80" s="3">
        <v>27.48</v>
      </c>
      <c r="G80" s="3">
        <v>0.84</v>
      </c>
      <c r="H80" s="3" t="s">
        <v>3320</v>
      </c>
      <c r="I80" s="3">
        <v>3705623000</v>
      </c>
      <c r="J80" s="3">
        <v>37.909999999999997</v>
      </c>
      <c r="K80" s="3">
        <v>3.17</v>
      </c>
      <c r="L80" s="3" t="s">
        <v>285</v>
      </c>
      <c r="M80" s="3" t="s">
        <v>1366</v>
      </c>
      <c r="N80" s="3" t="s">
        <v>3321</v>
      </c>
      <c r="O80" s="3" t="s">
        <v>144</v>
      </c>
      <c r="P80" s="3">
        <v>15.56</v>
      </c>
      <c r="Q80" s="3" t="s">
        <v>144</v>
      </c>
      <c r="R80" s="3">
        <v>21040471</v>
      </c>
      <c r="S80" s="3">
        <v>0.12909999999999999</v>
      </c>
      <c r="T80" s="3" t="s">
        <v>3322</v>
      </c>
      <c r="U80" s="3">
        <v>40964000</v>
      </c>
      <c r="V80" s="3">
        <v>134848000</v>
      </c>
      <c r="W80" s="3">
        <v>1.36</v>
      </c>
      <c r="X80" s="3">
        <v>0.1</v>
      </c>
      <c r="Y80" s="3">
        <v>12.41</v>
      </c>
      <c r="Z80" s="3" t="s">
        <v>173</v>
      </c>
      <c r="AA80" s="3" t="s">
        <v>60</v>
      </c>
      <c r="AB80" s="3" t="s">
        <v>3323</v>
      </c>
      <c r="AC80" s="3" t="s">
        <v>3324</v>
      </c>
      <c r="AD80" s="3" t="s">
        <v>4</v>
      </c>
      <c r="AE80" s="3">
        <v>-1146985</v>
      </c>
      <c r="AF80" s="3" t="s">
        <v>3325</v>
      </c>
      <c r="AG80" s="3">
        <v>1.01</v>
      </c>
      <c r="AH80" s="3" t="s">
        <v>3326</v>
      </c>
      <c r="AI80" s="3" t="s">
        <v>920</v>
      </c>
      <c r="AJ80" s="3" t="s">
        <v>3327</v>
      </c>
      <c r="AK80" s="3" t="s">
        <v>4</v>
      </c>
      <c r="AL80" s="3" t="s">
        <v>3328</v>
      </c>
      <c r="AM80" s="3" t="s">
        <v>4</v>
      </c>
      <c r="AN80" s="3" t="s">
        <v>3329</v>
      </c>
      <c r="AO80" s="3" t="s">
        <v>4</v>
      </c>
      <c r="AP80" s="3" t="s">
        <v>865</v>
      </c>
      <c r="AQ80" s="3" t="s">
        <v>79</v>
      </c>
      <c r="AR80" s="3" t="s">
        <v>4</v>
      </c>
      <c r="AS80" s="3" t="s">
        <v>474</v>
      </c>
      <c r="AT80" s="3" t="s">
        <v>4</v>
      </c>
      <c r="AU80" s="3" t="s">
        <v>3330</v>
      </c>
      <c r="AV80" s="3" t="s">
        <v>128</v>
      </c>
      <c r="AW80" s="3" t="s">
        <v>3331</v>
      </c>
      <c r="AX80" s="3" t="s">
        <v>452</v>
      </c>
      <c r="AY80" s="3" t="s">
        <v>960</v>
      </c>
      <c r="AZ80" s="3" t="s">
        <v>30</v>
      </c>
      <c r="BA80" s="3" t="s">
        <v>948</v>
      </c>
      <c r="BB80" s="3" t="s">
        <v>145</v>
      </c>
      <c r="BC80" s="3" t="s">
        <v>144</v>
      </c>
      <c r="BD80" s="3" t="s">
        <v>83</v>
      </c>
      <c r="BE80" s="3" t="s">
        <v>961</v>
      </c>
      <c r="BF80" s="3" t="s">
        <v>962</v>
      </c>
      <c r="BG80" s="3" t="s">
        <v>963</v>
      </c>
      <c r="BH80" s="3" t="s">
        <v>1440</v>
      </c>
      <c r="BI80" s="3" t="s">
        <v>49</v>
      </c>
      <c r="BJ80" s="3" t="s">
        <v>452</v>
      </c>
      <c r="BK80" s="3" t="s">
        <v>3332</v>
      </c>
      <c r="BL80" s="3" t="s">
        <v>1500</v>
      </c>
      <c r="BM80" s="3" t="s">
        <v>144</v>
      </c>
      <c r="BN80" s="3">
        <v>5.98</v>
      </c>
      <c r="BO80" s="3">
        <v>20.86</v>
      </c>
      <c r="BP80" s="3">
        <v>26.61</v>
      </c>
      <c r="BQ80" s="3">
        <v>6.81</v>
      </c>
      <c r="BR80" s="3">
        <v>25.45</v>
      </c>
      <c r="BS80" s="3">
        <v>26.77</v>
      </c>
      <c r="BT80" s="3" t="s">
        <v>1323</v>
      </c>
      <c r="BU80" s="3" t="s">
        <v>841</v>
      </c>
      <c r="BV80" s="3">
        <v>21.75</v>
      </c>
      <c r="BW80" s="3">
        <v>27.25</v>
      </c>
      <c r="BX80" s="3">
        <v>26.29</v>
      </c>
      <c r="BY80" s="3">
        <v>13</v>
      </c>
      <c r="BZ80" s="3">
        <v>17.510000000000002</v>
      </c>
      <c r="CA80" s="3">
        <v>13.84</v>
      </c>
      <c r="CB80" s="3">
        <v>-2.38</v>
      </c>
      <c r="CC80" s="1">
        <v>-4.7</v>
      </c>
      <c r="CD80" s="1" t="s">
        <v>3333</v>
      </c>
      <c r="CE80" s="1" t="s">
        <v>3334</v>
      </c>
      <c r="CF80" s="10">
        <v>-0.48026315789473684</v>
      </c>
      <c r="CG80" s="11">
        <v>-0.49441754793194015</v>
      </c>
      <c r="CH80" s="10">
        <v>-0.82541435956954956</v>
      </c>
      <c r="CI80" s="10">
        <v>0.20666666328907013</v>
      </c>
      <c r="CJ80" s="10">
        <v>0.33928570151329041</v>
      </c>
      <c r="CK80" s="10">
        <v>0.16910229623317719</v>
      </c>
      <c r="CL80" s="10">
        <v>0.1945137083530426</v>
      </c>
      <c r="CM80" s="11">
        <v>-0.86683231592178345</v>
      </c>
      <c r="CN80" s="11">
        <v>0.51923078298568726</v>
      </c>
      <c r="CO80" s="11">
        <v>0.34551724791526794</v>
      </c>
      <c r="CP80" s="11">
        <v>2.6471253484487534E-2</v>
      </c>
      <c r="CQ80" s="11">
        <v>-8.9653283357620239E-3</v>
      </c>
      <c r="CR80" s="1">
        <v>43.457845939983912</v>
      </c>
      <c r="CS80" s="1">
        <v>25.820424976443764</v>
      </c>
      <c r="CT80" s="3">
        <v>1.8195050946142648</v>
      </c>
      <c r="CU80" s="10">
        <v>1.6830801963806152E-2</v>
      </c>
      <c r="CV80" s="11">
        <v>3.0843280255794525E-3</v>
      </c>
      <c r="CW80" s="3">
        <v>0.06</v>
      </c>
      <c r="CX80" s="3">
        <v>147.17995134434184</v>
      </c>
      <c r="CY80" s="3">
        <v>20183611.781810813</v>
      </c>
      <c r="CZ80" s="3">
        <v>1.6830801963806152E-2</v>
      </c>
      <c r="DA80" s="3">
        <v>51.196872845373008</v>
      </c>
      <c r="DB80" s="3">
        <v>58023524.385405391</v>
      </c>
      <c r="DC80" s="3">
        <v>1.5989261865615844E-2</v>
      </c>
      <c r="DD80" s="3">
        <v>27.331351828115306</v>
      </c>
      <c r="DE80" s="3">
        <v>108689208.5939258</v>
      </c>
      <c r="DF80" s="3">
        <v>1.4811105728149414E-2</v>
      </c>
      <c r="DG80" s="3">
        <v>17.923461076219901</v>
      </c>
      <c r="DH80" s="3">
        <v>165739361.79889375</v>
      </c>
      <c r="DI80" s="3">
        <v>1.3464641571044923E-2</v>
      </c>
      <c r="DJ80" s="3">
        <v>11.105148623213021</v>
      </c>
      <c r="DK80" s="3">
        <v>267499616.69045347</v>
      </c>
      <c r="DL80" s="3">
        <v>1.1781561374664306E-2</v>
      </c>
      <c r="DM80" s="3">
        <v>21040500</v>
      </c>
      <c r="DN80" s="3">
        <v>1.6830801963806152E-2</v>
      </c>
      <c r="DO80" s="3">
        <v>2970623000</v>
      </c>
      <c r="DP80" s="3">
        <v>903732720</v>
      </c>
      <c r="DQ80" s="12">
        <v>3889</v>
      </c>
      <c r="DR80" s="3">
        <v>-0.49709395985854299</v>
      </c>
      <c r="DS80" s="3">
        <v>-0.4975018759575196</v>
      </c>
      <c r="DT80" s="3">
        <v>-0.27333333333333343</v>
      </c>
      <c r="DU80" s="3">
        <v>-0.26999999999999996</v>
      </c>
      <c r="DV80" s="3">
        <v>-0.54333333333333345</v>
      </c>
      <c r="DW80" s="3">
        <v>-1.0469999999999999</v>
      </c>
      <c r="DX80" s="3">
        <v>0.23492535935458159</v>
      </c>
      <c r="DY80" s="3">
        <v>-1.0044614918896653</v>
      </c>
      <c r="DZ80" s="3">
        <v>3190</v>
      </c>
      <c r="EA80" s="3">
        <v>-1.0016763335475847</v>
      </c>
      <c r="EB80" s="13">
        <v>1</v>
      </c>
      <c r="EC80" s="3">
        <v>3.9648344803037493E-2</v>
      </c>
      <c r="ED80" s="3">
        <v>0.41767916468913147</v>
      </c>
      <c r="EE80" s="3">
        <v>-2.0365099999999998</v>
      </c>
      <c r="EF80" s="3">
        <v>-2.0646100000000001</v>
      </c>
      <c r="EG80" s="3">
        <v>14.094925359354582</v>
      </c>
      <c r="EH80" s="15" t="s">
        <v>1250</v>
      </c>
      <c r="EI80" s="16">
        <v>0</v>
      </c>
      <c r="EJ80" s="16">
        <v>0</v>
      </c>
      <c r="EK80" s="16">
        <v>45470</v>
      </c>
      <c r="EL80" s="16">
        <v>-0.74</v>
      </c>
      <c r="EM80" s="16">
        <v>-4.3</v>
      </c>
      <c r="EN80" s="16">
        <v>-0.73</v>
      </c>
      <c r="EO80" s="16">
        <v>3.74</v>
      </c>
      <c r="EP80" s="16">
        <v>-2.81</v>
      </c>
    </row>
    <row r="81" spans="1:146" ht="96" x14ac:dyDescent="0.25">
      <c r="A81" s="3"/>
      <c r="B81" s="3"/>
      <c r="C81" s="7" t="str">
        <f>""&amp;CHAR(10)&amp;Basic_Fundamental_Information_Constructure(F81)&amp;CHAR(10)&amp;Basic_Fundamental_Information_Concatenate("")</f>
        <v xml:space="preserve">
市值520.98054亿, 利润25.64亿; PE19.14; 平均PE35.51; 平均PEG1.06, PB2.44; ROIC14.8233%; ROE4.67%; 股利率0%; 毛利9.7767%; 净利3.02%; 上一年度营收增10.61%, 利润增35.45%; 当季营收增19.18%, 利润增17.19%; 过往5年营收增33.61%, 利润增133.29%
Income profile:
</v>
      </c>
      <c r="D81" s="3" t="s">
        <v>1324</v>
      </c>
      <c r="E81" s="3" t="s">
        <v>1325</v>
      </c>
      <c r="F81" s="3">
        <v>71.78</v>
      </c>
      <c r="G81" s="3">
        <v>6.03</v>
      </c>
      <c r="H81" s="3" t="s">
        <v>1590</v>
      </c>
      <c r="I81" s="3">
        <v>52098054000</v>
      </c>
      <c r="J81" s="3">
        <v>19.14</v>
      </c>
      <c r="K81" s="3">
        <v>2.44</v>
      </c>
      <c r="L81" s="3" t="s">
        <v>285</v>
      </c>
      <c r="M81" s="3" t="s">
        <v>1501</v>
      </c>
      <c r="N81" s="3" t="s">
        <v>1502</v>
      </c>
      <c r="O81" s="3" t="s">
        <v>1503</v>
      </c>
      <c r="P81" s="5">
        <v>-8.92</v>
      </c>
      <c r="Q81" s="3" t="s">
        <v>1327</v>
      </c>
      <c r="R81" s="3">
        <v>1983994200</v>
      </c>
      <c r="S81" s="3">
        <v>0.1883</v>
      </c>
      <c r="T81" s="3" t="s">
        <v>1192</v>
      </c>
      <c r="U81" s="3">
        <v>59458005</v>
      </c>
      <c r="V81" s="3">
        <v>724252410</v>
      </c>
      <c r="W81" s="3">
        <v>2.91</v>
      </c>
      <c r="X81" s="3">
        <v>1.27</v>
      </c>
      <c r="Y81" s="3">
        <v>2.99</v>
      </c>
      <c r="Z81" s="3" t="s">
        <v>1504</v>
      </c>
      <c r="AA81" s="3" t="s">
        <v>1505</v>
      </c>
      <c r="AB81" s="3" t="s">
        <v>243</v>
      </c>
      <c r="AC81" s="3" t="s">
        <v>1506</v>
      </c>
      <c r="AD81" s="3" t="s">
        <v>1328</v>
      </c>
      <c r="AE81" s="3">
        <v>-150410440</v>
      </c>
      <c r="AF81" s="3" t="s">
        <v>1507</v>
      </c>
      <c r="AG81" s="3" t="s">
        <v>1508</v>
      </c>
      <c r="AH81" s="3" t="s">
        <v>1509</v>
      </c>
      <c r="AI81" s="3" t="s">
        <v>1510</v>
      </c>
      <c r="AJ81" s="3" t="s">
        <v>1511</v>
      </c>
      <c r="AK81" s="3" t="s">
        <v>1512</v>
      </c>
      <c r="AL81" s="3" t="s">
        <v>1513</v>
      </c>
      <c r="AM81" s="3" t="s">
        <v>4</v>
      </c>
      <c r="AN81" s="3" t="s">
        <v>771</v>
      </c>
      <c r="AO81" s="3" t="s">
        <v>1514</v>
      </c>
      <c r="AP81" s="3" t="s">
        <v>1515</v>
      </c>
      <c r="AQ81" s="3" t="s">
        <v>1516</v>
      </c>
      <c r="AR81" s="3" t="s">
        <v>4</v>
      </c>
      <c r="AS81" s="3" t="s">
        <v>1517</v>
      </c>
      <c r="AT81" s="3" t="s">
        <v>1431</v>
      </c>
      <c r="AU81" s="3" t="s">
        <v>1518</v>
      </c>
      <c r="AV81" s="3" t="s">
        <v>1519</v>
      </c>
      <c r="AW81" s="3" t="s">
        <v>1520</v>
      </c>
      <c r="AX81" s="3" t="s">
        <v>1329</v>
      </c>
      <c r="AY81" s="3" t="s">
        <v>1330</v>
      </c>
      <c r="AZ81" s="3" t="s">
        <v>1331</v>
      </c>
      <c r="BA81" s="3" t="s">
        <v>1332</v>
      </c>
      <c r="BB81" s="3" t="s">
        <v>4</v>
      </c>
      <c r="BC81" s="3" t="s">
        <v>1333</v>
      </c>
      <c r="BD81" s="3" t="s">
        <v>1334</v>
      </c>
      <c r="BE81" s="3" t="s">
        <v>6</v>
      </c>
      <c r="BF81" s="3" t="s">
        <v>142</v>
      </c>
      <c r="BG81" s="3" t="s">
        <v>4</v>
      </c>
      <c r="BH81" s="3" t="s">
        <v>1326</v>
      </c>
      <c r="BI81" s="3" t="s">
        <v>1521</v>
      </c>
      <c r="BJ81" s="3" t="s">
        <v>1335</v>
      </c>
      <c r="BK81" s="3" t="s">
        <v>1522</v>
      </c>
      <c r="BL81" s="3" t="s">
        <v>659</v>
      </c>
      <c r="BM81" s="3" t="s">
        <v>1336</v>
      </c>
      <c r="BN81" s="3">
        <v>2.37</v>
      </c>
      <c r="BO81" s="3">
        <v>15.92</v>
      </c>
      <c r="BP81" s="3">
        <v>26.18</v>
      </c>
      <c r="BQ81" s="3">
        <v>4.67</v>
      </c>
      <c r="BR81" s="3" t="s">
        <v>4</v>
      </c>
      <c r="BS81" s="3" t="s">
        <v>4</v>
      </c>
      <c r="BT81" s="3" t="s">
        <v>4</v>
      </c>
      <c r="BU81" s="3" t="s">
        <v>841</v>
      </c>
      <c r="BV81" s="3">
        <v>11.68</v>
      </c>
      <c r="BW81" s="3">
        <v>7.75</v>
      </c>
      <c r="BX81" s="3">
        <v>9.9</v>
      </c>
      <c r="BY81" s="3">
        <v>3.16</v>
      </c>
      <c r="BZ81" s="3">
        <v>2.2400000000000002</v>
      </c>
      <c r="CA81" s="3">
        <v>3.66</v>
      </c>
      <c r="CB81" s="3">
        <v>5.57</v>
      </c>
      <c r="CC81" s="1">
        <v>-5.32</v>
      </c>
      <c r="CD81" s="1" t="s">
        <v>1591</v>
      </c>
      <c r="CE81" s="1" t="s">
        <v>1592</v>
      </c>
      <c r="CF81" s="10">
        <v>0.19177628465978991</v>
      </c>
      <c r="CG81" s="11">
        <v>0.1719435726210353</v>
      </c>
      <c r="CH81" s="10">
        <v>0.10610204935073853</v>
      </c>
      <c r="CI81" s="10">
        <v>0.39910793304443359</v>
      </c>
      <c r="CJ81" s="10">
        <v>0.69592070579528809</v>
      </c>
      <c r="CK81" s="10">
        <v>0.14309771358966827</v>
      </c>
      <c r="CL81" s="10" t="s">
        <v>4</v>
      </c>
      <c r="CM81" s="11">
        <v>0.3544638454914093</v>
      </c>
      <c r="CN81" s="11">
        <v>-0.13601100444793701</v>
      </c>
      <c r="CO81" s="11">
        <v>3.3386142253875732</v>
      </c>
      <c r="CP81" s="11">
        <v>1.7747253179550171</v>
      </c>
      <c r="CQ81" s="11" t="s">
        <v>4</v>
      </c>
      <c r="CR81" s="1">
        <v>35.51332924335378</v>
      </c>
      <c r="CS81" s="1">
        <v>1.056764734217023</v>
      </c>
      <c r="CT81" s="3">
        <v>0</v>
      </c>
      <c r="CU81" s="10">
        <v>0.33605710044503212</v>
      </c>
      <c r="CV81" s="11">
        <v>1.3329480960965157</v>
      </c>
      <c r="CW81" s="3">
        <v>0.06</v>
      </c>
      <c r="CX81" s="3">
        <v>21.767509352205025</v>
      </c>
      <c r="CY81" s="3">
        <v>3231745665.6047754</v>
      </c>
      <c r="CZ81" s="3">
        <v>0.33605710044503212</v>
      </c>
      <c r="DA81" s="3">
        <v>5.8111031133733215</v>
      </c>
      <c r="DB81" s="3">
        <v>12105628247.777525</v>
      </c>
      <c r="DC81" s="3">
        <v>0.31925424542278052</v>
      </c>
      <c r="DD81" s="3">
        <v>2.1365749964464023</v>
      </c>
      <c r="DE81" s="3">
        <v>32925150821.760406</v>
      </c>
      <c r="DF81" s="3">
        <v>0.29573024839162826</v>
      </c>
      <c r="DG81" s="3">
        <v>0.8960310931664982</v>
      </c>
      <c r="DH81" s="3">
        <v>78509612597.705124</v>
      </c>
      <c r="DI81" s="3">
        <v>0.26884568035602568</v>
      </c>
      <c r="DJ81" s="3">
        <v>0.19149515543909035</v>
      </c>
      <c r="DK81" s="3">
        <v>367356833851.47345</v>
      </c>
      <c r="DL81" s="3">
        <v>0.23523997031152247</v>
      </c>
      <c r="DM81" s="3">
        <v>2564000000</v>
      </c>
      <c r="DN81" s="3">
        <v>0.33605710044503212</v>
      </c>
      <c r="DO81" s="3">
        <v>70347054000</v>
      </c>
      <c r="DP81" s="3">
        <v>9402093000</v>
      </c>
      <c r="DQ81" s="12">
        <v>4073</v>
      </c>
      <c r="DR81" s="3">
        <v>-0.14428081578524221</v>
      </c>
      <c r="DS81" s="3">
        <v>-1.1610045234754804</v>
      </c>
      <c r="DT81" s="3">
        <v>-2.8000000000000025E-2</v>
      </c>
      <c r="DU81" s="3">
        <v>1.2440000000000002</v>
      </c>
      <c r="DV81" s="3">
        <v>1.2160000000000002</v>
      </c>
      <c r="DW81" s="3">
        <v>4.9551166965888687</v>
      </c>
      <c r="DX81" s="3">
        <v>0.65505798819618266</v>
      </c>
      <c r="DY81" s="3">
        <v>4.1194449725679858</v>
      </c>
      <c r="DZ81" s="3">
        <v>190</v>
      </c>
      <c r="EA81" s="3">
        <v>4.1150063758952076</v>
      </c>
      <c r="EB81" s="13">
        <v>4</v>
      </c>
      <c r="EC81" s="13">
        <v>1.6079615116503375E-2</v>
      </c>
      <c r="ED81" s="3">
        <v>0.12857727321887683</v>
      </c>
      <c r="EE81" s="3">
        <v>2.0601099999999999</v>
      </c>
      <c r="EF81" s="3">
        <v>2.0002</v>
      </c>
      <c r="EG81" s="3">
        <v>53.125057988196183</v>
      </c>
      <c r="EH81" s="15" t="s">
        <v>1112</v>
      </c>
      <c r="EI81" s="3">
        <v>0</v>
      </c>
      <c r="EJ81" s="3">
        <v>1</v>
      </c>
      <c r="EK81" s="3">
        <v>45408</v>
      </c>
      <c r="EL81" s="3">
        <v>0.16</v>
      </c>
      <c r="EM81" s="3">
        <v>-1.97</v>
      </c>
      <c r="EN81" s="16">
        <v>5.27</v>
      </c>
      <c r="EO81" s="16">
        <v>-3.77</v>
      </c>
      <c r="EP81" s="16">
        <v>9.99</v>
      </c>
    </row>
    <row r="82" spans="1:146" ht="96" x14ac:dyDescent="0.25">
      <c r="C82" s="7" t="str">
        <f>""&amp;CHAR(10)&amp;Basic_Fundamental_Information_Constructure(F82)&amp;CHAR(10)&amp;Basic_Fundamental_Information_Concatenate("")</f>
        <v xml:space="preserve">
市值92.743265亿, 利润6321.99万; PE35.97; 平均PE37.42; 平均PEG13.34, PB4.62; ROIC16.2067%; ROE17.9667%; 股利率2.4116%; 毛利22.26%; 净利15.72%; 上一年度营收增-78.79%, 利润增-83.83%; 当季营收增-44.87%, 利润增-60.73%; 过往5年营收增2.8%, 利润增5.62%
Income profile:
</v>
      </c>
      <c r="D82" s="3" t="s">
        <v>636</v>
      </c>
      <c r="E82" s="3" t="s">
        <v>637</v>
      </c>
      <c r="F82" s="3">
        <v>12.44</v>
      </c>
      <c r="G82" s="3">
        <v>-0.24</v>
      </c>
      <c r="H82" s="3" t="s">
        <v>3335</v>
      </c>
      <c r="I82" s="3">
        <v>9274326500</v>
      </c>
      <c r="J82" s="3">
        <v>35.97</v>
      </c>
      <c r="K82" s="3">
        <v>4.62</v>
      </c>
      <c r="L82" s="3" t="s">
        <v>285</v>
      </c>
      <c r="M82" s="3" t="s">
        <v>3336</v>
      </c>
      <c r="N82" s="3" t="s">
        <v>3337</v>
      </c>
      <c r="O82" s="3" t="s">
        <v>3338</v>
      </c>
      <c r="P82" s="3">
        <v>14.6</v>
      </c>
      <c r="Q82" s="3" t="s">
        <v>3338</v>
      </c>
      <c r="R82" s="3">
        <v>63219933</v>
      </c>
      <c r="S82" s="5">
        <v>-0.24560000000000001</v>
      </c>
      <c r="T82" s="3" t="s">
        <v>3339</v>
      </c>
      <c r="U82" s="3">
        <v>745524640</v>
      </c>
      <c r="V82" s="3">
        <v>745524640</v>
      </c>
      <c r="W82" s="3">
        <v>1.64</v>
      </c>
      <c r="X82" s="3">
        <v>0.14000000000000001</v>
      </c>
      <c r="Y82" s="3">
        <v>13.23</v>
      </c>
      <c r="Z82" s="3" t="s">
        <v>863</v>
      </c>
      <c r="AA82" s="3" t="s">
        <v>1044</v>
      </c>
      <c r="AB82" s="3" t="s">
        <v>3340</v>
      </c>
      <c r="AC82" s="3" t="s">
        <v>3341</v>
      </c>
      <c r="AD82" s="3" t="s">
        <v>4</v>
      </c>
      <c r="AE82" s="3">
        <v>-653599</v>
      </c>
      <c r="AF82" s="3" t="s">
        <v>3342</v>
      </c>
      <c r="AG82" s="3" t="s">
        <v>3343</v>
      </c>
      <c r="AH82" s="3" t="s">
        <v>3344</v>
      </c>
      <c r="AI82" s="3" t="s">
        <v>1044</v>
      </c>
      <c r="AJ82" s="3" t="s">
        <v>3345</v>
      </c>
      <c r="AK82" s="3" t="s">
        <v>3346</v>
      </c>
      <c r="AL82" s="3" t="s">
        <v>3347</v>
      </c>
      <c r="AM82" s="3" t="s">
        <v>4</v>
      </c>
      <c r="AN82" s="3" t="s">
        <v>1484</v>
      </c>
      <c r="AO82" s="3" t="s">
        <v>4</v>
      </c>
      <c r="AP82" s="3" t="s">
        <v>4</v>
      </c>
      <c r="AQ82" s="3" t="s">
        <v>1492</v>
      </c>
      <c r="AR82" s="3" t="s">
        <v>4</v>
      </c>
      <c r="AS82" s="3" t="s">
        <v>1180</v>
      </c>
      <c r="AT82" s="3" t="s">
        <v>77</v>
      </c>
      <c r="AU82" s="3" t="s">
        <v>20</v>
      </c>
      <c r="AV82" s="3" t="s">
        <v>3348</v>
      </c>
      <c r="AW82" s="3" t="s">
        <v>3349</v>
      </c>
      <c r="AX82" s="3" t="s">
        <v>1337</v>
      </c>
      <c r="AY82" s="3" t="s">
        <v>820</v>
      </c>
      <c r="AZ82" s="3" t="s">
        <v>638</v>
      </c>
      <c r="BA82" s="3" t="s">
        <v>639</v>
      </c>
      <c r="BB82" s="3" t="s">
        <v>371</v>
      </c>
      <c r="BC82" s="3" t="s">
        <v>364</v>
      </c>
      <c r="BD82" s="3" t="s">
        <v>28</v>
      </c>
      <c r="BE82" s="3" t="s">
        <v>188</v>
      </c>
      <c r="BF82" s="3" t="s">
        <v>111</v>
      </c>
      <c r="BG82" s="3" t="s">
        <v>90</v>
      </c>
      <c r="BH82" s="3" t="s">
        <v>3350</v>
      </c>
      <c r="BI82" s="3" t="s">
        <v>54</v>
      </c>
      <c r="BJ82" s="3" t="s">
        <v>1337</v>
      </c>
      <c r="BK82" s="3" t="s">
        <v>2239</v>
      </c>
      <c r="BL82" s="3" t="s">
        <v>39</v>
      </c>
      <c r="BM82" s="3" t="s">
        <v>364</v>
      </c>
      <c r="BN82" s="3">
        <v>9.85</v>
      </c>
      <c r="BO82" s="3">
        <v>20.86</v>
      </c>
      <c r="BP82" s="3">
        <v>17.91</v>
      </c>
      <c r="BQ82" s="3">
        <v>12.71</v>
      </c>
      <c r="BR82" s="3">
        <v>22.23</v>
      </c>
      <c r="BS82" s="3">
        <v>18.96</v>
      </c>
      <c r="BT82" s="3" t="s">
        <v>3351</v>
      </c>
      <c r="BU82" s="3" t="s">
        <v>841</v>
      </c>
      <c r="BV82" s="3">
        <v>20.38</v>
      </c>
      <c r="BW82" s="3">
        <v>22.8</v>
      </c>
      <c r="BX82" s="3">
        <v>23.6</v>
      </c>
      <c r="BY82" s="3">
        <v>14.61</v>
      </c>
      <c r="BZ82" s="3">
        <v>17.36</v>
      </c>
      <c r="CA82" s="3">
        <v>15.19</v>
      </c>
      <c r="CB82" s="3">
        <v>-3.49</v>
      </c>
      <c r="CC82" s="1">
        <v>-16.559999999999999</v>
      </c>
      <c r="CD82" s="1" t="s">
        <v>3352</v>
      </c>
      <c r="CE82" s="1" t="s">
        <v>1923</v>
      </c>
      <c r="CF82" s="10">
        <v>-0.44867358708189159</v>
      </c>
      <c r="CG82" s="11">
        <v>-0.60732960869565222</v>
      </c>
      <c r="CH82" s="10">
        <v>-0.78793257474899292</v>
      </c>
      <c r="CI82" s="10">
        <v>0.16727094352245331</v>
      </c>
      <c r="CJ82" s="10">
        <v>0.16747274994850159</v>
      </c>
      <c r="CK82" s="10">
        <v>0.2732870876789093</v>
      </c>
      <c r="CL82" s="10">
        <v>0.32012200355529785</v>
      </c>
      <c r="CM82" s="11">
        <v>-0.83831226825714111</v>
      </c>
      <c r="CN82" s="11">
        <v>0.33447098731994629</v>
      </c>
      <c r="CO82" s="11">
        <v>-7.8616350889205933E-2</v>
      </c>
      <c r="CP82" s="11">
        <v>0.20912547409534454</v>
      </c>
      <c r="CQ82" s="11">
        <v>0.65408807992935181</v>
      </c>
      <c r="CR82" s="1">
        <v>37.416093611980308</v>
      </c>
      <c r="CS82" s="1">
        <v>13.341904716758039</v>
      </c>
      <c r="CT82" s="3">
        <v>2.4115755627009645</v>
      </c>
      <c r="CU82" s="10">
        <v>2.8044041991233826E-2</v>
      </c>
      <c r="CV82" s="11">
        <v>5.6151184439659121E-2</v>
      </c>
      <c r="CW82" s="3">
        <v>0.06</v>
      </c>
      <c r="CX82" s="3">
        <v>139.23942817277202</v>
      </c>
      <c r="CY82" s="3">
        <v>61314001.443661891</v>
      </c>
      <c r="CZ82" s="3">
        <v>2.8044041991233826E-2</v>
      </c>
      <c r="DA82" s="3">
        <v>47.970322770842287</v>
      </c>
      <c r="DB82" s="3">
        <v>177971003.88053313</v>
      </c>
      <c r="DC82" s="3">
        <v>2.6641839891672132E-2</v>
      </c>
      <c r="DD82" s="3">
        <v>25.298988018481598</v>
      </c>
      <c r="DE82" s="3">
        <v>337457233.22068262</v>
      </c>
      <c r="DF82" s="3">
        <v>2.4678756952285767E-2</v>
      </c>
      <c r="DG82" s="3">
        <v>16.380368808721109</v>
      </c>
      <c r="DH82" s="3">
        <v>521192568.96429724</v>
      </c>
      <c r="DI82" s="3">
        <v>2.2435233592987061E-2</v>
      </c>
      <c r="DJ82" s="3">
        <v>9.9007384951864505</v>
      </c>
      <c r="DK82" s="3">
        <v>862291889.04955781</v>
      </c>
      <c r="DL82" s="3">
        <v>1.9630829393863677E-2</v>
      </c>
      <c r="DM82" s="3">
        <v>63219900</v>
      </c>
      <c r="DN82" s="3">
        <v>2.8044041991233826E-2</v>
      </c>
      <c r="DO82" s="3">
        <v>8537326500</v>
      </c>
      <c r="DP82" s="3">
        <v>1060000100</v>
      </c>
      <c r="DQ82" s="3">
        <v>4093</v>
      </c>
      <c r="DR82" s="3">
        <v>-0.47671762907312543</v>
      </c>
      <c r="DS82" s="3">
        <v>-0.66348079313531139</v>
      </c>
      <c r="DT82" s="12">
        <v>-0.27333333333333343</v>
      </c>
      <c r="DU82" s="3">
        <v>-0.3066666666666667</v>
      </c>
      <c r="DV82" s="3">
        <v>-0.58000000000000007</v>
      </c>
      <c r="DW82" s="3">
        <v>-8.2107487922705307</v>
      </c>
      <c r="DX82" s="3">
        <v>0.28059867549668838</v>
      </c>
      <c r="DY82" s="3">
        <v>-8.0317384889784691</v>
      </c>
      <c r="DZ82" s="3">
        <v>1783</v>
      </c>
      <c r="EA82" s="3">
        <v>-8.0206641786362756</v>
      </c>
      <c r="EB82" s="3">
        <v>8</v>
      </c>
      <c r="EC82" s="3">
        <v>0.12201018600807077</v>
      </c>
      <c r="ED82" s="3">
        <v>0.81016772296084005</v>
      </c>
      <c r="EE82" s="13">
        <v>4.0198099999999997</v>
      </c>
      <c r="EF82" s="3">
        <v>4.03491</v>
      </c>
      <c r="EG82" s="3">
        <v>13.150598675496688</v>
      </c>
      <c r="EH82" s="3" t="s">
        <v>1280</v>
      </c>
      <c r="EI82" s="3">
        <v>0</v>
      </c>
      <c r="EJ82" s="3">
        <v>0</v>
      </c>
      <c r="EK82" s="15">
        <v>45470</v>
      </c>
      <c r="EL82" s="16">
        <v>-1.89</v>
      </c>
      <c r="EM82" s="16">
        <v>-4.1399999999999997</v>
      </c>
      <c r="EN82" s="16">
        <v>-2.9</v>
      </c>
      <c r="EO82" s="16">
        <v>2.76</v>
      </c>
      <c r="EP82" s="16">
        <v>-1.51</v>
      </c>
    </row>
    <row r="83" spans="1:146" ht="96" x14ac:dyDescent="0.25">
      <c r="A83" s="3"/>
      <c r="B83" s="3"/>
      <c r="C83" s="7" t="str">
        <f>""&amp;CHAR(10)&amp;Basic_Fundamental_Information_Constructure(F83)&amp;CHAR(10)&amp;Basic_Fundamental_Information_Concatenate("")</f>
        <v xml:space="preserve">
市值166.2255亿, 利润1.28亿; PE25.65; 平均PE50.94; 平均PEG2.96, PB3.08; ROIC12.4567%; ROE14.88%; 股利率1.399%; 毛利8.6667%; 净利2.12%; 上一年度营收增-64.77%, 利润增-77.18%; 当季营收增-4.29%, 利润增-61.65%; 过往5年营收增17.24%, 利润增53.55%
Income profile:
</v>
      </c>
      <c r="D83" s="3" t="s">
        <v>1560</v>
      </c>
      <c r="E83" s="3" t="s">
        <v>1572</v>
      </c>
      <c r="F83" s="3">
        <v>35.74</v>
      </c>
      <c r="G83" s="3">
        <v>0.93</v>
      </c>
      <c r="H83" s="3" t="s">
        <v>3353</v>
      </c>
      <c r="I83" s="3">
        <v>16622550000</v>
      </c>
      <c r="J83" s="3">
        <v>25.65</v>
      </c>
      <c r="K83" s="3">
        <v>3.08</v>
      </c>
      <c r="L83" s="3" t="s">
        <v>285</v>
      </c>
      <c r="M83" s="3" t="s">
        <v>3354</v>
      </c>
      <c r="N83" s="3" t="s">
        <v>3355</v>
      </c>
      <c r="O83" s="3" t="s">
        <v>3356</v>
      </c>
      <c r="P83" s="5">
        <v>146.94999999999999</v>
      </c>
      <c r="Q83" s="3" t="s">
        <v>3356</v>
      </c>
      <c r="R83" s="3">
        <v>128091622</v>
      </c>
      <c r="S83" s="3">
        <v>0.50239999999999996</v>
      </c>
      <c r="T83" s="3" t="s">
        <v>109</v>
      </c>
      <c r="U83" s="3">
        <v>46557739</v>
      </c>
      <c r="V83" s="3">
        <v>465096540</v>
      </c>
      <c r="W83" s="3">
        <v>4.4400000000000004</v>
      </c>
      <c r="X83" s="3">
        <v>0.47</v>
      </c>
      <c r="Y83" s="3">
        <v>1.22</v>
      </c>
      <c r="Z83" s="3" t="s">
        <v>3357</v>
      </c>
      <c r="AA83" s="3" t="s">
        <v>3358</v>
      </c>
      <c r="AB83" s="3" t="s">
        <v>3359</v>
      </c>
      <c r="AC83" s="3" t="s">
        <v>170</v>
      </c>
      <c r="AD83" s="3" t="s">
        <v>4</v>
      </c>
      <c r="AE83" s="3">
        <v>-13371396</v>
      </c>
      <c r="AF83" s="3" t="s">
        <v>3360</v>
      </c>
      <c r="AG83" s="3" t="s">
        <v>3361</v>
      </c>
      <c r="AH83" s="3" t="s">
        <v>3362</v>
      </c>
      <c r="AI83" s="3" t="s">
        <v>3363</v>
      </c>
      <c r="AJ83" s="3" t="s">
        <v>3364</v>
      </c>
      <c r="AK83" s="3" t="s">
        <v>4</v>
      </c>
      <c r="AL83" s="3" t="s">
        <v>3365</v>
      </c>
      <c r="AM83" s="3" t="s">
        <v>4</v>
      </c>
      <c r="AN83" s="3" t="s">
        <v>203</v>
      </c>
      <c r="AO83" s="3" t="s">
        <v>3366</v>
      </c>
      <c r="AP83" s="3" t="s">
        <v>3367</v>
      </c>
      <c r="AQ83" s="3" t="s">
        <v>3368</v>
      </c>
      <c r="AR83" s="3" t="s">
        <v>4</v>
      </c>
      <c r="AS83" s="3" t="s">
        <v>3369</v>
      </c>
      <c r="AT83" s="3" t="s">
        <v>1530</v>
      </c>
      <c r="AU83" s="3" t="s">
        <v>377</v>
      </c>
      <c r="AV83" s="3" t="s">
        <v>3370</v>
      </c>
      <c r="AW83" s="3" t="s">
        <v>3371</v>
      </c>
      <c r="AX83" s="3" t="s">
        <v>1561</v>
      </c>
      <c r="AY83" s="3" t="s">
        <v>1563</v>
      </c>
      <c r="AZ83" s="3" t="s">
        <v>1564</v>
      </c>
      <c r="BA83" s="3" t="s">
        <v>1565</v>
      </c>
      <c r="BB83" s="3" t="s">
        <v>4</v>
      </c>
      <c r="BC83" s="3" t="s">
        <v>1768</v>
      </c>
      <c r="BD83" s="3" t="s">
        <v>363</v>
      </c>
      <c r="BE83" s="3" t="s">
        <v>1566</v>
      </c>
      <c r="BF83" s="3" t="s">
        <v>1567</v>
      </c>
      <c r="BG83" s="3" t="s">
        <v>4</v>
      </c>
      <c r="BH83" s="3" t="s">
        <v>3372</v>
      </c>
      <c r="BI83" s="3" t="s">
        <v>1568</v>
      </c>
      <c r="BJ83" s="3" t="s">
        <v>1561</v>
      </c>
      <c r="BK83" s="3" t="s">
        <v>740</v>
      </c>
      <c r="BL83" s="3" t="s">
        <v>201</v>
      </c>
      <c r="BM83" s="3" t="s">
        <v>1768</v>
      </c>
      <c r="BN83" s="3">
        <v>8.83</v>
      </c>
      <c r="BO83" s="3">
        <v>12.23</v>
      </c>
      <c r="BP83" s="3">
        <v>16.309999999999999</v>
      </c>
      <c r="BQ83" s="3">
        <v>14.88</v>
      </c>
      <c r="BR83" s="3" t="s">
        <v>4</v>
      </c>
      <c r="BS83" s="3" t="s">
        <v>4</v>
      </c>
      <c r="BT83" s="3" t="s">
        <v>1071</v>
      </c>
      <c r="BU83" s="3" t="s">
        <v>841</v>
      </c>
      <c r="BV83" s="3">
        <v>9.9499999999999993</v>
      </c>
      <c r="BW83" s="3">
        <v>8.5</v>
      </c>
      <c r="BX83" s="3">
        <v>7.55</v>
      </c>
      <c r="BY83" s="3">
        <v>2.2200000000000002</v>
      </c>
      <c r="BZ83" s="3">
        <v>1.91</v>
      </c>
      <c r="CA83" s="3">
        <v>2.23</v>
      </c>
      <c r="CB83" s="3">
        <v>-8.31</v>
      </c>
      <c r="CC83" s="1">
        <v>-19.739999999999998</v>
      </c>
      <c r="CD83" s="1" t="s">
        <v>3373</v>
      </c>
      <c r="CE83" s="1" t="s">
        <v>63</v>
      </c>
      <c r="CF83" s="10">
        <v>-4.2870370370370371E-2</v>
      </c>
      <c r="CG83" s="11">
        <v>-0.61649214970059885</v>
      </c>
      <c r="CH83" s="10">
        <v>-0.64771836996078491</v>
      </c>
      <c r="CI83" s="10">
        <v>0.19299884140491486</v>
      </c>
      <c r="CJ83" s="10">
        <v>0.49783816933631897</v>
      </c>
      <c r="CK83" s="10">
        <v>0.64638066291809082</v>
      </c>
      <c r="CL83" s="10" t="s">
        <v>4</v>
      </c>
      <c r="CM83" s="11">
        <v>-0.77183598279953003</v>
      </c>
      <c r="CN83" s="11">
        <v>2.5594150647521019E-2</v>
      </c>
      <c r="CO83" s="11">
        <v>0.83557045459747314</v>
      </c>
      <c r="CP83" s="11">
        <v>2.0527563095092773</v>
      </c>
      <c r="CQ83" s="11" t="s">
        <v>4</v>
      </c>
      <c r="CR83" s="1">
        <v>50.938893920367448</v>
      </c>
      <c r="CS83" s="1">
        <v>2.9551237338240304</v>
      </c>
      <c r="CT83" s="3">
        <v>1.3989927252378287</v>
      </c>
      <c r="CU83" s="10">
        <v>0.17237482592463493</v>
      </c>
      <c r="CV83" s="11">
        <v>0.53552123298868537</v>
      </c>
      <c r="CW83" s="3">
        <v>0.06</v>
      </c>
      <c r="CX83" s="3">
        <v>192.4248806345507</v>
      </c>
      <c r="CY83" s="3">
        <v>141569790.30033326</v>
      </c>
      <c r="CZ83" s="3">
        <v>0.17237482592463493</v>
      </c>
      <c r="DA83" s="3">
        <v>58.684968954127314</v>
      </c>
      <c r="DB83" s="3">
        <v>464199785.4901157</v>
      </c>
      <c r="DC83" s="3">
        <v>0.16375608462840319</v>
      </c>
      <c r="DD83" s="3">
        <v>26.267388103030701</v>
      </c>
      <c r="DE83" s="3">
        <v>1037086363.2557704</v>
      </c>
      <c r="DF83" s="3">
        <v>0.15168984681367875</v>
      </c>
      <c r="DG83" s="3">
        <v>14.114334974426066</v>
      </c>
      <c r="DH83" s="3">
        <v>1930062595.889873</v>
      </c>
      <c r="DI83" s="3">
        <v>0.13789986073970795</v>
      </c>
      <c r="DJ83" s="3">
        <v>5.63746738113079</v>
      </c>
      <c r="DK83" s="3">
        <v>4832231950.6770716</v>
      </c>
      <c r="DL83" s="3">
        <v>0.12066237814724444</v>
      </c>
      <c r="DM83" s="3">
        <v>128000000</v>
      </c>
      <c r="DN83" s="3">
        <v>0.17237482592463493</v>
      </c>
      <c r="DO83" s="3">
        <v>27241550000</v>
      </c>
      <c r="DP83" s="3">
        <v>2590947000</v>
      </c>
      <c r="DQ83" s="12">
        <v>4105</v>
      </c>
      <c r="DR83" s="3">
        <v>-0.2152451962950053</v>
      </c>
      <c r="DS83" s="3">
        <v>-1.1520133826892842</v>
      </c>
      <c r="DT83" s="3">
        <v>-0.308</v>
      </c>
      <c r="DU83" s="3">
        <v>-7.5999999999999887E-2</v>
      </c>
      <c r="DV83" s="3">
        <v>-0.3839999999999999</v>
      </c>
      <c r="DW83" s="3">
        <v>-9.4209726443768993</v>
      </c>
      <c r="DX83" s="3">
        <v>0.29225955882352977</v>
      </c>
      <c r="DY83" s="3">
        <v>-9.0430484768907569</v>
      </c>
      <c r="DZ83" s="3">
        <v>106</v>
      </c>
      <c r="EA83" s="3">
        <v>-9.0421554947869556</v>
      </c>
      <c r="EB83" s="13">
        <v>9</v>
      </c>
      <c r="EC83" s="13">
        <v>2.9901964009450596E-2</v>
      </c>
      <c r="ED83" s="3">
        <v>0.29241240969025484</v>
      </c>
      <c r="EE83" s="3">
        <v>2.0708099999999998</v>
      </c>
      <c r="EF83" s="3">
        <v>2.0897100000000002</v>
      </c>
      <c r="EG83" s="3">
        <v>19.10225955882353</v>
      </c>
      <c r="EH83" s="15" t="s">
        <v>1148</v>
      </c>
      <c r="EI83" s="3">
        <v>0</v>
      </c>
      <c r="EJ83" s="3">
        <v>1</v>
      </c>
      <c r="EK83" s="3">
        <v>45470</v>
      </c>
      <c r="EL83" s="3">
        <v>0.02</v>
      </c>
      <c r="EM83" s="3">
        <v>-6.93</v>
      </c>
      <c r="EN83" s="16">
        <v>-0.9</v>
      </c>
      <c r="EO83" s="16">
        <v>3.45</v>
      </c>
      <c r="EP83" s="16">
        <v>-1.89</v>
      </c>
    </row>
    <row r="84" spans="1:146" ht="96" x14ac:dyDescent="0.25">
      <c r="C84" s="7" t="str">
        <f>""&amp;CHAR(10)&amp;Basic_Fundamental_Information_Constructure(F84)&amp;CHAR(10)&amp;Basic_Fundamental_Information_Concatenate("")</f>
        <v xml:space="preserve">
市值29.954372亿, 利润3112.85万; PE21.07; 平均PE21.6; 平均PEG22.06, PB2.17; ROIC14.4467%; ROE14.9033%; 股利率1.3926%; 毛利24.28%; 净利9.8967%; 上一年度营收增-77.14%, 利润增-82.61%; 当季营收增-47.19%, 利润增-53.13%; 过往5年营收增.98%, 利润增-2.36%
Income profile:
</v>
      </c>
      <c r="D84" s="3" t="s">
        <v>640</v>
      </c>
      <c r="E84" s="3" t="s">
        <v>641</v>
      </c>
      <c r="F84" s="3">
        <v>18.670000000000002</v>
      </c>
      <c r="G84" s="3">
        <v>0.43</v>
      </c>
      <c r="H84" s="3" t="s">
        <v>3374</v>
      </c>
      <c r="I84" s="3">
        <v>2995437200</v>
      </c>
      <c r="J84" s="3">
        <v>21.07</v>
      </c>
      <c r="K84" s="3">
        <v>2.17</v>
      </c>
      <c r="L84" s="3" t="s">
        <v>285</v>
      </c>
      <c r="M84" s="3" t="s">
        <v>789</v>
      </c>
      <c r="N84" s="3" t="s">
        <v>1368</v>
      </c>
      <c r="O84" s="3" t="s">
        <v>1133</v>
      </c>
      <c r="P84" s="3">
        <v>8.0500000000000007</v>
      </c>
      <c r="Q84" s="3" t="s">
        <v>1133</v>
      </c>
      <c r="R84" s="3">
        <v>31128501</v>
      </c>
      <c r="S84" s="5">
        <v>0.4007</v>
      </c>
      <c r="T84" s="3" t="s">
        <v>3375</v>
      </c>
      <c r="U84" s="3">
        <v>160441200</v>
      </c>
      <c r="V84" s="3">
        <v>160441200</v>
      </c>
      <c r="W84" s="3">
        <v>1.66</v>
      </c>
      <c r="X84" s="3">
        <v>0.2</v>
      </c>
      <c r="Y84" s="3">
        <v>7.07</v>
      </c>
      <c r="Z84" s="3" t="s">
        <v>1425</v>
      </c>
      <c r="AA84" s="3" t="s">
        <v>735</v>
      </c>
      <c r="AB84" s="3" t="s">
        <v>3376</v>
      </c>
      <c r="AC84" s="3" t="s">
        <v>3377</v>
      </c>
      <c r="AD84" s="3" t="s">
        <v>4</v>
      </c>
      <c r="AE84" s="3">
        <v>242388</v>
      </c>
      <c r="AF84" s="3" t="s">
        <v>21</v>
      </c>
      <c r="AG84" s="3" t="s">
        <v>3378</v>
      </c>
      <c r="AH84" s="3" t="s">
        <v>3379</v>
      </c>
      <c r="AI84" s="3" t="s">
        <v>469</v>
      </c>
      <c r="AJ84" s="3" t="s">
        <v>3380</v>
      </c>
      <c r="AK84" s="3" t="s">
        <v>3381</v>
      </c>
      <c r="AL84" s="3" t="s">
        <v>3382</v>
      </c>
      <c r="AM84" s="3" t="s">
        <v>4</v>
      </c>
      <c r="AN84" s="3" t="s">
        <v>3383</v>
      </c>
      <c r="AO84" s="3" t="s">
        <v>64</v>
      </c>
      <c r="AP84" s="3" t="s">
        <v>3384</v>
      </c>
      <c r="AQ84" s="3" t="s">
        <v>3385</v>
      </c>
      <c r="AR84" s="3" t="s">
        <v>4</v>
      </c>
      <c r="AS84" s="3" t="s">
        <v>3386</v>
      </c>
      <c r="AT84" s="3" t="s">
        <v>3387</v>
      </c>
      <c r="AU84" s="3" t="s">
        <v>3388</v>
      </c>
      <c r="AV84" s="3" t="s">
        <v>3389</v>
      </c>
      <c r="AW84" s="3" t="s">
        <v>3390</v>
      </c>
      <c r="AX84" s="3" t="s">
        <v>1340</v>
      </c>
      <c r="AY84" s="3" t="s">
        <v>821</v>
      </c>
      <c r="AZ84" s="3" t="s">
        <v>584</v>
      </c>
      <c r="BA84" s="3" t="s">
        <v>276</v>
      </c>
      <c r="BB84" s="3" t="s">
        <v>642</v>
      </c>
      <c r="BC84" s="3" t="s">
        <v>1097</v>
      </c>
      <c r="BD84" s="3" t="s">
        <v>42</v>
      </c>
      <c r="BE84" s="3" t="s">
        <v>36</v>
      </c>
      <c r="BF84" s="3" t="s">
        <v>55</v>
      </c>
      <c r="BG84" s="3" t="s">
        <v>23</v>
      </c>
      <c r="BH84" s="3" t="s">
        <v>3067</v>
      </c>
      <c r="BI84" s="3" t="s">
        <v>1339</v>
      </c>
      <c r="BJ84" s="3" t="s">
        <v>1340</v>
      </c>
      <c r="BK84" s="3" t="s">
        <v>871</v>
      </c>
      <c r="BL84" s="3" t="s">
        <v>1526</v>
      </c>
      <c r="BM84" s="3" t="s">
        <v>1097</v>
      </c>
      <c r="BN84" s="3">
        <v>7.32</v>
      </c>
      <c r="BO84" s="3">
        <v>14.54</v>
      </c>
      <c r="BP84" s="3">
        <v>21.48</v>
      </c>
      <c r="BQ84" s="3">
        <v>8.09</v>
      </c>
      <c r="BR84" s="3">
        <v>15.05</v>
      </c>
      <c r="BS84" s="3">
        <v>21.57</v>
      </c>
      <c r="BT84" s="3" t="s">
        <v>3391</v>
      </c>
      <c r="BU84" s="3" t="s">
        <v>841</v>
      </c>
      <c r="BV84" s="3">
        <v>22.01</v>
      </c>
      <c r="BW84" s="3">
        <v>23.05</v>
      </c>
      <c r="BX84" s="3">
        <v>27.78</v>
      </c>
      <c r="BY84" s="3">
        <v>7.18</v>
      </c>
      <c r="BZ84" s="3">
        <v>9.32</v>
      </c>
      <c r="CA84" s="3">
        <v>13.19</v>
      </c>
      <c r="CB84" s="3">
        <v>-7.02</v>
      </c>
      <c r="CC84" s="1">
        <v>-9.4600000000000009</v>
      </c>
      <c r="CD84" s="1" t="s">
        <v>3392</v>
      </c>
      <c r="CE84" s="1" t="s">
        <v>3393</v>
      </c>
      <c r="CF84" s="10">
        <v>-0.47189695550351279</v>
      </c>
      <c r="CG84" s="11">
        <v>-0.53133208670397525</v>
      </c>
      <c r="CH84" s="10">
        <v>-0.77141404151916504</v>
      </c>
      <c r="CI84" s="10">
        <v>0.12614151835441589</v>
      </c>
      <c r="CJ84" s="10">
        <v>0.35919323563575745</v>
      </c>
      <c r="CK84" s="10">
        <v>0.25511190295219421</v>
      </c>
      <c r="CL84" s="10">
        <v>7.9915881156921387E-2</v>
      </c>
      <c r="CM84" s="11">
        <v>-0.82609778642654419</v>
      </c>
      <c r="CN84" s="11">
        <v>-0.21145375072956085</v>
      </c>
      <c r="CO84" s="11">
        <v>0.36746987700462341</v>
      </c>
      <c r="CP84" s="11">
        <v>0.30708661675453186</v>
      </c>
      <c r="CQ84" s="11">
        <v>0.24509803950786591</v>
      </c>
      <c r="CR84" s="1">
        <v>21.598374770242817</v>
      </c>
      <c r="CS84" s="1">
        <v>22.062347446042995</v>
      </c>
      <c r="CT84" s="3">
        <v>1.3926084627745046</v>
      </c>
      <c r="CU84" s="10">
        <v>9.7896993160247799E-3</v>
      </c>
      <c r="CV84" s="11">
        <v>-2.3579400777816773E-2</v>
      </c>
      <c r="CW84" s="3">
        <v>0.06</v>
      </c>
      <c r="CX84" s="3">
        <v>85.635573907310913</v>
      </c>
      <c r="CY84" s="3">
        <v>29653998.731281955</v>
      </c>
      <c r="CZ84" s="3">
        <v>9.7896993160247799E-3</v>
      </c>
      <c r="DA84" s="3">
        <v>29.969627980408994</v>
      </c>
      <c r="DB84" s="3">
        <v>84733691.110881269</v>
      </c>
      <c r="DC84" s="3">
        <v>9.3002143502235405E-3</v>
      </c>
      <c r="DD84" s="3">
        <v>16.121187215051854</v>
      </c>
      <c r="DE84" s="3">
        <v>157521723.81132117</v>
      </c>
      <c r="DF84" s="3">
        <v>8.6149353981018056E-3</v>
      </c>
      <c r="DG84" s="3">
        <v>10.655509770516955</v>
      </c>
      <c r="DH84" s="3">
        <v>238321512.03375027</v>
      </c>
      <c r="DI84" s="3">
        <v>7.8317594528198239E-3</v>
      </c>
      <c r="DJ84" s="3">
        <v>6.7016167974813134</v>
      </c>
      <c r="DK84" s="3">
        <v>378929037.0876478</v>
      </c>
      <c r="DL84" s="3">
        <v>6.8527895212173451E-3</v>
      </c>
      <c r="DM84" s="3">
        <v>31128500</v>
      </c>
      <c r="DN84" s="3">
        <v>9.7896993160247799E-3</v>
      </c>
      <c r="DO84" s="3">
        <v>2539437200</v>
      </c>
      <c r="DP84" s="3">
        <v>677364400</v>
      </c>
      <c r="DQ84" s="3">
        <v>4129</v>
      </c>
      <c r="DR84" s="3">
        <v>-0.4816866548195376</v>
      </c>
      <c r="DS84" s="3">
        <v>-0.50775268592615852</v>
      </c>
      <c r="DT84" s="12">
        <v>-0.52333333333333332</v>
      </c>
      <c r="DU84" s="3">
        <v>-0.35333333333333333</v>
      </c>
      <c r="DV84" s="3">
        <v>-0.87666666666666671</v>
      </c>
      <c r="DW84" s="3">
        <v>-9.7420718816067655</v>
      </c>
      <c r="DX84" s="3">
        <v>0.5542029426516597</v>
      </c>
      <c r="DY84" s="3">
        <v>-9.1070089489867492</v>
      </c>
      <c r="DZ84" s="3" t="s">
        <v>1559</v>
      </c>
      <c r="EA84" s="3" t="e">
        <v>#VALUE!</v>
      </c>
      <c r="EB84" s="3" t="e">
        <v>#VALUE!</v>
      </c>
      <c r="EC84" s="3">
        <v>4.2828151372590086E-2</v>
      </c>
      <c r="ED84" s="3">
        <v>0.29699914984430431</v>
      </c>
      <c r="EE84" s="13">
        <v>1.0175000000000001</v>
      </c>
      <c r="EF84" s="3">
        <v>1.1209100000000001</v>
      </c>
      <c r="EG84" s="3">
        <v>41.14420294265166</v>
      </c>
      <c r="EH84" s="3" t="s">
        <v>1106</v>
      </c>
      <c r="EI84" s="3" t="e">
        <v>#VALUE!</v>
      </c>
      <c r="EJ84" s="3">
        <v>0</v>
      </c>
      <c r="EK84" s="15">
        <v>45470</v>
      </c>
      <c r="EL84" s="16">
        <v>0</v>
      </c>
      <c r="EM84" s="16">
        <v>0</v>
      </c>
      <c r="EN84" s="3">
        <v>0</v>
      </c>
      <c r="EO84" s="3">
        <v>47.62</v>
      </c>
      <c r="EP84" s="3">
        <v>-13.84</v>
      </c>
    </row>
    <row r="85" spans="1:146" ht="168" x14ac:dyDescent="0.25">
      <c r="A85" s="7" t="s">
        <v>1116</v>
      </c>
      <c r="B85" s="7" t="s">
        <v>905</v>
      </c>
      <c r="C85" s="7" t="str">
        <f>"公司的主营业务是超微细合金线材及其他金属基复合材料的应用研发、生产与销售，现阶段主要产品包括超微细电子线材以及金刚石切割线。"&amp;CHAR(10)&amp;Basic_Fundamental_Information_Constructure(F85)&amp;CHAR(10)&amp;Basic_Fundamental_Information_Concatenate("消费电子 10.04亿 75.01% 69.62% 17.60%
光伏 1.24亿 9.25% 8.94% 18.33%
医疗 1.05亿 7.81% 9.44% 22.91%
新能源 6929.06万 5.17% 3.34% 12.22%
其他业务 3691.80万 2.76% 8.67% 59.59%")</f>
        <v>公司的主营业务是超微细合金线材及其他金属基复合材料的应用研发、生产与销售，现阶段主要产品包括超微细电子线材以及金刚石切割线。
市值42.304503亿, 利润1286.76万; PE; 平均PE181.2; 平均PEG39.03, PB2.7; ROIC4.985%; ROE2.2167%; 股利率0%; 毛利17.12%; 净利-12.4%; 上一年度营收增-78.35%, 利润增-83.71%; 当季营收增-47.36%, 利润增118.88%; 过往5年营收增4.64%, 利润增-14.78%
Income profile:
消费电子 10.04亿 75.01% 69.62% 17.60%
光伏 1.24亿 9.25% 8.94% 18.33%
医疗 1.05亿 7.81% 9.44% 22.91%
新能源 6929.06万 5.17% 3.34% 12.22%
其他业务 3691.80万 2.76% 8.67% 59.59%</v>
      </c>
      <c r="D85" s="3" t="s">
        <v>643</v>
      </c>
      <c r="E85" s="3" t="s">
        <v>644</v>
      </c>
      <c r="F85" s="3">
        <v>18.2</v>
      </c>
      <c r="G85" s="3">
        <v>-1.1399999999999999</v>
      </c>
      <c r="H85" s="3" t="s">
        <v>3394</v>
      </c>
      <c r="I85" s="3">
        <v>4230450300</v>
      </c>
      <c r="K85" s="3">
        <v>2.7</v>
      </c>
      <c r="L85" s="3" t="s">
        <v>285</v>
      </c>
      <c r="M85" s="3" t="s">
        <v>3395</v>
      </c>
      <c r="N85" s="3" t="s">
        <v>1434</v>
      </c>
      <c r="O85" s="3" t="s">
        <v>1135</v>
      </c>
      <c r="P85" s="3">
        <v>22.27</v>
      </c>
      <c r="Q85" s="3" t="s">
        <v>1135</v>
      </c>
      <c r="R85" s="3">
        <v>12867632</v>
      </c>
      <c r="S85" s="5">
        <v>1.325</v>
      </c>
      <c r="T85" s="3" t="s">
        <v>3396</v>
      </c>
      <c r="U85" s="3">
        <v>232442330</v>
      </c>
      <c r="V85" s="3">
        <v>232442330</v>
      </c>
      <c r="W85" s="3">
        <v>2.86</v>
      </c>
      <c r="X85" s="3">
        <v>0.08</v>
      </c>
      <c r="Y85" s="3">
        <v>0.39</v>
      </c>
      <c r="Z85" s="3" t="s">
        <v>1470</v>
      </c>
      <c r="AA85" s="3" t="s">
        <v>809</v>
      </c>
      <c r="AB85" s="3" t="s">
        <v>3397</v>
      </c>
      <c r="AC85" s="3" t="s">
        <v>3398</v>
      </c>
      <c r="AD85" s="3" t="s">
        <v>4</v>
      </c>
      <c r="AE85" s="3">
        <v>32123754</v>
      </c>
      <c r="AF85" s="3" t="s">
        <v>21</v>
      </c>
      <c r="AG85" s="3" t="s">
        <v>3399</v>
      </c>
      <c r="AH85" s="3" t="s">
        <v>3400</v>
      </c>
      <c r="AI85" s="3" t="s">
        <v>3401</v>
      </c>
      <c r="AJ85" s="3" t="s">
        <v>3402</v>
      </c>
      <c r="AK85" s="3" t="s">
        <v>123</v>
      </c>
      <c r="AL85" s="3" t="s">
        <v>3403</v>
      </c>
      <c r="AM85" s="3" t="s">
        <v>4</v>
      </c>
      <c r="AN85" s="3" t="s">
        <v>1092</v>
      </c>
      <c r="AO85" s="3" t="s">
        <v>22</v>
      </c>
      <c r="AP85" s="3" t="s">
        <v>3404</v>
      </c>
      <c r="AQ85" s="3" t="s">
        <v>372</v>
      </c>
      <c r="AR85" s="3" t="s">
        <v>4</v>
      </c>
      <c r="AS85" s="3" t="s">
        <v>3405</v>
      </c>
      <c r="AT85" s="3" t="s">
        <v>1410</v>
      </c>
      <c r="AU85" s="3" t="s">
        <v>59</v>
      </c>
      <c r="AV85" s="3" t="s">
        <v>3406</v>
      </c>
      <c r="AW85" s="3" t="s">
        <v>3407</v>
      </c>
      <c r="AX85" s="3" t="s">
        <v>950</v>
      </c>
      <c r="AY85" s="3" t="s">
        <v>949</v>
      </c>
      <c r="AZ85" s="3" t="s">
        <v>503</v>
      </c>
      <c r="BA85" s="3" t="s">
        <v>322</v>
      </c>
      <c r="BB85" s="3" t="s">
        <v>646</v>
      </c>
      <c r="BC85" s="3" t="s">
        <v>3408</v>
      </c>
      <c r="BD85" s="3" t="s">
        <v>822</v>
      </c>
      <c r="BE85" s="3" t="s">
        <v>645</v>
      </c>
      <c r="BF85" s="3" t="s">
        <v>647</v>
      </c>
      <c r="BG85" s="3" t="s">
        <v>99</v>
      </c>
      <c r="BH85" s="3" t="s">
        <v>3409</v>
      </c>
      <c r="BI85" s="3" t="s">
        <v>1175</v>
      </c>
      <c r="BJ85" s="3" t="s">
        <v>950</v>
      </c>
      <c r="BK85" s="3" t="s">
        <v>3410</v>
      </c>
      <c r="BL85" s="3" t="s">
        <v>1527</v>
      </c>
      <c r="BM85" s="3" t="s">
        <v>3408</v>
      </c>
      <c r="BN85" s="3" t="s">
        <v>4</v>
      </c>
      <c r="BO85" s="3">
        <v>5.79</v>
      </c>
      <c r="BP85" s="3">
        <v>4.18</v>
      </c>
      <c r="BQ85" s="3">
        <v>-2.58</v>
      </c>
      <c r="BR85" s="3">
        <v>6.35</v>
      </c>
      <c r="BS85" s="3">
        <v>2.88</v>
      </c>
      <c r="BT85" s="3" t="s">
        <v>1043</v>
      </c>
      <c r="BU85" s="3" t="s">
        <v>841</v>
      </c>
      <c r="BV85" s="3">
        <v>12.73</v>
      </c>
      <c r="BW85" s="3">
        <v>19.670000000000002</v>
      </c>
      <c r="BX85" s="3">
        <v>18.96</v>
      </c>
      <c r="BY85" s="3">
        <v>-45.3</v>
      </c>
      <c r="BZ85" s="3">
        <v>5.6</v>
      </c>
      <c r="CA85" s="3">
        <v>2.5</v>
      </c>
      <c r="CB85" s="3">
        <v>-11.61</v>
      </c>
      <c r="CC85" s="1">
        <v>-19.82</v>
      </c>
      <c r="CD85" s="1" t="s">
        <v>3411</v>
      </c>
      <c r="CE85" s="1" t="s">
        <v>44</v>
      </c>
      <c r="CF85" s="10">
        <v>-0.47361647361647363</v>
      </c>
      <c r="CG85" s="11">
        <v>1.1887582642779291</v>
      </c>
      <c r="CH85" s="10">
        <v>-0.78348332643508911</v>
      </c>
      <c r="CI85" s="10">
        <v>0.41075417399406433</v>
      </c>
      <c r="CJ85" s="10">
        <v>0.44288799166679382</v>
      </c>
      <c r="CK85" s="10">
        <v>0.40393343567848206</v>
      </c>
      <c r="CL85" s="10">
        <v>-0.24197247624397278</v>
      </c>
      <c r="CM85" s="11">
        <v>-0.83705174922943115</v>
      </c>
      <c r="CN85" s="11">
        <v>1.3632957935333252</v>
      </c>
      <c r="CO85" s="11">
        <v>-0.30144545435905457</v>
      </c>
      <c r="CP85" s="11">
        <v>1.3231972455978394</v>
      </c>
      <c r="CQ85" s="11">
        <v>-2.2869565486907959</v>
      </c>
      <c r="CR85" s="1">
        <v>181.19849402815345</v>
      </c>
      <c r="CS85" s="1">
        <v>39.031244873115853</v>
      </c>
      <c r="CT85" s="3">
        <v>0</v>
      </c>
      <c r="CU85" s="10">
        <v>4.6423959732055667E-2</v>
      </c>
      <c r="CV85" s="11">
        <v>-0.14779214262962342</v>
      </c>
      <c r="CW85" s="3">
        <v>0.06</v>
      </c>
      <c r="CX85" s="3">
        <v>468.51494557323775</v>
      </c>
      <c r="CY85" s="3">
        <v>12702797.117215283</v>
      </c>
      <c r="CZ85" s="3">
        <v>4.6423959732055667E-2</v>
      </c>
      <c r="DA85" s="3">
        <v>158.88986303452242</v>
      </c>
      <c r="DB85" s="3">
        <v>37456450.564797282</v>
      </c>
      <c r="DC85" s="3">
        <v>4.4102761745452884E-2</v>
      </c>
      <c r="DD85" s="3">
        <v>82.124190117815957</v>
      </c>
      <c r="DE85" s="3">
        <v>72468907.047509462</v>
      </c>
      <c r="DF85" s="3">
        <v>4.085308456420899E-2</v>
      </c>
      <c r="DG85" s="3">
        <v>52.041831043128347</v>
      </c>
      <c r="DH85" s="3">
        <v>114358972.0174889</v>
      </c>
      <c r="DI85" s="3">
        <v>3.7139167785644536E-2</v>
      </c>
      <c r="DJ85" s="3">
        <v>30.129853836071714</v>
      </c>
      <c r="DK85" s="3">
        <v>197526690.05233851</v>
      </c>
      <c r="DL85" s="3">
        <v>3.2496771812438964E-2</v>
      </c>
      <c r="DM85" s="3">
        <v>12867600</v>
      </c>
      <c r="DN85" s="3">
        <v>4.6423959732055667E-2</v>
      </c>
      <c r="DO85" s="3">
        <v>5951450300</v>
      </c>
      <c r="DP85" s="3">
        <v>-880484200</v>
      </c>
      <c r="DQ85" s="3">
        <v>4200</v>
      </c>
      <c r="DR85" s="3">
        <v>-0.52004043334852934</v>
      </c>
      <c r="DS85" s="3">
        <v>1.3365504069075524</v>
      </c>
      <c r="DT85" s="12">
        <v>-0.47333333333333333</v>
      </c>
      <c r="DU85" s="3">
        <v>-0.55000000000000016</v>
      </c>
      <c r="DV85" s="3">
        <v>-1.0233333333333334</v>
      </c>
      <c r="DW85" s="3">
        <v>-9.5857719475277499</v>
      </c>
      <c r="DX85" s="3">
        <v>0.3120406451612901</v>
      </c>
      <c r="DY85" s="3">
        <v>-9.0656302669183955</v>
      </c>
      <c r="DZ85" s="3">
        <v>447</v>
      </c>
      <c r="EA85" s="3">
        <v>-9.0598892240000932</v>
      </c>
      <c r="EB85" s="3">
        <v>9</v>
      </c>
      <c r="EC85" s="3">
        <v>7.4712295303527548E-2</v>
      </c>
      <c r="ED85" s="3">
        <v>0.6668320697009017</v>
      </c>
      <c r="EE85" s="13">
        <v>-1.05711</v>
      </c>
      <c r="EF85" s="3">
        <v>-1.0919099999999999</v>
      </c>
      <c r="EG85" s="3">
        <v>20.11204064516129</v>
      </c>
      <c r="EH85" s="3" t="s">
        <v>1113</v>
      </c>
      <c r="EI85" s="3">
        <v>0</v>
      </c>
      <c r="EJ85" s="3">
        <v>1</v>
      </c>
      <c r="EK85" s="15">
        <v>45470</v>
      </c>
      <c r="EL85" s="16">
        <v>2.72</v>
      </c>
      <c r="EM85" s="16">
        <v>-0.75</v>
      </c>
      <c r="EN85" s="3">
        <v>-0.25</v>
      </c>
      <c r="EO85" s="3">
        <v>1.01</v>
      </c>
      <c r="EP85" s="3">
        <v>-3.48</v>
      </c>
    </row>
    <row r="86" spans="1:146" ht="96" x14ac:dyDescent="0.25">
      <c r="C86" s="7" t="str">
        <f>""&amp;CHAR(10)&amp;Basic_Fundamental_Information_Constructure(F86)&amp;CHAR(10)&amp;Basic_Fundamental_Information_Concatenate("")</f>
        <v xml:space="preserve">
市值28.631792亿, 利润-7099.03万; PE; 平均PE61.98; 平均PEG12.82, PB1.05; ROIC6.67%; ROE4.5267%; 股利率2.5194%; 毛利15.1433%; 净利.2%; 上一年度营收增-77.69%, 利润增-181.81%; 当季营收增-40.5%, 利润增-2.57%; 过往5年营收增-4.84%, 利润增88.56%
Income profile:
</v>
      </c>
      <c r="D86" s="3" t="s">
        <v>648</v>
      </c>
      <c r="E86" s="3" t="s">
        <v>649</v>
      </c>
      <c r="F86" s="3">
        <v>5.16</v>
      </c>
      <c r="G86" s="3">
        <v>-0.39</v>
      </c>
      <c r="H86" s="3" t="s">
        <v>3412</v>
      </c>
      <c r="I86" s="3">
        <v>2863179200</v>
      </c>
      <c r="K86" s="3">
        <v>1.05</v>
      </c>
      <c r="L86" s="3" t="s">
        <v>285</v>
      </c>
      <c r="M86" s="3" t="s">
        <v>3413</v>
      </c>
      <c r="N86" s="3" t="s">
        <v>3414</v>
      </c>
      <c r="O86" s="3" t="s">
        <v>2121</v>
      </c>
      <c r="P86" s="3">
        <v>46.13</v>
      </c>
      <c r="Q86" s="3" t="s">
        <v>2121</v>
      </c>
      <c r="R86" s="3">
        <v>-70990258</v>
      </c>
      <c r="S86" s="5">
        <v>0.1515</v>
      </c>
      <c r="T86" s="3" t="s">
        <v>3415</v>
      </c>
      <c r="U86" s="3">
        <v>554879690</v>
      </c>
      <c r="V86" s="3">
        <v>554879690</v>
      </c>
      <c r="W86" s="3">
        <v>1.96</v>
      </c>
      <c r="X86" s="3">
        <v>0.14000000000000001</v>
      </c>
      <c r="Y86" s="3">
        <v>-9.2899999999999991</v>
      </c>
      <c r="Z86" s="3" t="s">
        <v>3416</v>
      </c>
      <c r="AA86" s="3" t="s">
        <v>1913</v>
      </c>
      <c r="AB86" s="3" t="s">
        <v>3417</v>
      </c>
      <c r="AC86" s="3" t="s">
        <v>3418</v>
      </c>
      <c r="AD86" s="3" t="s">
        <v>4</v>
      </c>
      <c r="AE86" s="3">
        <v>3805239</v>
      </c>
      <c r="AF86" s="3" t="s">
        <v>3419</v>
      </c>
      <c r="AG86" s="3" t="s">
        <v>3420</v>
      </c>
      <c r="AH86" s="3" t="s">
        <v>3421</v>
      </c>
      <c r="AI86" s="3" t="s">
        <v>2693</v>
      </c>
      <c r="AJ86" s="3" t="s">
        <v>3422</v>
      </c>
      <c r="AK86" s="3" t="s">
        <v>3423</v>
      </c>
      <c r="AL86" s="3" t="s">
        <v>3424</v>
      </c>
      <c r="AM86" s="3" t="s">
        <v>4</v>
      </c>
      <c r="AN86" s="3" t="s">
        <v>928</v>
      </c>
      <c r="AO86" s="3" t="s">
        <v>1475</v>
      </c>
      <c r="AP86" s="3" t="s">
        <v>3425</v>
      </c>
      <c r="AQ86" s="3" t="s">
        <v>1429</v>
      </c>
      <c r="AR86" s="3" t="s">
        <v>4</v>
      </c>
      <c r="AS86" s="3" t="s">
        <v>3426</v>
      </c>
      <c r="AT86" s="3" t="s">
        <v>3427</v>
      </c>
      <c r="AU86" s="3" t="s">
        <v>3428</v>
      </c>
      <c r="AV86" s="3" t="s">
        <v>3429</v>
      </c>
      <c r="AW86" s="3" t="s">
        <v>3430</v>
      </c>
      <c r="AX86" s="3" t="s">
        <v>1344</v>
      </c>
      <c r="AY86" s="3" t="s">
        <v>823</v>
      </c>
      <c r="AZ86" s="3" t="s">
        <v>650</v>
      </c>
      <c r="BA86" s="3" t="s">
        <v>652</v>
      </c>
      <c r="BB86" s="3" t="s">
        <v>653</v>
      </c>
      <c r="BC86" s="3" t="s">
        <v>1345</v>
      </c>
      <c r="BD86" s="3" t="s">
        <v>120</v>
      </c>
      <c r="BE86" s="3" t="s">
        <v>651</v>
      </c>
      <c r="BF86" s="3" t="s">
        <v>268</v>
      </c>
      <c r="BG86" s="3" t="s">
        <v>53</v>
      </c>
      <c r="BH86" s="3" t="s">
        <v>3431</v>
      </c>
      <c r="BI86" s="3" t="s">
        <v>1343</v>
      </c>
      <c r="BJ86" s="3" t="s">
        <v>1344</v>
      </c>
      <c r="BK86" s="3" t="s">
        <v>3432</v>
      </c>
      <c r="BL86" s="3" t="s">
        <v>1529</v>
      </c>
      <c r="BM86" s="3" t="s">
        <v>1345</v>
      </c>
      <c r="BN86" s="3" t="s">
        <v>4</v>
      </c>
      <c r="BO86" s="3">
        <v>2.96</v>
      </c>
      <c r="BP86" s="3">
        <v>10.38</v>
      </c>
      <c r="BQ86" s="3">
        <v>-5.3</v>
      </c>
      <c r="BR86" s="3">
        <v>2.86</v>
      </c>
      <c r="BS86" s="3">
        <v>16.02</v>
      </c>
      <c r="BT86" s="3" t="s">
        <v>1120</v>
      </c>
      <c r="BU86" s="3" t="s">
        <v>841</v>
      </c>
      <c r="BV86" s="3">
        <v>12.56</v>
      </c>
      <c r="BW86" s="3">
        <v>14.58</v>
      </c>
      <c r="BX86" s="3">
        <v>18.29</v>
      </c>
      <c r="BY86" s="3">
        <v>-10.84</v>
      </c>
      <c r="BZ86" s="3">
        <v>2.5299999999999998</v>
      </c>
      <c r="CA86" s="3">
        <v>8.91</v>
      </c>
      <c r="CB86" s="3">
        <v>-7.19</v>
      </c>
      <c r="CC86" s="3">
        <v>-13.42</v>
      </c>
      <c r="CD86" s="3" t="s">
        <v>3433</v>
      </c>
      <c r="CE86" s="3" t="s">
        <v>469</v>
      </c>
      <c r="CF86" s="10">
        <v>-0.40498442367601245</v>
      </c>
      <c r="CG86" s="11">
        <v>-2.5738857285695915E-2</v>
      </c>
      <c r="CH86" s="10">
        <v>-0.77686917781829834</v>
      </c>
      <c r="CI86" s="10">
        <v>-0.17434291541576385</v>
      </c>
      <c r="CJ86" s="10">
        <v>0.19613498449325562</v>
      </c>
      <c r="CK86" s="10">
        <v>0.62999528646469116</v>
      </c>
      <c r="CL86" s="10">
        <v>-0.11669432371854782</v>
      </c>
      <c r="CM86" s="11">
        <v>-1.8180621862411499</v>
      </c>
      <c r="CN86" s="11">
        <v>-0.7648276686668396</v>
      </c>
      <c r="CO86" s="11">
        <v>8.7480802536010742</v>
      </c>
      <c r="CP86" s="11">
        <v>0.74256914854049683</v>
      </c>
      <c r="CQ86" s="11">
        <v>-2.4800000190734863</v>
      </c>
      <c r="CR86" s="3">
        <v>61.981714770626439</v>
      </c>
      <c r="CS86" s="3">
        <v>12.817996274122628</v>
      </c>
      <c r="CT86" s="3">
        <v>2.5193798449612403</v>
      </c>
      <c r="CU86" s="10">
        <v>-4.8355229198932648E-2</v>
      </c>
      <c r="CV86" s="11">
        <v>0.88555190563201902</v>
      </c>
      <c r="CW86" s="3">
        <v>0.06</v>
      </c>
      <c r="CX86" s="3" t="e">
        <v>#VALUE!</v>
      </c>
      <c r="CY86" s="3" t="s">
        <v>855</v>
      </c>
      <c r="CZ86" s="3">
        <v>-4.8355229198932648E-2</v>
      </c>
      <c r="DA86" s="3" t="e">
        <v>#VALUE!</v>
      </c>
      <c r="DB86" s="3" t="s">
        <v>853</v>
      </c>
      <c r="DC86" s="3">
        <v>-4.5937467738986014E-2</v>
      </c>
      <c r="DD86" s="3" t="e">
        <v>#VALUE!</v>
      </c>
      <c r="DE86" s="3" t="s">
        <v>853</v>
      </c>
      <c r="DF86" s="3">
        <v>-4.2552601695060734E-2</v>
      </c>
      <c r="DG86" s="3" t="e">
        <v>#VALUE!</v>
      </c>
      <c r="DH86" s="3" t="s">
        <v>853</v>
      </c>
      <c r="DI86" s="3">
        <v>-3.868418335914612E-2</v>
      </c>
      <c r="DJ86" s="3" t="e">
        <v>#VALUE!</v>
      </c>
      <c r="DK86" s="3" t="s">
        <v>853</v>
      </c>
      <c r="DL86" s="3">
        <v>-3.3848660439252852E-2</v>
      </c>
      <c r="DM86" s="3">
        <v>-70990300</v>
      </c>
      <c r="DN86" s="3">
        <v>-4.8355229198932648E-2</v>
      </c>
      <c r="DO86" s="3">
        <v>2590179200</v>
      </c>
      <c r="DP86" s="3">
        <v>463498100</v>
      </c>
      <c r="DQ86" s="3">
        <v>4221</v>
      </c>
      <c r="DR86" s="3">
        <v>-0.3566291944770798</v>
      </c>
      <c r="DS86" s="3">
        <v>-0.91129076291771494</v>
      </c>
      <c r="DT86" s="12">
        <v>-0.55666666666666664</v>
      </c>
      <c r="DU86" s="3">
        <v>-2.0133333333333336</v>
      </c>
      <c r="DV86" s="3">
        <v>-2.5700000000000003</v>
      </c>
      <c r="DW86" s="3">
        <v>-9.5357675111773474</v>
      </c>
      <c r="DX86" s="3">
        <v>0.36594128440367069</v>
      </c>
      <c r="DY86" s="3">
        <v>-9.0835482738347526</v>
      </c>
      <c r="DZ86" s="3">
        <v>2639</v>
      </c>
      <c r="EA86" s="3">
        <v>-9.0404007406351603</v>
      </c>
      <c r="EB86" s="3">
        <v>9</v>
      </c>
      <c r="EC86" s="3">
        <v>9.1898840269320367E-2</v>
      </c>
      <c r="ED86" s="3">
        <v>0.58931693823574616</v>
      </c>
      <c r="EE86" s="13">
        <v>5.0452000000000004</v>
      </c>
      <c r="EF86" s="3">
        <v>5.0129000000000001</v>
      </c>
      <c r="EG86" s="3">
        <v>21.155941284403671</v>
      </c>
      <c r="EH86" s="3" t="s">
        <v>3434</v>
      </c>
      <c r="EI86" s="3">
        <v>0</v>
      </c>
      <c r="EJ86" s="3">
        <v>0</v>
      </c>
      <c r="EK86" s="15">
        <v>45470</v>
      </c>
      <c r="EL86" s="16">
        <v>4.1900000000000004</v>
      </c>
      <c r="EM86" s="16">
        <v>-6.3</v>
      </c>
      <c r="EN86" s="3">
        <v>-4.32</v>
      </c>
      <c r="EO86" s="3">
        <v>2.42</v>
      </c>
      <c r="EP86" s="3">
        <v>-3.23</v>
      </c>
    </row>
    <row r="87" spans="1:146" ht="96" x14ac:dyDescent="0.25">
      <c r="C87" s="7" t="str">
        <f>""&amp;CHAR(10)&amp;Basic_Fundamental_Information_Constructure(F87)&amp;CHAR(10)&amp;Basic_Fundamental_Information_Concatenate("")</f>
        <v xml:space="preserve">
市值45.243484亿, 利润3309.53万; PE77.04; 平均PE75.62; 平均PEG7.02, PB2.74; ROIC3.2%; ROE3.8467%; 股利率.5149%; 毛利16.1167%; 净利2.82%; 上一年度营收增-78.86%, 利润增-49.79%; 当季营收增-56.01%, 利润增21.72%; 过往5年营收增-10.77%, 利润增-13.88%
Income profile:
</v>
      </c>
      <c r="D87" s="3" t="s">
        <v>655</v>
      </c>
      <c r="E87" s="3" t="s">
        <v>656</v>
      </c>
      <c r="F87" s="3">
        <v>17.48</v>
      </c>
      <c r="G87" s="3">
        <v>1.1599999999999999</v>
      </c>
      <c r="H87" s="3" t="s">
        <v>3435</v>
      </c>
      <c r="I87" s="3">
        <v>4524348400</v>
      </c>
      <c r="J87" s="3">
        <v>77.040000000000006</v>
      </c>
      <c r="K87" s="3">
        <v>2.74</v>
      </c>
      <c r="L87" s="3" t="s">
        <v>285</v>
      </c>
      <c r="M87" s="3" t="s">
        <v>3436</v>
      </c>
      <c r="N87" s="3" t="s">
        <v>3437</v>
      </c>
      <c r="O87" s="3" t="s">
        <v>547</v>
      </c>
      <c r="P87" s="3">
        <v>-0.41</v>
      </c>
      <c r="Q87" s="3" t="s">
        <v>547</v>
      </c>
      <c r="R87" s="3">
        <v>33095293</v>
      </c>
      <c r="S87" s="5">
        <v>1.2709999999999999</v>
      </c>
      <c r="T87" s="3" t="s">
        <v>3438</v>
      </c>
      <c r="U87" s="3">
        <v>254800000</v>
      </c>
      <c r="V87" s="3">
        <v>258830000</v>
      </c>
      <c r="W87" s="3">
        <v>2.8</v>
      </c>
      <c r="X87" s="3">
        <v>0.1</v>
      </c>
      <c r="Y87" s="3">
        <v>8.06</v>
      </c>
      <c r="Z87" s="3" t="s">
        <v>136</v>
      </c>
      <c r="AA87" s="3" t="s">
        <v>1272</v>
      </c>
      <c r="AB87" s="3" t="s">
        <v>3439</v>
      </c>
      <c r="AC87" s="3" t="s">
        <v>3440</v>
      </c>
      <c r="AD87" s="3" t="s">
        <v>4</v>
      </c>
      <c r="AE87" s="3">
        <v>6489423</v>
      </c>
      <c r="AF87" s="3" t="s">
        <v>3441</v>
      </c>
      <c r="AG87" s="3" t="s">
        <v>3442</v>
      </c>
      <c r="AH87" s="3" t="s">
        <v>3443</v>
      </c>
      <c r="AI87" s="3" t="s">
        <v>3444</v>
      </c>
      <c r="AJ87" s="3" t="s">
        <v>3445</v>
      </c>
      <c r="AK87" s="3" t="s">
        <v>3446</v>
      </c>
      <c r="AL87" s="3" t="s">
        <v>3447</v>
      </c>
      <c r="AM87" s="3" t="s">
        <v>4</v>
      </c>
      <c r="AN87" s="3" t="s">
        <v>3448</v>
      </c>
      <c r="AO87" s="3" t="s">
        <v>445</v>
      </c>
      <c r="AP87" s="3" t="s">
        <v>710</v>
      </c>
      <c r="AQ87" s="3" t="s">
        <v>102</v>
      </c>
      <c r="AR87" s="3" t="s">
        <v>3449</v>
      </c>
      <c r="AS87" s="3" t="s">
        <v>3450</v>
      </c>
      <c r="AT87" s="3" t="s">
        <v>1254</v>
      </c>
      <c r="AU87" s="3" t="s">
        <v>187</v>
      </c>
      <c r="AV87" s="3" t="s">
        <v>3451</v>
      </c>
      <c r="AW87" s="3" t="s">
        <v>42</v>
      </c>
      <c r="AX87" s="3" t="s">
        <v>1346</v>
      </c>
      <c r="AY87" s="3" t="s">
        <v>824</v>
      </c>
      <c r="AZ87" s="3" t="s">
        <v>439</v>
      </c>
      <c r="BA87" s="3" t="s">
        <v>612</v>
      </c>
      <c r="BB87" s="3" t="s">
        <v>658</v>
      </c>
      <c r="BC87" s="3" t="s">
        <v>1347</v>
      </c>
      <c r="BD87" s="3" t="s">
        <v>825</v>
      </c>
      <c r="BE87" s="3" t="s">
        <v>657</v>
      </c>
      <c r="BF87" s="3" t="s">
        <v>660</v>
      </c>
      <c r="BG87" s="3" t="s">
        <v>661</v>
      </c>
      <c r="BH87" s="3" t="s">
        <v>1333</v>
      </c>
      <c r="BI87" s="3" t="s">
        <v>440</v>
      </c>
      <c r="BJ87" s="3" t="s">
        <v>1346</v>
      </c>
      <c r="BK87" s="3" t="s">
        <v>3452</v>
      </c>
      <c r="BL87" s="3" t="s">
        <v>1531</v>
      </c>
      <c r="BM87" s="3" t="s">
        <v>1347</v>
      </c>
      <c r="BN87" s="3">
        <v>1.7</v>
      </c>
      <c r="BO87" s="3">
        <v>3.65</v>
      </c>
      <c r="BP87" s="3">
        <v>4.25</v>
      </c>
      <c r="BQ87" s="3">
        <v>1.87</v>
      </c>
      <c r="BR87" s="3">
        <v>4.1100000000000003</v>
      </c>
      <c r="BS87" s="3">
        <v>5.56</v>
      </c>
      <c r="BT87" s="3" t="s">
        <v>3453</v>
      </c>
      <c r="BU87" s="3" t="s">
        <v>841</v>
      </c>
      <c r="BV87" s="3">
        <v>16.09</v>
      </c>
      <c r="BW87" s="3">
        <v>16.329999999999998</v>
      </c>
      <c r="BX87" s="3">
        <v>15.93</v>
      </c>
      <c r="BY87" s="3">
        <v>2.06</v>
      </c>
      <c r="BZ87" s="3">
        <v>3.23</v>
      </c>
      <c r="CA87" s="3">
        <v>3.17</v>
      </c>
      <c r="CB87" s="3">
        <v>-5.31</v>
      </c>
      <c r="CC87" s="3">
        <v>-29.37</v>
      </c>
      <c r="CD87" s="3" t="s">
        <v>3454</v>
      </c>
      <c r="CE87" s="3" t="s">
        <v>127</v>
      </c>
      <c r="CF87" s="10">
        <v>-0.56012332990750258</v>
      </c>
      <c r="CG87" s="11">
        <v>0.21716382560085323</v>
      </c>
      <c r="CH87" s="10">
        <v>-0.78864198923110962</v>
      </c>
      <c r="CI87" s="10">
        <v>0.12250550836324692</v>
      </c>
      <c r="CJ87" s="10">
        <v>9.4660192728042603E-2</v>
      </c>
      <c r="CK87" s="10">
        <v>1.7283950001001358E-2</v>
      </c>
      <c r="CL87" s="10">
        <v>1.5673941001296043E-2</v>
      </c>
      <c r="CM87" s="11">
        <v>-0.49792084097862244</v>
      </c>
      <c r="CN87" s="11">
        <v>0.14203813672065735</v>
      </c>
      <c r="CO87" s="11">
        <v>0.24503438174724579</v>
      </c>
      <c r="CP87" s="11">
        <v>-0.26939824223518372</v>
      </c>
      <c r="CQ87" s="11">
        <v>-0.31362569332122803</v>
      </c>
      <c r="CR87" s="3">
        <v>75.618315137289983</v>
      </c>
      <c r="CS87" s="3">
        <v>7.0209593153397094</v>
      </c>
      <c r="CT87" s="3">
        <v>0.51487414187643021</v>
      </c>
      <c r="CU87" s="10">
        <v>-0.10770367942750454</v>
      </c>
      <c r="CV87" s="11">
        <v>-0.13877445161342622</v>
      </c>
      <c r="CW87" s="3">
        <v>0.06</v>
      </c>
      <c r="CX87" s="3">
        <v>144.9857955661378</v>
      </c>
      <c r="CY87" s="3" t="s">
        <v>3455</v>
      </c>
      <c r="CZ87" s="3">
        <v>-0.10770367942750454</v>
      </c>
      <c r="DA87" s="3">
        <v>48.32859852204593</v>
      </c>
      <c r="DB87" s="3" t="s">
        <v>3456</v>
      </c>
      <c r="DC87" s="3">
        <v>-0.10231849545612931</v>
      </c>
      <c r="DD87" s="3">
        <v>24.164299261022965</v>
      </c>
      <c r="DE87" s="3" t="s">
        <v>3457</v>
      </c>
      <c r="DF87" s="3">
        <v>-9.4779237896204002E-2</v>
      </c>
      <c r="DG87" s="3">
        <v>14.498579556613779</v>
      </c>
      <c r="DH87" s="3" t="s">
        <v>3458</v>
      </c>
      <c r="DI87" s="3">
        <v>-8.6162943542003642E-2</v>
      </c>
      <c r="DJ87" s="3">
        <v>7.2492897783068893</v>
      </c>
      <c r="DK87" s="3" t="s">
        <v>3459</v>
      </c>
      <c r="DL87" s="3">
        <v>-7.5392575599253178E-2</v>
      </c>
      <c r="DM87" s="3">
        <v>33095300.000000004</v>
      </c>
      <c r="DN87" s="3">
        <v>-0.10770367942750454</v>
      </c>
      <c r="DO87" s="3">
        <v>4798348400</v>
      </c>
      <c r="DP87" s="3">
        <v>433831300</v>
      </c>
      <c r="DQ87" s="3">
        <v>4223</v>
      </c>
      <c r="DR87" s="3">
        <v>-0.45241965047999805</v>
      </c>
      <c r="DS87" s="3">
        <v>0.35593827721427945</v>
      </c>
      <c r="DT87" s="12">
        <v>-0.77333333333333332</v>
      </c>
      <c r="DU87" s="3">
        <v>0.19000000000000006</v>
      </c>
      <c r="DV87" s="3">
        <v>-0.58333333333333326</v>
      </c>
      <c r="DW87" s="3">
        <v>-8.1807967313585284</v>
      </c>
      <c r="DX87" s="3">
        <v>0.42281445086705233</v>
      </c>
      <c r="DY87" s="3">
        <v>-8.0203964839667705</v>
      </c>
      <c r="DZ87" s="3">
        <v>3470</v>
      </c>
      <c r="EA87" s="3">
        <v>-8.0065460339932493</v>
      </c>
      <c r="EB87" s="3">
        <v>8</v>
      </c>
      <c r="EC87" s="3">
        <v>7.5404319437468614E-2</v>
      </c>
      <c r="ED87" s="3">
        <v>0.66839238109956345</v>
      </c>
      <c r="EE87" s="13">
        <v>-3.0496099999999999</v>
      </c>
      <c r="EF87" s="3">
        <v>-3.0717099999999999</v>
      </c>
      <c r="EG87" s="3">
        <v>31.112814450867052</v>
      </c>
      <c r="EH87" s="3" t="s">
        <v>1639</v>
      </c>
      <c r="EI87" s="3">
        <v>0</v>
      </c>
      <c r="EJ87" s="3">
        <v>0</v>
      </c>
      <c r="EK87" s="15">
        <v>45470</v>
      </c>
      <c r="EL87" s="16">
        <v>0</v>
      </c>
      <c r="EM87" s="16">
        <v>-3.97</v>
      </c>
      <c r="EN87" s="3">
        <v>0.87</v>
      </c>
      <c r="EO87" s="3">
        <v>3.44</v>
      </c>
      <c r="EP87" s="3">
        <v>-2.21</v>
      </c>
    </row>
    <row r="88" spans="1:146" ht="96" x14ac:dyDescent="0.25">
      <c r="C88" s="7" t="str">
        <f>""&amp;CHAR(10)&amp;Basic_Fundamental_Information_Constructure(F88)&amp;CHAR(10)&amp;Basic_Fundamental_Information_Concatenate("")</f>
        <v xml:space="preserve">
市值37.933421亿, 利润1445.90万; PE54; 平均PE23.03; 平均PEG5.1, PB1.45; ROIC4.72%; ROE6.9367%; 股利率0%; 毛利16.0067%; 净利3.6567%; 上一年度营收增-76.36%, 利润增-90.79%; 当季营收增-35.85%, 利润增194.61%; 过往5年营收增4.51%, 利润增-2.86%
Income profile:
</v>
      </c>
      <c r="D88" s="3" t="s">
        <v>662</v>
      </c>
      <c r="E88" s="3" t="s">
        <v>663</v>
      </c>
      <c r="F88" s="3">
        <v>8.64</v>
      </c>
      <c r="G88" s="3">
        <v>0</v>
      </c>
      <c r="H88" s="3" t="s">
        <v>3460</v>
      </c>
      <c r="I88" s="3">
        <v>3793342100</v>
      </c>
      <c r="J88" s="3">
        <v>54</v>
      </c>
      <c r="K88" s="3">
        <v>1.45</v>
      </c>
      <c r="L88" s="3" t="s">
        <v>285</v>
      </c>
      <c r="M88" s="3" t="s">
        <v>3461</v>
      </c>
      <c r="N88" s="3" t="s">
        <v>3462</v>
      </c>
      <c r="O88" s="3" t="s">
        <v>1215</v>
      </c>
      <c r="P88" s="3">
        <v>30.88</v>
      </c>
      <c r="Q88" s="3" t="s">
        <v>1215</v>
      </c>
      <c r="R88" s="3">
        <v>14458993</v>
      </c>
      <c r="S88" s="5">
        <v>1.498</v>
      </c>
      <c r="T88" s="3" t="s">
        <v>3463</v>
      </c>
      <c r="U88" s="3">
        <v>439044230</v>
      </c>
      <c r="V88" s="3">
        <v>439044230</v>
      </c>
      <c r="W88" s="3">
        <v>2.12</v>
      </c>
      <c r="X88" s="3">
        <v>0.15</v>
      </c>
      <c r="Y88" s="3">
        <v>0.57999999999999996</v>
      </c>
      <c r="Z88" s="3" t="s">
        <v>238</v>
      </c>
      <c r="AA88" s="3" t="s">
        <v>1451</v>
      </c>
      <c r="AB88" s="3" t="s">
        <v>3464</v>
      </c>
      <c r="AC88" s="3" t="s">
        <v>3465</v>
      </c>
      <c r="AD88" s="3" t="s">
        <v>4</v>
      </c>
      <c r="AE88" s="3">
        <v>16621181</v>
      </c>
      <c r="AF88" s="3" t="s">
        <v>3466</v>
      </c>
      <c r="AG88" s="3" t="s">
        <v>3467</v>
      </c>
      <c r="AH88" s="3" t="s">
        <v>3468</v>
      </c>
      <c r="AI88" s="3" t="s">
        <v>3469</v>
      </c>
      <c r="AJ88" s="3" t="s">
        <v>3470</v>
      </c>
      <c r="AK88" s="3" t="s">
        <v>3471</v>
      </c>
      <c r="AL88" s="3" t="s">
        <v>3472</v>
      </c>
      <c r="AM88" s="3" t="s">
        <v>4</v>
      </c>
      <c r="AN88" s="3" t="s">
        <v>47</v>
      </c>
      <c r="AO88" s="3" t="s">
        <v>298</v>
      </c>
      <c r="AP88" s="3" t="s">
        <v>3473</v>
      </c>
      <c r="AQ88" s="3" t="s">
        <v>3022</v>
      </c>
      <c r="AR88" s="3" t="s">
        <v>4</v>
      </c>
      <c r="AS88" s="3" t="s">
        <v>1419</v>
      </c>
      <c r="AT88" s="3" t="s">
        <v>4</v>
      </c>
      <c r="AU88" s="3" t="s">
        <v>29</v>
      </c>
      <c r="AV88" s="3" t="s">
        <v>3474</v>
      </c>
      <c r="AW88" s="3" t="s">
        <v>3475</v>
      </c>
      <c r="AX88" s="3" t="s">
        <v>1349</v>
      </c>
      <c r="AY88" s="3" t="s">
        <v>826</v>
      </c>
      <c r="AZ88" s="3" t="s">
        <v>664</v>
      </c>
      <c r="BA88" s="3" t="s">
        <v>262</v>
      </c>
      <c r="BB88" s="3" t="s">
        <v>665</v>
      </c>
      <c r="BC88" s="3" t="s">
        <v>98</v>
      </c>
      <c r="BD88" s="3" t="s">
        <v>102</v>
      </c>
      <c r="BE88" s="3" t="s">
        <v>70</v>
      </c>
      <c r="BF88" s="3" t="s">
        <v>20</v>
      </c>
      <c r="BG88" s="3" t="s">
        <v>71</v>
      </c>
      <c r="BH88" s="3" t="s">
        <v>3476</v>
      </c>
      <c r="BI88" s="3" t="s">
        <v>1068</v>
      </c>
      <c r="BJ88" s="3" t="s">
        <v>1349</v>
      </c>
      <c r="BK88" s="3" t="s">
        <v>3477</v>
      </c>
      <c r="BL88" s="3" t="s">
        <v>1534</v>
      </c>
      <c r="BM88" s="3" t="s">
        <v>98</v>
      </c>
      <c r="BN88" s="3">
        <v>-0.4</v>
      </c>
      <c r="BO88" s="3">
        <v>4.29</v>
      </c>
      <c r="BP88" s="3">
        <v>10.27</v>
      </c>
      <c r="BQ88" s="3">
        <v>0.38</v>
      </c>
      <c r="BR88" s="3">
        <v>5.98</v>
      </c>
      <c r="BS88" s="3">
        <v>14.45</v>
      </c>
      <c r="BT88" s="3" t="s">
        <v>1043</v>
      </c>
      <c r="BU88" s="3" t="s">
        <v>841</v>
      </c>
      <c r="BV88" s="3">
        <v>15.28</v>
      </c>
      <c r="BW88" s="3">
        <v>16.95</v>
      </c>
      <c r="BX88" s="3">
        <v>15.79</v>
      </c>
      <c r="BY88" s="3">
        <v>-0.06</v>
      </c>
      <c r="BZ88" s="3">
        <v>3.5</v>
      </c>
      <c r="CA88" s="3">
        <v>7.53</v>
      </c>
      <c r="CB88" s="3">
        <v>-4.6399999999999997</v>
      </c>
      <c r="CC88" s="3">
        <v>-14.12</v>
      </c>
      <c r="CD88" s="3" t="s">
        <v>3478</v>
      </c>
      <c r="CE88" s="3" t="s">
        <v>3479</v>
      </c>
      <c r="CF88" s="10">
        <v>-0.35850388143966128</v>
      </c>
      <c r="CG88" s="11">
        <v>1.9460896164994863</v>
      </c>
      <c r="CH88" s="10">
        <v>-0.76358908414840698</v>
      </c>
      <c r="CI88" s="10">
        <v>-3.6340899765491486E-2</v>
      </c>
      <c r="CJ88" s="10">
        <v>0.11390284448862076</v>
      </c>
      <c r="CK88" s="10">
        <v>0.77414560317993164</v>
      </c>
      <c r="CL88" s="10">
        <v>0.13746477663516998</v>
      </c>
      <c r="CM88" s="11">
        <v>-0.90790438652038574</v>
      </c>
      <c r="CN88" s="11">
        <v>-0.48692810535430908</v>
      </c>
      <c r="CO88" s="11">
        <v>0.24390244483947754</v>
      </c>
      <c r="CP88" s="11">
        <v>0.57692307233810425</v>
      </c>
      <c r="CQ88" s="11">
        <v>0.43119266629219055</v>
      </c>
      <c r="CR88" s="3">
        <v>23.025793280247335</v>
      </c>
      <c r="CS88" s="3">
        <v>5.1036134689033466</v>
      </c>
      <c r="CT88" s="3">
        <v>0</v>
      </c>
      <c r="CU88" s="10">
        <v>4.5116648077964783E-2</v>
      </c>
      <c r="CV88" s="11">
        <v>-2.8562861680984496E-2</v>
      </c>
      <c r="CW88" s="3">
        <v>0.06</v>
      </c>
      <c r="CX88" s="3">
        <v>269.66517797955584</v>
      </c>
      <c r="CY88" s="3">
        <v>14255982.655244615</v>
      </c>
      <c r="CZ88" s="3">
        <v>4.5116648077964783E-2</v>
      </c>
      <c r="DA88" s="3">
        <v>91.555213386678133</v>
      </c>
      <c r="DB88" s="3">
        <v>41989330.348274589</v>
      </c>
      <c r="DC88" s="3">
        <v>4.2860815674066542E-2</v>
      </c>
      <c r="DD88" s="3">
        <v>47.38973672563688</v>
      </c>
      <c r="DE88" s="3">
        <v>81121828.598813236</v>
      </c>
      <c r="DF88" s="3">
        <v>3.9702650308609012E-2</v>
      </c>
      <c r="DG88" s="3">
        <v>30.077407835677448</v>
      </c>
      <c r="DH88" s="3">
        <v>127814940.73568033</v>
      </c>
      <c r="DI88" s="3">
        <v>3.6093318462371828E-2</v>
      </c>
      <c r="DJ88" s="3">
        <v>17.468609784036087</v>
      </c>
      <c r="DK88" s="3">
        <v>220071439.42920983</v>
      </c>
      <c r="DL88" s="3">
        <v>3.1581653654575347E-2</v>
      </c>
      <c r="DM88" s="3">
        <v>14459000</v>
      </c>
      <c r="DN88" s="3">
        <v>4.5116648077964783E-2</v>
      </c>
      <c r="DO88" s="3">
        <v>3844342100</v>
      </c>
      <c r="DP88" s="3">
        <v>1162172700</v>
      </c>
      <c r="DQ88" s="3">
        <v>4362</v>
      </c>
      <c r="DR88" s="3">
        <v>-0.40362052951762606</v>
      </c>
      <c r="DS88" s="3">
        <v>1.9746524781804708</v>
      </c>
      <c r="DT88" s="12">
        <v>-0.54</v>
      </c>
      <c r="DU88" s="3">
        <v>-0.13333333333333339</v>
      </c>
      <c r="DV88" s="3">
        <v>-0.67333333333333345</v>
      </c>
      <c r="DW88" s="3">
        <v>-8.3286118980169963</v>
      </c>
      <c r="DX88" s="3">
        <v>0.23612219873150017</v>
      </c>
      <c r="DY88" s="3">
        <v>-8.028300779186555</v>
      </c>
      <c r="DZ88" s="3">
        <v>2370</v>
      </c>
      <c r="EA88" s="3">
        <v>-8.0151749774894636</v>
      </c>
      <c r="EB88" s="3">
        <v>8</v>
      </c>
      <c r="EC88" s="3">
        <v>0.18556581417776519</v>
      </c>
      <c r="ED88" s="3">
        <v>2.1546804065731604</v>
      </c>
      <c r="EE88" s="13">
        <v>3.0177</v>
      </c>
      <c r="EF88" s="3">
        <v>3.0301</v>
      </c>
      <c r="EG88" s="3">
        <v>15.0861221987315</v>
      </c>
      <c r="EH88" s="3" t="s">
        <v>1587</v>
      </c>
      <c r="EI88" s="3">
        <v>0</v>
      </c>
      <c r="EJ88" s="3">
        <v>0</v>
      </c>
      <c r="EK88" s="15">
        <v>45470</v>
      </c>
      <c r="EL88" s="16">
        <v>-0.32</v>
      </c>
      <c r="EM88" s="16">
        <v>-1.85</v>
      </c>
      <c r="EN88" s="3">
        <v>-3.57</v>
      </c>
      <c r="EO88" s="3">
        <v>2.2599999999999998</v>
      </c>
      <c r="EP88" s="3">
        <v>1.24</v>
      </c>
    </row>
    <row r="89" spans="1:146" ht="96" x14ac:dyDescent="0.25">
      <c r="C89" s="7" t="str">
        <f>""&amp;CHAR(10)&amp;Basic_Fundamental_Information_Constructure(F89)&amp;CHAR(10)&amp;Basic_Fundamental_Information_Concatenate("")</f>
        <v xml:space="preserve">
市值39.292929亿, 利润3978.21万; PE25.46; 平均PE34.48; 平均PEG12.32, PB2.84; ROIC10.25%; ROE12.1633%; 股利率1.6155%; 毛利19.1767%; 净利8.16%; 上一年度营收增-58.96%, 利润增-72.18%; 当季营收增-54.35%, 利润增-51.16%; 过往5年营收增2.8%, 利润增-6.76%
Income profile:
</v>
      </c>
      <c r="D89" s="3" t="s">
        <v>666</v>
      </c>
      <c r="E89" s="3" t="s">
        <v>667</v>
      </c>
      <c r="F89" s="3">
        <v>12.38</v>
      </c>
      <c r="G89" s="3">
        <v>0</v>
      </c>
      <c r="H89" s="3" t="s">
        <v>3480</v>
      </c>
      <c r="I89" s="3">
        <v>3929292900</v>
      </c>
      <c r="J89" s="3">
        <v>25.46</v>
      </c>
      <c r="K89" s="3">
        <v>2.84</v>
      </c>
      <c r="L89" s="3" t="s">
        <v>285</v>
      </c>
      <c r="M89" s="3" t="s">
        <v>3481</v>
      </c>
      <c r="N89" s="3" t="s">
        <v>861</v>
      </c>
      <c r="O89" s="3" t="s">
        <v>1380</v>
      </c>
      <c r="P89" s="3">
        <v>5.15</v>
      </c>
      <c r="Q89" s="3" t="s">
        <v>1380</v>
      </c>
      <c r="R89" s="3">
        <v>39782135</v>
      </c>
      <c r="S89" s="5">
        <v>0.3327</v>
      </c>
      <c r="T89" s="3" t="s">
        <v>3482</v>
      </c>
      <c r="U89" s="3">
        <v>313982370</v>
      </c>
      <c r="V89" s="3">
        <v>317390380</v>
      </c>
      <c r="W89" s="3">
        <v>2.29</v>
      </c>
      <c r="X89" s="3">
        <v>0.22</v>
      </c>
      <c r="Y89" s="3">
        <v>5.75</v>
      </c>
      <c r="Z89" s="3" t="s">
        <v>3483</v>
      </c>
      <c r="AA89" s="3" t="s">
        <v>1076</v>
      </c>
      <c r="AB89" s="3" t="s">
        <v>3484</v>
      </c>
      <c r="AC89" s="3" t="s">
        <v>3485</v>
      </c>
      <c r="AD89" s="3" t="s">
        <v>4</v>
      </c>
      <c r="AE89" s="3">
        <v>10101811</v>
      </c>
      <c r="AF89" s="3" t="s">
        <v>3486</v>
      </c>
      <c r="AG89" s="3">
        <v>5592.38</v>
      </c>
      <c r="AH89" s="3" t="s">
        <v>3487</v>
      </c>
      <c r="AI89" s="3" t="s">
        <v>753</v>
      </c>
      <c r="AJ89" s="3" t="s">
        <v>3488</v>
      </c>
      <c r="AK89" s="3" t="s">
        <v>67</v>
      </c>
      <c r="AL89" s="3" t="s">
        <v>3489</v>
      </c>
      <c r="AM89" s="3" t="s">
        <v>4</v>
      </c>
      <c r="AN89" s="3" t="s">
        <v>3490</v>
      </c>
      <c r="AO89" s="3" t="s">
        <v>3491</v>
      </c>
      <c r="AP89" s="3" t="s">
        <v>1461</v>
      </c>
      <c r="AQ89" s="3" t="s">
        <v>92</v>
      </c>
      <c r="AR89" s="3" t="s">
        <v>4</v>
      </c>
      <c r="AS89" s="3" t="s">
        <v>1394</v>
      </c>
      <c r="AT89" s="3" t="s">
        <v>2836</v>
      </c>
      <c r="AU89" s="3" t="s">
        <v>3492</v>
      </c>
      <c r="AV89" s="3" t="s">
        <v>3493</v>
      </c>
      <c r="AW89" s="3" t="s">
        <v>144</v>
      </c>
      <c r="AX89" s="3" t="s">
        <v>1351</v>
      </c>
      <c r="AY89" s="3" t="s">
        <v>827</v>
      </c>
      <c r="AZ89" s="3" t="s">
        <v>256</v>
      </c>
      <c r="BA89" s="3" t="s">
        <v>668</v>
      </c>
      <c r="BB89" s="3" t="s">
        <v>669</v>
      </c>
      <c r="BC89" s="3" t="s">
        <v>219</v>
      </c>
      <c r="BD89" s="3" t="s">
        <v>126</v>
      </c>
      <c r="BE89" s="3" t="s">
        <v>104</v>
      </c>
      <c r="BF89" s="3" t="s">
        <v>139</v>
      </c>
      <c r="BG89" s="3" t="s">
        <v>170</v>
      </c>
      <c r="BH89" s="3" t="s">
        <v>3494</v>
      </c>
      <c r="BI89" s="3" t="s">
        <v>1350</v>
      </c>
      <c r="BJ89" s="3" t="s">
        <v>1351</v>
      </c>
      <c r="BK89" s="3" t="s">
        <v>122</v>
      </c>
      <c r="BL89" s="3" t="s">
        <v>1537</v>
      </c>
      <c r="BM89" s="3" t="s">
        <v>219</v>
      </c>
      <c r="BN89" s="3">
        <v>6.35</v>
      </c>
      <c r="BO89" s="3">
        <v>9.2799999999999994</v>
      </c>
      <c r="BP89" s="3">
        <v>15.12</v>
      </c>
      <c r="BQ89" s="3">
        <v>8.6</v>
      </c>
      <c r="BR89" s="3">
        <v>12.33</v>
      </c>
      <c r="BS89" s="3">
        <v>15.56</v>
      </c>
      <c r="BT89" s="3" t="s">
        <v>3495</v>
      </c>
      <c r="BU89" s="3" t="s">
        <v>841</v>
      </c>
      <c r="BV89" s="3">
        <v>16.22</v>
      </c>
      <c r="BW89" s="3">
        <v>19.89</v>
      </c>
      <c r="BX89" s="3">
        <v>21.42</v>
      </c>
      <c r="BY89" s="3">
        <v>4.53</v>
      </c>
      <c r="BZ89" s="3">
        <v>8.52</v>
      </c>
      <c r="CA89" s="3">
        <v>11.43</v>
      </c>
      <c r="CB89" s="3">
        <v>-4.18</v>
      </c>
      <c r="CC89" s="3">
        <v>-13.58</v>
      </c>
      <c r="CD89" s="3" t="s">
        <v>3496</v>
      </c>
      <c r="CE89" s="3" t="s">
        <v>1476</v>
      </c>
      <c r="CF89" s="10">
        <v>-0.54353562005277045</v>
      </c>
      <c r="CG89" s="11">
        <v>-0.51161856977476483</v>
      </c>
      <c r="CH89" s="10">
        <v>-0.5895611047744751</v>
      </c>
      <c r="CI89" s="10">
        <v>0.14382632076740265</v>
      </c>
      <c r="CJ89" s="10">
        <v>0.47252747416496277</v>
      </c>
      <c r="CK89" s="10">
        <v>7.7502690255641937E-2</v>
      </c>
      <c r="CL89" s="10">
        <v>3.5674471408128738E-2</v>
      </c>
      <c r="CM89" s="11">
        <v>-0.72180354595184326</v>
      </c>
      <c r="CN89" s="11">
        <v>-0.1488095223903656</v>
      </c>
      <c r="CO89" s="11">
        <v>0.4117647111415863</v>
      </c>
      <c r="CP89" s="11">
        <v>0.10185185074806213</v>
      </c>
      <c r="CQ89" s="11">
        <v>1.8867924809455872E-2</v>
      </c>
      <c r="CR89" s="3">
        <v>34.478465288869074</v>
      </c>
      <c r="CS89" s="3">
        <v>12.316389865440069</v>
      </c>
      <c r="CT89" s="3">
        <v>1.615508885298869</v>
      </c>
      <c r="CU89" s="10">
        <v>2.79939703643322E-2</v>
      </c>
      <c r="CV89" s="11">
        <v>-6.7625716328620911E-2</v>
      </c>
      <c r="CW89" s="3">
        <v>0.06</v>
      </c>
      <c r="CX89" s="3">
        <v>110.42490938737711</v>
      </c>
      <c r="CY89" s="3">
        <v>38580904.64946311</v>
      </c>
      <c r="CZ89" s="3">
        <v>2.79939703643322E-2</v>
      </c>
      <c r="DA89" s="3">
        <v>38.044871766987498</v>
      </c>
      <c r="DB89" s="3">
        <v>111980740.16632025</v>
      </c>
      <c r="DC89" s="3">
        <v>2.659427184611559E-2</v>
      </c>
      <c r="DD89" s="3">
        <v>20.06551617924611</v>
      </c>
      <c r="DE89" s="3">
        <v>212319128.09730995</v>
      </c>
      <c r="DF89" s="3">
        <v>2.4634693920612336E-2</v>
      </c>
      <c r="DG89" s="3">
        <v>12.992594085864363</v>
      </c>
      <c r="DH89" s="3">
        <v>327901639.33737439</v>
      </c>
      <c r="DI89" s="3">
        <v>2.2395176291465761E-2</v>
      </c>
      <c r="DJ89" s="3">
        <v>7.8539643091766926</v>
      </c>
      <c r="DK89" s="3">
        <v>542438535.78787065</v>
      </c>
      <c r="DL89" s="3">
        <v>1.9595779255032537E-2</v>
      </c>
      <c r="DM89" s="3">
        <v>39782100</v>
      </c>
      <c r="DN89" s="3">
        <v>2.79939703643322E-2</v>
      </c>
      <c r="DO89" s="3">
        <v>4260292900</v>
      </c>
      <c r="DP89" s="3">
        <v>566816200</v>
      </c>
      <c r="DQ89" s="3">
        <v>4497</v>
      </c>
      <c r="DR89" s="3">
        <v>-0.57152959041710261</v>
      </c>
      <c r="DS89" s="3">
        <v>-0.44399285344614392</v>
      </c>
      <c r="DT89" s="12">
        <v>-0.47333333333333333</v>
      </c>
      <c r="DU89" s="3">
        <v>-0.42</v>
      </c>
      <c r="DV89" s="3">
        <v>-0.89333333333333331</v>
      </c>
      <c r="DW89" s="3">
        <v>-8.307805596465391</v>
      </c>
      <c r="DX89" s="3">
        <v>0.25386457765667486</v>
      </c>
      <c r="DY89" s="3">
        <v>-8.022735930383277</v>
      </c>
      <c r="DZ89" s="3">
        <v>1020</v>
      </c>
      <c r="EA89" s="3">
        <v>-8.0181976429095112</v>
      </c>
      <c r="EB89" s="3">
        <v>8</v>
      </c>
      <c r="EC89" s="3">
        <v>8.5409961070653753E-2</v>
      </c>
      <c r="ED89" s="3">
        <v>1.1563047374025639</v>
      </c>
      <c r="EE89" s="13">
        <v>-4.0147000000000004</v>
      </c>
      <c r="EF89" s="3">
        <v>-4.0207100000000002</v>
      </c>
      <c r="EG89" s="3">
        <v>18.073864577656675</v>
      </c>
      <c r="EH89" s="3" t="s">
        <v>2825</v>
      </c>
      <c r="EI89" s="3">
        <v>0</v>
      </c>
      <c r="EJ89" s="3">
        <v>1</v>
      </c>
      <c r="EK89" s="15">
        <v>45470</v>
      </c>
      <c r="EL89" s="16">
        <v>-0.33</v>
      </c>
      <c r="EM89" s="16">
        <v>-3.88</v>
      </c>
      <c r="EN89" s="3">
        <v>-0.52</v>
      </c>
      <c r="EO89" s="3">
        <v>2.4500000000000002</v>
      </c>
      <c r="EP89" s="3">
        <v>-3.54</v>
      </c>
    </row>
    <row r="90" spans="1:146" ht="96" x14ac:dyDescent="0.25">
      <c r="C90" s="7" t="str">
        <f>""&amp;CHAR(10)&amp;Basic_Fundamental_Information_Constructure(F90)&amp;CHAR(10)&amp;Basic_Fundamental_Information_Concatenate("")</f>
        <v xml:space="preserve">
市值70.746825亿, 利润4454.33万; PE52.77; 平均PE48.59; 平均PEG21.45, PB2.49; ROIC3.5667%; ROE6.57%; 股利率.4593%; 毛利34.2567%; 净利3.6267%; 上一年度营收增-82.49%, 利润增-62.57%; 当季营收增-58.53%, 利润增-40.54%; 过往5年营收增-2.27%, 利润增-8.15%
Income profile:
</v>
      </c>
      <c r="D90" s="3" t="s">
        <v>670</v>
      </c>
      <c r="E90" s="3" t="s">
        <v>671</v>
      </c>
      <c r="F90" s="3">
        <v>15.21</v>
      </c>
      <c r="G90" s="3">
        <v>0.4</v>
      </c>
      <c r="H90" s="3" t="s">
        <v>3497</v>
      </c>
      <c r="I90" s="3">
        <v>7074682500</v>
      </c>
      <c r="J90" s="3">
        <v>52.77</v>
      </c>
      <c r="K90" s="3">
        <v>2.4900000000000002</v>
      </c>
      <c r="L90" s="3" t="s">
        <v>285</v>
      </c>
      <c r="M90" s="3" t="s">
        <v>3498</v>
      </c>
      <c r="N90" s="3" t="s">
        <v>1362</v>
      </c>
      <c r="O90" s="3" t="s">
        <v>190</v>
      </c>
      <c r="P90" s="3">
        <v>-3.04</v>
      </c>
      <c r="Q90" s="3" t="s">
        <v>190</v>
      </c>
      <c r="R90" s="3">
        <v>44543331</v>
      </c>
      <c r="S90" s="5">
        <v>2.262</v>
      </c>
      <c r="T90" s="3" t="s">
        <v>3499</v>
      </c>
      <c r="U90" s="3">
        <v>465133630</v>
      </c>
      <c r="V90" s="3">
        <v>465133630</v>
      </c>
      <c r="W90" s="3">
        <v>1.49</v>
      </c>
      <c r="X90" s="3">
        <v>0.11</v>
      </c>
      <c r="Y90" s="3">
        <v>9.2899999999999991</v>
      </c>
      <c r="Z90" s="3" t="s">
        <v>2552</v>
      </c>
      <c r="AA90" s="3" t="s">
        <v>923</v>
      </c>
      <c r="AB90" s="3" t="s">
        <v>3500</v>
      </c>
      <c r="AC90" s="3" t="s">
        <v>3501</v>
      </c>
      <c r="AD90" s="3" t="s">
        <v>4</v>
      </c>
      <c r="AE90" s="3">
        <v>-3293092</v>
      </c>
      <c r="AF90" s="3" t="s">
        <v>3502</v>
      </c>
      <c r="AG90" s="3" t="s">
        <v>3503</v>
      </c>
      <c r="AH90" s="3" t="s">
        <v>3504</v>
      </c>
      <c r="AI90" s="3" t="s">
        <v>3505</v>
      </c>
      <c r="AJ90" s="3" t="s">
        <v>3506</v>
      </c>
      <c r="AK90" s="3" t="s">
        <v>3507</v>
      </c>
      <c r="AL90" s="3" t="s">
        <v>3508</v>
      </c>
      <c r="AM90" s="3" t="s">
        <v>4</v>
      </c>
      <c r="AN90" s="3" t="s">
        <v>1083</v>
      </c>
      <c r="AO90" s="3" t="s">
        <v>3509</v>
      </c>
      <c r="AP90" s="3" t="s">
        <v>3510</v>
      </c>
      <c r="AQ90" s="3" t="s">
        <v>73</v>
      </c>
      <c r="AR90" s="3" t="s">
        <v>107</v>
      </c>
      <c r="AS90" s="3" t="s">
        <v>1447</v>
      </c>
      <c r="AT90" s="3" t="s">
        <v>119</v>
      </c>
      <c r="AU90" s="3" t="s">
        <v>3511</v>
      </c>
      <c r="AV90" s="3" t="s">
        <v>3512</v>
      </c>
      <c r="AW90" s="3" t="s">
        <v>3513</v>
      </c>
      <c r="AX90" s="3" t="s">
        <v>1353</v>
      </c>
      <c r="AY90" s="3" t="s">
        <v>828</v>
      </c>
      <c r="AZ90" s="3" t="s">
        <v>673</v>
      </c>
      <c r="BA90" s="3" t="s">
        <v>337</v>
      </c>
      <c r="BB90" s="3" t="s">
        <v>674</v>
      </c>
      <c r="BC90" s="3" t="s">
        <v>104</v>
      </c>
      <c r="BD90" s="3" t="s">
        <v>829</v>
      </c>
      <c r="BE90" s="3" t="s">
        <v>123</v>
      </c>
      <c r="BF90" s="3" t="s">
        <v>194</v>
      </c>
      <c r="BG90" s="3" t="s">
        <v>37</v>
      </c>
      <c r="BH90" s="3" t="s">
        <v>1488</v>
      </c>
      <c r="BI90" s="3" t="s">
        <v>1352</v>
      </c>
      <c r="BJ90" s="3" t="s">
        <v>1353</v>
      </c>
      <c r="BK90" s="3" t="s">
        <v>107</v>
      </c>
      <c r="BL90" s="3" t="s">
        <v>1538</v>
      </c>
      <c r="BM90" s="3" t="s">
        <v>104</v>
      </c>
      <c r="BN90" s="3">
        <v>1.73</v>
      </c>
      <c r="BO90" s="3">
        <v>1.18</v>
      </c>
      <c r="BP90" s="3">
        <v>7.79</v>
      </c>
      <c r="BQ90" s="3">
        <v>4.72</v>
      </c>
      <c r="BR90" s="3">
        <v>4.7300000000000004</v>
      </c>
      <c r="BS90" s="3">
        <v>10.26</v>
      </c>
      <c r="BT90" s="3" t="s">
        <v>3514</v>
      </c>
      <c r="BU90" s="3" t="s">
        <v>916</v>
      </c>
      <c r="BV90" s="3">
        <v>36.22</v>
      </c>
      <c r="BW90" s="3">
        <v>32.64</v>
      </c>
      <c r="BX90" s="3">
        <v>33.909999999999997</v>
      </c>
      <c r="BY90" s="3">
        <v>0.8</v>
      </c>
      <c r="BZ90" s="3">
        <v>1.21</v>
      </c>
      <c r="CA90" s="3">
        <v>8.8699999999999992</v>
      </c>
      <c r="CB90" s="3">
        <v>-5.53</v>
      </c>
      <c r="CC90" s="3">
        <v>-11.77</v>
      </c>
      <c r="CD90" s="3" t="s">
        <v>3515</v>
      </c>
      <c r="CE90" s="3" t="s">
        <v>41</v>
      </c>
      <c r="CF90" s="10">
        <v>-0.5852749301025163</v>
      </c>
      <c r="CG90" s="11">
        <v>-0.40541188233001313</v>
      </c>
      <c r="CH90" s="10">
        <v>-0.82487213611602783</v>
      </c>
      <c r="CI90" s="10">
        <v>1.7213797196745872E-2</v>
      </c>
      <c r="CJ90" s="10">
        <v>0.28168287873268127</v>
      </c>
      <c r="CK90" s="10">
        <v>-1.5159235335886478E-2</v>
      </c>
      <c r="CL90" s="10">
        <v>0.42784997820854187</v>
      </c>
      <c r="CM90" s="11">
        <v>-0.62568658590316772</v>
      </c>
      <c r="CN90" s="11">
        <v>-0.48927038908004761</v>
      </c>
      <c r="CO90" s="11">
        <v>1.043859601020813</v>
      </c>
      <c r="CP90" s="11">
        <v>-0.38709676265716553</v>
      </c>
      <c r="CQ90" s="11">
        <v>5.0847455859184265E-2</v>
      </c>
      <c r="CR90" s="3">
        <v>48.593006208163921</v>
      </c>
      <c r="CS90" s="3">
        <v>21.447291108781425</v>
      </c>
      <c r="CT90" s="3">
        <v>0.45930309007232084</v>
      </c>
      <c r="CU90" s="10">
        <v>-2.2656943462789059E-2</v>
      </c>
      <c r="CV90" s="11">
        <v>-8.1469336152076716E-2</v>
      </c>
      <c r="CW90" s="3">
        <v>0.06</v>
      </c>
      <c r="CX90" s="3">
        <v>127.82354473063289</v>
      </c>
      <c r="CY90" s="3" t="s">
        <v>3516</v>
      </c>
      <c r="CZ90" s="3">
        <v>-2.2656943462789059E-2</v>
      </c>
      <c r="DA90" s="3">
        <v>42.607848243544296</v>
      </c>
      <c r="DB90" s="3" t="s">
        <v>3517</v>
      </c>
      <c r="DC90" s="3">
        <v>-2.1524096289649606E-2</v>
      </c>
      <c r="DD90" s="3">
        <v>21.303924121772148</v>
      </c>
      <c r="DE90" s="3" t="s">
        <v>3518</v>
      </c>
      <c r="DF90" s="3">
        <v>-1.9938110247254372E-2</v>
      </c>
      <c r="DG90" s="3">
        <v>12.78235447306329</v>
      </c>
      <c r="DH90" s="3" t="s">
        <v>3519</v>
      </c>
      <c r="DI90" s="3">
        <v>-1.8125554770231249E-2</v>
      </c>
      <c r="DJ90" s="3">
        <v>6.3911772365316448</v>
      </c>
      <c r="DK90" s="3" t="s">
        <v>3520</v>
      </c>
      <c r="DL90" s="3">
        <v>-1.5859860423952342E-2</v>
      </c>
      <c r="DM90" s="3">
        <v>44543300</v>
      </c>
      <c r="DN90" s="3">
        <v>-2.2656943462789059E-2</v>
      </c>
      <c r="DO90" s="3">
        <v>5693682500</v>
      </c>
      <c r="DP90" s="3">
        <v>2002022200</v>
      </c>
      <c r="DQ90" s="3">
        <v>4546</v>
      </c>
      <c r="DR90" s="3">
        <v>-0.56261798663972729</v>
      </c>
      <c r="DS90" s="3">
        <v>-0.32394254617793639</v>
      </c>
      <c r="DT90" s="12">
        <v>-0.54</v>
      </c>
      <c r="DU90" s="3">
        <v>-0.55333333333333334</v>
      </c>
      <c r="DV90" s="3">
        <v>-1.0933333333333333</v>
      </c>
      <c r="DW90" s="3">
        <v>-8.4698385726423115</v>
      </c>
      <c r="DX90" s="3">
        <v>0.29108011695906544</v>
      </c>
      <c r="DY90" s="3">
        <v>-8.0615864950538345</v>
      </c>
      <c r="DZ90" s="3">
        <v>2723</v>
      </c>
      <c r="EA90" s="3">
        <v>-8.0287684860456956</v>
      </c>
      <c r="EB90" s="3">
        <v>8</v>
      </c>
      <c r="EC90" s="3">
        <v>4.8189807303333443E-2</v>
      </c>
      <c r="ED90" s="3">
        <v>0.36763628551218713</v>
      </c>
      <c r="EE90" s="13">
        <v>3.4299999999999997E-2</v>
      </c>
      <c r="EF90" s="3">
        <v>2.9899999999999996E-2</v>
      </c>
      <c r="EG90" s="3">
        <v>16.131080116959065</v>
      </c>
      <c r="EH90" s="3" t="s">
        <v>1045</v>
      </c>
      <c r="EI90" s="3">
        <v>0</v>
      </c>
      <c r="EJ90" s="3">
        <v>0</v>
      </c>
      <c r="EK90" s="15">
        <v>45470</v>
      </c>
      <c r="EL90" s="16">
        <v>1.3</v>
      </c>
      <c r="EM90" s="16">
        <v>0.56000000000000005</v>
      </c>
      <c r="EN90" s="3">
        <v>-3.8</v>
      </c>
      <c r="EO90" s="3">
        <v>2.44</v>
      </c>
      <c r="EP90" s="3">
        <v>-0.44</v>
      </c>
    </row>
    <row r="91" spans="1:146" ht="132" x14ac:dyDescent="0.25">
      <c r="A91" s="7" t="s">
        <v>866</v>
      </c>
      <c r="C91" s="7" t="s">
        <v>893</v>
      </c>
      <c r="D91" s="3" t="s">
        <v>675</v>
      </c>
      <c r="E91" s="3" t="s">
        <v>676</v>
      </c>
      <c r="F91" s="3">
        <v>74.63</v>
      </c>
      <c r="G91" s="3">
        <v>0.7</v>
      </c>
      <c r="H91" s="3" t="s">
        <v>3521</v>
      </c>
      <c r="I91" s="3">
        <v>84271545000</v>
      </c>
      <c r="J91" s="3">
        <v>12.69</v>
      </c>
      <c r="K91" s="3">
        <v>4.24</v>
      </c>
      <c r="L91" s="3" t="s">
        <v>285</v>
      </c>
      <c r="M91" s="3" t="s">
        <v>3522</v>
      </c>
      <c r="N91" s="3" t="s">
        <v>3523</v>
      </c>
      <c r="O91" s="3" t="s">
        <v>3524</v>
      </c>
      <c r="P91" s="3">
        <v>88.1</v>
      </c>
      <c r="Q91" s="3" t="s">
        <v>3524</v>
      </c>
      <c r="R91" s="3">
        <v>1626469500</v>
      </c>
      <c r="S91" s="5">
        <v>2.1030000000000002</v>
      </c>
      <c r="T91" s="3" t="s">
        <v>442</v>
      </c>
      <c r="U91" s="3">
        <v>1129191280</v>
      </c>
      <c r="V91" s="3">
        <v>1129191280</v>
      </c>
      <c r="W91" s="3">
        <v>2.4</v>
      </c>
      <c r="X91" s="3">
        <v>0.37</v>
      </c>
      <c r="Y91" s="3">
        <v>9.3699999999999992</v>
      </c>
      <c r="Z91" s="3" t="s">
        <v>3525</v>
      </c>
      <c r="AA91" s="3" t="s">
        <v>3526</v>
      </c>
      <c r="AB91" s="3" t="s">
        <v>3527</v>
      </c>
      <c r="AC91" s="3" t="s">
        <v>801</v>
      </c>
      <c r="AD91" s="3" t="s">
        <v>4</v>
      </c>
      <c r="AE91" s="3">
        <v>-106773944</v>
      </c>
      <c r="AF91" s="3" t="s">
        <v>3528</v>
      </c>
      <c r="AG91" s="3" t="s">
        <v>3529</v>
      </c>
      <c r="AH91" s="3" t="s">
        <v>3530</v>
      </c>
      <c r="AI91" s="3" t="s">
        <v>3531</v>
      </c>
      <c r="AJ91" s="3" t="s">
        <v>3532</v>
      </c>
      <c r="AK91" s="3" t="s">
        <v>4</v>
      </c>
      <c r="AL91" s="3" t="s">
        <v>3533</v>
      </c>
      <c r="AM91" s="3" t="s">
        <v>4</v>
      </c>
      <c r="AN91" s="3" t="s">
        <v>3534</v>
      </c>
      <c r="AO91" s="3" t="s">
        <v>3535</v>
      </c>
      <c r="AP91" s="3" t="s">
        <v>3536</v>
      </c>
      <c r="AQ91" s="3" t="s">
        <v>3537</v>
      </c>
      <c r="AR91" s="3" t="s">
        <v>4</v>
      </c>
      <c r="AS91" s="3" t="s">
        <v>3538</v>
      </c>
      <c r="AT91" s="3" t="s">
        <v>859</v>
      </c>
      <c r="AU91" s="3" t="s">
        <v>3539</v>
      </c>
      <c r="AV91" s="3" t="s">
        <v>3540</v>
      </c>
      <c r="AW91" s="3" t="s">
        <v>2079</v>
      </c>
      <c r="AX91" s="3" t="s">
        <v>1355</v>
      </c>
      <c r="AY91" s="3" t="s">
        <v>830</v>
      </c>
      <c r="AZ91" s="3" t="s">
        <v>677</v>
      </c>
      <c r="BA91" s="3" t="s">
        <v>679</v>
      </c>
      <c r="BB91" s="3" t="s">
        <v>680</v>
      </c>
      <c r="BC91" s="3" t="s">
        <v>1102</v>
      </c>
      <c r="BD91" s="3" t="s">
        <v>831</v>
      </c>
      <c r="BE91" s="3" t="s">
        <v>678</v>
      </c>
      <c r="BF91" s="3" t="s">
        <v>681</v>
      </c>
      <c r="BG91" s="3" t="s">
        <v>298</v>
      </c>
      <c r="BH91" s="3" t="s">
        <v>3541</v>
      </c>
      <c r="BI91" s="3" t="s">
        <v>1354</v>
      </c>
      <c r="BJ91" s="3" t="s">
        <v>1355</v>
      </c>
      <c r="BK91" s="3" t="s">
        <v>3542</v>
      </c>
      <c r="BL91" s="3" t="s">
        <v>1145</v>
      </c>
      <c r="BM91" s="3" t="s">
        <v>1102</v>
      </c>
      <c r="BN91" s="3">
        <v>20.04</v>
      </c>
      <c r="BO91" s="3">
        <v>14.68</v>
      </c>
      <c r="BP91" s="3">
        <v>28.3</v>
      </c>
      <c r="BQ91" s="3">
        <v>22.51</v>
      </c>
      <c r="BR91" s="3">
        <v>16.78</v>
      </c>
      <c r="BS91" s="3">
        <v>32.200000000000003</v>
      </c>
      <c r="BT91" s="3" t="s">
        <v>3543</v>
      </c>
      <c r="BU91" s="3" t="s">
        <v>916</v>
      </c>
      <c r="BV91" s="3">
        <v>24.45</v>
      </c>
      <c r="BW91" s="3">
        <v>21.32</v>
      </c>
      <c r="BX91" s="3">
        <v>21.3</v>
      </c>
      <c r="BY91" s="3">
        <v>8.9700000000000006</v>
      </c>
      <c r="BZ91" s="3">
        <v>5.29</v>
      </c>
      <c r="CA91" s="3">
        <v>7.92</v>
      </c>
      <c r="CB91" s="3">
        <v>-2.5</v>
      </c>
      <c r="CC91" s="3">
        <v>-23.22</v>
      </c>
      <c r="CD91" s="3" t="s">
        <v>3544</v>
      </c>
      <c r="CE91" s="3" t="s">
        <v>125</v>
      </c>
      <c r="CF91" s="10">
        <v>-0.30308841743577453</v>
      </c>
      <c r="CG91" s="11">
        <v>-0.22622764034253093</v>
      </c>
      <c r="CH91" s="10">
        <v>-0.62565457820892334</v>
      </c>
      <c r="CI91" s="10">
        <v>-5.6990202516317368E-2</v>
      </c>
      <c r="CJ91" s="10">
        <v>0.3074725866317749</v>
      </c>
      <c r="CK91" s="10">
        <v>0.4910438060760498</v>
      </c>
      <c r="CL91" s="10">
        <v>0.11922641098499298</v>
      </c>
      <c r="CM91" s="11">
        <v>-0.34541061520576477</v>
      </c>
      <c r="CN91" s="11">
        <v>-0.36454334855079651</v>
      </c>
      <c r="CO91" s="11">
        <v>0.45532381534576416</v>
      </c>
      <c r="CP91" s="11">
        <v>0.4980480968952179</v>
      </c>
      <c r="CQ91" s="11">
        <v>1.7290714979171753</v>
      </c>
      <c r="CR91" s="3">
        <v>38.436280501710378</v>
      </c>
      <c r="CS91" s="3">
        <v>8.1745222729948761</v>
      </c>
      <c r="CT91" s="3">
        <v>4.0198311670909828</v>
      </c>
      <c r="CU91" s="10">
        <v>4.7019604593515396E-2</v>
      </c>
      <c r="CV91" s="11">
        <v>0.3944978892803192</v>
      </c>
      <c r="CW91" s="3">
        <v>0.06</v>
      </c>
      <c r="CX91" s="3">
        <v>57.411868254704764</v>
      </c>
      <c r="CY91" s="3">
        <v>1606088563.2726946</v>
      </c>
      <c r="CZ91" s="3">
        <v>4.7019604593515396E-2</v>
      </c>
      <c r="DA91" s="3">
        <v>19.460467707354177</v>
      </c>
      <c r="DB91" s="3">
        <v>4738249171.9432869</v>
      </c>
      <c r="DC91" s="3">
        <v>4.4668624363839622E-2</v>
      </c>
      <c r="DD91" s="3">
        <v>10.051772359839449</v>
      </c>
      <c r="DE91" s="3">
        <v>9173361840.9831161</v>
      </c>
      <c r="DF91" s="3">
        <v>4.1377252042293547E-2</v>
      </c>
      <c r="DG91" s="3">
        <v>6.3652609103007833</v>
      </c>
      <c r="DH91" s="3">
        <v>14486216087.510353</v>
      </c>
      <c r="DI91" s="3">
        <v>3.7615683674812321E-2</v>
      </c>
      <c r="DJ91" s="3">
        <v>3.6798717028548378</v>
      </c>
      <c r="DK91" s="3">
        <v>25057543426.980015</v>
      </c>
      <c r="DL91" s="3">
        <v>3.2913723215460773E-2</v>
      </c>
      <c r="DM91" s="3">
        <v>1626000000.0000002</v>
      </c>
      <c r="DN91" s="3">
        <v>4.7019604593515396E-2</v>
      </c>
      <c r="DO91" s="3">
        <v>92208545000</v>
      </c>
      <c r="DP91" s="3">
        <v>17943026000</v>
      </c>
      <c r="DQ91" s="3">
        <v>4572</v>
      </c>
      <c r="DR91" s="3">
        <v>-0.35010802202928992</v>
      </c>
      <c r="DS91" s="3">
        <v>-0.6207255296228501</v>
      </c>
      <c r="DT91" s="12">
        <v>-0.52333333333333332</v>
      </c>
      <c r="DU91" s="3">
        <v>-8.6666666666666628E-2</v>
      </c>
      <c r="DV91" s="3">
        <v>-0.61</v>
      </c>
      <c r="DW91" s="3">
        <v>-8.1076658053402237</v>
      </c>
      <c r="DX91" s="3">
        <v>0.38194999999999979</v>
      </c>
      <c r="DY91" s="3">
        <v>-8.014206503014643</v>
      </c>
      <c r="DZ91" s="3">
        <v>352</v>
      </c>
      <c r="EA91" s="3">
        <v>-8.0132278945878035</v>
      </c>
      <c r="EB91" s="3">
        <v>8</v>
      </c>
      <c r="EC91" s="3">
        <v>2.1501051619881442E-2</v>
      </c>
      <c r="ED91" s="3">
        <v>0.16294847760425496</v>
      </c>
      <c r="EE91" s="13">
        <v>-4.03071</v>
      </c>
      <c r="EF91" s="3">
        <v>-4.0628099999999998</v>
      </c>
      <c r="EG91" s="3">
        <v>25.13195</v>
      </c>
      <c r="EH91" s="3" t="s">
        <v>2825</v>
      </c>
      <c r="EI91" s="3">
        <v>0</v>
      </c>
      <c r="EJ91" s="3">
        <v>1</v>
      </c>
      <c r="EK91" s="15">
        <v>45470</v>
      </c>
      <c r="EL91" s="16">
        <v>0.3</v>
      </c>
      <c r="EM91" s="16">
        <v>-4.68</v>
      </c>
      <c r="EN91" s="3">
        <v>-7.04</v>
      </c>
      <c r="EO91" s="3">
        <v>4.0999999999999996</v>
      </c>
      <c r="EP91" s="3">
        <v>-3.21</v>
      </c>
    </row>
    <row r="92" spans="1:146" ht="96" x14ac:dyDescent="0.25">
      <c r="C92" s="7" t="str">
        <f>""&amp;CHAR(10)&amp;Basic_Fundamental_Information_Constructure(F92)&amp;CHAR(10)&amp;Basic_Fundamental_Information_Concatenate("")</f>
        <v xml:space="preserve">
市值32.594361亿, 利润1467.23万; PE42.69; 平均PE81.22; 平均PEG4.12, PB2.69; ROIC5.17%; ROE8.21%; 股利率.9728%; 毛利40.6633%; 净利14.6733%; 上一年度营收增-74.46%, 利润增-84.54%; 当季营收增-37.5%, 利润增43.39%; 过往5年营收增19.72%, 利润增772.98%
Income profile:
</v>
      </c>
      <c r="D92" s="3" t="s">
        <v>832</v>
      </c>
      <c r="E92" s="3" t="s">
        <v>833</v>
      </c>
      <c r="F92" s="3">
        <v>20.56</v>
      </c>
      <c r="G92" s="3">
        <v>0.54</v>
      </c>
      <c r="H92" s="3" t="s">
        <v>3545</v>
      </c>
      <c r="I92" s="3">
        <v>3259436100</v>
      </c>
      <c r="J92" s="3">
        <v>42.69</v>
      </c>
      <c r="K92" s="3">
        <v>2.69</v>
      </c>
      <c r="L92" s="3" t="s">
        <v>285</v>
      </c>
      <c r="M92" s="3" t="s">
        <v>3546</v>
      </c>
      <c r="N92" s="3" t="s">
        <v>3547</v>
      </c>
      <c r="O92" s="3" t="s">
        <v>915</v>
      </c>
      <c r="P92" s="3">
        <v>88.03</v>
      </c>
      <c r="Q92" s="3" t="s">
        <v>915</v>
      </c>
      <c r="R92" s="3">
        <v>14672292</v>
      </c>
      <c r="S92" s="5">
        <v>6.0350000000000001</v>
      </c>
      <c r="T92" s="3" t="s">
        <v>3548</v>
      </c>
      <c r="U92" s="3">
        <v>105677892</v>
      </c>
      <c r="V92" s="3">
        <v>158532880</v>
      </c>
      <c r="W92" s="3">
        <v>1.65</v>
      </c>
      <c r="X92" s="3">
        <v>0.06</v>
      </c>
      <c r="Y92" s="3">
        <v>11.72</v>
      </c>
      <c r="Z92" s="3" t="s">
        <v>46</v>
      </c>
      <c r="AA92" s="3" t="s">
        <v>3549</v>
      </c>
      <c r="AB92" s="3" t="s">
        <v>3550</v>
      </c>
      <c r="AC92" s="3" t="s">
        <v>3551</v>
      </c>
      <c r="AD92" s="3" t="s">
        <v>4</v>
      </c>
      <c r="AE92" s="3">
        <v>-274744</v>
      </c>
      <c r="AF92" s="3" t="s">
        <v>3552</v>
      </c>
      <c r="AG92" s="3" t="s">
        <v>2873</v>
      </c>
      <c r="AH92" s="3" t="s">
        <v>3553</v>
      </c>
      <c r="AI92" s="3" t="s">
        <v>858</v>
      </c>
      <c r="AJ92" s="3" t="s">
        <v>3554</v>
      </c>
      <c r="AK92" s="3" t="s">
        <v>4</v>
      </c>
      <c r="AL92" s="3" t="s">
        <v>3555</v>
      </c>
      <c r="AM92" s="3" t="s">
        <v>4</v>
      </c>
      <c r="AN92" s="3" t="s">
        <v>95</v>
      </c>
      <c r="AO92" s="3" t="s">
        <v>3556</v>
      </c>
      <c r="AP92" s="3" t="s">
        <v>4</v>
      </c>
      <c r="AQ92" s="3" t="s">
        <v>138</v>
      </c>
      <c r="AR92" s="3" t="s">
        <v>4</v>
      </c>
      <c r="AS92" s="3" t="s">
        <v>934</v>
      </c>
      <c r="AT92" s="3" t="s">
        <v>2946</v>
      </c>
      <c r="AU92" s="3" t="s">
        <v>3557</v>
      </c>
      <c r="AV92" s="3" t="s">
        <v>3558</v>
      </c>
      <c r="AW92" s="3" t="s">
        <v>3559</v>
      </c>
      <c r="AX92" s="3" t="s">
        <v>862</v>
      </c>
      <c r="AY92" s="3" t="s">
        <v>180</v>
      </c>
      <c r="AZ92" s="3" t="s">
        <v>835</v>
      </c>
      <c r="BA92" s="3" t="s">
        <v>25</v>
      </c>
      <c r="BB92" s="3" t="s">
        <v>109</v>
      </c>
      <c r="BC92" s="3" t="s">
        <v>3560</v>
      </c>
      <c r="BD92" s="3" t="s">
        <v>834</v>
      </c>
      <c r="BE92" s="3" t="s">
        <v>836</v>
      </c>
      <c r="BF92" s="3" t="s">
        <v>837</v>
      </c>
      <c r="BG92" s="3" t="s">
        <v>838</v>
      </c>
      <c r="BH92" s="3" t="s">
        <v>1706</v>
      </c>
      <c r="BI92" s="3" t="s">
        <v>921</v>
      </c>
      <c r="BJ92" s="3" t="s">
        <v>862</v>
      </c>
      <c r="BK92" s="3" t="s">
        <v>3561</v>
      </c>
      <c r="BL92" s="3" t="s">
        <v>1539</v>
      </c>
      <c r="BM92" s="3" t="s">
        <v>3560</v>
      </c>
      <c r="BN92" s="3">
        <v>1.1100000000000001</v>
      </c>
      <c r="BO92" s="3">
        <v>7.47</v>
      </c>
      <c r="BP92" s="3">
        <v>6.93</v>
      </c>
      <c r="BQ92" s="3">
        <v>1.91</v>
      </c>
      <c r="BR92" s="3">
        <v>8.09</v>
      </c>
      <c r="BS92" s="3">
        <v>14.63</v>
      </c>
      <c r="BT92" s="3" t="s">
        <v>1048</v>
      </c>
      <c r="BU92" s="3" t="s">
        <v>841</v>
      </c>
      <c r="BV92" s="3">
        <v>39.83</v>
      </c>
      <c r="BW92" s="3">
        <v>42.32</v>
      </c>
      <c r="BX92" s="3">
        <v>39.840000000000003</v>
      </c>
      <c r="BY92" s="3">
        <v>12.16</v>
      </c>
      <c r="BZ92" s="3">
        <v>18.8</v>
      </c>
      <c r="CA92" s="3">
        <v>13.06</v>
      </c>
      <c r="CB92" s="3">
        <v>-7.18</v>
      </c>
      <c r="CC92" s="3">
        <v>-2.61</v>
      </c>
      <c r="CD92" s="3" t="s">
        <v>3562</v>
      </c>
      <c r="CE92" s="3" t="s">
        <v>3563</v>
      </c>
      <c r="CF92" s="10">
        <v>-0.375</v>
      </c>
      <c r="CG92" s="11">
        <v>0.43393326948261374</v>
      </c>
      <c r="CH92" s="10">
        <v>-0.74459725618362427</v>
      </c>
      <c r="CI92" s="10">
        <v>0.43380281329154968</v>
      </c>
      <c r="CJ92" s="10">
        <v>5.65476194024086E-2</v>
      </c>
      <c r="CK92" s="10">
        <v>0.63106793165206909</v>
      </c>
      <c r="CL92" s="10">
        <v>0.609375</v>
      </c>
      <c r="CM92" s="11">
        <v>-0.84539765119552612</v>
      </c>
      <c r="CN92" s="11">
        <v>1.000609278678894</v>
      </c>
      <c r="CO92" s="11">
        <v>-0.30943840742111206</v>
      </c>
      <c r="CP92" s="11">
        <v>3.4235246181488037</v>
      </c>
      <c r="CQ92" s="11">
        <v>35.37945556640625</v>
      </c>
      <c r="CR92" s="3">
        <v>81.220447005703022</v>
      </c>
      <c r="CS92" s="3">
        <v>4.1178649121340856</v>
      </c>
      <c r="CT92" s="3">
        <v>0.97276264591439698</v>
      </c>
      <c r="CU92" s="10">
        <v>0.19723922163248062</v>
      </c>
      <c r="CV92" s="11">
        <v>7.7297506809234617</v>
      </c>
      <c r="CW92" s="3">
        <v>0.06</v>
      </c>
      <c r="CX92" s="3">
        <v>172.18482852126459</v>
      </c>
      <c r="CY92" s="3">
        <v>16571936.822224757</v>
      </c>
      <c r="CZ92" s="3">
        <v>0.19723922163248062</v>
      </c>
      <c r="DA92" s="3">
        <v>51.442349697245241</v>
      </c>
      <c r="DB92" s="3">
        <v>55468619.081231482</v>
      </c>
      <c r="DC92" s="3">
        <v>0.18737726055085657</v>
      </c>
      <c r="DD92" s="3">
        <v>22.359738263067673</v>
      </c>
      <c r="DE92" s="3">
        <v>127614915.09554546</v>
      </c>
      <c r="DF92" s="3">
        <v>0.17357051503658294</v>
      </c>
      <c r="DG92" s="3">
        <v>11.593785780033532</v>
      </c>
      <c r="DH92" s="3">
        <v>246117718.07221949</v>
      </c>
      <c r="DI92" s="3">
        <v>0.1577913773059845</v>
      </c>
      <c r="DJ92" s="3">
        <v>4.2454399786053569</v>
      </c>
      <c r="DK92" s="3">
        <v>672117875.73955166</v>
      </c>
      <c r="DL92" s="3">
        <v>0.13806745514273641</v>
      </c>
      <c r="DM92" s="3">
        <v>14672300</v>
      </c>
      <c r="DN92" s="3">
        <v>0.19723922163248062</v>
      </c>
      <c r="DO92" s="3">
        <v>2853436100</v>
      </c>
      <c r="DP92" s="3">
        <v>656644640</v>
      </c>
      <c r="DQ92" s="3">
        <v>4724</v>
      </c>
      <c r="DR92" s="3">
        <v>-0.57223922163248064</v>
      </c>
      <c r="DS92" s="3">
        <v>-7.2958174114408481</v>
      </c>
      <c r="DT92" s="12">
        <v>-0.19000000000000009</v>
      </c>
      <c r="DU92" s="3">
        <v>0.96833333333333338</v>
      </c>
      <c r="DV92" s="3">
        <v>0.77833333333333332</v>
      </c>
      <c r="DW92" s="3">
        <v>-5.3635097493036215</v>
      </c>
      <c r="DX92" s="3">
        <v>0.32861170085581204</v>
      </c>
      <c r="DY92" s="3">
        <v>-5.0431165096425721</v>
      </c>
      <c r="DZ92" s="3">
        <v>2790</v>
      </c>
      <c r="EA92" s="3">
        <v>-5.0195754016381153</v>
      </c>
      <c r="EB92" s="3">
        <v>5</v>
      </c>
      <c r="EC92" s="3">
        <v>4.6623135844122685E-2</v>
      </c>
      <c r="ED92" s="3">
        <v>0.3930736639616968</v>
      </c>
      <c r="EE92" s="13">
        <v>4.4200000000000003E-2</v>
      </c>
      <c r="EF92" s="3">
        <v>2.0400000000000005E-2</v>
      </c>
      <c r="EG92" s="3">
        <v>21.118611700855812</v>
      </c>
      <c r="EH92" s="3" t="s">
        <v>1045</v>
      </c>
      <c r="EI92" s="3">
        <v>0</v>
      </c>
      <c r="EJ92" s="3">
        <v>0</v>
      </c>
      <c r="EK92" s="15">
        <v>45470</v>
      </c>
      <c r="EL92" s="16">
        <v>-1.33</v>
      </c>
      <c r="EM92" s="16">
        <v>-3.86</v>
      </c>
      <c r="EN92" s="3">
        <v>-0.66</v>
      </c>
      <c r="EO92" s="3">
        <v>2.2000000000000002</v>
      </c>
      <c r="EP92" s="3">
        <v>-2.38</v>
      </c>
    </row>
    <row r="93" spans="1:146" ht="96" x14ac:dyDescent="0.25">
      <c r="C93" s="7" t="str">
        <f>""&amp;CHAR(10)&amp;Basic_Fundamental_Information_Constructure(F93)&amp;CHAR(10)&amp;Basic_Fundamental_Information_Concatenate("")</f>
        <v xml:space="preserve">
市值16.032亿, 利润-3041.93万; PE; 平均PE132.45; 平均PEG14.39, PB5.17; ROIC5.06%; ROE-8.4867%; 股利率0%; 毛利22.9533%; 净利-13.7667%; 上一年度营收增-69.55%, 利润增55.34%; 当季营收增-41.74%, 利润增37.67%; 过往5年营收增-9.21%, 利润增-105.66%
Income profile:
</v>
      </c>
      <c r="D93" s="3" t="s">
        <v>682</v>
      </c>
      <c r="E93" s="3" t="s">
        <v>683</v>
      </c>
      <c r="F93" s="3">
        <v>13.36</v>
      </c>
      <c r="G93" s="3">
        <v>0.68</v>
      </c>
      <c r="H93" s="3" t="s">
        <v>3564</v>
      </c>
      <c r="I93" s="3">
        <v>1603200000</v>
      </c>
      <c r="K93" s="3">
        <v>5.17</v>
      </c>
      <c r="L93" s="3" t="s">
        <v>285</v>
      </c>
      <c r="M93" s="3" t="s">
        <v>1238</v>
      </c>
      <c r="N93" s="3" t="s">
        <v>58</v>
      </c>
      <c r="O93" s="3" t="s">
        <v>68</v>
      </c>
      <c r="P93" s="3">
        <v>56.72</v>
      </c>
      <c r="Q93" s="3" t="s">
        <v>68</v>
      </c>
      <c r="R93" s="3">
        <v>-30419309</v>
      </c>
      <c r="S93" s="4">
        <v>-0.02</v>
      </c>
      <c r="T93" s="3" t="s">
        <v>3565</v>
      </c>
      <c r="U93" s="3">
        <v>120000000</v>
      </c>
      <c r="V93" s="3">
        <v>120000000</v>
      </c>
      <c r="W93" s="3">
        <v>6.16</v>
      </c>
      <c r="X93" s="3">
        <v>0.09</v>
      </c>
      <c r="Y93" s="3">
        <v>-23.55</v>
      </c>
      <c r="Z93" s="3" t="s">
        <v>126</v>
      </c>
      <c r="AA93" s="3" t="s">
        <v>95</v>
      </c>
      <c r="AB93" s="3" t="s">
        <v>3566</v>
      </c>
      <c r="AC93" s="3" t="s">
        <v>3567</v>
      </c>
      <c r="AD93" s="3" t="s">
        <v>4</v>
      </c>
      <c r="AE93" s="3">
        <v>9535332</v>
      </c>
      <c r="AF93" s="3" t="s">
        <v>3568</v>
      </c>
      <c r="AG93" s="3">
        <v>6904.99</v>
      </c>
      <c r="AH93" s="3" t="s">
        <v>3569</v>
      </c>
      <c r="AI93" s="3" t="s">
        <v>3570</v>
      </c>
      <c r="AJ93" s="3" t="s">
        <v>3571</v>
      </c>
      <c r="AK93" s="3" t="s">
        <v>3572</v>
      </c>
      <c r="AL93" s="3" t="s">
        <v>3573</v>
      </c>
      <c r="AM93" s="3" t="s">
        <v>4</v>
      </c>
      <c r="AN93" s="3" t="s">
        <v>941</v>
      </c>
      <c r="AO93" s="3" t="s">
        <v>124</v>
      </c>
      <c r="AP93" s="3" t="s">
        <v>3574</v>
      </c>
      <c r="AQ93" s="3" t="s">
        <v>144</v>
      </c>
      <c r="AR93" s="3" t="s">
        <v>4</v>
      </c>
      <c r="AS93" s="3" t="s">
        <v>3575</v>
      </c>
      <c r="AT93" s="3" t="s">
        <v>291</v>
      </c>
      <c r="AU93" s="3" t="s">
        <v>3576</v>
      </c>
      <c r="AV93" s="3" t="s">
        <v>3577</v>
      </c>
      <c r="AW93" s="3" t="s">
        <v>3578</v>
      </c>
      <c r="AX93" s="3" t="s">
        <v>124</v>
      </c>
      <c r="AY93" s="3" t="s">
        <v>112</v>
      </c>
      <c r="AZ93" s="3" t="s">
        <v>278</v>
      </c>
      <c r="BA93" s="3" t="s">
        <v>236</v>
      </c>
      <c r="BB93" s="3" t="s">
        <v>178</v>
      </c>
      <c r="BC93" s="3" t="s">
        <v>1356</v>
      </c>
      <c r="BD93" s="3" t="s">
        <v>839</v>
      </c>
      <c r="BE93" s="3" t="s">
        <v>684</v>
      </c>
      <c r="BF93" s="3" t="s">
        <v>685</v>
      </c>
      <c r="BG93" s="3" t="s">
        <v>686</v>
      </c>
      <c r="BH93" s="3" t="s">
        <v>1942</v>
      </c>
      <c r="BI93" s="3" t="s">
        <v>914</v>
      </c>
      <c r="BJ93" s="3" t="s">
        <v>124</v>
      </c>
      <c r="BK93" s="3" t="s">
        <v>1174</v>
      </c>
      <c r="BL93" s="3" t="s">
        <v>1542</v>
      </c>
      <c r="BM93" s="3" t="s">
        <v>1356</v>
      </c>
      <c r="BN93" s="3" t="s">
        <v>4</v>
      </c>
      <c r="BO93" s="3" t="s">
        <v>4</v>
      </c>
      <c r="BP93" s="3">
        <v>5.0599999999999996</v>
      </c>
      <c r="BQ93" s="3">
        <v>-15.33</v>
      </c>
      <c r="BR93" s="3">
        <v>-13.76</v>
      </c>
      <c r="BS93" s="3">
        <v>3.63</v>
      </c>
      <c r="BT93" s="3" t="s">
        <v>1043</v>
      </c>
      <c r="BU93" s="3" t="s">
        <v>841</v>
      </c>
      <c r="BV93" s="3">
        <v>18.75</v>
      </c>
      <c r="BW93" s="3">
        <v>22.7</v>
      </c>
      <c r="BX93" s="3">
        <v>27.41</v>
      </c>
      <c r="BY93" s="3">
        <v>-26.3</v>
      </c>
      <c r="BZ93" s="3">
        <v>-16.12</v>
      </c>
      <c r="CA93" s="3">
        <v>1.1200000000000001</v>
      </c>
      <c r="CB93" s="3">
        <v>-10.15</v>
      </c>
      <c r="CC93" s="1">
        <v>-27.19</v>
      </c>
      <c r="CD93" s="1" t="s">
        <v>3579</v>
      </c>
      <c r="CE93" s="1" t="s">
        <v>24</v>
      </c>
      <c r="CF93" s="10">
        <v>-0.41735537190082644</v>
      </c>
      <c r="CG93" s="11">
        <v>0.37674290573073532</v>
      </c>
      <c r="CH93" s="10">
        <v>-0.6954643726348877</v>
      </c>
      <c r="CI93" s="10">
        <v>-0.10961538553237915</v>
      </c>
      <c r="CJ93" s="10">
        <v>-6.1371840536594391E-2</v>
      </c>
      <c r="CK93" s="10">
        <v>6.3339732587337494E-2</v>
      </c>
      <c r="CL93" s="10">
        <v>0.34278351068496704</v>
      </c>
      <c r="CM93" s="11">
        <v>0.55342239141464233</v>
      </c>
      <c r="CN93" s="11">
        <v>-5.394782543182373</v>
      </c>
      <c r="CO93" s="11">
        <v>-0.72390586137771606</v>
      </c>
      <c r="CP93" s="11">
        <v>6.1294608749449253E-3</v>
      </c>
      <c r="CQ93" s="11">
        <v>0.27603942155838013</v>
      </c>
      <c r="CR93" s="1">
        <v>132.45244671856884</v>
      </c>
      <c r="CS93" s="1">
        <v>14.386735593812702</v>
      </c>
      <c r="CT93" s="1">
        <v>0</v>
      </c>
      <c r="CU93" s="10">
        <v>-9.2065671086311335E-2</v>
      </c>
      <c r="CV93" s="11">
        <v>-1.0566194261424244</v>
      </c>
      <c r="CW93" s="3">
        <v>0.06</v>
      </c>
      <c r="CX93" s="3" t="e">
        <v>#VALUE!</v>
      </c>
      <c r="CY93" s="3" t="s">
        <v>855</v>
      </c>
      <c r="CZ93" s="3">
        <v>-9.2065671086311335E-2</v>
      </c>
      <c r="DA93" s="3" t="e">
        <v>#VALUE!</v>
      </c>
      <c r="DB93" s="3" t="s">
        <v>853</v>
      </c>
      <c r="DC93" s="3">
        <v>-8.7462387531995769E-2</v>
      </c>
      <c r="DD93" s="3" t="e">
        <v>#VALUE!</v>
      </c>
      <c r="DE93" s="3" t="s">
        <v>853</v>
      </c>
      <c r="DF93" s="3">
        <v>-8.101779055595397E-2</v>
      </c>
      <c r="DG93" s="3" t="e">
        <v>#VALUE!</v>
      </c>
      <c r="DH93" s="3" t="s">
        <v>853</v>
      </c>
      <c r="DI93" s="3">
        <v>-7.3652536869049073E-2</v>
      </c>
      <c r="DJ93" s="3" t="e">
        <v>#VALUE!</v>
      </c>
      <c r="DK93" s="3" t="s">
        <v>853</v>
      </c>
      <c r="DL93" s="3">
        <v>-6.4445969760417929E-2</v>
      </c>
      <c r="DM93" s="3">
        <v>-30419300</v>
      </c>
      <c r="DN93" s="3">
        <v>-9.2065671086311335E-2</v>
      </c>
      <c r="DO93" s="3">
        <v>2652200000</v>
      </c>
      <c r="DP93" s="3">
        <v>-222560830</v>
      </c>
      <c r="DQ93" s="3">
        <v>4765</v>
      </c>
      <c r="DR93" s="3">
        <v>-0.32528970081451514</v>
      </c>
      <c r="DS93" s="3">
        <v>1.4333623318731599</v>
      </c>
      <c r="DT93" s="12">
        <v>-0.67333333333333334</v>
      </c>
      <c r="DU93" s="3">
        <v>-2.0316666666666667</v>
      </c>
      <c r="DV93" s="3">
        <v>-2.7050000000000001</v>
      </c>
      <c r="DW93" s="3">
        <v>-9.3732990069878639</v>
      </c>
      <c r="DX93" s="3">
        <v>0.33722761904761783</v>
      </c>
      <c r="DY93" s="3">
        <v>-9.0512269339217841</v>
      </c>
      <c r="DZ93" s="3">
        <v>494</v>
      </c>
      <c r="EA93" s="3">
        <v>-9.0462746628146675</v>
      </c>
      <c r="EB93" s="3">
        <v>9</v>
      </c>
      <c r="EC93" s="3">
        <v>0.12007416666666668</v>
      </c>
      <c r="ED93" s="3">
        <v>0.875</v>
      </c>
      <c r="EE93" s="13">
        <v>-4.0911099999999996</v>
      </c>
      <c r="EF93" s="3">
        <v>-4.1295099999999998</v>
      </c>
      <c r="EG93" s="3">
        <v>20.137227619047618</v>
      </c>
      <c r="EH93" s="3" t="s">
        <v>2825</v>
      </c>
      <c r="EI93" s="3">
        <v>0</v>
      </c>
      <c r="EJ93" s="3">
        <v>1</v>
      </c>
      <c r="EK93" s="15">
        <v>45470</v>
      </c>
      <c r="EL93" s="16">
        <v>-1.05</v>
      </c>
      <c r="EM93" s="16">
        <v>-4.53</v>
      </c>
      <c r="EN93" s="3">
        <v>-6.4</v>
      </c>
      <c r="EO93" s="3">
        <v>2.99</v>
      </c>
      <c r="EP93" s="3">
        <v>-3.84</v>
      </c>
    </row>
    <row r="94" spans="1:146" ht="96" x14ac:dyDescent="0.25">
      <c r="A94" s="3"/>
      <c r="B94" s="3"/>
      <c r="C94" s="7" t="str">
        <f>""&amp;CHAR(10)&amp;Basic_Fundamental_Information_Constructure(F94)&amp;CHAR(10)&amp;Basic_Fundamental_Information_Concatenate("")</f>
        <v xml:space="preserve">
市值24.583886亿, 利润2712.07万; PE22.7; 平均PE25.46; 平均PEG2, PB1.6; ROIC7.3133%; ROE7.9467%; 股利率2.9674%; 毛利31.4767%; 净利14.82%; 上一年度营收增-73.46%, 利润增-83.26%; 当季营收增-38.65%, 利润增12.67%; 过往5年营收增12.72%, 利润增16.05%
Income profile:
</v>
      </c>
      <c r="D94" s="3" t="s">
        <v>1543</v>
      </c>
      <c r="E94" s="3" t="s">
        <v>1544</v>
      </c>
      <c r="F94" s="3">
        <v>10.11</v>
      </c>
      <c r="G94" s="3">
        <v>-1.17</v>
      </c>
      <c r="H94" s="3" t="s">
        <v>3580</v>
      </c>
      <c r="I94" s="3">
        <v>2458388600</v>
      </c>
      <c r="J94" s="3">
        <v>22.7</v>
      </c>
      <c r="K94" s="3">
        <v>1.6</v>
      </c>
      <c r="L94" s="3" t="s">
        <v>285</v>
      </c>
      <c r="M94" s="3" t="s">
        <v>1428</v>
      </c>
      <c r="N94" s="3" t="s">
        <v>3581</v>
      </c>
      <c r="O94" s="3" t="s">
        <v>70</v>
      </c>
      <c r="P94" s="5">
        <v>56.55</v>
      </c>
      <c r="Q94" s="3" t="s">
        <v>70</v>
      </c>
      <c r="R94" s="3">
        <v>27120750</v>
      </c>
      <c r="S94" s="3">
        <v>2.7120000000000002</v>
      </c>
      <c r="T94" s="3" t="s">
        <v>3582</v>
      </c>
      <c r="U94" s="3">
        <v>243164060</v>
      </c>
      <c r="V94" s="3">
        <v>243164060</v>
      </c>
      <c r="W94" s="3">
        <v>2.11</v>
      </c>
      <c r="X94" s="3">
        <v>7.0000000000000007E-2</v>
      </c>
      <c r="Y94" s="3">
        <v>11.04</v>
      </c>
      <c r="Z94" s="3" t="s">
        <v>42</v>
      </c>
      <c r="AA94" s="3" t="s">
        <v>182</v>
      </c>
      <c r="AB94" s="3" t="s">
        <v>3583</v>
      </c>
      <c r="AC94" s="3" t="s">
        <v>3584</v>
      </c>
      <c r="AD94" s="3" t="s">
        <v>4</v>
      </c>
      <c r="AE94" s="3">
        <v>6316995</v>
      </c>
      <c r="AF94" s="3" t="s">
        <v>3585</v>
      </c>
      <c r="AG94" s="3" t="s">
        <v>4</v>
      </c>
      <c r="AH94" s="3" t="s">
        <v>3586</v>
      </c>
      <c r="AI94" s="3" t="s">
        <v>1453</v>
      </c>
      <c r="AJ94" s="3" t="s">
        <v>3587</v>
      </c>
      <c r="AK94" s="3" t="s">
        <v>3588</v>
      </c>
      <c r="AL94" s="3" t="s">
        <v>3589</v>
      </c>
      <c r="AM94" s="3" t="s">
        <v>4</v>
      </c>
      <c r="AN94" s="3" t="s">
        <v>1556</v>
      </c>
      <c r="AO94" s="3" t="s">
        <v>49</v>
      </c>
      <c r="AP94" s="3" t="s">
        <v>96</v>
      </c>
      <c r="AQ94" s="3" t="s">
        <v>364</v>
      </c>
      <c r="AR94" s="3" t="s">
        <v>4</v>
      </c>
      <c r="AS94" s="3" t="s">
        <v>1215</v>
      </c>
      <c r="AT94" s="3" t="s">
        <v>173</v>
      </c>
      <c r="AU94" s="3" t="s">
        <v>3590</v>
      </c>
      <c r="AV94" s="3" t="s">
        <v>3591</v>
      </c>
      <c r="AW94" s="3" t="s">
        <v>3592</v>
      </c>
      <c r="AX94" s="3" t="s">
        <v>1052</v>
      </c>
      <c r="AY94" s="3" t="s">
        <v>321</v>
      </c>
      <c r="AZ94" s="3" t="s">
        <v>187</v>
      </c>
      <c r="BA94" s="3" t="s">
        <v>7</v>
      </c>
      <c r="BB94" s="3" t="s">
        <v>1545</v>
      </c>
      <c r="BC94" s="3" t="s">
        <v>169</v>
      </c>
      <c r="BD94" s="3" t="s">
        <v>47</v>
      </c>
      <c r="BE94" s="3" t="s">
        <v>5</v>
      </c>
      <c r="BF94" s="3" t="s">
        <v>113</v>
      </c>
      <c r="BG94" s="3" t="s">
        <v>1546</v>
      </c>
      <c r="BH94" s="3" t="s">
        <v>490</v>
      </c>
      <c r="BI94" s="3" t="s">
        <v>145</v>
      </c>
      <c r="BJ94" s="3" t="s">
        <v>1052</v>
      </c>
      <c r="BK94" s="3" t="s">
        <v>3593</v>
      </c>
      <c r="BL94" s="3" t="s">
        <v>1547</v>
      </c>
      <c r="BM94" s="3" t="s">
        <v>169</v>
      </c>
      <c r="BN94" s="3">
        <v>2.77</v>
      </c>
      <c r="BO94" s="3">
        <v>10.56</v>
      </c>
      <c r="BP94" s="3">
        <v>8.61</v>
      </c>
      <c r="BQ94" s="3">
        <v>3.38</v>
      </c>
      <c r="BR94" s="3">
        <v>11.37</v>
      </c>
      <c r="BS94" s="3">
        <v>9.09</v>
      </c>
      <c r="BT94" s="3" t="s">
        <v>3594</v>
      </c>
      <c r="BU94" s="3" t="s">
        <v>841</v>
      </c>
      <c r="BV94" s="3">
        <v>28.32</v>
      </c>
      <c r="BW94" s="3">
        <v>32.229999999999997</v>
      </c>
      <c r="BX94" s="3">
        <v>33.880000000000003</v>
      </c>
      <c r="BY94" s="3">
        <v>9.31</v>
      </c>
      <c r="BZ94" s="3">
        <v>17.920000000000002</v>
      </c>
      <c r="CA94" s="3">
        <v>17.23</v>
      </c>
      <c r="CB94" s="3">
        <v>-6.65</v>
      </c>
      <c r="CC94" s="1">
        <v>-12.25</v>
      </c>
      <c r="CD94" s="1" t="s">
        <v>3595</v>
      </c>
      <c r="CE94" s="1" t="s">
        <v>3596</v>
      </c>
      <c r="CF94" s="10">
        <v>-0.38653366583541149</v>
      </c>
      <c r="CG94" s="11">
        <v>0.12670278219759129</v>
      </c>
      <c r="CH94" s="10">
        <v>-0.73462784290313721</v>
      </c>
      <c r="CI94" s="10">
        <v>0.27685949206352234</v>
      </c>
      <c r="CJ94" s="10">
        <v>0.40425533056259155</v>
      </c>
      <c r="CK94" s="10">
        <v>0.16704289615154266</v>
      </c>
      <c r="CL94" s="10">
        <v>0.52233678102493286</v>
      </c>
      <c r="CM94" s="11">
        <v>-0.83258825540542603</v>
      </c>
      <c r="CN94" s="11">
        <v>0.32786884903907776</v>
      </c>
      <c r="CO94" s="11">
        <v>8.9285716414451599E-2</v>
      </c>
      <c r="CP94" s="11">
        <v>4.6728972345590591E-2</v>
      </c>
      <c r="CQ94" s="11">
        <v>1.1714292764663696</v>
      </c>
      <c r="CR94" s="1">
        <v>25.458073825028432</v>
      </c>
      <c r="CS94" s="1">
        <v>2.0018406020190205</v>
      </c>
      <c r="CT94" s="1">
        <v>2.9673590504451042</v>
      </c>
      <c r="CU94" s="10">
        <v>0.12717333137989045</v>
      </c>
      <c r="CV94" s="11">
        <v>0.16054491177201272</v>
      </c>
      <c r="CW94" s="3">
        <v>0.06</v>
      </c>
      <c r="CX94" s="3">
        <v>87.706104578506796</v>
      </c>
      <c r="CY94" s="3">
        <v>28839367.705994897</v>
      </c>
      <c r="CZ94" s="3">
        <v>0.12717333137989045</v>
      </c>
      <c r="DA94" s="3">
        <v>27.777113386983615</v>
      </c>
      <c r="DB94" s="3">
        <v>91060167.583334059</v>
      </c>
      <c r="DC94" s="3">
        <v>0.12081466481089592</v>
      </c>
      <c r="DD94" s="3">
        <v>13.105087142035652</v>
      </c>
      <c r="DE94" s="3">
        <v>193008148.10202801</v>
      </c>
      <c r="DF94" s="3">
        <v>0.1119125316143036</v>
      </c>
      <c r="DG94" s="3">
        <v>7.4954196354853115</v>
      </c>
      <c r="DH94" s="3">
        <v>337457904.02784139</v>
      </c>
      <c r="DI94" s="3">
        <v>0.10173866510391237</v>
      </c>
      <c r="DJ94" s="3">
        <v>3.4694400076076506</v>
      </c>
      <c r="DK94" s="3">
        <v>729048086.85368729</v>
      </c>
      <c r="DL94" s="3">
        <v>8.9021331965923309E-2</v>
      </c>
      <c r="DM94" s="3">
        <v>27120700</v>
      </c>
      <c r="DN94" s="3">
        <v>0.12717333137989045</v>
      </c>
      <c r="DO94" s="3">
        <v>2529388600</v>
      </c>
      <c r="DP94" s="3">
        <v>894000400</v>
      </c>
      <c r="DQ94" s="12">
        <v>5059</v>
      </c>
      <c r="DR94" s="3">
        <v>-0.51370699721530189</v>
      </c>
      <c r="DS94" s="3">
        <v>-3.3842129574421426E-2</v>
      </c>
      <c r="DT94" s="3">
        <v>-0.27333333333333343</v>
      </c>
      <c r="DU94" s="3">
        <v>1.666666666666668E-2</v>
      </c>
      <c r="DV94" s="3">
        <v>-0.25666666666666677</v>
      </c>
      <c r="DW94" s="3">
        <v>-9.5428571428571427</v>
      </c>
      <c r="DX94" s="3">
        <v>0.37083642159267383</v>
      </c>
      <c r="DY94" s="3">
        <v>-9.076454057436024</v>
      </c>
      <c r="DZ94" s="3">
        <v>3685</v>
      </c>
      <c r="EA94" s="3">
        <v>-9.0213203584826491</v>
      </c>
      <c r="EB94" s="13">
        <v>9</v>
      </c>
      <c r="EC94" s="13">
        <v>5.3422368420727964E-2</v>
      </c>
      <c r="ED94" s="3">
        <v>0.37932209225327129</v>
      </c>
      <c r="EE94" s="3">
        <v>-6.0061</v>
      </c>
      <c r="EF94" s="3">
        <v>-6.0051100000000002</v>
      </c>
      <c r="EG94" s="3">
        <v>23.140836421592674</v>
      </c>
      <c r="EH94" s="15" t="s">
        <v>3597</v>
      </c>
      <c r="EI94" s="3">
        <v>0</v>
      </c>
      <c r="EJ94" s="3">
        <v>0</v>
      </c>
      <c r="EK94" s="3">
        <v>45470</v>
      </c>
      <c r="EL94" s="3">
        <v>-1.93</v>
      </c>
      <c r="EM94" s="3">
        <v>-4.6500000000000004</v>
      </c>
      <c r="EN94" s="3">
        <v>0.89</v>
      </c>
      <c r="EO94" s="3">
        <v>4.25</v>
      </c>
      <c r="EP94" s="3">
        <v>-1.1200000000000001</v>
      </c>
    </row>
    <row r="95" spans="1:146" ht="96" x14ac:dyDescent="0.25">
      <c r="C95" s="7" t="str">
        <f>""&amp;CHAR(10)&amp;Basic_Fundamental_Information_Constructure(F95)&amp;CHAR(10)&amp;Basic_Fundamental_Information_Concatenate("")</f>
        <v xml:space="preserve">
市值23.462903亿, 利润833.37万; PE79.41; 平均PE46.27; 平均PEG4.06, PB2.31; ROIC5.1267%; ROE5.7633%; 股利率.4299%; 毛利27.24%; 净利10.3733%; 上一年度营收增-79.08%, 利润增-82.53%; 当季营收增-52.35%, 利润增-49.56%; 过往5年营收增-11.41%, 利润增-18.53%
Income profile:
</v>
      </c>
      <c r="D95" s="3" t="s">
        <v>689</v>
      </c>
      <c r="E95" s="3" t="s">
        <v>690</v>
      </c>
      <c r="F95" s="3">
        <v>15.12</v>
      </c>
      <c r="G95" s="3">
        <v>0</v>
      </c>
      <c r="H95" s="3" t="s">
        <v>3598</v>
      </c>
      <c r="I95" s="3">
        <v>2346290300</v>
      </c>
      <c r="J95" s="3">
        <v>79.41</v>
      </c>
      <c r="K95" s="3">
        <v>2.31</v>
      </c>
      <c r="L95" s="3" t="s">
        <v>285</v>
      </c>
      <c r="M95" s="3" t="s">
        <v>29</v>
      </c>
      <c r="N95" s="3" t="s">
        <v>3599</v>
      </c>
      <c r="O95" s="3" t="s">
        <v>3600</v>
      </c>
      <c r="P95" s="3">
        <v>9.0500000000000007</v>
      </c>
      <c r="Q95" s="3" t="s">
        <v>3600</v>
      </c>
      <c r="R95" s="3">
        <v>8333712</v>
      </c>
      <c r="S95" s="5">
        <v>3.6499999999999998E-2</v>
      </c>
      <c r="T95" s="3" t="s">
        <v>3601</v>
      </c>
      <c r="U95" s="3">
        <v>155177930</v>
      </c>
      <c r="V95" s="3">
        <v>155177930</v>
      </c>
      <c r="W95" s="3">
        <v>1.1200000000000001</v>
      </c>
      <c r="X95" s="3">
        <v>0.08</v>
      </c>
      <c r="Y95" s="3">
        <v>7.58</v>
      </c>
      <c r="Z95" s="3" t="s">
        <v>3602</v>
      </c>
      <c r="AA95" s="3" t="s">
        <v>3603</v>
      </c>
      <c r="AB95" s="3" t="s">
        <v>3604</v>
      </c>
      <c r="AC95" s="3" t="s">
        <v>3605</v>
      </c>
      <c r="AD95" s="3" t="s">
        <v>4</v>
      </c>
      <c r="AE95" s="3">
        <v>-1096011</v>
      </c>
      <c r="AF95" s="3" t="s">
        <v>3606</v>
      </c>
      <c r="AG95" s="3">
        <v>0.21</v>
      </c>
      <c r="AH95" s="3" t="s">
        <v>3607</v>
      </c>
      <c r="AI95" s="3" t="s">
        <v>1111</v>
      </c>
      <c r="AJ95" s="3" t="s">
        <v>3608</v>
      </c>
      <c r="AK95" s="3" t="s">
        <v>1621</v>
      </c>
      <c r="AL95" s="3" t="s">
        <v>3609</v>
      </c>
      <c r="AM95" s="3" t="s">
        <v>4</v>
      </c>
      <c r="AN95" s="3" t="s">
        <v>95</v>
      </c>
      <c r="AO95" s="3" t="s">
        <v>3610</v>
      </c>
      <c r="AP95" s="3" t="s">
        <v>3611</v>
      </c>
      <c r="AQ95" s="3" t="s">
        <v>3612</v>
      </c>
      <c r="AR95" s="3" t="s">
        <v>4</v>
      </c>
      <c r="AS95" s="3" t="s">
        <v>64</v>
      </c>
      <c r="AT95" s="3" t="s">
        <v>3613</v>
      </c>
      <c r="AU95" s="3" t="s">
        <v>3614</v>
      </c>
      <c r="AV95" s="3" t="s">
        <v>3615</v>
      </c>
      <c r="AW95" s="3" t="s">
        <v>3616</v>
      </c>
      <c r="AX95" s="3" t="s">
        <v>464</v>
      </c>
      <c r="AY95" s="3" t="s">
        <v>231</v>
      </c>
      <c r="AZ95" s="3" t="s">
        <v>145</v>
      </c>
      <c r="BA95" s="3" t="s">
        <v>141</v>
      </c>
      <c r="BB95" s="3" t="s">
        <v>235</v>
      </c>
      <c r="BC95" s="3" t="s">
        <v>1548</v>
      </c>
      <c r="BD95" s="3" t="s">
        <v>840</v>
      </c>
      <c r="BE95" s="3" t="s">
        <v>691</v>
      </c>
      <c r="BF95" s="3" t="s">
        <v>692</v>
      </c>
      <c r="BG95" s="3" t="s">
        <v>693</v>
      </c>
      <c r="BH95" s="3" t="s">
        <v>801</v>
      </c>
      <c r="BI95" s="3" t="s">
        <v>34</v>
      </c>
      <c r="BJ95" s="3" t="s">
        <v>464</v>
      </c>
      <c r="BK95" s="3" t="s">
        <v>3617</v>
      </c>
      <c r="BL95" s="3" t="s">
        <v>1550</v>
      </c>
      <c r="BM95" s="3" t="s">
        <v>1548</v>
      </c>
      <c r="BN95" s="3">
        <v>1.56</v>
      </c>
      <c r="BO95" s="3">
        <v>4.67</v>
      </c>
      <c r="BP95" s="3">
        <v>9.15</v>
      </c>
      <c r="BQ95" s="3">
        <v>2.42</v>
      </c>
      <c r="BR95" s="3">
        <v>5.55</v>
      </c>
      <c r="BS95" s="3">
        <v>9.32</v>
      </c>
      <c r="BT95" s="3" t="s">
        <v>3618</v>
      </c>
      <c r="BU95" s="3" t="s">
        <v>841</v>
      </c>
      <c r="BV95" s="3">
        <v>23.95</v>
      </c>
      <c r="BW95" s="3">
        <v>26.06</v>
      </c>
      <c r="BX95" s="3">
        <v>31.71</v>
      </c>
      <c r="BY95" s="3">
        <v>6.08</v>
      </c>
      <c r="BZ95" s="3">
        <v>10.15</v>
      </c>
      <c r="CA95" s="3">
        <v>14.89</v>
      </c>
      <c r="CB95" s="3">
        <v>-5.56</v>
      </c>
      <c r="CC95" s="1">
        <v>-14.12</v>
      </c>
      <c r="CD95" s="1" t="s">
        <v>3619</v>
      </c>
      <c r="CE95" s="1" t="s">
        <v>3620</v>
      </c>
      <c r="CF95" s="10">
        <v>-0.52354641148325365</v>
      </c>
      <c r="CG95" s="11">
        <v>-0.49562960721418631</v>
      </c>
      <c r="CH95" s="10">
        <v>-0.79080080986022949</v>
      </c>
      <c r="CI95" s="10">
        <v>4.6153847128152847E-2</v>
      </c>
      <c r="CJ95" s="10">
        <v>0.13466334342956543</v>
      </c>
      <c r="CK95" s="10">
        <v>5.2493438124656677E-2</v>
      </c>
      <c r="CL95" s="10">
        <v>-1.295336801558733E-2</v>
      </c>
      <c r="CM95" s="11">
        <v>-0.82526952028274536</v>
      </c>
      <c r="CN95" s="11">
        <v>-0.29596662521362305</v>
      </c>
      <c r="CO95" s="11">
        <v>7.0033751428127289E-2</v>
      </c>
      <c r="CP95" s="11">
        <v>3.7448219954967499E-2</v>
      </c>
      <c r="CQ95" s="11">
        <v>8.740687370300293E-2</v>
      </c>
      <c r="CR95" s="1">
        <v>46.273366950454246</v>
      </c>
      <c r="CS95" s="1">
        <v>4.0559111428186725</v>
      </c>
      <c r="CT95" s="1">
        <v>0.42989417989417994</v>
      </c>
      <c r="CU95" s="10">
        <v>-0.11408870983868838</v>
      </c>
      <c r="CV95" s="11">
        <v>-0.18526946008205414</v>
      </c>
      <c r="CW95" s="3">
        <v>0.06</v>
      </c>
      <c r="CX95" s="3">
        <v>168.62741639367869</v>
      </c>
      <c r="CY95" s="3" t="s">
        <v>3621</v>
      </c>
      <c r="CZ95" s="3">
        <v>-0.11408870983868838</v>
      </c>
      <c r="DA95" s="3">
        <v>56.209138797892891</v>
      </c>
      <c r="DB95" s="3" t="s">
        <v>3622</v>
      </c>
      <c r="DC95" s="3">
        <v>-0.10838427434675396</v>
      </c>
      <c r="DD95" s="3">
        <v>28.104569398946445</v>
      </c>
      <c r="DE95" s="3" t="s">
        <v>3623</v>
      </c>
      <c r="DF95" s="3">
        <v>-0.10039806465804578</v>
      </c>
      <c r="DG95" s="3">
        <v>16.862741639367869</v>
      </c>
      <c r="DH95" s="3" t="s">
        <v>3624</v>
      </c>
      <c r="DI95" s="3">
        <v>-9.1270967870950709E-2</v>
      </c>
      <c r="DJ95" s="3">
        <v>8.4313708196839343</v>
      </c>
      <c r="DK95" s="3" t="s">
        <v>3625</v>
      </c>
      <c r="DL95" s="3">
        <v>-7.986209688708186E-2</v>
      </c>
      <c r="DM95" s="3">
        <v>8333700</v>
      </c>
      <c r="DN95" s="3">
        <v>-0.11408870983868838</v>
      </c>
      <c r="DO95" s="3">
        <v>1405290300</v>
      </c>
      <c r="DP95" s="3">
        <v>417652350</v>
      </c>
      <c r="DQ95" s="3">
        <v>5064</v>
      </c>
      <c r="DR95" s="3">
        <v>-0.4094577016445653</v>
      </c>
      <c r="DS95" s="3">
        <v>-0.31036014713213217</v>
      </c>
      <c r="DT95" s="12">
        <v>-0.77333333333333332</v>
      </c>
      <c r="DU95" s="3">
        <v>-0.70333333333333325</v>
      </c>
      <c r="DV95" s="3">
        <v>-1.4766666666666666</v>
      </c>
      <c r="DW95" s="3">
        <v>-8.3937677053824356</v>
      </c>
      <c r="DX95" s="3">
        <v>0.392844915426942</v>
      </c>
      <c r="DY95" s="3">
        <v>-8.0483723604655655</v>
      </c>
      <c r="DZ95" s="3">
        <v>2657</v>
      </c>
      <c r="EA95" s="3">
        <v>-8.0232206262665429</v>
      </c>
      <c r="EB95" s="3">
        <v>8</v>
      </c>
      <c r="EC95" s="3">
        <v>9.7114325471412081E-3</v>
      </c>
      <c r="ED95" s="3">
        <v>7.9054411925716495E-2</v>
      </c>
      <c r="EE95" s="13">
        <v>2.0488</v>
      </c>
      <c r="EF95" s="3">
        <v>2.0293999999999999</v>
      </c>
      <c r="EG95" s="3">
        <v>27.122844915426942</v>
      </c>
      <c r="EH95" s="3" t="s">
        <v>1112</v>
      </c>
      <c r="EI95" s="3">
        <v>0</v>
      </c>
      <c r="EJ95" s="3">
        <v>0</v>
      </c>
      <c r="EK95" s="15">
        <v>45470</v>
      </c>
      <c r="EL95" s="16">
        <v>-1.98</v>
      </c>
      <c r="EM95" s="16">
        <v>-9.7100000000000009</v>
      </c>
      <c r="EN95" s="3">
        <v>8.48</v>
      </c>
      <c r="EO95" s="3">
        <v>1.55</v>
      </c>
      <c r="EP95" s="3">
        <v>-1.94</v>
      </c>
    </row>
    <row r="96" spans="1:146" x14ac:dyDescent="0.25">
      <c r="S96" s="5"/>
    </row>
    <row r="97" spans="17:19" x14ac:dyDescent="0.25">
      <c r="S97" s="5"/>
    </row>
    <row r="98" spans="17:19" x14ac:dyDescent="0.25">
      <c r="S98" s="5"/>
    </row>
    <row r="99" spans="17:19" x14ac:dyDescent="0.25">
      <c r="Q99" s="5"/>
    </row>
    <row r="100" spans="17:19" x14ac:dyDescent="0.25">
      <c r="Q100" s="5"/>
    </row>
    <row r="101" spans="17:19" x14ac:dyDescent="0.25">
      <c r="Q101" s="5"/>
    </row>
    <row r="102" spans="17:19" x14ac:dyDescent="0.25">
      <c r="Q102" s="5"/>
    </row>
    <row r="103" spans="17:19" x14ac:dyDescent="0.25">
      <c r="Q103" s="5"/>
    </row>
    <row r="104" spans="17:19" x14ac:dyDescent="0.25">
      <c r="Q104" s="5"/>
    </row>
    <row r="105" spans="17:19" x14ac:dyDescent="0.25">
      <c r="Q105" s="5"/>
    </row>
    <row r="106" spans="17:19" x14ac:dyDescent="0.25">
      <c r="Q106" s="5"/>
    </row>
    <row r="107" spans="17:19" x14ac:dyDescent="0.25">
      <c r="Q107" s="5"/>
    </row>
    <row r="108" spans="17:19" x14ac:dyDescent="0.25">
      <c r="Q108" s="5"/>
    </row>
    <row r="109" spans="17:19" x14ac:dyDescent="0.25">
      <c r="Q109" s="5"/>
    </row>
    <row r="110" spans="17:19" x14ac:dyDescent="0.25">
      <c r="Q110" s="5"/>
    </row>
    <row r="111" spans="17:19" x14ac:dyDescent="0.25">
      <c r="Q111" s="5"/>
    </row>
    <row r="112" spans="17:19" x14ac:dyDescent="0.25">
      <c r="Q112" s="5"/>
    </row>
    <row r="113" spans="17:17" x14ac:dyDescent="0.25">
      <c r="Q113" s="5"/>
    </row>
    <row r="114" spans="17:17" x14ac:dyDescent="0.25">
      <c r="Q114" s="5"/>
    </row>
    <row r="115" spans="17:17" x14ac:dyDescent="0.25">
      <c r="Q115" s="5"/>
    </row>
    <row r="116" spans="17:17" x14ac:dyDescent="0.25">
      <c r="Q116" s="5"/>
    </row>
    <row r="117" spans="17:17" x14ac:dyDescent="0.25">
      <c r="Q117" s="5"/>
    </row>
    <row r="118" spans="17:17" x14ac:dyDescent="0.25">
      <c r="Q118" s="5"/>
    </row>
    <row r="119" spans="17:17" x14ac:dyDescent="0.25">
      <c r="Q119" s="5"/>
    </row>
    <row r="120" spans="17:17" x14ac:dyDescent="0.25">
      <c r="Q120" s="5"/>
    </row>
    <row r="121" spans="17:17" x14ac:dyDescent="0.25">
      <c r="Q121" s="4"/>
    </row>
    <row r="122" spans="17:17" x14ac:dyDescent="0.25">
      <c r="Q122" s="5"/>
    </row>
    <row r="123" spans="17:17" x14ac:dyDescent="0.25">
      <c r="Q123" s="5"/>
    </row>
    <row r="124" spans="17:17" x14ac:dyDescent="0.25">
      <c r="Q124" s="5"/>
    </row>
    <row r="125" spans="17:17" x14ac:dyDescent="0.25">
      <c r="Q125" s="5"/>
    </row>
    <row r="126" spans="17:17" x14ac:dyDescent="0.25">
      <c r="Q126" s="5"/>
    </row>
    <row r="127" spans="17:17" x14ac:dyDescent="0.25">
      <c r="Q127" s="5"/>
    </row>
    <row r="128" spans="17:17" x14ac:dyDescent="0.25">
      <c r="Q128" s="5"/>
    </row>
    <row r="129" spans="17:17" x14ac:dyDescent="0.25">
      <c r="Q129" s="5"/>
    </row>
    <row r="130" spans="17:17" x14ac:dyDescent="0.25">
      <c r="Q130" s="5"/>
    </row>
    <row r="131" spans="17:17" x14ac:dyDescent="0.25">
      <c r="Q131" s="5"/>
    </row>
    <row r="132" spans="17:17" x14ac:dyDescent="0.25">
      <c r="Q132" s="5"/>
    </row>
    <row r="133" spans="17:17" x14ac:dyDescent="0.25">
      <c r="Q133" s="5"/>
    </row>
    <row r="134" spans="17:17" x14ac:dyDescent="0.25">
      <c r="Q134" s="5"/>
    </row>
    <row r="135" spans="17:17" x14ac:dyDescent="0.25">
      <c r="Q135" s="5"/>
    </row>
    <row r="136" spans="17:17" x14ac:dyDescent="0.25">
      <c r="Q136" s="5"/>
    </row>
    <row r="137" spans="17:17" x14ac:dyDescent="0.25">
      <c r="Q137" s="5"/>
    </row>
    <row r="138" spans="17:17" x14ac:dyDescent="0.25">
      <c r="Q138" s="5"/>
    </row>
    <row r="139" spans="17:17" x14ac:dyDescent="0.25">
      <c r="Q139" s="5"/>
    </row>
  </sheetData>
  <autoFilter ref="BU1:BU139"/>
  <sortState ref="D2:AD92">
    <sortCondition ref="D2:D92"/>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Basic_Fundamental_Tabel_Update_Buttom &quot;消费电子&quot;,&quot;&quot;'" altText="更新基本面按钮_x000a_">
                <anchor moveWithCells="1" sizeWithCells="1">
                  <from>
                    <xdr:col>147</xdr:col>
                    <xdr:colOff>215900</xdr:colOff>
                    <xdr:row>0</xdr:row>
                    <xdr:rowOff>146050</xdr:rowOff>
                  </from>
                  <to>
                    <xdr:col>147</xdr:col>
                    <xdr:colOff>1136650</xdr:colOff>
                    <xdr:row>0</xdr:row>
                    <xdr:rowOff>565150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6"/>
  <sheetViews>
    <sheetView workbookViewId="0">
      <selection activeCell="I58" sqref="I58"/>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消费电子</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2024-07-08T15:27:02Z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