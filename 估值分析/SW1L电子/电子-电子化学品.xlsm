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C:\001Xiaofeng\value-investment-backup\估值分析\SW1L电子\"/>
    </mc:Choice>
  </mc:AlternateContent>
  <bookViews>
    <workbookView xWindow="0" yWindow="0" windowWidth="3800" windowHeight="2950"/>
  </bookViews>
  <sheets>
    <sheet name="电子化学品" sheetId="7" r:id="rId1"/>
    <sheet name="估值-增速与年化收益" sheetId="14" r:id="rId2"/>
  </sheets>
  <functionGroups builtInGroupCount="18"/>
  <definedNames>
    <definedName name="_xlnm._FilterDatabase" localSheetId="0" hidden="1">电子化学品!$BU$1:$BU$126</definedName>
  </definedNames>
  <calcPr calcId="152511"/>
</workbook>
</file>

<file path=xl/calcChain.xml><?xml version="1.0" encoding="utf-8"?>
<calcChain xmlns="http://schemas.openxmlformats.org/spreadsheetml/2006/main">
  <c r="B5" i="14" l="1"/>
  <c r="C5" i="14" s="1"/>
  <c r="D5" i="14" s="1"/>
  <c r="E5" i="14" s="1"/>
  <c r="F5" i="14" s="1"/>
  <c r="G5" i="14" s="1"/>
  <c r="H5" i="14" s="1"/>
  <c r="I5" i="14" s="1"/>
  <c r="J5" i="14" s="1"/>
  <c r="K5" i="14" s="1"/>
  <c r="L5" i="14" s="1"/>
  <c r="M5" i="14" s="1"/>
  <c r="N5" i="14" s="1"/>
  <c r="O5" i="14" s="1"/>
  <c r="P5" i="14" s="1"/>
  <c r="Q5" i="14" s="1"/>
  <c r="R5" i="14" s="1"/>
  <c r="S5" i="14" s="1"/>
  <c r="T5" i="14" s="1"/>
  <c r="U5" i="14" s="1"/>
  <c r="V5" i="14" s="1"/>
  <c r="W5" i="14" s="1"/>
  <c r="X5" i="14" s="1"/>
  <c r="Y5" i="14" s="1"/>
  <c r="Z5" i="14" s="1"/>
  <c r="AA5" i="14" s="1"/>
  <c r="AB5" i="14" s="1"/>
  <c r="AC5" i="14" s="1"/>
  <c r="AD5" i="14" s="1"/>
  <c r="B1" i="14"/>
  <c r="C1" i="14" s="1"/>
  <c r="D1" i="14" s="1"/>
  <c r="E1" i="14" s="1"/>
  <c r="F1" i="14" s="1"/>
  <c r="G1" i="14" s="1"/>
  <c r="H1" i="14" s="1"/>
  <c r="I1" i="14" s="1"/>
  <c r="J1" i="14" s="1"/>
  <c r="K1" i="14" s="1"/>
  <c r="L1" i="14" s="1"/>
  <c r="M1" i="14" s="1"/>
  <c r="N1" i="14" s="1"/>
  <c r="O1" i="14" s="1"/>
  <c r="P1" i="14" s="1"/>
  <c r="Q1" i="14" s="1"/>
  <c r="R1" i="14" s="1"/>
  <c r="S1" i="14" s="1"/>
  <c r="T1" i="14" s="1"/>
  <c r="U1" i="14" s="1"/>
  <c r="V1" i="14" s="1"/>
  <c r="W1" i="14" s="1"/>
  <c r="X1" i="14" s="1"/>
  <c r="Y1" i="14" s="1"/>
  <c r="Z1" i="14" s="1"/>
  <c r="AA1" i="14" s="1"/>
  <c r="AB1" i="14" s="1"/>
  <c r="AC1" i="14" s="1"/>
  <c r="AD1" i="14" s="1"/>
  <c r="C22" i="7"/>
  <c r="C35" i="7"/>
  <c r="C31" i="7"/>
  <c r="C27" i="7"/>
  <c r="C23" i="7"/>
  <c r="C34" i="7"/>
  <c r="C30" i="7"/>
  <c r="C26" i="7"/>
  <c r="C37" i="7"/>
  <c r="C33" i="7"/>
  <c r="C29" i="7"/>
  <c r="C25" i="7"/>
  <c r="C36" i="7"/>
  <c r="C32" i="7"/>
  <c r="C28" i="7"/>
  <c r="C24" i="7"/>
  <c r="C21" i="7"/>
  <c r="C20" i="7"/>
  <c r="C19" i="7"/>
  <c r="C18" i="7"/>
  <c r="C17" i="7"/>
  <c r="C16" i="7"/>
  <c r="C15" i="7"/>
  <c r="C14" i="7"/>
  <c r="C13" i="7"/>
  <c r="C12" i="7"/>
  <c r="C11" i="7"/>
  <c r="C10" i="7"/>
  <c r="C9" i="7"/>
  <c r="C8" i="7"/>
  <c r="C7" i="7"/>
  <c r="C6" i="7"/>
  <c r="C5" i="7"/>
  <c r="C4" i="7"/>
  <c r="C3" i="7"/>
  <c r="C2" i="7"/>
</calcChain>
</file>

<file path=xl/sharedStrings.xml><?xml version="1.0" encoding="utf-8"?>
<sst xmlns="http://schemas.openxmlformats.org/spreadsheetml/2006/main" count="2156" uniqueCount="1571">
  <si>
    <t>&lt;-增速</t>
    <phoneticPr fontId="1" type="noConversion"/>
  </si>
  <si>
    <t>&lt;-估值</t>
    <phoneticPr fontId="1" type="noConversion"/>
  </si>
  <si>
    <t>&lt;-折合年化收益</t>
    <phoneticPr fontId="1" type="noConversion"/>
  </si>
  <si>
    <t>已知和基本信息</t>
    <phoneticPr fontId="1" type="noConversion"/>
  </si>
  <si>
    <t>预期多</t>
    <phoneticPr fontId="1" type="noConversion"/>
  </si>
  <si>
    <t>预期空</t>
    <phoneticPr fontId="1" type="noConversion"/>
  </si>
  <si>
    <t>N-1年营收增速</t>
  </si>
  <si>
    <t>N-2年营收增速</t>
  </si>
  <si>
    <t>N-3年营收增速</t>
  </si>
  <si>
    <t>N-4年营收增速</t>
  </si>
  <si>
    <t>N-5年营收增速</t>
  </si>
  <si>
    <t>N-1年利润增速</t>
  </si>
  <si>
    <t>N-2年利润增速</t>
  </si>
  <si>
    <t>N-3年利润增速</t>
  </si>
  <si>
    <t>N-4年利润增速</t>
  </si>
  <si>
    <t>N-5年利润增速</t>
  </si>
  <si>
    <t>20增速</t>
  </si>
  <si>
    <t>当期自由现金流估计值</t>
  </si>
  <si>
    <t>自由现金流估计增速</t>
  </si>
  <si>
    <t>现价</t>
  </si>
  <si>
    <t>总市值</t>
  </si>
  <si>
    <t>TTM市盈率</t>
  </si>
  <si>
    <t>市净率</t>
  </si>
  <si>
    <t>所属行业</t>
  </si>
  <si>
    <t>负债合计</t>
  </si>
  <si>
    <t>所有者权益合计</t>
  </si>
  <si>
    <t>主营业务收入</t>
  </si>
  <si>
    <t>净利润增长率</t>
  </si>
  <si>
    <t>总股本</t>
  </si>
  <si>
    <t>财务费用</t>
  </si>
  <si>
    <t>投资收益</t>
  </si>
  <si>
    <t>应收账款</t>
  </si>
  <si>
    <t>流动资产</t>
  </si>
  <si>
    <t>营业收入[20191231]</t>
  </si>
  <si>
    <t>营业收入[20181231]</t>
  </si>
  <si>
    <t>营业收入[20171231]</t>
  </si>
  <si>
    <t>营业收入[20161231]</t>
  </si>
  <si>
    <t>净利润[20191231]</t>
  </si>
  <si>
    <t>净利润[20181231]</t>
  </si>
  <si>
    <t>净利润[20171231]</t>
  </si>
  <si>
    <t>净利润[20161231]</t>
  </si>
  <si>
    <t>投入资本回报率roic%[20191231]</t>
  </si>
  <si>
    <t>净资产收益率%[20191231]</t>
  </si>
  <si>
    <t>销售毛利率%[20201231]</t>
  </si>
  <si>
    <t>销售毛利率%[20191231]</t>
  </si>
  <si>
    <t>销售净利率%[20201231]</t>
  </si>
  <si>
    <t>销售净利率%[20191231]</t>
  </si>
  <si>
    <t>2.48亿</t>
  </si>
  <si>
    <t>--</t>
  </si>
  <si>
    <t>3.76亿</t>
  </si>
  <si>
    <t>2.26亿</t>
  </si>
  <si>
    <t>6.80亿</t>
  </si>
  <si>
    <t>1.90亿</t>
  </si>
  <si>
    <t>1.54亿</t>
  </si>
  <si>
    <t>2.92亿</t>
  </si>
  <si>
    <t>2.10亿</t>
  </si>
  <si>
    <t>2.87亿</t>
  </si>
  <si>
    <t>8.44亿</t>
  </si>
  <si>
    <t>9.90亿</t>
  </si>
  <si>
    <t>1.88亿</t>
  </si>
  <si>
    <t>5.07亿</t>
  </si>
  <si>
    <t>4.23亿</t>
  </si>
  <si>
    <t>0亿</t>
  </si>
  <si>
    <t>1.51亿</t>
  </si>
  <si>
    <t>2.24亿</t>
  </si>
  <si>
    <t>5.84亿</t>
  </si>
  <si>
    <t>1.93亿</t>
  </si>
  <si>
    <t>1.77亿</t>
  </si>
  <si>
    <t>7.53亿</t>
  </si>
  <si>
    <t>2.75亿</t>
  </si>
  <si>
    <t>1.45亿</t>
  </si>
  <si>
    <t>11.49亿</t>
  </si>
  <si>
    <t>1.80亿</t>
  </si>
  <si>
    <t>9.13亿</t>
  </si>
  <si>
    <t>1.39亿</t>
  </si>
  <si>
    <t>3.54亿</t>
  </si>
  <si>
    <t>1.35亿</t>
  </si>
  <si>
    <t>1.29亿</t>
  </si>
  <si>
    <t>1.08亿</t>
  </si>
  <si>
    <t>8.18亿</t>
  </si>
  <si>
    <t>2.21亿</t>
  </si>
  <si>
    <t>5.05亿</t>
  </si>
  <si>
    <t>1.41亿</t>
  </si>
  <si>
    <t>1.17亿</t>
  </si>
  <si>
    <t>4.03亿</t>
  </si>
  <si>
    <t>1.25亿</t>
  </si>
  <si>
    <t>1.06亿</t>
  </si>
  <si>
    <t>1.97亿</t>
  </si>
  <si>
    <t>7.56亿</t>
  </si>
  <si>
    <t>1.15亿</t>
  </si>
  <si>
    <t>4.22亿</t>
  </si>
  <si>
    <t>1.02亿</t>
  </si>
  <si>
    <t>3.08亿</t>
  </si>
  <si>
    <t>2.66亿</t>
  </si>
  <si>
    <t>1.48亿</t>
  </si>
  <si>
    <t>SZ002584</t>
  </si>
  <si>
    <t>西陇科学</t>
  </si>
  <si>
    <t>电子化学品</t>
  </si>
  <si>
    <t>33.38亿</t>
  </si>
  <si>
    <t>33.55亿</t>
  </si>
  <si>
    <t>3852.72万</t>
  </si>
  <si>
    <t>7057.76万</t>
  </si>
  <si>
    <t>SZ002643</t>
  </si>
  <si>
    <t>万润股份</t>
  </si>
  <si>
    <t>29.18亿</t>
  </si>
  <si>
    <t>2.40亿</t>
  </si>
  <si>
    <t>28.70亿</t>
  </si>
  <si>
    <t>26.32亿</t>
  </si>
  <si>
    <t>4.44亿</t>
  </si>
  <si>
    <t>1.32亿</t>
  </si>
  <si>
    <t>3.36亿</t>
  </si>
  <si>
    <t>SZ002741</t>
  </si>
  <si>
    <t>光华科技</t>
  </si>
  <si>
    <t>20.14亿</t>
  </si>
  <si>
    <t>3613.48万</t>
  </si>
  <si>
    <t>17.14亿</t>
  </si>
  <si>
    <t>15.20亿</t>
  </si>
  <si>
    <t>12.99亿</t>
  </si>
  <si>
    <t>1350.54万</t>
  </si>
  <si>
    <t>2.93亿</t>
  </si>
  <si>
    <t>SZ300054</t>
  </si>
  <si>
    <t>鼎龙股份</t>
  </si>
  <si>
    <t>18.17亿</t>
  </si>
  <si>
    <t>-1.60亿</t>
  </si>
  <si>
    <t>1.19亿</t>
  </si>
  <si>
    <t>-2.14亿</t>
  </si>
  <si>
    <t>13.38亿</t>
  </si>
  <si>
    <t>10.50亿</t>
  </si>
  <si>
    <t>3409.06万</t>
  </si>
  <si>
    <t>8.11亿</t>
  </si>
  <si>
    <t>SZ300236</t>
  </si>
  <si>
    <t>上海新阳</t>
  </si>
  <si>
    <t>6.94亿</t>
  </si>
  <si>
    <t>2.14亿</t>
  </si>
  <si>
    <t>1.12亿</t>
  </si>
  <si>
    <t>6.41亿</t>
  </si>
  <si>
    <t>5.60亿</t>
  </si>
  <si>
    <t>4.14亿</t>
  </si>
  <si>
    <t>665.60万</t>
  </si>
  <si>
    <t>SZ300346</t>
  </si>
  <si>
    <t>南大光电</t>
  </si>
  <si>
    <t>5.95亿</t>
  </si>
  <si>
    <t>8701.63万</t>
  </si>
  <si>
    <t>3.21亿</t>
  </si>
  <si>
    <t>2.28亿</t>
  </si>
  <si>
    <t>1.01亿</t>
  </si>
  <si>
    <t>5501.13万</t>
  </si>
  <si>
    <t>5124.23万</t>
  </si>
  <si>
    <t>SZ300398</t>
  </si>
  <si>
    <t>飞凯材料</t>
  </si>
  <si>
    <t>18.64亿</t>
  </si>
  <si>
    <t>2.30亿</t>
  </si>
  <si>
    <t>15.13亿</t>
  </si>
  <si>
    <t>14.46亿</t>
  </si>
  <si>
    <t>2.55亿</t>
  </si>
  <si>
    <t>2.84亿</t>
  </si>
  <si>
    <t>SZ300429</t>
  </si>
  <si>
    <t>强力新材</t>
  </si>
  <si>
    <t>7.76亿</t>
  </si>
  <si>
    <t>9287.15万</t>
  </si>
  <si>
    <t>8.64亿</t>
  </si>
  <si>
    <t>7.39亿</t>
  </si>
  <si>
    <t>1.47亿</t>
  </si>
  <si>
    <t>2.29亿</t>
  </si>
  <si>
    <t>SZ300481</t>
  </si>
  <si>
    <t>濮阳惠成</t>
  </si>
  <si>
    <t>6.36亿</t>
  </si>
  <si>
    <t>2.85亿</t>
  </si>
  <si>
    <t>SZ300537</t>
  </si>
  <si>
    <t>广信材料</t>
  </si>
  <si>
    <t>3.75亿</t>
  </si>
  <si>
    <t>8.09亿</t>
  </si>
  <si>
    <t>6.39亿</t>
  </si>
  <si>
    <t>4.49亿</t>
  </si>
  <si>
    <t>7218.47万</t>
  </si>
  <si>
    <t>5502.93万</t>
  </si>
  <si>
    <t>SZ300576</t>
  </si>
  <si>
    <t>容大感光</t>
  </si>
  <si>
    <t>5.44亿</t>
  </si>
  <si>
    <t>5683.05万</t>
  </si>
  <si>
    <t>3.84亿</t>
  </si>
  <si>
    <t>4.55亿</t>
  </si>
  <si>
    <t>3783.71万</t>
  </si>
  <si>
    <t>4213.97万</t>
  </si>
  <si>
    <t>2.01亿</t>
  </si>
  <si>
    <t>SZ300655</t>
  </si>
  <si>
    <t>晶瑞电材</t>
  </si>
  <si>
    <t>10.22亿</t>
  </si>
  <si>
    <t>7695.01万</t>
  </si>
  <si>
    <t>3131.59万</t>
  </si>
  <si>
    <t>5021.81万</t>
  </si>
  <si>
    <t>SH603078</t>
  </si>
  <si>
    <t>江化微</t>
  </si>
  <si>
    <t>5.64亿</t>
  </si>
  <si>
    <t>5819.29万</t>
  </si>
  <si>
    <t>4.90亿</t>
  </si>
  <si>
    <t>3451.86万</t>
  </si>
  <si>
    <t>3992.31万</t>
  </si>
  <si>
    <t>SH603931</t>
  </si>
  <si>
    <t>格林达</t>
  </si>
  <si>
    <t>5.25亿</t>
  </si>
  <si>
    <t>5.13亿</t>
  </si>
  <si>
    <t>8947.02万</t>
  </si>
  <si>
    <t>SH688019</t>
  </si>
  <si>
    <t>安集科技</t>
  </si>
  <si>
    <t>2.04亿</t>
  </si>
  <si>
    <t>6584.60万</t>
  </si>
  <si>
    <t>4496.24万</t>
  </si>
  <si>
    <t>SH688020</t>
  </si>
  <si>
    <t>方邦股份</t>
  </si>
  <si>
    <t>SH688106</t>
  </si>
  <si>
    <t>金宏气体</t>
  </si>
  <si>
    <t>12.43亿</t>
  </si>
  <si>
    <t>11.61亿</t>
  </si>
  <si>
    <t>10.70亿</t>
  </si>
  <si>
    <t>10.00亿</t>
  </si>
  <si>
    <t>6.87亿</t>
  </si>
  <si>
    <t>7259.47万</t>
  </si>
  <si>
    <t>6784.84万</t>
  </si>
  <si>
    <t>SH688359</t>
  </si>
  <si>
    <t>三孚新科</t>
  </si>
  <si>
    <t>4997.94万</t>
  </si>
  <si>
    <t>3526.42万</t>
  </si>
  <si>
    <t>3105.39万</t>
  </si>
  <si>
    <t>SH688550</t>
  </si>
  <si>
    <t>瑞联新材</t>
  </si>
  <si>
    <t>1.75亿</t>
  </si>
  <si>
    <t>8.57亿</t>
  </si>
  <si>
    <t>9464.21万</t>
  </si>
  <si>
    <t>1.毛利8%，净利小于2%，更像是一般的化工行业，不过开始做试剂，以及芯片业相关的化学制品</t>
    <phoneticPr fontId="1" type="noConversion"/>
  </si>
  <si>
    <t>1.气体零售为主，地域范围有一定影响；2.需要业务拓展需要大量资金投入；3. TGCM模式需要进一步探索；</t>
    <phoneticPr fontId="1" type="noConversion"/>
  </si>
  <si>
    <t>1. 公司固定资产规模较小，产品种类虽多但各产品的产能
均相对较小，如高纯氨、氢气等产品的规模化效应不足，生产成本存在劣势；2.与同行业公司相比，公司不具有空分生产能力，普通工业气体业务主要从事充装和配送的零售业务，亦不从事尾气回收业务，原材料均需向空分企业、化工企业等采购，原材料的成本较高，且对原材料供应稳定性、采购价格的控制力相对较弱；3.如果需要大发展，资金人次都短缺；</t>
    <phoneticPr fontId="1" type="noConversion"/>
  </si>
  <si>
    <t>1.2020年公司对海外混晶客户的销售下滑，这背后的原因是海外液晶厂商受液晶国产化趋势冲击，全球市场份额不断下降；瑞联新材</t>
    <phoneticPr fontId="1" type="noConversion"/>
  </si>
  <si>
    <t>SH603002</t>
  </si>
  <si>
    <t>宏昌电子</t>
  </si>
  <si>
    <t>25.04亿</t>
  </si>
  <si>
    <t>23.50亿</t>
  </si>
  <si>
    <t>18.04亿</t>
  </si>
  <si>
    <t>1.62亿</t>
  </si>
  <si>
    <t>5000.75万</t>
  </si>
  <si>
    <t>代码</t>
  </si>
  <si>
    <t>涨幅%</t>
  </si>
  <si>
    <t>流通股本</t>
  </si>
  <si>
    <t>净利润[20201231]</t>
  </si>
  <si>
    <t>投入资本回报率roic%[20201231]</t>
  </si>
  <si>
    <t>净资产收益率%[20201231]</t>
  </si>
  <si>
    <t>43.59亿</t>
  </si>
  <si>
    <t>6.27亿</t>
  </si>
  <si>
    <t>25.80亿</t>
  </si>
  <si>
    <t>6229.61万</t>
  </si>
  <si>
    <t>1.21亿</t>
  </si>
  <si>
    <t>23.56亿</t>
  </si>
  <si>
    <t>10.16亿</t>
  </si>
  <si>
    <t>9.84亿</t>
  </si>
  <si>
    <t>1.36亿</t>
  </si>
  <si>
    <t>3.86亿</t>
  </si>
  <si>
    <t>10.39亿</t>
  </si>
  <si>
    <t>1.49亿</t>
  </si>
  <si>
    <t>1.67亿</t>
  </si>
  <si>
    <t>13.93亿</t>
  </si>
  <si>
    <t>2.53亿</t>
  </si>
  <si>
    <t>2.35亿</t>
  </si>
  <si>
    <t>6.19亿</t>
  </si>
  <si>
    <t>-4.11亿</t>
  </si>
  <si>
    <t>7.86亿</t>
  </si>
  <si>
    <t>4000.20万</t>
  </si>
  <si>
    <t>18.32亿</t>
  </si>
  <si>
    <t>44.53亿</t>
  </si>
  <si>
    <t>7.92亿</t>
  </si>
  <si>
    <t>5650.77万</t>
  </si>
  <si>
    <t>7.80亿</t>
  </si>
  <si>
    <t>17.41亿</t>
  </si>
  <si>
    <t>莱特光电</t>
  </si>
  <si>
    <t>2.02亿</t>
  </si>
  <si>
    <t>7067.77万</t>
  </si>
  <si>
    <t>6582.63万</t>
  </si>
  <si>
    <t>-883.68万</t>
  </si>
  <si>
    <t>13.47亿</t>
  </si>
  <si>
    <t>5309.03万</t>
  </si>
  <si>
    <t>15.26亿</t>
  </si>
  <si>
    <t xml:space="preserve">    名称</t>
  </si>
  <si>
    <t>净利润?</t>
  </si>
  <si>
    <t>扣非净利润</t>
  </si>
  <si>
    <t>营业总收入[20201231]</t>
  </si>
  <si>
    <t>投入资本回报率roic%[20211231]</t>
  </si>
  <si>
    <t>净资产收益率%[20211231]</t>
  </si>
  <si>
    <t>单季营收增速</t>
  </si>
  <si>
    <t>单季利润增速</t>
  </si>
  <si>
    <t>1-0</t>
  </si>
  <si>
    <t>5.01亿</t>
  </si>
  <si>
    <t>亏损</t>
  </si>
  <si>
    <t>扭亏</t>
  </si>
  <si>
    <t>1-1</t>
  </si>
  <si>
    <t>1.71亿</t>
  </si>
  <si>
    <t>7.63亿</t>
  </si>
  <si>
    <t>12.48亿</t>
  </si>
  <si>
    <t>SH688150</t>
  </si>
  <si>
    <t>SH688268</t>
  </si>
  <si>
    <t>3.83亿</t>
  </si>
  <si>
    <t>LY营业总收入[20211231]</t>
  </si>
  <si>
    <t>权益乘数[20220630]</t>
  </si>
  <si>
    <t>总资产周转率[20220630]</t>
  </si>
  <si>
    <t>净利润／营业总收入%[20220630]</t>
  </si>
  <si>
    <t>营业总成本[20220630]</t>
  </si>
  <si>
    <t>营业成本[20220630]</t>
  </si>
  <si>
    <t>管理费用[20220630]</t>
  </si>
  <si>
    <t>研发费用总额[20220630]</t>
  </si>
  <si>
    <t>细分行业</t>
  </si>
  <si>
    <t>1.43亿</t>
  </si>
  <si>
    <t>3.01亿</t>
  </si>
  <si>
    <t>1.86亿</t>
  </si>
  <si>
    <t>SZ300285</t>
  </si>
  <si>
    <t>国瓷材料</t>
  </si>
  <si>
    <t>31.62亿</t>
  </si>
  <si>
    <t>7.95亿</t>
  </si>
  <si>
    <t>25.42亿</t>
  </si>
  <si>
    <t>21.53亿</t>
  </si>
  <si>
    <t>17.98亿</t>
  </si>
  <si>
    <t>5.74亿</t>
  </si>
  <si>
    <t>5.43亿</t>
  </si>
  <si>
    <t>1.68亿</t>
  </si>
  <si>
    <t>3.13亿</t>
  </si>
  <si>
    <t>3.31亿</t>
  </si>
  <si>
    <t>7.30亿</t>
  </si>
  <si>
    <t>8.63亿</t>
  </si>
  <si>
    <t>SZ300684</t>
  </si>
  <si>
    <t>中石科技</t>
  </si>
  <si>
    <t>1.23亿</t>
  </si>
  <si>
    <t>SH688035</t>
  </si>
  <si>
    <t>德邦科技</t>
  </si>
  <si>
    <t>7588.59万</t>
  </si>
  <si>
    <t>4.17亿</t>
  </si>
  <si>
    <t>3.27亿</t>
  </si>
  <si>
    <t>5014.99万</t>
  </si>
  <si>
    <t>3573.80万</t>
  </si>
  <si>
    <t>-169.19万</t>
  </si>
  <si>
    <t>1.63亿</t>
  </si>
  <si>
    <t>5.31亿</t>
  </si>
  <si>
    <t>SZ301319</t>
  </si>
  <si>
    <t>唯特偶</t>
  </si>
  <si>
    <t>8231.37万</t>
  </si>
  <si>
    <t>1.34亿</t>
  </si>
  <si>
    <t>5.91亿</t>
  </si>
  <si>
    <t>5.18亿</t>
  </si>
  <si>
    <t>4.67亿</t>
  </si>
  <si>
    <t>6523.78万</t>
  </si>
  <si>
    <t>5416.01万</t>
  </si>
  <si>
    <t>4100.14万</t>
  </si>
  <si>
    <t>2.41亿</t>
  </si>
  <si>
    <t>3.96亿</t>
  </si>
  <si>
    <t>1.69亿</t>
  </si>
  <si>
    <t>3.67亿</t>
  </si>
  <si>
    <t>7.35亿</t>
  </si>
  <si>
    <t>1.94亿</t>
  </si>
  <si>
    <t>2.43亿</t>
  </si>
  <si>
    <t>1.95亿</t>
  </si>
  <si>
    <t>1.60亿</t>
  </si>
  <si>
    <t>3.65亿</t>
  </si>
  <si>
    <t>4.98亿</t>
  </si>
  <si>
    <t>4.35亿</t>
  </si>
  <si>
    <t>1.05亿</t>
  </si>
  <si>
    <t>2.80亿</t>
  </si>
  <si>
    <t>1.00亿</t>
  </si>
  <si>
    <t>1.61亿</t>
  </si>
  <si>
    <r>
      <t>1.随着新能源发展，我们也在新能源汽车上开始陆陆续续放量，因为纯电动汽车现在电机用的轴承对电解液、电机腐蚀要求比较高，</t>
    </r>
    <r>
      <rPr>
        <sz val="9"/>
        <color rgb="FFFF0000"/>
        <rFont val="宋体"/>
        <family val="3"/>
        <charset val="134"/>
        <scheme val="minor"/>
      </rPr>
      <t>传统的钢球是不耐腐蚀</t>
    </r>
    <r>
      <rPr>
        <sz val="9"/>
        <color theme="1"/>
        <rFont val="宋体"/>
        <family val="3"/>
        <charset val="134"/>
        <scheme val="minor"/>
      </rPr>
      <t>的，一旦出现电腐蚀就会影响电机的效率和整个电动车的使用寿命，所以现在绝大部分电动车开始采用新的生产工艺路线，用</t>
    </r>
    <r>
      <rPr>
        <sz val="9"/>
        <color rgb="FFFF0000"/>
        <rFont val="宋体"/>
        <family val="3"/>
        <charset val="134"/>
        <scheme val="minor"/>
      </rPr>
      <t>陶瓷球来替换钢球</t>
    </r>
    <r>
      <rPr>
        <sz val="9"/>
        <color theme="1"/>
        <rFont val="宋体"/>
        <family val="3"/>
        <charset val="134"/>
        <scheme val="minor"/>
      </rPr>
      <t>；2.分子筛在公司的催化板块材料中，用于沸石蜂窝、转轮等领域的分子分离吸附、干燥净化和活化催化；</t>
    </r>
    <phoneticPr fontId="1" type="noConversion"/>
  </si>
  <si>
    <r>
      <t>1.问：公司年产65吨</t>
    </r>
    <r>
      <rPr>
        <sz val="9"/>
        <color rgb="FFFF0000"/>
        <rFont val="宋体"/>
        <family val="3"/>
        <charset val="134"/>
        <scheme val="minor"/>
      </rPr>
      <t>光刻胶树脂</t>
    </r>
    <r>
      <rPr>
        <sz val="9"/>
        <color theme="1"/>
        <rFont val="宋体"/>
        <family val="2"/>
        <charset val="134"/>
        <scheme val="minor"/>
      </rPr>
      <t>项目目前进展如何？答：公司“年产65吨光刻胶树脂系列产品项目”前期已经通过了安全设施竣工验收评审，目前</t>
    </r>
    <r>
      <rPr>
        <sz val="9"/>
        <color rgb="FFFF0000"/>
        <rFont val="宋体"/>
        <family val="3"/>
        <charset val="134"/>
        <scheme val="minor"/>
      </rPr>
      <t>主要为开展工艺优化与调试工作</t>
    </r>
    <r>
      <rPr>
        <sz val="9"/>
        <color theme="1"/>
        <rFont val="宋体"/>
        <family val="2"/>
        <charset val="134"/>
        <scheme val="minor"/>
      </rPr>
      <t>，现已基本具备了生产合格产品的条件，后续还将继续优化，而后开始试生产，力争尽快投入使用;2.虽然目前国际经济形势依然严峻，但公司将继续坚定的向着成为世界先进化学材料制造者的目标前行。</t>
    </r>
    <phoneticPr fontId="1" type="noConversion"/>
  </si>
  <si>
    <t>成交量[20221209]</t>
  </si>
  <si>
    <t>营业收入(同比增长率) %[20220930]</t>
  </si>
  <si>
    <t>LY净利润[20211231]</t>
  </si>
  <si>
    <t>销售费用[20220930]</t>
  </si>
  <si>
    <t>其他收入[20220930]</t>
  </si>
  <si>
    <t>货币资金[20220930]</t>
  </si>
  <si>
    <t>应收票据[20220930]</t>
  </si>
  <si>
    <t>固定资产[20220930]</t>
  </si>
  <si>
    <t>在建工程[20220930]</t>
  </si>
  <si>
    <t>短期借款[20220930]</t>
  </si>
  <si>
    <t>应付票据[20220930]</t>
  </si>
  <si>
    <t>应付账款[20220930]</t>
  </si>
  <si>
    <t>预收款项[20220930]</t>
  </si>
  <si>
    <t>流动负债[20220930]</t>
  </si>
  <si>
    <t>长期借款[20220930]</t>
  </si>
  <si>
    <t>经营活动产生的现金流量净额[20220930]</t>
  </si>
  <si>
    <t>投资活动产生的现金流量净额[20220930]</t>
  </si>
  <si>
    <t>筹资活动产生的现金流量净额[20220930]</t>
  </si>
  <si>
    <t>CYLQ营业收入[20220630]</t>
  </si>
  <si>
    <t>LYCQ营业收入[20210930]</t>
  </si>
  <si>
    <t>LYLQ营业收入[20210630]</t>
  </si>
  <si>
    <t>CYLQ净利润[20220630]</t>
  </si>
  <si>
    <t>LYCQ净利润[20210930]</t>
  </si>
  <si>
    <t>LYLQ净利润[20210630]</t>
  </si>
  <si>
    <t>分红明细[20211231]</t>
  </si>
  <si>
    <t>销售毛利率%[20220630]</t>
  </si>
  <si>
    <t>销售净利率%[20220630]</t>
  </si>
  <si>
    <t>区间涨跌幅:前复权%[20221205-20221209]</t>
  </si>
  <si>
    <t>区间涨跌幅:前复权%[20221031-20221209]</t>
  </si>
  <si>
    <t>区间成交量[20221205-20221209]</t>
  </si>
  <si>
    <t>指数@区间成交量[20221031-20221209]</t>
  </si>
  <si>
    <t>市销率</t>
    <phoneticPr fontId="1" type="noConversion"/>
  </si>
  <si>
    <t>扣非对比净利润</t>
    <phoneticPr fontId="1" type="noConversion"/>
  </si>
  <si>
    <t>股利率</t>
    <phoneticPr fontId="1" type="noConversion"/>
  </si>
  <si>
    <t>过往营收增速均值</t>
    <phoneticPr fontId="1" type="noConversion"/>
  </si>
  <si>
    <t>过往利润增速均值</t>
    <phoneticPr fontId="1" type="noConversion"/>
  </si>
  <si>
    <t>折现率</t>
    <phoneticPr fontId="1" type="noConversion"/>
  </si>
  <si>
    <t>1年自由现金流折现</t>
    <phoneticPr fontId="1" type="noConversion"/>
  </si>
  <si>
    <t>1增速</t>
    <phoneticPr fontId="1" type="noConversion"/>
  </si>
  <si>
    <t>3年自由现金流折现</t>
    <phoneticPr fontId="1" type="noConversion"/>
  </si>
  <si>
    <t>3增速</t>
    <phoneticPr fontId="1" type="noConversion"/>
  </si>
  <si>
    <t>6年自由现金流折现</t>
    <phoneticPr fontId="1" type="noConversion"/>
  </si>
  <si>
    <t>6增速</t>
    <phoneticPr fontId="1" type="noConversion"/>
  </si>
  <si>
    <t>10年自由现金流折现</t>
    <phoneticPr fontId="1" type="noConversion"/>
  </si>
  <si>
    <t>10增速</t>
    <phoneticPr fontId="1" type="noConversion"/>
  </si>
  <si>
    <t>20年自由现金流折现</t>
    <phoneticPr fontId="1" type="noConversion"/>
  </si>
  <si>
    <t>承担负债现期溢价</t>
    <phoneticPr fontId="1" type="noConversion"/>
  </si>
  <si>
    <t>清算价格</t>
    <phoneticPr fontId="1" type="noConversion"/>
  </si>
  <si>
    <t>原始顺序</t>
    <phoneticPr fontId="1" type="noConversion"/>
  </si>
  <si>
    <t>策略1营收单季最佳增速</t>
    <phoneticPr fontId="1" type="noConversion"/>
  </si>
  <si>
    <t>策略1利润单季最佳增速</t>
    <phoneticPr fontId="1" type="noConversion"/>
  </si>
  <si>
    <t>营收成长策略</t>
    <phoneticPr fontId="1" type="noConversion"/>
  </si>
  <si>
    <t>利润成长策略</t>
    <phoneticPr fontId="1" type="noConversion"/>
  </si>
  <si>
    <t>营收和利润加权</t>
    <phoneticPr fontId="1" type="noConversion"/>
  </si>
  <si>
    <t>价格变动策略</t>
    <phoneticPr fontId="1" type="noConversion"/>
  </si>
  <si>
    <t>成交量综合策略</t>
    <phoneticPr fontId="1" type="noConversion"/>
  </si>
  <si>
    <t>量价齐升策略</t>
    <phoneticPr fontId="1" type="noConversion"/>
  </si>
  <si>
    <t>基本面排序</t>
    <phoneticPr fontId="1" type="noConversion"/>
  </si>
  <si>
    <t>综合策略</t>
    <phoneticPr fontId="1" type="noConversion"/>
  </si>
  <si>
    <t>机会区域号</t>
    <phoneticPr fontId="1" type="noConversion"/>
  </si>
  <si>
    <t>5日成交换手率</t>
    <phoneticPr fontId="1" type="noConversion"/>
  </si>
  <si>
    <t>30日成交换手率</t>
    <phoneticPr fontId="1" type="noConversion"/>
  </si>
  <si>
    <t>昨日价格累计指数</t>
    <phoneticPr fontId="1" type="noConversion"/>
  </si>
  <si>
    <t>今日价格累积指数</t>
    <phoneticPr fontId="1" type="noConversion"/>
  </si>
  <si>
    <t>成交量异动策略</t>
    <phoneticPr fontId="1" type="noConversion"/>
  </si>
  <si>
    <t>价格箱体形态过滤</t>
    <phoneticPr fontId="1" type="noConversion"/>
  </si>
  <si>
    <t>价格右侧初期策略</t>
    <phoneticPr fontId="1" type="noConversion"/>
  </si>
  <si>
    <t>N日期</t>
    <phoneticPr fontId="1" type="noConversion"/>
  </si>
  <si>
    <t>N-4</t>
    <phoneticPr fontId="1" type="noConversion"/>
  </si>
  <si>
    <t>N-3</t>
    <phoneticPr fontId="1" type="noConversion"/>
  </si>
  <si>
    <t>N-2</t>
    <phoneticPr fontId="1" type="noConversion"/>
  </si>
  <si>
    <t>N-1</t>
    <phoneticPr fontId="1" type="noConversion"/>
  </si>
  <si>
    <t>N</t>
    <phoneticPr fontId="1" type="noConversion"/>
  </si>
  <si>
    <t>不分配不转增</t>
  </si>
  <si>
    <t>10派4元(含税)</t>
  </si>
  <si>
    <t>2.88亿</t>
  </si>
  <si>
    <t>10派1元(含税)</t>
  </si>
  <si>
    <t>-1-0</t>
  </si>
  <si>
    <t>-1-1</t>
  </si>
  <si>
    <t>1. 未来的增长点相对比较综合，比如并购、区域布局、战略合作、产品迭代、气体回收（氢气、二氧化碳）等等。通过规范化管理，公司未来能够做到更专业、更精准、更高效；2.公司发展未来定位：纵向布局特气国产化，横向布局大宗充装储运网点和资源型产品回收网点的往外铺设，天然气作为辅助业务；未来特气增长会相对比较快，其次是资源型产品像二氧化碳和氢气也会做重点的布局；3.问：现有的储备项目中哪些的空间比较大？答：氯气、氯化氢、TEOS；4.问：公司现在供应给半导体的气体有哪些？答：超纯氨、氧化亚氮、八氟环丁烷等；5.生产设备均为量身定制的，检测设备以进口为主；6.国内电子特气市占率：普通气体占比不到1%，特气占比是2%多；7.我国电子特种气体市场中空气化工、液化空气、大阳日酸、普莱克斯、林德集团等国外气体公司的合计市场占比为88%，国内气体公司市场份额合计仅占12%；8.国内具体气体占有率，特气:超纯氨 50%以上，高纯氢 6.48%，氦气 2.57%大宗：氮气 1.85%，氧气 0.57%，氩气 0.95%，二氧化碳 2.69%</t>
    <phoneticPr fontId="1" type="noConversion"/>
  </si>
  <si>
    <r>
      <t>1.</t>
    </r>
    <r>
      <rPr>
        <b/>
        <sz val="9"/>
        <color rgb="FFFF0000"/>
        <rFont val="宋体"/>
        <family val="3"/>
        <charset val="134"/>
        <scheme val="minor"/>
      </rPr>
      <t>锗烷</t>
    </r>
    <r>
      <rPr>
        <sz val="9"/>
        <color theme="1"/>
        <rFont val="宋体"/>
        <family val="3"/>
        <charset val="134"/>
        <scheme val="minor"/>
      </rPr>
      <t xml:space="preserve">产品全球用量还是比较大的，尤其是该产品昂贵，每吨达千万元，目前全球90%以上的锗烷市场由美国Voltaix公司垄断。对于锗烷产品的国产化，产能提升等还是有很大的市场空间；2.目前，公司是我国唯一通过 </t>
    </r>
    <r>
      <rPr>
        <b/>
        <sz val="9"/>
        <color rgb="FFFF0000"/>
        <rFont val="宋体"/>
        <family val="3"/>
        <charset val="134"/>
        <scheme val="minor"/>
      </rPr>
      <t>ASML</t>
    </r>
    <r>
      <rPr>
        <sz val="9"/>
        <color theme="1"/>
        <rFont val="宋体"/>
        <family val="3"/>
        <charset val="134"/>
        <scheme val="minor"/>
      </rPr>
      <t xml:space="preserve"> 公司认证的气体公司，亦是全球仅有的上述 4 个产品全部通过其认证的四家气体公司之一；5. 问：公司特气类产品的核心竞争力是什么？
答：主要是气体纯化技术、气体混配技术、钢瓶处理技术和气体分析检测技术这四个方面。6.公司去年已经获得海力士的认证，今年已有少量订单在供货。三星已进入到中试的认证阶段，根据情况而定，一般一个阶段大约需要半年时间，预计明年上半年会有个最终的结果；7.公司的特种气体主要面向集成电路、显示面板、光伏能源等半导体产业；8.在持续研发之下，公司成为国内首家打破高纯六氟乙烷（60.26%）、高纯三氟甲烷（14.5%）、高纯八氟丙烷、高纯二氧化碳（35.7%）、高纯一氧化碳（20.6%)、高纯一氧化氮、Ar/F/Ne 混合气、Kr/Ne 混合气、Ar/Ne 混合气、Kr/F/Ne 混合气(四种都是60%国内占有率）等产品进口制约的气体公司，并实现了近 20 个产品的进口替代，是中国特种气体国产化的先行者；9. 公司在国内特种气体市占率在1.44%；</t>
    </r>
    <phoneticPr fontId="1" type="noConversion"/>
  </si>
  <si>
    <r>
      <t>1.问：电子化学品有哪些产品？答：公司在电子化学品板块还有</t>
    </r>
    <r>
      <rPr>
        <sz val="9"/>
        <color rgb="FFFF0000"/>
        <rFont val="宋体"/>
        <family val="3"/>
        <charset val="134"/>
        <scheme val="minor"/>
      </rPr>
      <t>光刻胶材料</t>
    </r>
    <r>
      <rPr>
        <sz val="9"/>
        <color theme="1"/>
        <rFont val="宋体"/>
        <family val="3"/>
        <charset val="134"/>
        <scheme val="minor"/>
      </rPr>
      <t>、</t>
    </r>
    <r>
      <rPr>
        <sz val="9"/>
        <color rgb="FFFF0000"/>
        <rFont val="宋体"/>
        <family val="3"/>
        <charset val="134"/>
        <scheme val="minor"/>
      </rPr>
      <t>聚酰亚胺材料和有机绝缘膜材料</t>
    </r>
    <r>
      <rPr>
        <sz val="9"/>
        <color theme="1"/>
        <rFont val="宋体"/>
        <family val="3"/>
        <charset val="134"/>
        <scheme val="minor"/>
      </rPr>
      <t>等领域都有布局。光刻胶单体已经研发出多个产品，部分产品已经规模化销售，还有些已经做出中试批次，发给客户等待验证。2.问：对OLED行业的增速如何判断？答：公司</t>
    </r>
    <r>
      <rPr>
        <sz val="9"/>
        <color rgb="FFFF0000"/>
        <rFont val="宋体"/>
        <family val="3"/>
        <charset val="134"/>
        <scheme val="minor"/>
      </rPr>
      <t>坚定看好OLED板块的发展</t>
    </r>
    <r>
      <rPr>
        <sz val="9"/>
        <color theme="1"/>
        <rFont val="宋体"/>
        <family val="3"/>
        <charset val="134"/>
        <scheme val="minor"/>
      </rPr>
      <t>，大尺寸方面，目前OLED电视机的渗透率还比较低，我们认为OLED板块市场空间巨大，未来增速可期。</t>
    </r>
    <phoneticPr fontId="1" type="noConversion"/>
  </si>
  <si>
    <t>3.90亿</t>
  </si>
  <si>
    <t>2.38亿</t>
  </si>
  <si>
    <t>61.83亿</t>
  </si>
  <si>
    <t>9.29亿</t>
  </si>
  <si>
    <t>53.80亿</t>
  </si>
  <si>
    <t>56.46亿</t>
  </si>
  <si>
    <t>1.87亿</t>
  </si>
  <si>
    <t>5818.76万</t>
  </si>
  <si>
    <t>50.80亿</t>
  </si>
  <si>
    <t>7.21亿</t>
  </si>
  <si>
    <t>33.02亿</t>
  </si>
  <si>
    <t>1.52亿</t>
  </si>
  <si>
    <t>27.21亿</t>
  </si>
  <si>
    <t>10派0.5元(含税)</t>
  </si>
  <si>
    <t>11.96亿</t>
  </si>
  <si>
    <t>5323.42万</t>
  </si>
  <si>
    <t>9366.83万</t>
  </si>
  <si>
    <t>31.67亿</t>
  </si>
  <si>
    <t>4.97亿</t>
  </si>
  <si>
    <t>2.08亿</t>
  </si>
  <si>
    <t>15.81亿</t>
  </si>
  <si>
    <t>7.99亿</t>
  </si>
  <si>
    <t>2.57亿</t>
  </si>
  <si>
    <t>1.74亿</t>
  </si>
  <si>
    <t>10派0.8元(含税)</t>
  </si>
  <si>
    <t>8.91亿</t>
  </si>
  <si>
    <t>-9266.10万</t>
  </si>
  <si>
    <t>2.95亿</t>
  </si>
  <si>
    <t>2.73亿</t>
  </si>
  <si>
    <t>-3198.87万</t>
  </si>
  <si>
    <t>3.15亿</t>
  </si>
  <si>
    <t>17.46亿</t>
  </si>
  <si>
    <t>15.92亿</t>
  </si>
  <si>
    <t>10.45亿</t>
  </si>
  <si>
    <t>SH600330</t>
  </si>
  <si>
    <t>天通股份</t>
  </si>
  <si>
    <t>45.08亿</t>
  </si>
  <si>
    <t>6.69亿</t>
  </si>
  <si>
    <t>40.85亿</t>
  </si>
  <si>
    <t>31.56亿</t>
  </si>
  <si>
    <t>27.80亿</t>
  </si>
  <si>
    <t>26.10亿</t>
  </si>
  <si>
    <t>4.15亿</t>
  </si>
  <si>
    <t>3.81亿</t>
  </si>
  <si>
    <t>SH600666</t>
  </si>
  <si>
    <t>ST瑞德</t>
  </si>
  <si>
    <t>7.00亿</t>
  </si>
  <si>
    <t>5.20亿</t>
  </si>
  <si>
    <t>11.20亿</t>
  </si>
  <si>
    <t>-4.83亿</t>
  </si>
  <si>
    <t>-6.85亿</t>
  </si>
  <si>
    <t>6714.03万</t>
  </si>
  <si>
    <t>-17.41亿</t>
  </si>
  <si>
    <t>3.11亿</t>
  </si>
  <si>
    <t>30.22亿</t>
  </si>
  <si>
    <t>5.57亿</t>
  </si>
  <si>
    <t>9.39亿</t>
  </si>
  <si>
    <t>2.44亿</t>
  </si>
  <si>
    <t>8.48亿</t>
  </si>
  <si>
    <t>10派2.5元(含税)</t>
  </si>
  <si>
    <t>10.77亿</t>
  </si>
  <si>
    <t>1.72亿</t>
  </si>
  <si>
    <t>3309.05万</t>
  </si>
  <si>
    <t>10派3元(含税)</t>
  </si>
  <si>
    <t>19.67亿</t>
  </si>
  <si>
    <t>SH688146</t>
  </si>
  <si>
    <t>中船特气</t>
  </si>
  <si>
    <t>19.56亿</t>
  </si>
  <si>
    <t>17.33亿</t>
  </si>
  <si>
    <t>12.20亿</t>
  </si>
  <si>
    <t>10.37亿</t>
  </si>
  <si>
    <t>3.55亿</t>
  </si>
  <si>
    <t>1.96亿</t>
  </si>
  <si>
    <t>2.06亿</t>
  </si>
  <si>
    <t>3-1</t>
  </si>
  <si>
    <t>3.41亿</t>
  </si>
  <si>
    <t>18.03亿</t>
  </si>
  <si>
    <t>3.45亿</t>
  </si>
  <si>
    <t>-3224.22万</t>
  </si>
  <si>
    <t>SH688371</t>
  </si>
  <si>
    <t>菲沃泰</t>
  </si>
  <si>
    <t>4.10亿</t>
  </si>
  <si>
    <t>6991.02万</t>
  </si>
  <si>
    <t>3931.56万</t>
  </si>
  <si>
    <t>5555.00万</t>
  </si>
  <si>
    <t>3168.57万</t>
  </si>
  <si>
    <t>1494.71万</t>
  </si>
  <si>
    <t>SH688549</t>
  </si>
  <si>
    <t>1052.23万</t>
  </si>
  <si>
    <t>3.23亿</t>
  </si>
  <si>
    <t>3.00亿</t>
  </si>
  <si>
    <t>5.66亿</t>
  </si>
  <si>
    <t>4.00亿</t>
  </si>
  <si>
    <t>1.56亿</t>
  </si>
  <si>
    <t>3332.03万</t>
  </si>
  <si>
    <t>2467.16万</t>
  </si>
  <si>
    <t>-620.60万</t>
  </si>
  <si>
    <t>-1509.54万</t>
  </si>
  <si>
    <t>2.05亿</t>
  </si>
  <si>
    <t>14.80亿</t>
  </si>
  <si>
    <t>2.47亿</t>
  </si>
  <si>
    <t>1.81亿</t>
  </si>
  <si>
    <t>2.74亿</t>
  </si>
  <si>
    <t>SH688603</t>
  </si>
  <si>
    <t>天承科技</t>
  </si>
  <si>
    <t>3.74亿</t>
  </si>
  <si>
    <t>4498.07万</t>
  </si>
  <si>
    <t>3878.01万</t>
  </si>
  <si>
    <t>2298.53万</t>
  </si>
  <si>
    <t>1.38亿</t>
  </si>
  <si>
    <t>15.97亿</t>
  </si>
  <si>
    <t>1.20亿</t>
  </si>
  <si>
    <t>2000.00万</t>
  </si>
  <si>
    <t>-2-1</t>
  </si>
  <si>
    <t>SH688548</t>
  </si>
  <si>
    <t>广钢气体</t>
  </si>
  <si>
    <t>15.40亿</t>
  </si>
  <si>
    <t>11.78亿</t>
  </si>
  <si>
    <t>8.67亿</t>
  </si>
  <si>
    <t>2.70亿</t>
  </si>
  <si>
    <t>8438.73万</t>
  </si>
  <si>
    <t>SH688602</t>
  </si>
  <si>
    <t>康鹏科技</t>
  </si>
  <si>
    <t>12.38亿</t>
  </si>
  <si>
    <t>10.05亿</t>
  </si>
  <si>
    <t>6.29亿</t>
  </si>
  <si>
    <t>7.08亿</t>
  </si>
  <si>
    <t>9027.67万</t>
  </si>
  <si>
    <t>1.潜江三期 CMP 抛光垫 20 万片产能从 2023 年起逐步释放，110 吨键合胶产能及 40吨封装光刻胶产能分别从 2023Q2 和 2023H2 起逐步释放，1000 吨光敏聚酰亚胺二期扩产项目从 2023 年下半年起逐步达产，仙桃年产 1 万吨 CMP 用清洗液扩产项目、年产 2 万吨 CMP 抛光液扩产项目及研磨粒子配套扩产项目等的产能于 2023 年安装完毕，2024 年起逐步释放业绩;</t>
    <phoneticPr fontId="1" type="noConversion"/>
  </si>
  <si>
    <t xml:space="preserve">1.本报告期，公司实现营业收入 11.59 亿元，较上年同期下降 11.67%，主要系：（1）合并报表范围减少珠海天硌收入所致。如剔除珠海天硌出表因素影响，公司营业收入较上年同期下降 7.9%；（2）报告期内，半导体行业下游应用端周期调整需求疲软，公司抛光垫产品销售收入同比下降；且耗材板块上游彩色碳粉产品受终端市场需求疲软及某原装彩粉厂商供应链恢复等因素影响销售收入亦同比下降。公司实现归属于上市公司股东的净利润 0.96 亿元，较上年同期下降50.70%，影响因素主要系：（1）CMP 抛光垫、耗材上游高毛利产品的利润同比下滑；（2）公司在光电半导体领域等
新项目研发投入力度的加大，研发费用增加影响净利润同比下降 3,312.89 万元；（3）本报告期汇兑收益同比减少及因银行借款利息成本增加，财务费用同比增加影响净利润下降 871.18 万元。2.陶氏公司占CPM抛光垫79%市场份额，3M,卡博特，日本东丽，台湾三方化学；国内有江丰电子，万华化学，十方机电；CPM抛光液，Cabot市占率36%，安集科技在铜抛光有一定优势；
</t>
    <phoneticPr fontId="1" type="noConversion"/>
  </si>
  <si>
    <t>5.26亿</t>
  </si>
  <si>
    <t>6.32亿</t>
  </si>
  <si>
    <t>7.97亿</t>
  </si>
  <si>
    <t>4.61亿</t>
  </si>
  <si>
    <t>1.24亿</t>
  </si>
  <si>
    <t>3.19亿</t>
  </si>
  <si>
    <t>2.62亿</t>
  </si>
  <si>
    <t>2.11亿</t>
  </si>
  <si>
    <t>22.40亿</t>
  </si>
  <si>
    <t>2.96亿</t>
  </si>
  <si>
    <t>-3-0</t>
  </si>
  <si>
    <t>7.38亿</t>
  </si>
  <si>
    <t>2.34亿</t>
  </si>
  <si>
    <t>-5-0</t>
  </si>
  <si>
    <t>6.95亿</t>
  </si>
  <si>
    <t>3.92亿</t>
  </si>
  <si>
    <t>SZ301489</t>
  </si>
  <si>
    <t>思泉新材</t>
  </si>
  <si>
    <t>5738.81万</t>
  </si>
  <si>
    <t>5299.17万</t>
  </si>
  <si>
    <t>3656.38万</t>
  </si>
  <si>
    <t>2515.75万</t>
  </si>
  <si>
    <t>27.29亿</t>
  </si>
  <si>
    <t>2.12亿</t>
  </si>
  <si>
    <t>1.99亿</t>
  </si>
  <si>
    <t>-4-1</t>
  </si>
  <si>
    <t>3.09亿</t>
  </si>
  <si>
    <t>2.07亿</t>
  </si>
  <si>
    <t>6.33亿</t>
  </si>
  <si>
    <t>1.04亿</t>
  </si>
  <si>
    <t>3.30亿</t>
  </si>
  <si>
    <t>2.23亿</t>
  </si>
  <si>
    <t>3.39亿</t>
  </si>
  <si>
    <t>中巨芯-U</t>
  </si>
  <si>
    <t>9.32亿</t>
  </si>
  <si>
    <t>5.62亿</t>
  </si>
  <si>
    <t>24.15亿</t>
  </si>
  <si>
    <t>21.80亿</t>
  </si>
  <si>
    <t>76.93亿</t>
  </si>
  <si>
    <t>3334.78万</t>
  </si>
  <si>
    <t>1.31亿</t>
  </si>
  <si>
    <t>-2750591亿</t>
  </si>
  <si>
    <t>4755824亿</t>
  </si>
  <si>
    <t>1303034130亿</t>
  </si>
  <si>
    <t>3240753900亿</t>
  </si>
  <si>
    <t>6.24亿</t>
  </si>
  <si>
    <t>8906.37万</t>
  </si>
  <si>
    <t>10派0.2元(含税)</t>
  </si>
  <si>
    <t>24.72亿</t>
  </si>
  <si>
    <t>9.38亿</t>
  </si>
  <si>
    <t>43.05亿</t>
  </si>
  <si>
    <t>1.33亿</t>
  </si>
  <si>
    <t>754032亿</t>
  </si>
  <si>
    <t>88523412亿</t>
  </si>
  <si>
    <t>596455610亿</t>
  </si>
  <si>
    <t>4173308900亿</t>
  </si>
  <si>
    <t>18.94亿</t>
  </si>
  <si>
    <t>5.12亿</t>
  </si>
  <si>
    <t>26.99亿</t>
  </si>
  <si>
    <t>-4.31亿</t>
  </si>
  <si>
    <t>2426057亿</t>
  </si>
  <si>
    <t>3.29亿</t>
  </si>
  <si>
    <t>458327410亿</t>
  </si>
  <si>
    <t>1491268400亿</t>
  </si>
  <si>
    <t>4.85亿</t>
  </si>
  <si>
    <t>26.67亿</t>
  </si>
  <si>
    <t>2.22亿</t>
  </si>
  <si>
    <t>1432718亿</t>
  </si>
  <si>
    <t>65847769亿</t>
  </si>
  <si>
    <t>810193110亿</t>
  </si>
  <si>
    <t>2744785500亿</t>
  </si>
  <si>
    <t>13.61亿</t>
  </si>
  <si>
    <t>2.97亿</t>
  </si>
  <si>
    <t>12.12亿</t>
  </si>
  <si>
    <t>-2953607亿</t>
  </si>
  <si>
    <t>31068137亿</t>
  </si>
  <si>
    <t>8.70亿</t>
  </si>
  <si>
    <t>523707570亿</t>
  </si>
  <si>
    <t>1954666700亿</t>
  </si>
  <si>
    <t>2.61亿</t>
  </si>
  <si>
    <t>19.93亿</t>
  </si>
  <si>
    <t>8.27亿</t>
  </si>
  <si>
    <t>38.59亿</t>
  </si>
  <si>
    <t>5.69亿</t>
  </si>
  <si>
    <t>2897598亿</t>
  </si>
  <si>
    <t>120896716亿</t>
  </si>
  <si>
    <t>1701368900亿</t>
  </si>
  <si>
    <t>2.27亿</t>
  </si>
  <si>
    <t>3758693800亿</t>
  </si>
  <si>
    <t>2.83亿</t>
  </si>
  <si>
    <t>5.09亿</t>
  </si>
  <si>
    <t>17.03亿</t>
  </si>
  <si>
    <t>2.03亿</t>
  </si>
  <si>
    <t>2771968亿</t>
  </si>
  <si>
    <t>61530329亿</t>
  </si>
  <si>
    <t>550146960亿</t>
  </si>
  <si>
    <t>3133799700亿</t>
  </si>
  <si>
    <t>2.65亿</t>
  </si>
  <si>
    <t>5.29亿</t>
  </si>
  <si>
    <t>3.10亿</t>
  </si>
  <si>
    <t>3.98亿</t>
  </si>
  <si>
    <t>10派0.35元(含税)</t>
  </si>
  <si>
    <t>25.36亿</t>
  </si>
  <si>
    <t>6.68亿</t>
  </si>
  <si>
    <t>1231079亿</t>
  </si>
  <si>
    <t>66247210亿</t>
  </si>
  <si>
    <t>974306240亿</t>
  </si>
  <si>
    <t>3319597100亿</t>
  </si>
  <si>
    <t>18.97亿</t>
  </si>
  <si>
    <t>2.15亿</t>
  </si>
  <si>
    <t>-4588.30万</t>
  </si>
  <si>
    <t>23545925亿</t>
  </si>
  <si>
    <t>-12792788亿</t>
  </si>
  <si>
    <t>145389230亿</t>
  </si>
  <si>
    <t>1144708680亿</t>
  </si>
  <si>
    <t>2.50亿</t>
  </si>
  <si>
    <t>13.79亿</t>
  </si>
  <si>
    <t>2744280亿</t>
  </si>
  <si>
    <t>49072783亿</t>
  </si>
  <si>
    <t>6.47亿</t>
  </si>
  <si>
    <t>269689630亿</t>
  </si>
  <si>
    <t>1948443800亿</t>
  </si>
  <si>
    <t>4.83亿</t>
  </si>
  <si>
    <t>5.10亿</t>
  </si>
  <si>
    <t>689.72万</t>
  </si>
  <si>
    <t>3.28亿</t>
  </si>
  <si>
    <t>212559亿</t>
  </si>
  <si>
    <t>14592457亿</t>
  </si>
  <si>
    <t>231366810亿</t>
  </si>
  <si>
    <t>664454390亿</t>
  </si>
  <si>
    <t>2.16亿</t>
  </si>
  <si>
    <t>8548.57万</t>
  </si>
  <si>
    <t>66096亿</t>
  </si>
  <si>
    <t>33382776亿</t>
  </si>
  <si>
    <t>3.77亿</t>
  </si>
  <si>
    <t>359283700亿</t>
  </si>
  <si>
    <t>1025065990亿</t>
  </si>
  <si>
    <t>1.79亿</t>
  </si>
  <si>
    <t>3.70亿</t>
  </si>
  <si>
    <t>5268.78万</t>
  </si>
  <si>
    <t>1.65亿</t>
  </si>
  <si>
    <t>10转2股派0.75元(含税)</t>
  </si>
  <si>
    <t>2.17亿</t>
  </si>
  <si>
    <t>2-1</t>
  </si>
  <si>
    <t>16.36亿</t>
  </si>
  <si>
    <t>1482.28万</t>
  </si>
  <si>
    <t>-429134亿</t>
  </si>
  <si>
    <t>54246亿</t>
  </si>
  <si>
    <t>404095870亿</t>
  </si>
  <si>
    <t>2701042600亿</t>
  </si>
  <si>
    <t>7.52亿</t>
  </si>
  <si>
    <t>11.00亿</t>
  </si>
  <si>
    <t>10派0.28元(含税)</t>
  </si>
  <si>
    <t>4.69亿</t>
  </si>
  <si>
    <t>12.58亿</t>
  </si>
  <si>
    <t>7375.65万</t>
  </si>
  <si>
    <t>2311501亿</t>
  </si>
  <si>
    <t>17894120亿</t>
  </si>
  <si>
    <t>325449230亿</t>
  </si>
  <si>
    <t>1552384900亿</t>
  </si>
  <si>
    <t>10派2.4元(含税)</t>
  </si>
  <si>
    <t>9.64亿</t>
  </si>
  <si>
    <t>7.60亿</t>
  </si>
  <si>
    <t>2062904亿</t>
  </si>
  <si>
    <t>15997362亿</t>
  </si>
  <si>
    <t>281762280亿</t>
  </si>
  <si>
    <t>1212639040亿</t>
  </si>
  <si>
    <t>8270.03万</t>
  </si>
  <si>
    <t>10转4.5股派14元(含税)</t>
  </si>
  <si>
    <t>9469.67万</t>
  </si>
  <si>
    <t>4.34亿</t>
  </si>
  <si>
    <t>5457.51万</t>
  </si>
  <si>
    <t>3.25亿</t>
  </si>
  <si>
    <t>336608亿</t>
  </si>
  <si>
    <t>9309850亿</t>
  </si>
  <si>
    <t>158216330亿</t>
  </si>
  <si>
    <t>769303530亿</t>
  </si>
  <si>
    <t>5843.31万</t>
  </si>
  <si>
    <t>10派2.54元(含税)</t>
  </si>
  <si>
    <t>34.14亿</t>
  </si>
  <si>
    <t>36.82亿</t>
  </si>
  <si>
    <t>-2122222亿</t>
  </si>
  <si>
    <t>41818937亿</t>
  </si>
  <si>
    <t>2208615300亿</t>
  </si>
  <si>
    <t>6485844700亿</t>
  </si>
  <si>
    <t>8726.59万</t>
  </si>
  <si>
    <t>-6.75亿</t>
  </si>
  <si>
    <t>-20333000亿</t>
  </si>
  <si>
    <t>708446100亿</t>
  </si>
  <si>
    <t>6051.00万</t>
  </si>
  <si>
    <t>12.69亿</t>
  </si>
  <si>
    <t>4.86亿</t>
  </si>
  <si>
    <t>8663.46万</t>
  </si>
  <si>
    <t>1665201亿</t>
  </si>
  <si>
    <t>10062351亿</t>
  </si>
  <si>
    <t>544023430亿</t>
  </si>
  <si>
    <t>3357650300亿</t>
  </si>
  <si>
    <t>1.14亿</t>
  </si>
  <si>
    <t>1.03亿</t>
  </si>
  <si>
    <t>8.32亿</t>
  </si>
  <si>
    <t>10.30亿</t>
  </si>
  <si>
    <t>24914883亿</t>
  </si>
  <si>
    <t>360472910亿</t>
  </si>
  <si>
    <t>1392433800亿</t>
  </si>
  <si>
    <t>10派0.85元(含税)</t>
  </si>
  <si>
    <t>33171742亿</t>
  </si>
  <si>
    <t>195145010亿</t>
  </si>
  <si>
    <t>1095774370亿</t>
  </si>
  <si>
    <t>10派2.65元(含税)</t>
  </si>
  <si>
    <t>4.79亿</t>
  </si>
  <si>
    <t>3.78亿</t>
  </si>
  <si>
    <t>-397568亿</t>
  </si>
  <si>
    <t>105678947亿</t>
  </si>
  <si>
    <t>310036870亿</t>
  </si>
  <si>
    <t>1395169400亿</t>
  </si>
  <si>
    <t>986.81万</t>
  </si>
  <si>
    <t>10转3股派3.5元(含税)</t>
  </si>
  <si>
    <t>4.43亿</t>
  </si>
  <si>
    <t>6743.41万</t>
  </si>
  <si>
    <t>-6867.01万</t>
  </si>
  <si>
    <t>6081742亿</t>
  </si>
  <si>
    <t>-21328291亿</t>
  </si>
  <si>
    <t>110767261亿</t>
  </si>
  <si>
    <t>1022585240亿</t>
  </si>
  <si>
    <t>-6802.42万</t>
  </si>
  <si>
    <t>4.54亿</t>
  </si>
  <si>
    <t>6.60亿</t>
  </si>
  <si>
    <t>1353592亿</t>
  </si>
  <si>
    <t>11175059亿</t>
  </si>
  <si>
    <t>121881154亿</t>
  </si>
  <si>
    <t>1369593700亿</t>
  </si>
  <si>
    <t>1854.32万</t>
  </si>
  <si>
    <t>28.19亿</t>
  </si>
  <si>
    <t>5.89亿</t>
  </si>
  <si>
    <t>24.27亿</t>
  </si>
  <si>
    <t>834537亿</t>
  </si>
  <si>
    <t>50175893亿</t>
  </si>
  <si>
    <t>410874750亿</t>
  </si>
  <si>
    <t>2889600800亿</t>
  </si>
  <si>
    <t>10派3.5元(含税)</t>
  </si>
  <si>
    <t>16.16亿</t>
  </si>
  <si>
    <t>3.35亿</t>
  </si>
  <si>
    <t>59477166亿</t>
  </si>
  <si>
    <t>515937140亿</t>
  </si>
  <si>
    <t>4069297100亿</t>
  </si>
  <si>
    <t>10派1.9元(含税)</t>
  </si>
  <si>
    <t>2.46亿</t>
  </si>
  <si>
    <t>7704.58万</t>
  </si>
  <si>
    <t>1.28亿</t>
  </si>
  <si>
    <t>1439561亿</t>
  </si>
  <si>
    <t>38769944亿</t>
  </si>
  <si>
    <t>140317460亿</t>
  </si>
  <si>
    <t>1175763000亿</t>
  </si>
  <si>
    <t>10派0.6元(含税)</t>
  </si>
  <si>
    <t>12.92亿</t>
  </si>
  <si>
    <t>3.33亿</t>
  </si>
  <si>
    <t>15.00亿</t>
  </si>
  <si>
    <t>13.01亿</t>
  </si>
  <si>
    <t>1530931亿</t>
  </si>
  <si>
    <t>43638088亿</t>
  </si>
  <si>
    <t>8.72亿</t>
  </si>
  <si>
    <t>315109550亿</t>
  </si>
  <si>
    <t>1723097400亿</t>
  </si>
  <si>
    <t>2.33亿</t>
  </si>
  <si>
    <t>10派5元(含税)</t>
  </si>
  <si>
    <t>6.03亿</t>
  </si>
  <si>
    <t>-3679.34万</t>
  </si>
  <si>
    <t>15533063亿</t>
  </si>
  <si>
    <t>1624555亿</t>
  </si>
  <si>
    <t>307221180亿</t>
  </si>
  <si>
    <t>647906670亿</t>
  </si>
  <si>
    <t>9291.35万</t>
  </si>
  <si>
    <t>-4155.24万</t>
  </si>
  <si>
    <t>5144584亿</t>
  </si>
  <si>
    <t>1259789亿</t>
  </si>
  <si>
    <t>95539582亿</t>
  </si>
  <si>
    <t>1085145450亿</t>
  </si>
  <si>
    <t>3332.33万</t>
  </si>
  <si>
    <t>14.87亿</t>
  </si>
  <si>
    <t>18.35亿</t>
  </si>
  <si>
    <t>3.20亿</t>
  </si>
  <si>
    <t>65289085亿</t>
  </si>
  <si>
    <t>387283700亿</t>
  </si>
  <si>
    <t>2920973200亿</t>
  </si>
  <si>
    <t>10派0.76元(含税)</t>
  </si>
  <si>
    <t>8.49亿</t>
  </si>
  <si>
    <t>8.94亿</t>
  </si>
  <si>
    <t>1369.59万</t>
  </si>
  <si>
    <t>85211亿</t>
  </si>
  <si>
    <t>4016135亿</t>
  </si>
  <si>
    <t>236931340亿</t>
  </si>
  <si>
    <t>2280542100亿</t>
  </si>
  <si>
    <t>10派0.1元(含税)</t>
  </si>
  <si>
    <t>12.08亿</t>
  </si>
  <si>
    <t>1.13亿</t>
  </si>
  <si>
    <t>1500161亿</t>
  </si>
  <si>
    <t>31706068亿</t>
  </si>
  <si>
    <t>280539920亿</t>
  </si>
  <si>
    <t>1805422200亿</t>
  </si>
  <si>
    <t>10转3股派4.5元(含税)</t>
  </si>
  <si>
    <t>9.80亿</t>
  </si>
  <si>
    <t>38102351亿</t>
  </si>
  <si>
    <t>-15381391亿</t>
  </si>
  <si>
    <t>142655000亿</t>
  </si>
  <si>
    <t>1968816500亿</t>
  </si>
  <si>
    <t>10派0.66元(含税)</t>
  </si>
  <si>
    <t>7360.36万</t>
  </si>
  <si>
    <t>10.97亿</t>
  </si>
  <si>
    <t>8008.84万</t>
  </si>
  <si>
    <t>5857.23万</t>
  </si>
  <si>
    <t>2.18亿</t>
  </si>
  <si>
    <t>2374795亿</t>
  </si>
  <si>
    <t>15185862亿</t>
  </si>
  <si>
    <t>131140030亿</t>
  </si>
  <si>
    <t>1011150080亿</t>
  </si>
  <si>
    <t>5461.20万</t>
  </si>
  <si>
    <t>10派3.4元(含税)</t>
  </si>
  <si>
    <t>869.89万</t>
  </si>
  <si>
    <t>22.86亿</t>
  </si>
  <si>
    <t>704.69万</t>
  </si>
  <si>
    <t>21.81亿</t>
  </si>
  <si>
    <t>20.73亿</t>
  </si>
  <si>
    <t>2668.14万</t>
  </si>
  <si>
    <t>2974.99万</t>
  </si>
  <si>
    <t>52.53万</t>
  </si>
  <si>
    <t>4.74亿</t>
  </si>
  <si>
    <t>6.06亿</t>
  </si>
  <si>
    <t>20.34亿</t>
  </si>
  <si>
    <t>2.91亿</t>
  </si>
  <si>
    <t>504.28万</t>
  </si>
  <si>
    <t>-6716.79万</t>
  </si>
  <si>
    <t>3675.98万</t>
  </si>
  <si>
    <t>36.70亿</t>
  </si>
  <si>
    <t>1255.25万</t>
  </si>
  <si>
    <t>4400.35万</t>
  </si>
  <si>
    <t>4.56亿</t>
  </si>
  <si>
    <t>516.98万</t>
  </si>
  <si>
    <t>78.13亿</t>
  </si>
  <si>
    <t>9831.39万</t>
  </si>
  <si>
    <t>7.84亿</t>
  </si>
  <si>
    <t>5.48亿</t>
  </si>
  <si>
    <t>2962.91万</t>
  </si>
  <si>
    <t>9939.19万</t>
  </si>
  <si>
    <t>15.56万</t>
  </si>
  <si>
    <t>12.19亿</t>
  </si>
  <si>
    <t>649.36万</t>
  </si>
  <si>
    <t>1.30亿</t>
  </si>
  <si>
    <t>1000.00万</t>
  </si>
  <si>
    <t>4.42亿</t>
  </si>
  <si>
    <t>12.84亿</t>
  </si>
  <si>
    <t>11.44亿</t>
  </si>
  <si>
    <t>2.67亿</t>
  </si>
  <si>
    <t>-405.18万</t>
  </si>
  <si>
    <t>20.74亿</t>
  </si>
  <si>
    <t>3.89亿</t>
  </si>
  <si>
    <t>3665.52万</t>
  </si>
  <si>
    <t>2.94亿</t>
  </si>
  <si>
    <t>098313900</t>
  </si>
  <si>
    <t>0294941700</t>
  </si>
  <si>
    <t>0589883400</t>
  </si>
  <si>
    <t>0983139000</t>
  </si>
  <si>
    <t>01966278000</t>
  </si>
  <si>
    <t>2514.94万</t>
  </si>
  <si>
    <t>13.52亿</t>
  </si>
  <si>
    <t>379.80万</t>
  </si>
  <si>
    <t>4.87亿</t>
  </si>
  <si>
    <t>1744.92万</t>
  </si>
  <si>
    <t>2969.91万</t>
  </si>
  <si>
    <t>4.69万</t>
  </si>
  <si>
    <t>5834.16万</t>
  </si>
  <si>
    <t>6.51亿</t>
  </si>
  <si>
    <t>4.46亿</t>
  </si>
  <si>
    <t>15.21亿</t>
  </si>
  <si>
    <t>-6360.79万</t>
  </si>
  <si>
    <t>-2230.20万</t>
  </si>
  <si>
    <t>-205.79万</t>
  </si>
  <si>
    <t>12.65亿</t>
  </si>
  <si>
    <t>-2.16亿</t>
  </si>
  <si>
    <t>6628.18万</t>
  </si>
  <si>
    <t>711.14万</t>
  </si>
  <si>
    <t>48.02亿</t>
  </si>
  <si>
    <t>8157.58万</t>
  </si>
  <si>
    <t>5.99亿</t>
  </si>
  <si>
    <t>3.95亿</t>
  </si>
  <si>
    <t>3072.13万</t>
  </si>
  <si>
    <t>5551.52万</t>
  </si>
  <si>
    <t>990.97万</t>
  </si>
  <si>
    <t>11.01亿</t>
  </si>
  <si>
    <t>4182.59万</t>
  </si>
  <si>
    <t>932.69万</t>
  </si>
  <si>
    <t>8.71亿</t>
  </si>
  <si>
    <t>7.67亿</t>
  </si>
  <si>
    <t>1.66亿</t>
  </si>
  <si>
    <t>-2.68亿</t>
  </si>
  <si>
    <t>8426.29万</t>
  </si>
  <si>
    <t>11.59亿</t>
  </si>
  <si>
    <t>9587.17万</t>
  </si>
  <si>
    <t>5066.45万</t>
  </si>
  <si>
    <t>3.63亿</t>
  </si>
  <si>
    <t>242.99万</t>
  </si>
  <si>
    <t>38.31亿</t>
  </si>
  <si>
    <t>3241.04万</t>
  </si>
  <si>
    <t>1.78亿</t>
  </si>
  <si>
    <t>1296.62万</t>
  </si>
  <si>
    <t>2335.48万</t>
  </si>
  <si>
    <t>8.43亿</t>
  </si>
  <si>
    <t>4.65亿</t>
  </si>
  <si>
    <t>1.84亿</t>
  </si>
  <si>
    <t>1.64亿</t>
  </si>
  <si>
    <t>57.09万</t>
  </si>
  <si>
    <t>3.56亿</t>
  </si>
  <si>
    <t>-1582.23万</t>
  </si>
  <si>
    <t>-3167.32万</t>
  </si>
  <si>
    <t>2128.57万</t>
  </si>
  <si>
    <t>5.52亿</t>
  </si>
  <si>
    <t>8680.53万</t>
  </si>
  <si>
    <t>10派1.988656元(含税)</t>
  </si>
  <si>
    <t>1358.34万</t>
  </si>
  <si>
    <t>881.26万</t>
  </si>
  <si>
    <t>69.30亿</t>
  </si>
  <si>
    <t>5.06亿</t>
  </si>
  <si>
    <t>4452.43万</t>
  </si>
  <si>
    <t>5619.28万</t>
  </si>
  <si>
    <t>143.22万</t>
  </si>
  <si>
    <t>3.02亿</t>
  </si>
  <si>
    <t>14.21亿</t>
  </si>
  <si>
    <t>3376.80万</t>
  </si>
  <si>
    <t>-9552.64万</t>
  </si>
  <si>
    <t>-518.95万</t>
  </si>
  <si>
    <t>18.50亿</t>
  </si>
  <si>
    <t>4803.12万</t>
  </si>
  <si>
    <t>0133000000</t>
  </si>
  <si>
    <t>0399000000</t>
  </si>
  <si>
    <t>0798000000</t>
  </si>
  <si>
    <t>01330000000</t>
  </si>
  <si>
    <t>02660000000</t>
  </si>
  <si>
    <t>1703.75万</t>
  </si>
  <si>
    <t>28.36亿</t>
  </si>
  <si>
    <t>8211.05万</t>
  </si>
  <si>
    <t>4.11亿</t>
  </si>
  <si>
    <t>1632.26万</t>
  </si>
  <si>
    <t>5418.93万</t>
  </si>
  <si>
    <t>27.40万</t>
  </si>
  <si>
    <t>13.91亿</t>
  </si>
  <si>
    <t>7651.19万</t>
  </si>
  <si>
    <t>1.09亿</t>
  </si>
  <si>
    <t>2.71亿</t>
  </si>
  <si>
    <t>9.98亿</t>
  </si>
  <si>
    <t>-2144.57万</t>
  </si>
  <si>
    <t>2642.84万</t>
  </si>
  <si>
    <t>-897.17万</t>
  </si>
  <si>
    <t>8.26亿</t>
  </si>
  <si>
    <t>11.09亿</t>
  </si>
  <si>
    <t>1720.82万</t>
  </si>
  <si>
    <t>40.15亿</t>
  </si>
  <si>
    <t>5984.13万</t>
  </si>
  <si>
    <t>4.31亿</t>
  </si>
  <si>
    <t>2474.75万</t>
  </si>
  <si>
    <t>7056.93万</t>
  </si>
  <si>
    <t>10.75亿</t>
  </si>
  <si>
    <t>8.61亿</t>
  </si>
  <si>
    <t>1.11亿</t>
  </si>
  <si>
    <t>15.58亿</t>
  </si>
  <si>
    <t>9154.56万</t>
  </si>
  <si>
    <t>-3191.22万</t>
  </si>
  <si>
    <t>-3487.77万</t>
  </si>
  <si>
    <t>28.88亿</t>
  </si>
  <si>
    <t>26.24亿</t>
  </si>
  <si>
    <t>10.40亿</t>
  </si>
  <si>
    <t>2612.97万</t>
  </si>
  <si>
    <t>18.59亿</t>
  </si>
  <si>
    <t>1266.14万</t>
  </si>
  <si>
    <t>590.69万</t>
  </si>
  <si>
    <t>2258.65万</t>
  </si>
  <si>
    <t>4.68万</t>
  </si>
  <si>
    <t>3.87亿</t>
  </si>
  <si>
    <t>1235.08万</t>
  </si>
  <si>
    <t>6.97亿</t>
  </si>
  <si>
    <t>4049.59万</t>
  </si>
  <si>
    <t>2.20亿</t>
  </si>
  <si>
    <t>81.24万</t>
  </si>
  <si>
    <t>-2907.52万</t>
  </si>
  <si>
    <t>3.88亿</t>
  </si>
  <si>
    <t>-1518.46万</t>
  </si>
  <si>
    <t>15.98亿</t>
  </si>
  <si>
    <t>012661400</t>
  </si>
  <si>
    <t>037984200</t>
  </si>
  <si>
    <t>075968400</t>
  </si>
  <si>
    <t>0126614000</t>
  </si>
  <si>
    <t>0253228000</t>
  </si>
  <si>
    <t>361.02万</t>
  </si>
  <si>
    <t>25.01亿</t>
  </si>
  <si>
    <t>5505.57万</t>
  </si>
  <si>
    <t>2.99亿</t>
  </si>
  <si>
    <t>143.69万</t>
  </si>
  <si>
    <t>976.24万</t>
  </si>
  <si>
    <t>6.82亿</t>
  </si>
  <si>
    <t>597.79万</t>
  </si>
  <si>
    <t>6292.58万</t>
  </si>
  <si>
    <t>6616.77万</t>
  </si>
  <si>
    <t>-1.62亿</t>
  </si>
  <si>
    <t>870.72万</t>
  </si>
  <si>
    <t>1.42亿</t>
  </si>
  <si>
    <t>2162.16万</t>
  </si>
  <si>
    <t>-6-1</t>
  </si>
  <si>
    <t>626.10万</t>
  </si>
  <si>
    <t>1493.60万</t>
  </si>
  <si>
    <t>9809.34万</t>
  </si>
  <si>
    <t>6642.09万</t>
  </si>
  <si>
    <t>982.82万</t>
  </si>
  <si>
    <t>1475.04万</t>
  </si>
  <si>
    <t>15.76万</t>
  </si>
  <si>
    <t>8246.34万</t>
  </si>
  <si>
    <t>9814.85万</t>
  </si>
  <si>
    <t>905.41万</t>
  </si>
  <si>
    <t>4.21亿</t>
  </si>
  <si>
    <t>-2157.98万</t>
  </si>
  <si>
    <t>-6776.77万</t>
  </si>
  <si>
    <t>-2131.79万</t>
  </si>
  <si>
    <t>1989.05万</t>
  </si>
  <si>
    <t>3627.56万</t>
  </si>
  <si>
    <t>014936000</t>
  </si>
  <si>
    <t>044808000</t>
  </si>
  <si>
    <t>089616000</t>
  </si>
  <si>
    <t>0149360000</t>
  </si>
  <si>
    <t>0298720000</t>
  </si>
  <si>
    <t>914.79万</t>
  </si>
  <si>
    <t>12.87亿</t>
  </si>
  <si>
    <t>3624.16万</t>
  </si>
  <si>
    <t>1.26亿</t>
  </si>
  <si>
    <t>1596.86万</t>
  </si>
  <si>
    <t>992.24万</t>
  </si>
  <si>
    <t>10.64万</t>
  </si>
  <si>
    <t>359.07万</t>
  </si>
  <si>
    <t>15.31万</t>
  </si>
  <si>
    <t>436.27万</t>
  </si>
  <si>
    <t>-6892.72万</t>
  </si>
  <si>
    <t>-85.35万</t>
  </si>
  <si>
    <t>4489.35万</t>
  </si>
  <si>
    <t>6753.21万</t>
  </si>
  <si>
    <t>8.87亿</t>
  </si>
  <si>
    <t>036241600</t>
  </si>
  <si>
    <t>0108724800</t>
  </si>
  <si>
    <t>0217449600</t>
  </si>
  <si>
    <t>0362416000</t>
  </si>
  <si>
    <t>0724832000</t>
  </si>
  <si>
    <t>3-0</t>
  </si>
  <si>
    <t>1125.82万</t>
  </si>
  <si>
    <t>37.85亿</t>
  </si>
  <si>
    <t>-902.26万</t>
  </si>
  <si>
    <t>2.59亿</t>
  </si>
  <si>
    <t>845.41万</t>
  </si>
  <si>
    <t>3128.80万</t>
  </si>
  <si>
    <t>6.79万</t>
  </si>
  <si>
    <t>18.39亿</t>
  </si>
  <si>
    <t>362.46万</t>
  </si>
  <si>
    <t>7.40亿</t>
  </si>
  <si>
    <t>17.59万</t>
  </si>
  <si>
    <t>6.77亿</t>
  </si>
  <si>
    <t>3153.58万</t>
  </si>
  <si>
    <t>-1.22亿</t>
  </si>
  <si>
    <t>4.73亿</t>
  </si>
  <si>
    <t>6.28亿</t>
  </si>
  <si>
    <t>1071.42万</t>
  </si>
  <si>
    <t>7544.09万</t>
  </si>
  <si>
    <t>10.89亿</t>
  </si>
  <si>
    <t>1184.54万</t>
  </si>
  <si>
    <t>19.20亿</t>
  </si>
  <si>
    <t>3000.94万</t>
  </si>
  <si>
    <t>1518.71万</t>
  </si>
  <si>
    <t>2402.65万</t>
  </si>
  <si>
    <t>308.38万</t>
  </si>
  <si>
    <t>802.19万</t>
  </si>
  <si>
    <t>6484.78万</t>
  </si>
  <si>
    <t>3.60万</t>
  </si>
  <si>
    <t>1134.63万</t>
  </si>
  <si>
    <t>-9375.64万</t>
  </si>
  <si>
    <t>-127.13万</t>
  </si>
  <si>
    <t>6.44亿</t>
  </si>
  <si>
    <t>3466.15万</t>
  </si>
  <si>
    <t>6618.65万</t>
  </si>
  <si>
    <t>-4-0</t>
  </si>
  <si>
    <t>103.38万</t>
  </si>
  <si>
    <t>11.56亿</t>
  </si>
  <si>
    <t>2161.03万</t>
  </si>
  <si>
    <t>1040.17万</t>
  </si>
  <si>
    <t>930.44万</t>
  </si>
  <si>
    <t>8175.99万</t>
  </si>
  <si>
    <t>47.44万</t>
  </si>
  <si>
    <t>2634.90万</t>
  </si>
  <si>
    <t>4270.97万</t>
  </si>
  <si>
    <t>2738.64万</t>
  </si>
  <si>
    <t>-1958.23万</t>
  </si>
  <si>
    <t>-4.47万</t>
  </si>
  <si>
    <t>4.36亿</t>
  </si>
  <si>
    <t>5204.15万</t>
  </si>
  <si>
    <t>626.76万</t>
  </si>
  <si>
    <t>5560.41万</t>
  </si>
  <si>
    <t>119.95万</t>
  </si>
  <si>
    <t>10.09亿</t>
  </si>
  <si>
    <t>986.92万</t>
  </si>
  <si>
    <t>8310.83万</t>
  </si>
  <si>
    <t>7179.66万</t>
  </si>
  <si>
    <t>348.62万</t>
  </si>
  <si>
    <t>378.29万</t>
  </si>
  <si>
    <t>3.50万</t>
  </si>
  <si>
    <t>1412.47万</t>
  </si>
  <si>
    <t>2.52亿</t>
  </si>
  <si>
    <t>7091.43万</t>
  </si>
  <si>
    <t>7767.83万</t>
  </si>
  <si>
    <t>1389.36万</t>
  </si>
  <si>
    <t>-4135.48万</t>
  </si>
  <si>
    <t>-1448.61万</t>
  </si>
  <si>
    <t>2386.14万</t>
  </si>
  <si>
    <t>701.63万</t>
  </si>
  <si>
    <t>9975.77万</t>
  </si>
  <si>
    <t>761.63万</t>
  </si>
  <si>
    <t>81.37亿</t>
  </si>
  <si>
    <t>4433.48万</t>
  </si>
  <si>
    <t>8.21亿</t>
  </si>
  <si>
    <t>6.75亿</t>
  </si>
  <si>
    <t>2703.49万</t>
  </si>
  <si>
    <t>6834.62万</t>
  </si>
  <si>
    <t>44.14万</t>
  </si>
  <si>
    <t>27.15亿</t>
  </si>
  <si>
    <t>1155.83万</t>
  </si>
  <si>
    <t>15.07亿</t>
  </si>
  <si>
    <t>11.19亿</t>
  </si>
  <si>
    <t>30.76亿</t>
  </si>
  <si>
    <t>-7591.62万</t>
  </si>
  <si>
    <t>-2.53亿</t>
  </si>
  <si>
    <t>-3656.67万</t>
  </si>
  <si>
    <t>19.88亿</t>
  </si>
  <si>
    <t>4962.90万</t>
  </si>
  <si>
    <t>4.51亿</t>
  </si>
  <si>
    <t>044334800</t>
  </si>
  <si>
    <t>0133004400</t>
  </si>
  <si>
    <t>0266008800</t>
  </si>
  <si>
    <t>0443348000</t>
  </si>
  <si>
    <t>0886696000</t>
  </si>
  <si>
    <t>799.11万</t>
  </si>
  <si>
    <t>10.57亿</t>
  </si>
  <si>
    <t>-1605.30万</t>
  </si>
  <si>
    <t>7914.52万</t>
  </si>
  <si>
    <t>124.36万</t>
  </si>
  <si>
    <t>2838.45万</t>
  </si>
  <si>
    <t>4.96万</t>
  </si>
  <si>
    <t>4574.92万</t>
  </si>
  <si>
    <t>2297.19万</t>
  </si>
  <si>
    <t>4.39亿</t>
  </si>
  <si>
    <t>-9742.69万</t>
  </si>
  <si>
    <t>2485.49万</t>
  </si>
  <si>
    <t>973.44万</t>
  </si>
  <si>
    <t>-6061.39万</t>
  </si>
  <si>
    <t>5036.08万</t>
  </si>
  <si>
    <t>6.25亿</t>
  </si>
  <si>
    <t>-2-0</t>
  </si>
  <si>
    <t>6097.57万</t>
  </si>
  <si>
    <t>34.61亿</t>
  </si>
  <si>
    <t>1187.73万</t>
  </si>
  <si>
    <t>4.53亿</t>
  </si>
  <si>
    <t>493.03万</t>
  </si>
  <si>
    <t>1129.87万</t>
  </si>
  <si>
    <t>1.00万</t>
  </si>
  <si>
    <t>17.49亿</t>
  </si>
  <si>
    <t>3.93亿</t>
  </si>
  <si>
    <t>4005.20万</t>
  </si>
  <si>
    <t>6.11亿</t>
  </si>
  <si>
    <t>-3655.31万</t>
  </si>
  <si>
    <t>-1000.06万</t>
  </si>
  <si>
    <t>-1.86亿</t>
  </si>
  <si>
    <t>3877.71万</t>
  </si>
  <si>
    <t>13.04亿</t>
  </si>
  <si>
    <t>011877300</t>
  </si>
  <si>
    <t>035631900</t>
  </si>
  <si>
    <t>071263800</t>
  </si>
  <si>
    <t>0118773000</t>
  </si>
  <si>
    <t>0237546000</t>
  </si>
  <si>
    <t>773.58万</t>
  </si>
  <si>
    <t>18.91亿</t>
  </si>
  <si>
    <t>2539.15万</t>
  </si>
  <si>
    <t>371.97万</t>
  </si>
  <si>
    <t>2313.15万</t>
  </si>
  <si>
    <t>763.96万</t>
  </si>
  <si>
    <t>5267.39万</t>
  </si>
  <si>
    <t>3640.14万</t>
  </si>
  <si>
    <t>9358.34万</t>
  </si>
  <si>
    <t>5.81亿</t>
  </si>
  <si>
    <t>1052.46万</t>
  </si>
  <si>
    <t>-9521.08万</t>
  </si>
  <si>
    <t>9424.87万</t>
  </si>
  <si>
    <t>4.99亿</t>
  </si>
  <si>
    <t>6477.44万</t>
  </si>
  <si>
    <t>4180.36万</t>
  </si>
  <si>
    <t>SH603115</t>
  </si>
  <si>
    <t>海星股份</t>
  </si>
  <si>
    <t>107.90万</t>
  </si>
  <si>
    <t>4.05亿</t>
  </si>
  <si>
    <t>20.05亿</t>
  </si>
  <si>
    <t>1527.95万</t>
  </si>
  <si>
    <t>3.38亿</t>
  </si>
  <si>
    <t>1058.76万</t>
  </si>
  <si>
    <t>1939.57万</t>
  </si>
  <si>
    <t>518878亿</t>
  </si>
  <si>
    <t>9237303亿</t>
  </si>
  <si>
    <t>312408980亿</t>
  </si>
  <si>
    <t>123.26万</t>
  </si>
  <si>
    <t>1621988300亿</t>
  </si>
  <si>
    <t>3132.77万</t>
  </si>
  <si>
    <t>-345.34万</t>
  </si>
  <si>
    <t>-5989.72万</t>
  </si>
  <si>
    <t>17.65亿</t>
  </si>
  <si>
    <t>16.45亿</t>
  </si>
  <si>
    <t>10.92亿</t>
  </si>
  <si>
    <t>17.90亿</t>
  </si>
  <si>
    <t>8.98亿</t>
  </si>
  <si>
    <t>1.37亿</t>
  </si>
  <si>
    <t>3755.35万</t>
  </si>
  <si>
    <t>524.12万</t>
  </si>
  <si>
    <t>4152.74万</t>
  </si>
  <si>
    <t>015279500</t>
  </si>
  <si>
    <t>045838500</t>
  </si>
  <si>
    <t>091677000</t>
  </si>
  <si>
    <t>0152795000</t>
  </si>
  <si>
    <t>0305590000</t>
  </si>
  <si>
    <t>150.30万</t>
  </si>
  <si>
    <t>15.08亿</t>
  </si>
  <si>
    <t>3409.41万</t>
  </si>
  <si>
    <t>305.26万</t>
  </si>
  <si>
    <t>867.59万</t>
  </si>
  <si>
    <t>2.09万</t>
  </si>
  <si>
    <t>7.77亿</t>
  </si>
  <si>
    <t>95.89万</t>
  </si>
  <si>
    <t>6540.65万</t>
  </si>
  <si>
    <t>5328.19万</t>
  </si>
  <si>
    <t>-5262.99万</t>
  </si>
  <si>
    <t>3.40亿</t>
  </si>
  <si>
    <t>7771.76万</t>
  </si>
  <si>
    <t>893.56万</t>
  </si>
  <si>
    <t>034094100</t>
  </si>
  <si>
    <t>0102282300</t>
  </si>
  <si>
    <t>0204564600</t>
  </si>
  <si>
    <t>0340941000</t>
  </si>
  <si>
    <t>0681882000</t>
  </si>
  <si>
    <t>153.10万</t>
  </si>
  <si>
    <t>22.42亿</t>
  </si>
  <si>
    <t>1.57亿</t>
  </si>
  <si>
    <t>979.51万</t>
  </si>
  <si>
    <t>2280.19万</t>
  </si>
  <si>
    <t>1.17万</t>
  </si>
  <si>
    <t>5.49亿</t>
  </si>
  <si>
    <t>40.50万</t>
  </si>
  <si>
    <t>9737.86万</t>
  </si>
  <si>
    <t>9760.45万</t>
  </si>
  <si>
    <t>-8400.26万</t>
  </si>
  <si>
    <t>-858.91万</t>
  </si>
  <si>
    <t>5.75亿</t>
  </si>
  <si>
    <t>558.34万</t>
  </si>
  <si>
    <t>4261.30万</t>
  </si>
  <si>
    <t>91.21万</t>
  </si>
  <si>
    <t>14.86亿</t>
  </si>
  <si>
    <t>-1420.37万</t>
  </si>
  <si>
    <t>8221.70万</t>
  </si>
  <si>
    <t>4781.52万</t>
  </si>
  <si>
    <t>285.84万</t>
  </si>
  <si>
    <t>1280.05万</t>
  </si>
  <si>
    <t>4717.12万</t>
  </si>
  <si>
    <t>489.84万</t>
  </si>
  <si>
    <t>2.32亿</t>
  </si>
  <si>
    <t>639.19万</t>
  </si>
  <si>
    <t>-1821.37万</t>
  </si>
  <si>
    <t>1994.97万</t>
  </si>
  <si>
    <t>4398.47万</t>
  </si>
  <si>
    <t>-4360.37万</t>
  </si>
  <si>
    <t>10派1.8694元(含税)</t>
  </si>
  <si>
    <t>641.32万</t>
  </si>
  <si>
    <t>6339.11万</t>
  </si>
  <si>
    <t>93.22万</t>
  </si>
  <si>
    <t>22.68亿</t>
  </si>
  <si>
    <t>1378.46万</t>
  </si>
  <si>
    <t>1.53亿</t>
  </si>
  <si>
    <t>1127.84万</t>
  </si>
  <si>
    <t>2051.72万</t>
  </si>
  <si>
    <t>8.75万</t>
  </si>
  <si>
    <t>9382.97万</t>
  </si>
  <si>
    <t>8583.21万</t>
  </si>
  <si>
    <t>4.16亿</t>
  </si>
  <si>
    <t>7606.48万</t>
  </si>
  <si>
    <t>4700.79万</t>
  </si>
  <si>
    <t>5045.01万</t>
  </si>
  <si>
    <t>849.00万</t>
  </si>
  <si>
    <t>8652.18万</t>
  </si>
  <si>
    <t>5-1</t>
  </si>
  <si>
    <t>298.77万</t>
  </si>
  <si>
    <t>35.23亿</t>
  </si>
  <si>
    <t>7648.26万</t>
  </si>
  <si>
    <t>5180.39万</t>
  </si>
  <si>
    <t>5318.92万</t>
  </si>
  <si>
    <t>87.67万</t>
  </si>
  <si>
    <t>12.86亿</t>
  </si>
  <si>
    <t>11.84亿</t>
  </si>
  <si>
    <t>4.76亿</t>
  </si>
  <si>
    <t>14.19亿</t>
  </si>
  <si>
    <t>7888.05万</t>
  </si>
  <si>
    <t>-2865.78万</t>
  </si>
  <si>
    <t>11.34亿</t>
  </si>
  <si>
    <t>1434.34万</t>
  </si>
  <si>
    <t>1.22亿</t>
  </si>
  <si>
    <t>076482600</t>
  </si>
  <si>
    <t>0229447800</t>
  </si>
  <si>
    <t>0458895600</t>
  </si>
  <si>
    <t>0764826000</t>
  </si>
  <si>
    <t>01529652000</t>
  </si>
  <si>
    <t>133.72万</t>
  </si>
  <si>
    <t>54.05亿</t>
  </si>
  <si>
    <t>9032.57万</t>
  </si>
  <si>
    <t>3.66亿</t>
  </si>
  <si>
    <t>2.86亿</t>
  </si>
  <si>
    <t>3251.46万</t>
  </si>
  <si>
    <t>1866.27万</t>
  </si>
  <si>
    <t>3.04万</t>
  </si>
  <si>
    <t>29.25亿</t>
  </si>
  <si>
    <t>-1.65亿</t>
  </si>
  <si>
    <t>-311.57万</t>
  </si>
  <si>
    <t>8.00亿</t>
  </si>
  <si>
    <t>668.98万</t>
  </si>
  <si>
    <t>6860.69万</t>
  </si>
  <si>
    <t>090325700</t>
  </si>
  <si>
    <t>0270977100</t>
  </si>
  <si>
    <t>0541954200</t>
  </si>
  <si>
    <t>0903257000</t>
  </si>
  <si>
    <t>01806514000</t>
  </si>
  <si>
    <t>300.07万</t>
  </si>
  <si>
    <t>17.44亿</t>
  </si>
  <si>
    <t>4351.16万</t>
  </si>
  <si>
    <t>6931.31万</t>
  </si>
  <si>
    <t>3920.78万</t>
  </si>
  <si>
    <t>225.66万</t>
  </si>
  <si>
    <t>1234.52万</t>
  </si>
  <si>
    <t>106.72万</t>
  </si>
  <si>
    <t>2033.93万</t>
  </si>
  <si>
    <t>6460.20万</t>
  </si>
  <si>
    <t>37.93万</t>
  </si>
  <si>
    <t>2250.93万</t>
  </si>
  <si>
    <t>1306.14万</t>
  </si>
  <si>
    <t>4374.32万</t>
  </si>
  <si>
    <t>1698.10万</t>
  </si>
  <si>
    <t>XD华特气</t>
  </si>
  <si>
    <t>123.80万</t>
  </si>
  <si>
    <t>19.18亿</t>
  </si>
  <si>
    <t>4509.52万</t>
  </si>
  <si>
    <t>2365.29万</t>
  </si>
  <si>
    <t>1991.32万</t>
  </si>
  <si>
    <t>24.28万</t>
  </si>
  <si>
    <t>5609.19万</t>
  </si>
  <si>
    <t>564.48万</t>
  </si>
  <si>
    <t>7811.70万</t>
  </si>
  <si>
    <t>7958.31万</t>
  </si>
  <si>
    <t>-1.45亿</t>
  </si>
  <si>
    <t>-437.00万</t>
  </si>
  <si>
    <t>7.41亿</t>
  </si>
  <si>
    <t>7461.88万</t>
  </si>
  <si>
    <t>454.06万</t>
  </si>
  <si>
    <t>3819.68万</t>
  </si>
  <si>
    <t>44.79万</t>
  </si>
  <si>
    <t>1524.59万</t>
  </si>
  <si>
    <t>1232.13万</t>
  </si>
  <si>
    <t>2854.20万</t>
  </si>
  <si>
    <t>7162.56万</t>
  </si>
  <si>
    <t>7918.56万</t>
  </si>
  <si>
    <t>425.80万</t>
  </si>
  <si>
    <t>9634.73万</t>
  </si>
  <si>
    <t>7304.24万</t>
  </si>
  <si>
    <t>-2296.43万</t>
  </si>
  <si>
    <t>82.82万</t>
  </si>
  <si>
    <t>3863.85万</t>
  </si>
  <si>
    <t>-1874.25万</t>
  </si>
  <si>
    <t>202.74万</t>
  </si>
  <si>
    <t>1746.20万</t>
  </si>
  <si>
    <t>178.34万</t>
  </si>
  <si>
    <t>19.60亿</t>
  </si>
  <si>
    <t>525.98万</t>
  </si>
  <si>
    <t>9141.93万</t>
  </si>
  <si>
    <t>4186.11万</t>
  </si>
  <si>
    <t>624.51万</t>
  </si>
  <si>
    <t>2263.90万</t>
  </si>
  <si>
    <t>2.46万</t>
  </si>
  <si>
    <t>73.13万</t>
  </si>
  <si>
    <t>5939.48万</t>
  </si>
  <si>
    <t>6603.31万</t>
  </si>
  <si>
    <t>9518.17万</t>
  </si>
  <si>
    <t>-1379.71万</t>
  </si>
  <si>
    <t>-5159.24万</t>
  </si>
  <si>
    <t>-2145.38万</t>
  </si>
  <si>
    <t>966.81万</t>
  </si>
  <si>
    <t>5954.36万</t>
  </si>
  <si>
    <t>-5-1</t>
  </si>
  <si>
    <t>150.84万</t>
  </si>
  <si>
    <t>58.35亿</t>
  </si>
  <si>
    <t>6715.37万</t>
  </si>
  <si>
    <t>825.08万</t>
  </si>
  <si>
    <t>3541.13万</t>
  </si>
  <si>
    <t>10.46万</t>
  </si>
  <si>
    <t>4.72亿</t>
  </si>
  <si>
    <t>699.55万</t>
  </si>
  <si>
    <t>7.50亿</t>
  </si>
  <si>
    <t>1966.70万</t>
  </si>
  <si>
    <t>760.00万</t>
  </si>
  <si>
    <t>8.73亿</t>
  </si>
  <si>
    <t>5.76亿</t>
  </si>
  <si>
    <t>8753.00万</t>
  </si>
  <si>
    <t>-3.81亿</t>
  </si>
  <si>
    <t>-2276.68万</t>
  </si>
  <si>
    <t>8.96亿</t>
  </si>
  <si>
    <t>1.59亿</t>
  </si>
  <si>
    <t>1090.00万</t>
  </si>
  <si>
    <t>636.05万</t>
  </si>
  <si>
    <t>31.26亿</t>
  </si>
  <si>
    <t>758.30万</t>
  </si>
  <si>
    <t>496.44万</t>
  </si>
  <si>
    <t>1346.55万</t>
  </si>
  <si>
    <t>28.77万</t>
  </si>
  <si>
    <t>2436.84万</t>
  </si>
  <si>
    <t>2.82亿</t>
  </si>
  <si>
    <t>7526.73万</t>
  </si>
  <si>
    <t>6.59亿</t>
  </si>
  <si>
    <t>8679.50万</t>
  </si>
  <si>
    <t>1356.63万</t>
  </si>
  <si>
    <t>-1.94亿</t>
  </si>
  <si>
    <t>5332.96万</t>
  </si>
  <si>
    <t>1901.64万</t>
  </si>
  <si>
    <t>4737.29万</t>
  </si>
  <si>
    <t>108.45万</t>
  </si>
  <si>
    <t>29.31亿</t>
  </si>
  <si>
    <t>3433.42万</t>
  </si>
  <si>
    <t>2.09亿</t>
  </si>
  <si>
    <t>1011.41万</t>
  </si>
  <si>
    <t>3576.79万</t>
  </si>
  <si>
    <t>10.06万</t>
  </si>
  <si>
    <t>1883.52万</t>
  </si>
  <si>
    <t>1001.22万</t>
  </si>
  <si>
    <t>4003.52万</t>
  </si>
  <si>
    <t>-3051.87万</t>
  </si>
  <si>
    <t>-4457.49万</t>
  </si>
  <si>
    <t>6.16亿</t>
  </si>
  <si>
    <t>5829.17万</t>
  </si>
  <si>
    <t>721.27万</t>
  </si>
  <si>
    <t>5307.62万</t>
  </si>
  <si>
    <t>034334200</t>
  </si>
  <si>
    <t>0103002600</t>
  </si>
  <si>
    <t>0206005200</t>
  </si>
  <si>
    <t>0343342000</t>
  </si>
  <si>
    <t>0686684000</t>
  </si>
  <si>
    <t>394.14万</t>
  </si>
  <si>
    <t>28.61亿</t>
  </si>
  <si>
    <t>1917.51万</t>
  </si>
  <si>
    <t>250.67万</t>
  </si>
  <si>
    <t>1984.07万</t>
  </si>
  <si>
    <t>2.68万</t>
  </si>
  <si>
    <t>7.59亿</t>
  </si>
  <si>
    <t>2907.76万</t>
  </si>
  <si>
    <t>3052.00万</t>
  </si>
  <si>
    <t>4710.00万</t>
  </si>
  <si>
    <t>7226.04万</t>
  </si>
  <si>
    <t>4.08亿</t>
  </si>
  <si>
    <t>8020.00万</t>
  </si>
  <si>
    <t>-2460.37万</t>
  </si>
  <si>
    <t>-5.71亿</t>
  </si>
  <si>
    <t>3107.28万</t>
  </si>
  <si>
    <t>7452.52万</t>
  </si>
  <si>
    <t>2473.21万</t>
  </si>
  <si>
    <t>019175100</t>
  </si>
  <si>
    <t>057525300</t>
  </si>
  <si>
    <t>0115050600</t>
  </si>
  <si>
    <t>0191751000</t>
  </si>
  <si>
    <t>0383502000</t>
  </si>
  <si>
    <t>91.26万</t>
  </si>
  <si>
    <t>10.86亿</t>
  </si>
  <si>
    <t>1794.05万</t>
  </si>
  <si>
    <t>6312.54万</t>
  </si>
  <si>
    <t>4901.14万</t>
  </si>
  <si>
    <t>467.87万</t>
  </si>
  <si>
    <t>537.83万</t>
  </si>
  <si>
    <t>902.87万</t>
  </si>
  <si>
    <t>1349.47万</t>
  </si>
  <si>
    <t>1407.05万</t>
  </si>
  <si>
    <t>3805.73万</t>
  </si>
  <si>
    <t>3373.50万</t>
  </si>
  <si>
    <t>-7063.05万</t>
  </si>
  <si>
    <t>-3504.40万</t>
  </si>
  <si>
    <t>2613.26万</t>
  </si>
  <si>
    <t>554.03万</t>
  </si>
  <si>
    <t>4734.33万</t>
  </si>
</sst>
</file>

<file path=xl/styles.xml><?xml version="1.0" encoding="utf-8"?>
<styleSheet xmlns="http://schemas.openxmlformats.org/spreadsheetml/2006/main" xmlns:mc="http://schemas.openxmlformats.org/markup-compatibility/2006" xmlns:x14ac="http://schemas.microsoft.com/office/spreadsheetml/2009/9/ac" mc:Ignorable="x14ac">
  <fonts count="26" x14ac:knownFonts="1">
    <font>
      <sz val="11"/>
      <color theme="1"/>
      <name val="宋体"/>
      <family val="2"/>
      <charset val="134"/>
      <scheme val="minor"/>
    </font>
    <font>
      <sz val="9"/>
      <name val="宋体"/>
      <family val="2"/>
      <charset val="134"/>
      <scheme val="minor"/>
    </font>
    <font>
      <sz val="11"/>
      <color indexed="8"/>
      <name val="Calibri"/>
      <family val="2"/>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006100"/>
      <name val="宋体"/>
      <family val="2"/>
      <charset val="134"/>
      <scheme val="minor"/>
    </font>
    <font>
      <sz val="11"/>
      <color rgb="FF9C0006"/>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sz val="11"/>
      <color rgb="FFFF000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sz val="9"/>
      <color theme="1"/>
      <name val="宋体"/>
      <family val="3"/>
      <charset val="134"/>
      <scheme val="minor"/>
    </font>
    <font>
      <sz val="9"/>
      <color theme="1"/>
      <name val="宋体"/>
      <family val="2"/>
      <charset val="134"/>
      <scheme val="minor"/>
    </font>
    <font>
      <b/>
      <sz val="9"/>
      <color rgb="FFFF0000"/>
      <name val="宋体"/>
      <family val="3"/>
      <charset val="134"/>
      <scheme val="minor"/>
    </font>
    <font>
      <sz val="9"/>
      <color rgb="FFFF0000"/>
      <name val="宋体"/>
      <family val="3"/>
      <charset val="134"/>
      <scheme val="minor"/>
    </font>
    <font>
      <sz val="11"/>
      <name val="宋体"/>
      <family val="2"/>
      <charset val="134"/>
      <scheme val="minor"/>
    </font>
    <font>
      <sz val="11"/>
      <color rgb="FF000000"/>
      <name val="宋体"/>
      <family val="3"/>
      <charset val="134"/>
    </font>
  </fonts>
  <fills count="37">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5" tint="0.79998168889431442"/>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4">
    <xf numFmtId="0" fontId="0" fillId="0" borderId="0">
      <alignment vertical="center"/>
    </xf>
    <xf numFmtId="0" fontId="2" fillId="0" borderId="0" applyFill="0" applyProtection="0"/>
    <xf numFmtId="0" fontId="2" fillId="0" borderId="0" applyFill="0" applyProtection="0"/>
    <xf numFmtId="0" fontId="4" fillId="0" borderId="0" applyNumberFormat="0" applyFill="0" applyBorder="0" applyAlignment="0" applyProtection="0">
      <alignment vertical="center"/>
    </xf>
    <xf numFmtId="0" fontId="5" fillId="0" borderId="2" applyNumberFormat="0" applyFill="0" applyAlignment="0" applyProtection="0">
      <alignment vertical="center"/>
    </xf>
    <xf numFmtId="0" fontId="6" fillId="0" borderId="3" applyNumberFormat="0" applyFill="0" applyAlignment="0" applyProtection="0">
      <alignment vertical="center"/>
    </xf>
    <xf numFmtId="0" fontId="7" fillId="0" borderId="4" applyNumberFormat="0" applyFill="0" applyAlignment="0" applyProtection="0">
      <alignment vertical="center"/>
    </xf>
    <xf numFmtId="0" fontId="7" fillId="0" borderId="0" applyNumberFormat="0" applyFill="0" applyBorder="0" applyAlignment="0" applyProtection="0">
      <alignment vertical="center"/>
    </xf>
    <xf numFmtId="0" fontId="8" fillId="4" borderId="0" applyNumberFormat="0" applyBorder="0" applyAlignment="0" applyProtection="0">
      <alignment vertical="center"/>
    </xf>
    <xf numFmtId="0" fontId="9" fillId="5" borderId="0" applyNumberFormat="0" applyBorder="0" applyAlignment="0" applyProtection="0">
      <alignment vertical="center"/>
    </xf>
    <xf numFmtId="0" fontId="10" fillId="6" borderId="0" applyNumberFormat="0" applyBorder="0" applyAlignment="0" applyProtection="0">
      <alignment vertical="center"/>
    </xf>
    <xf numFmtId="0" fontId="11" fillId="7" borderId="5" applyNumberFormat="0" applyAlignment="0" applyProtection="0">
      <alignment vertical="center"/>
    </xf>
    <xf numFmtId="0" fontId="12" fillId="8" borderId="6" applyNumberFormat="0" applyAlignment="0" applyProtection="0">
      <alignment vertical="center"/>
    </xf>
    <xf numFmtId="0" fontId="13" fillId="8" borderId="5" applyNumberFormat="0" applyAlignment="0" applyProtection="0">
      <alignment vertical="center"/>
    </xf>
    <xf numFmtId="0" fontId="14" fillId="0" borderId="7" applyNumberFormat="0" applyFill="0" applyAlignment="0" applyProtection="0">
      <alignment vertical="center"/>
    </xf>
    <xf numFmtId="0" fontId="15" fillId="9" borderId="8" applyNumberFormat="0" applyAlignment="0" applyProtection="0">
      <alignment vertical="center"/>
    </xf>
    <xf numFmtId="0" fontId="16" fillId="0" borderId="0" applyNumberFormat="0" applyFill="0" applyBorder="0" applyAlignment="0" applyProtection="0">
      <alignment vertical="center"/>
    </xf>
    <xf numFmtId="0" fontId="3" fillId="10" borderId="9" applyNumberFormat="0" applyFont="0" applyAlignment="0" applyProtection="0">
      <alignment vertical="center"/>
    </xf>
    <xf numFmtId="0" fontId="17" fillId="0" borderId="0" applyNumberFormat="0" applyFill="0" applyBorder="0" applyAlignment="0" applyProtection="0">
      <alignment vertical="center"/>
    </xf>
    <xf numFmtId="0" fontId="18" fillId="0" borderId="10" applyNumberFormat="0" applyFill="0" applyAlignment="0" applyProtection="0">
      <alignment vertical="center"/>
    </xf>
    <xf numFmtId="0" fontId="19" fillId="11" borderId="0" applyNumberFormat="0" applyBorder="0" applyAlignment="0" applyProtection="0">
      <alignment vertical="center"/>
    </xf>
    <xf numFmtId="0" fontId="3" fillId="12" borderId="0" applyNumberFormat="0" applyBorder="0" applyAlignment="0" applyProtection="0">
      <alignment vertical="center"/>
    </xf>
    <xf numFmtId="0" fontId="3" fillId="13" borderId="0" applyNumberFormat="0" applyBorder="0" applyAlignment="0" applyProtection="0">
      <alignment vertical="center"/>
    </xf>
    <xf numFmtId="0" fontId="19" fillId="14" borderId="0" applyNumberFormat="0" applyBorder="0" applyAlignment="0" applyProtection="0">
      <alignment vertical="center"/>
    </xf>
    <xf numFmtId="0" fontId="19" fillId="15" borderId="0" applyNumberFormat="0" applyBorder="0" applyAlignment="0" applyProtection="0">
      <alignment vertical="center"/>
    </xf>
    <xf numFmtId="0" fontId="3" fillId="16" borderId="0" applyNumberFormat="0" applyBorder="0" applyAlignment="0" applyProtection="0">
      <alignment vertical="center"/>
    </xf>
    <xf numFmtId="0" fontId="3" fillId="17" borderId="0" applyNumberFormat="0" applyBorder="0" applyAlignment="0" applyProtection="0">
      <alignment vertical="center"/>
    </xf>
    <xf numFmtId="0" fontId="19" fillId="18" borderId="0" applyNumberFormat="0" applyBorder="0" applyAlignment="0" applyProtection="0">
      <alignment vertical="center"/>
    </xf>
    <xf numFmtId="0" fontId="19" fillId="19" borderId="0" applyNumberFormat="0" applyBorder="0" applyAlignment="0" applyProtection="0">
      <alignment vertical="center"/>
    </xf>
    <xf numFmtId="0" fontId="3" fillId="20" borderId="0" applyNumberFormat="0" applyBorder="0" applyAlignment="0" applyProtection="0">
      <alignment vertical="center"/>
    </xf>
    <xf numFmtId="0" fontId="3" fillId="21" borderId="0" applyNumberFormat="0" applyBorder="0" applyAlignment="0" applyProtection="0">
      <alignment vertical="center"/>
    </xf>
    <xf numFmtId="0" fontId="19" fillId="22" borderId="0" applyNumberFormat="0" applyBorder="0" applyAlignment="0" applyProtection="0">
      <alignment vertical="center"/>
    </xf>
    <xf numFmtId="0" fontId="19" fillId="23" borderId="0" applyNumberFormat="0" applyBorder="0" applyAlignment="0" applyProtection="0">
      <alignment vertical="center"/>
    </xf>
    <xf numFmtId="0" fontId="3" fillId="24" borderId="0" applyNumberFormat="0" applyBorder="0" applyAlignment="0" applyProtection="0">
      <alignment vertical="center"/>
    </xf>
    <xf numFmtId="0" fontId="3" fillId="25" borderId="0" applyNumberFormat="0" applyBorder="0" applyAlignment="0" applyProtection="0">
      <alignment vertical="center"/>
    </xf>
    <xf numFmtId="0" fontId="19" fillId="26" borderId="0" applyNumberFormat="0" applyBorder="0" applyAlignment="0" applyProtection="0">
      <alignment vertical="center"/>
    </xf>
    <xf numFmtId="0" fontId="19" fillId="27" borderId="0" applyNumberFormat="0" applyBorder="0" applyAlignment="0" applyProtection="0">
      <alignment vertical="center"/>
    </xf>
    <xf numFmtId="0" fontId="3" fillId="28" borderId="0" applyNumberFormat="0" applyBorder="0" applyAlignment="0" applyProtection="0">
      <alignment vertical="center"/>
    </xf>
    <xf numFmtId="0" fontId="3" fillId="29" borderId="0" applyNumberFormat="0" applyBorder="0" applyAlignment="0" applyProtection="0">
      <alignment vertical="center"/>
    </xf>
    <xf numFmtId="0" fontId="19" fillId="30" borderId="0" applyNumberFormat="0" applyBorder="0" applyAlignment="0" applyProtection="0">
      <alignment vertical="center"/>
    </xf>
    <xf numFmtId="0" fontId="19" fillId="31" borderId="0" applyNumberFormat="0" applyBorder="0" applyAlignment="0" applyProtection="0">
      <alignment vertical="center"/>
    </xf>
    <xf numFmtId="0" fontId="3" fillId="32" borderId="0" applyNumberFormat="0" applyBorder="0" applyAlignment="0" applyProtection="0">
      <alignment vertical="center"/>
    </xf>
    <xf numFmtId="0" fontId="3" fillId="33" borderId="0" applyNumberFormat="0" applyBorder="0" applyAlignment="0" applyProtection="0">
      <alignment vertical="center"/>
    </xf>
    <xf numFmtId="0" fontId="19" fillId="34" borderId="0" applyNumberFormat="0" applyBorder="0" applyAlignment="0" applyProtection="0">
      <alignment vertical="center"/>
    </xf>
  </cellStyleXfs>
  <cellXfs count="17">
    <xf numFmtId="0" fontId="0" fillId="0" borderId="0" xfId="0">
      <alignment vertical="center"/>
    </xf>
    <xf numFmtId="0" fontId="0" fillId="0" borderId="0" xfId="0" applyFill="1">
      <alignment vertical="center"/>
    </xf>
    <xf numFmtId="0" fontId="0" fillId="2" borderId="0" xfId="0" applyFill="1">
      <alignment vertical="center"/>
    </xf>
    <xf numFmtId="0" fontId="0" fillId="0" borderId="0" xfId="0">
      <alignment vertical="center"/>
    </xf>
    <xf numFmtId="9" fontId="0" fillId="0" borderId="0" xfId="0" applyNumberFormat="1">
      <alignment vertical="center"/>
    </xf>
    <xf numFmtId="10" fontId="0" fillId="0" borderId="0" xfId="0" applyNumberFormat="1">
      <alignment vertical="center"/>
    </xf>
    <xf numFmtId="0" fontId="0" fillId="0" borderId="1" xfId="0" applyNumberFormat="1" applyFill="1" applyBorder="1" applyAlignment="1">
      <alignment vertical="center" wrapText="1"/>
    </xf>
    <xf numFmtId="0" fontId="20" fillId="0" borderId="0" xfId="0" applyFont="1" applyAlignment="1">
      <alignment vertical="center" wrapText="1"/>
    </xf>
    <xf numFmtId="0" fontId="0" fillId="3" borderId="1" xfId="0" applyNumberFormat="1" applyFill="1" applyBorder="1" applyAlignment="1">
      <alignment vertical="center" wrapText="1"/>
    </xf>
    <xf numFmtId="0" fontId="21" fillId="0" borderId="0" xfId="0" applyFont="1" applyAlignment="1">
      <alignment vertical="center" wrapText="1"/>
    </xf>
    <xf numFmtId="0" fontId="0" fillId="35" borderId="0" xfId="0" applyFill="1">
      <alignment vertical="center"/>
    </xf>
    <xf numFmtId="0" fontId="0" fillId="36" borderId="0" xfId="0" applyFill="1">
      <alignment vertical="center"/>
    </xf>
    <xf numFmtId="0" fontId="24" fillId="0" borderId="0" xfId="0" applyFont="1">
      <alignment vertical="center"/>
    </xf>
    <xf numFmtId="0" fontId="16" fillId="0" borderId="0" xfId="0" applyFont="1">
      <alignment vertical="center"/>
    </xf>
    <xf numFmtId="0" fontId="24" fillId="0" borderId="0" xfId="0" applyFont="1" applyFill="1">
      <alignment vertical="center"/>
    </xf>
    <xf numFmtId="14" fontId="0" fillId="0" borderId="0" xfId="0" applyNumberFormat="1">
      <alignment vertical="center"/>
    </xf>
    <xf numFmtId="0" fontId="0" fillId="0" borderId="0" xfId="0" applyNumberFormat="1">
      <alignment vertical="center"/>
    </xf>
  </cellXfs>
  <cellStyles count="44">
    <cellStyle name="20% - 着色 1" xfId="21" builtinId="30" customBuiltin="1"/>
    <cellStyle name="20% - 着色 2" xfId="25" builtinId="34" customBuiltin="1"/>
    <cellStyle name="20% - 着色 3" xfId="29" builtinId="38" customBuiltin="1"/>
    <cellStyle name="20% - 着色 4" xfId="33" builtinId="42" customBuiltin="1"/>
    <cellStyle name="20% - 着色 5" xfId="37" builtinId="46" customBuiltin="1"/>
    <cellStyle name="20% - 着色 6" xfId="41" builtinId="50" customBuiltin="1"/>
    <cellStyle name="40% - 着色 1" xfId="22" builtinId="31" customBuiltin="1"/>
    <cellStyle name="40% - 着色 2" xfId="26" builtinId="35" customBuiltin="1"/>
    <cellStyle name="40% - 着色 3" xfId="30" builtinId="39" customBuiltin="1"/>
    <cellStyle name="40% - 着色 4" xfId="34" builtinId="43" customBuiltin="1"/>
    <cellStyle name="40% - 着色 5" xfId="38" builtinId="47" customBuiltin="1"/>
    <cellStyle name="40% - 着色 6" xfId="42" builtinId="51" customBuiltin="1"/>
    <cellStyle name="60% - 着色 1" xfId="23" builtinId="32" customBuiltin="1"/>
    <cellStyle name="60% - 着色 2" xfId="27" builtinId="36" customBuiltin="1"/>
    <cellStyle name="60% - 着色 3" xfId="31" builtinId="40" customBuiltin="1"/>
    <cellStyle name="60% - 着色 4" xfId="35" builtinId="44" customBuiltin="1"/>
    <cellStyle name="60% - 着色 5" xfId="39" builtinId="48" customBuiltin="1"/>
    <cellStyle name="60% - 着色 6" xfId="43" builtinId="52" customBuiltin="1"/>
    <cellStyle name="Normal 2" xfId="2"/>
    <cellStyle name="标题" xfId="3" builtinId="15" customBuiltin="1"/>
    <cellStyle name="标题 1" xfId="4" builtinId="16" customBuiltin="1"/>
    <cellStyle name="标题 2" xfId="5" builtinId="17" customBuiltin="1"/>
    <cellStyle name="标题 3" xfId="6" builtinId="18" customBuiltin="1"/>
    <cellStyle name="标题 4" xfId="7" builtinId="19" customBuiltin="1"/>
    <cellStyle name="差" xfId="9" builtinId="27" customBuiltin="1"/>
    <cellStyle name="常规" xfId="0" builtinId="0"/>
    <cellStyle name="常规 2" xfId="1"/>
    <cellStyle name="好" xfId="8" builtinId="26" customBuiltin="1"/>
    <cellStyle name="汇总" xfId="19" builtinId="25" customBuiltin="1"/>
    <cellStyle name="计算" xfId="13" builtinId="22" customBuiltin="1"/>
    <cellStyle name="检查单元格" xfId="15" builtinId="23" customBuiltin="1"/>
    <cellStyle name="解释性文本" xfId="18" builtinId="53" customBuiltin="1"/>
    <cellStyle name="警告文本" xfId="16" builtinId="11" customBuiltin="1"/>
    <cellStyle name="链接单元格" xfId="14" builtinId="24" customBuiltin="1"/>
    <cellStyle name="适中" xfId="10" builtinId="28" customBuiltin="1"/>
    <cellStyle name="输出" xfId="12" builtinId="21" customBuiltin="1"/>
    <cellStyle name="输入" xfId="11" builtinId="20" customBuiltin="1"/>
    <cellStyle name="着色 1" xfId="20" builtinId="29" customBuiltin="1"/>
    <cellStyle name="着色 2" xfId="24" builtinId="33" customBuiltin="1"/>
    <cellStyle name="着色 3" xfId="28" builtinId="37" customBuiltin="1"/>
    <cellStyle name="着色 4" xfId="32" builtinId="41" customBuiltin="1"/>
    <cellStyle name="着色 5" xfId="36" builtinId="45" customBuiltin="1"/>
    <cellStyle name="着色 6" xfId="40" builtinId="49" customBuiltin="1"/>
    <cellStyle name="注释" xfId="17" builtinId="10"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147</xdr:col>
          <xdr:colOff>533400</xdr:colOff>
          <xdr:row>0</xdr:row>
          <xdr:rowOff>76200</xdr:rowOff>
        </xdr:from>
        <xdr:to>
          <xdr:col>147</xdr:col>
          <xdr:colOff>1574800</xdr:colOff>
          <xdr:row>0</xdr:row>
          <xdr:rowOff>546100</xdr:rowOff>
        </xdr:to>
        <xdr:sp macro="" textlink="">
          <xdr:nvSpPr>
            <xdr:cNvPr id="2050" name="Button 2" descr="更新基本面按钮&#10;"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更新基本面</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P124"/>
  <sheetViews>
    <sheetView tabSelected="1" zoomScale="85" zoomScaleNormal="85" workbookViewId="0">
      <pane xSplit="5" ySplit="1" topLeftCell="F38" activePane="bottomRight" state="frozen"/>
      <selection pane="topRight" activeCell="F1" sqref="F1"/>
      <selection pane="bottomLeft" activeCell="A2" sqref="A2"/>
      <selection pane="bottomRight" activeCell="C21" sqref="C21:C22"/>
    </sheetView>
  </sheetViews>
  <sheetFormatPr defaultColWidth="8.81640625" defaultRowHeight="14" x14ac:dyDescent="0.25"/>
  <cols>
    <col min="1" max="1" width="37.81640625" style="7" customWidth="1"/>
    <col min="2" max="2" width="39.1796875" style="7" customWidth="1"/>
    <col min="3" max="3" width="50.81640625" style="7" customWidth="1"/>
    <col min="4" max="4" width="8.81640625" style="3"/>
    <col min="5" max="5" width="14.54296875" style="3" customWidth="1"/>
    <col min="6" max="8" width="8.81640625" style="3"/>
    <col min="9" max="9" width="14.1796875" style="3" customWidth="1"/>
    <col min="10" max="13" width="8.81640625" style="3"/>
    <col min="14" max="14" width="10.54296875" style="3" customWidth="1"/>
    <col min="15" max="15" width="10.36328125" style="3" customWidth="1"/>
    <col min="16" max="16" width="12.453125" style="3" customWidth="1"/>
    <col min="17" max="18" width="8.81640625" style="3"/>
    <col min="19" max="19" width="16.453125" style="3" customWidth="1"/>
    <col min="20" max="21" width="8.81640625" style="3"/>
    <col min="22" max="22" width="9.54296875" style="3" customWidth="1"/>
    <col min="23" max="26" width="8.81640625" style="3"/>
    <col min="27" max="27" width="14" style="3" customWidth="1"/>
    <col min="28" max="33" width="8.81640625" style="3"/>
    <col min="34" max="34" width="13.36328125" style="3" customWidth="1"/>
    <col min="35" max="147" width="8.81640625" style="3"/>
    <col min="148" max="148" width="29.81640625" style="3" customWidth="1"/>
    <col min="149" max="16384" width="8.81640625" style="3"/>
  </cols>
  <sheetData>
    <row r="1" spans="1:146" ht="52" customHeight="1" x14ac:dyDescent="0.25">
      <c r="A1" s="6" t="s">
        <v>4</v>
      </c>
      <c r="B1" s="8" t="s">
        <v>5</v>
      </c>
      <c r="C1" s="6" t="s">
        <v>3</v>
      </c>
      <c r="D1" s="3" t="s">
        <v>240</v>
      </c>
      <c r="E1" s="3" t="s">
        <v>280</v>
      </c>
      <c r="F1" s="3" t="s">
        <v>19</v>
      </c>
      <c r="G1" s="3" t="s">
        <v>241</v>
      </c>
      <c r="H1" s="3" t="s">
        <v>366</v>
      </c>
      <c r="I1" s="3" t="s">
        <v>20</v>
      </c>
      <c r="J1" s="3" t="s">
        <v>21</v>
      </c>
      <c r="K1" s="3" t="s">
        <v>22</v>
      </c>
      <c r="L1" s="3" t="s">
        <v>23</v>
      </c>
      <c r="M1" s="3" t="s">
        <v>24</v>
      </c>
      <c r="N1" s="3" t="s">
        <v>25</v>
      </c>
      <c r="O1" s="3" t="s">
        <v>26</v>
      </c>
      <c r="P1" s="3" t="s">
        <v>367</v>
      </c>
      <c r="Q1" s="3" t="s">
        <v>299</v>
      </c>
      <c r="R1" s="3" t="s">
        <v>281</v>
      </c>
      <c r="S1" s="3" t="s">
        <v>27</v>
      </c>
      <c r="T1" s="3" t="s">
        <v>368</v>
      </c>
      <c r="U1" s="3" t="s">
        <v>242</v>
      </c>
      <c r="V1" s="3" t="s">
        <v>28</v>
      </c>
      <c r="W1" s="3" t="s">
        <v>300</v>
      </c>
      <c r="X1" s="3" t="s">
        <v>301</v>
      </c>
      <c r="Y1" s="3" t="s">
        <v>302</v>
      </c>
      <c r="Z1" s="3" t="s">
        <v>303</v>
      </c>
      <c r="AA1" s="3" t="s">
        <v>304</v>
      </c>
      <c r="AB1" s="3" t="s">
        <v>369</v>
      </c>
      <c r="AC1" s="3" t="s">
        <v>305</v>
      </c>
      <c r="AD1" s="3" t="s">
        <v>306</v>
      </c>
      <c r="AE1" s="3" t="s">
        <v>29</v>
      </c>
      <c r="AF1" s="3" t="s">
        <v>30</v>
      </c>
      <c r="AG1" s="3" t="s">
        <v>370</v>
      </c>
      <c r="AH1" s="3" t="s">
        <v>282</v>
      </c>
      <c r="AI1" s="3" t="s">
        <v>371</v>
      </c>
      <c r="AJ1" s="3" t="s">
        <v>31</v>
      </c>
      <c r="AK1" s="3" t="s">
        <v>372</v>
      </c>
      <c r="AL1" s="3" t="s">
        <v>32</v>
      </c>
      <c r="AM1" s="3" t="s">
        <v>373</v>
      </c>
      <c r="AN1" s="3" t="s">
        <v>374</v>
      </c>
      <c r="AO1" s="3" t="s">
        <v>375</v>
      </c>
      <c r="AP1" s="3" t="s">
        <v>376</v>
      </c>
      <c r="AQ1" s="3" t="s">
        <v>377</v>
      </c>
      <c r="AR1" s="3" t="s">
        <v>378</v>
      </c>
      <c r="AS1" s="3" t="s">
        <v>379</v>
      </c>
      <c r="AT1" s="3" t="s">
        <v>380</v>
      </c>
      <c r="AU1" s="3" t="s">
        <v>381</v>
      </c>
      <c r="AV1" s="3" t="s">
        <v>382</v>
      </c>
      <c r="AW1" s="3" t="s">
        <v>383</v>
      </c>
      <c r="AX1" s="3" t="s">
        <v>283</v>
      </c>
      <c r="AY1" s="3" t="s">
        <v>33</v>
      </c>
      <c r="AZ1" s="3" t="s">
        <v>34</v>
      </c>
      <c r="BA1" s="3" t="s">
        <v>35</v>
      </c>
      <c r="BB1" s="3" t="s">
        <v>36</v>
      </c>
      <c r="BC1" s="3" t="s">
        <v>243</v>
      </c>
      <c r="BD1" s="3" t="s">
        <v>37</v>
      </c>
      <c r="BE1" s="3" t="s">
        <v>38</v>
      </c>
      <c r="BF1" s="3" t="s">
        <v>39</v>
      </c>
      <c r="BG1" s="3" t="s">
        <v>40</v>
      </c>
      <c r="BH1" s="3" t="s">
        <v>384</v>
      </c>
      <c r="BI1" s="3" t="s">
        <v>385</v>
      </c>
      <c r="BJ1" s="3" t="s">
        <v>386</v>
      </c>
      <c r="BK1" s="3" t="s">
        <v>387</v>
      </c>
      <c r="BL1" s="3" t="s">
        <v>388</v>
      </c>
      <c r="BM1" s="3" t="s">
        <v>389</v>
      </c>
      <c r="BN1" s="3" t="s">
        <v>284</v>
      </c>
      <c r="BO1" s="3" t="s">
        <v>244</v>
      </c>
      <c r="BP1" s="3" t="s">
        <v>41</v>
      </c>
      <c r="BQ1" s="3" t="s">
        <v>285</v>
      </c>
      <c r="BR1" s="3" t="s">
        <v>245</v>
      </c>
      <c r="BS1" s="3" t="s">
        <v>42</v>
      </c>
      <c r="BT1" s="3" t="s">
        <v>390</v>
      </c>
      <c r="BU1" s="3" t="s">
        <v>307</v>
      </c>
      <c r="BV1" s="3" t="s">
        <v>391</v>
      </c>
      <c r="BW1" s="3" t="s">
        <v>43</v>
      </c>
      <c r="BX1" s="3" t="s">
        <v>44</v>
      </c>
      <c r="BY1" s="3" t="s">
        <v>392</v>
      </c>
      <c r="BZ1" s="3" t="s">
        <v>45</v>
      </c>
      <c r="CA1" s="3" t="s">
        <v>46</v>
      </c>
      <c r="CB1" s="3" t="s">
        <v>393</v>
      </c>
      <c r="CC1" s="3" t="s">
        <v>394</v>
      </c>
      <c r="CD1" s="3" t="s">
        <v>395</v>
      </c>
      <c r="CE1" s="3" t="s">
        <v>396</v>
      </c>
      <c r="CF1" s="1" t="s">
        <v>286</v>
      </c>
      <c r="CG1" s="1" t="s">
        <v>287</v>
      </c>
      <c r="CH1" s="1" t="s">
        <v>6</v>
      </c>
      <c r="CI1" s="1" t="s">
        <v>7</v>
      </c>
      <c r="CJ1" s="1" t="s">
        <v>8</v>
      </c>
      <c r="CK1" s="1" t="s">
        <v>9</v>
      </c>
      <c r="CL1" s="1" t="s">
        <v>10</v>
      </c>
      <c r="CM1" s="1" t="s">
        <v>11</v>
      </c>
      <c r="CN1" s="1" t="s">
        <v>12</v>
      </c>
      <c r="CO1" s="1" t="s">
        <v>13</v>
      </c>
      <c r="CP1" s="1" t="s">
        <v>14</v>
      </c>
      <c r="CQ1" s="1" t="s">
        <v>15</v>
      </c>
      <c r="CR1" s="1" t="s">
        <v>397</v>
      </c>
      <c r="CS1" s="1" t="s">
        <v>398</v>
      </c>
      <c r="CT1" s="1" t="s">
        <v>399</v>
      </c>
      <c r="CU1" s="1" t="s">
        <v>400</v>
      </c>
      <c r="CV1" s="1" t="s">
        <v>401</v>
      </c>
      <c r="CW1" s="1" t="s">
        <v>402</v>
      </c>
      <c r="CX1" s="3">
        <v>1</v>
      </c>
      <c r="CY1" s="3" t="s">
        <v>403</v>
      </c>
      <c r="CZ1" s="3" t="s">
        <v>404</v>
      </c>
      <c r="DA1" s="3">
        <v>3</v>
      </c>
      <c r="DB1" s="3" t="s">
        <v>405</v>
      </c>
      <c r="DC1" s="3" t="s">
        <v>406</v>
      </c>
      <c r="DD1" s="3">
        <v>6</v>
      </c>
      <c r="DE1" s="3" t="s">
        <v>407</v>
      </c>
      <c r="DF1" s="3" t="s">
        <v>408</v>
      </c>
      <c r="DG1" s="3">
        <v>10</v>
      </c>
      <c r="DH1" s="3" t="s">
        <v>409</v>
      </c>
      <c r="DI1" s="3" t="s">
        <v>410</v>
      </c>
      <c r="DJ1" s="3">
        <v>20</v>
      </c>
      <c r="DK1" s="3" t="s">
        <v>411</v>
      </c>
      <c r="DL1" s="3" t="s">
        <v>16</v>
      </c>
      <c r="DM1" s="3" t="s">
        <v>17</v>
      </c>
      <c r="DN1" s="2" t="s">
        <v>18</v>
      </c>
      <c r="DO1" s="3" t="s">
        <v>412</v>
      </c>
      <c r="DP1" s="3" t="s">
        <v>413</v>
      </c>
      <c r="DQ1" s="14" t="s">
        <v>414</v>
      </c>
      <c r="DR1" s="1" t="s">
        <v>415</v>
      </c>
      <c r="DS1" s="1" t="s">
        <v>416</v>
      </c>
      <c r="DT1" s="3" t="s">
        <v>417</v>
      </c>
      <c r="DU1" s="3" t="s">
        <v>418</v>
      </c>
      <c r="DV1" s="3" t="s">
        <v>419</v>
      </c>
      <c r="DW1" s="3" t="s">
        <v>420</v>
      </c>
      <c r="DX1" s="3" t="s">
        <v>421</v>
      </c>
      <c r="DY1" s="3" t="s">
        <v>422</v>
      </c>
      <c r="DZ1" s="3" t="s">
        <v>423</v>
      </c>
      <c r="EA1" s="3" t="s">
        <v>424</v>
      </c>
      <c r="EB1" s="3" t="s">
        <v>425</v>
      </c>
      <c r="EC1" s="3" t="s">
        <v>426</v>
      </c>
      <c r="ED1" s="3" t="s">
        <v>427</v>
      </c>
      <c r="EE1" s="3" t="s">
        <v>428</v>
      </c>
      <c r="EF1" s="3" t="s">
        <v>429</v>
      </c>
      <c r="EG1" s="3" t="s">
        <v>430</v>
      </c>
      <c r="EH1" s="3" t="s">
        <v>431</v>
      </c>
      <c r="EI1" s="3" t="s">
        <v>432</v>
      </c>
      <c r="EK1" s="15" t="s">
        <v>433</v>
      </c>
      <c r="EL1" s="3" t="s">
        <v>434</v>
      </c>
      <c r="EM1" s="3" t="s">
        <v>435</v>
      </c>
      <c r="EN1" s="3" t="s">
        <v>436</v>
      </c>
      <c r="EO1" s="3" t="s">
        <v>437</v>
      </c>
      <c r="EP1" s="3" t="s">
        <v>438</v>
      </c>
    </row>
    <row r="2" spans="1:146" ht="96" x14ac:dyDescent="0.25">
      <c r="A2" s="9"/>
      <c r="B2" s="9" t="s">
        <v>229</v>
      </c>
      <c r="C2" s="9" t="str">
        <f>""&amp;CHAR(10)&amp;Basic_Fundamental_Information_Constructure(F2)&amp;CHAR(10)&amp;Basic_Fundamental_Information_Concatenate("")</f>
        <v xml:space="preserve">
市值32.655076亿, 利润704.69万; PE107.6; 平均PE43.5; 平均PEG15.42, PB1.43; ROIC4.87%; ROE4.9%; 股利率.3584%; 毛利7.7867%; 净利1.8633%; 上一年度营收增-64.74%, 利润增-92.09%; 当季营收增-40.6%, 利润增-43.86%; 过往5年营收增2.82%, 利润增16.51%
Income profile:
</v>
      </c>
      <c r="D2" s="3" t="s">
        <v>95</v>
      </c>
      <c r="E2" s="3" t="s">
        <v>96</v>
      </c>
      <c r="F2" s="3">
        <v>5.58</v>
      </c>
      <c r="G2" s="3">
        <v>2.2000000000000002</v>
      </c>
      <c r="H2" s="3" t="s">
        <v>895</v>
      </c>
      <c r="I2" s="3">
        <v>3265507600</v>
      </c>
      <c r="J2" s="3">
        <v>107.6</v>
      </c>
      <c r="K2" s="3">
        <v>1.43</v>
      </c>
      <c r="L2" s="3" t="s">
        <v>97</v>
      </c>
      <c r="M2" s="3" t="s">
        <v>614</v>
      </c>
      <c r="N2" s="3" t="s">
        <v>896</v>
      </c>
      <c r="O2" s="3" t="s">
        <v>615</v>
      </c>
      <c r="P2" s="3">
        <v>12.52</v>
      </c>
      <c r="Q2" s="3" t="s">
        <v>615</v>
      </c>
      <c r="R2" s="3">
        <v>7046896</v>
      </c>
      <c r="S2" s="5">
        <v>-0.29759999999999998</v>
      </c>
      <c r="T2" s="3" t="s">
        <v>897</v>
      </c>
      <c r="U2" s="3">
        <v>432491800</v>
      </c>
      <c r="V2" s="3">
        <v>585216420</v>
      </c>
      <c r="W2" s="3">
        <v>2.0499999999999998</v>
      </c>
      <c r="X2" s="3">
        <v>0.46</v>
      </c>
      <c r="Y2" s="3">
        <v>0.33</v>
      </c>
      <c r="Z2" s="3" t="s">
        <v>898</v>
      </c>
      <c r="AA2" s="3" t="s">
        <v>899</v>
      </c>
      <c r="AB2" s="3" t="s">
        <v>900</v>
      </c>
      <c r="AC2" s="3" t="s">
        <v>901</v>
      </c>
      <c r="AD2" s="3" t="s">
        <v>48</v>
      </c>
      <c r="AE2" s="3">
        <v>20269683</v>
      </c>
      <c r="AF2" s="3" t="s">
        <v>619</v>
      </c>
      <c r="AG2" s="3" t="s">
        <v>902</v>
      </c>
      <c r="AH2" s="3" t="s">
        <v>620</v>
      </c>
      <c r="AI2" s="3" t="s">
        <v>903</v>
      </c>
      <c r="AJ2" s="3" t="s">
        <v>621</v>
      </c>
      <c r="AK2" s="3" t="s">
        <v>501</v>
      </c>
      <c r="AL2" s="3" t="s">
        <v>622</v>
      </c>
      <c r="AM2" s="3" t="s">
        <v>48</v>
      </c>
      <c r="AN2" s="3" t="s">
        <v>665</v>
      </c>
      <c r="AO2" s="3" t="s">
        <v>161</v>
      </c>
      <c r="AP2" s="3" t="s">
        <v>677</v>
      </c>
      <c r="AQ2" s="3" t="s">
        <v>904</v>
      </c>
      <c r="AR2" s="3" t="s">
        <v>48</v>
      </c>
      <c r="AS2" s="3" t="s">
        <v>905</v>
      </c>
      <c r="AT2" s="3" t="s">
        <v>906</v>
      </c>
      <c r="AU2" s="3" t="s">
        <v>907</v>
      </c>
      <c r="AV2" s="3" t="s">
        <v>908</v>
      </c>
      <c r="AW2" s="3" t="s">
        <v>909</v>
      </c>
      <c r="AX2" s="3" t="s">
        <v>450</v>
      </c>
      <c r="AY2" s="3" t="s">
        <v>452</v>
      </c>
      <c r="AZ2" s="3" t="s">
        <v>453</v>
      </c>
      <c r="BA2" s="3" t="s">
        <v>98</v>
      </c>
      <c r="BB2" s="3" t="s">
        <v>99</v>
      </c>
      <c r="BC2" s="3" t="s">
        <v>624</v>
      </c>
      <c r="BD2" s="3" t="s">
        <v>454</v>
      </c>
      <c r="BE2" s="3" t="s">
        <v>455</v>
      </c>
      <c r="BF2" s="3" t="s">
        <v>100</v>
      </c>
      <c r="BG2" s="3" t="s">
        <v>101</v>
      </c>
      <c r="BH2" s="3" t="s">
        <v>616</v>
      </c>
      <c r="BI2" s="3" t="s">
        <v>910</v>
      </c>
      <c r="BJ2" s="3" t="s">
        <v>450</v>
      </c>
      <c r="BK2" s="3" t="s">
        <v>617</v>
      </c>
      <c r="BL2" s="3" t="s">
        <v>911</v>
      </c>
      <c r="BM2" s="3" t="s">
        <v>624</v>
      </c>
      <c r="BN2" s="3">
        <v>2.44</v>
      </c>
      <c r="BO2" s="3">
        <v>3.7</v>
      </c>
      <c r="BP2" s="3">
        <v>8.4700000000000006</v>
      </c>
      <c r="BQ2" s="3">
        <v>1.27</v>
      </c>
      <c r="BR2" s="3">
        <v>3.82</v>
      </c>
      <c r="BS2" s="3">
        <v>9.61</v>
      </c>
      <c r="BT2" s="3" t="s">
        <v>625</v>
      </c>
      <c r="BU2" s="3" t="s">
        <v>97</v>
      </c>
      <c r="BV2" s="3">
        <v>6.11</v>
      </c>
      <c r="BW2" s="3">
        <v>7.14</v>
      </c>
      <c r="BX2" s="3">
        <v>10.11</v>
      </c>
      <c r="BY2" s="3">
        <v>0.45</v>
      </c>
      <c r="BZ2" s="3">
        <v>1.4</v>
      </c>
      <c r="CA2" s="3">
        <v>3.74</v>
      </c>
      <c r="CB2" s="3">
        <v>-0.71</v>
      </c>
      <c r="CC2" s="3">
        <v>-13.35</v>
      </c>
      <c r="CD2" s="3" t="s">
        <v>912</v>
      </c>
      <c r="CE2" s="3" t="s">
        <v>913</v>
      </c>
      <c r="CF2" s="10">
        <v>-0.4059945504087194</v>
      </c>
      <c r="CG2" s="11">
        <v>-0.43860617406891056</v>
      </c>
      <c r="CH2" s="10">
        <v>-0.64742034673690796</v>
      </c>
      <c r="CI2" s="10">
        <v>0.14925657212734222</v>
      </c>
      <c r="CJ2" s="10">
        <v>-4.7113068401813507E-2</v>
      </c>
      <c r="CK2" s="10">
        <v>0.69143193960189819</v>
      </c>
      <c r="CL2" s="10">
        <v>-5.0670448690652847E-3</v>
      </c>
      <c r="CM2" s="11">
        <v>-0.92087793350219727</v>
      </c>
      <c r="CN2" s="11">
        <v>-0.52372348308563232</v>
      </c>
      <c r="CO2" s="11">
        <v>2.2137432098388672</v>
      </c>
      <c r="CP2" s="11">
        <v>0.5102992057800293</v>
      </c>
      <c r="CQ2" s="11">
        <v>-0.45411574840545654</v>
      </c>
      <c r="CR2" s="3">
        <v>43.501143642471298</v>
      </c>
      <c r="CS2" s="3">
        <v>15.416310279893308</v>
      </c>
      <c r="CT2" s="3">
        <v>0.35842293906810035</v>
      </c>
      <c r="CU2" s="10">
        <v>2.8217610344290732E-2</v>
      </c>
      <c r="CV2" s="11">
        <v>0.16506505012512207</v>
      </c>
      <c r="CW2" s="3">
        <v>0.06</v>
      </c>
      <c r="CX2" s="3">
        <v>496.59175454733588</v>
      </c>
      <c r="CY2" s="3">
        <v>6835610.0739011168</v>
      </c>
      <c r="CZ2" s="3">
        <v>2.8217610344290732E-2</v>
      </c>
      <c r="DA2" s="3">
        <v>171.05872088922845</v>
      </c>
      <c r="DB2" s="3">
        <v>19844107.230277739</v>
      </c>
      <c r="DC2" s="3">
        <v>2.6806729827076194E-2</v>
      </c>
      <c r="DD2" s="3">
        <v>90.197304383559199</v>
      </c>
      <c r="DE2" s="3">
        <v>37634246.646274909</v>
      </c>
      <c r="DF2" s="3">
        <v>2.4831497102975844E-2</v>
      </c>
      <c r="DG2" s="3">
        <v>58.388508243292478</v>
      </c>
      <c r="DH2" s="3">
        <v>58136570.056830533</v>
      </c>
      <c r="DI2" s="3">
        <v>2.2574088275432586E-2</v>
      </c>
      <c r="DJ2" s="3">
        <v>35.27775033247908</v>
      </c>
      <c r="DK2" s="3">
        <v>96222337.535928041</v>
      </c>
      <c r="DL2" s="3">
        <v>1.9752327241003512E-2</v>
      </c>
      <c r="DM2" s="3">
        <v>7046900.0000000009</v>
      </c>
      <c r="DN2" s="3">
        <v>2.8217610344290732E-2</v>
      </c>
      <c r="DO2" s="3">
        <v>3394507600</v>
      </c>
      <c r="DP2" s="3">
        <v>1206753900</v>
      </c>
      <c r="DQ2" s="3">
        <v>1077</v>
      </c>
      <c r="DR2" s="3">
        <v>-0.43421216075301011</v>
      </c>
      <c r="DS2" s="3">
        <v>-0.60367122419403263</v>
      </c>
      <c r="DT2" s="12">
        <v>-0.54</v>
      </c>
      <c r="DU2" s="3">
        <v>-0.33500000000000002</v>
      </c>
      <c r="DV2" s="3">
        <v>-0.875</v>
      </c>
      <c r="DW2" s="3">
        <v>-2.1335000000000002</v>
      </c>
      <c r="DX2" s="3">
        <v>0.33649890350877043</v>
      </c>
      <c r="DY2" s="3">
        <v>-2.0128826036184209</v>
      </c>
      <c r="DZ2" s="3">
        <v>2623</v>
      </c>
      <c r="EA2" s="3">
        <v>-2.0062698699019594</v>
      </c>
      <c r="EB2" s="3">
        <v>2</v>
      </c>
      <c r="EC2" s="3">
        <v>7.5191840994482007E-2</v>
      </c>
      <c r="ED2" s="3">
        <v>0.77919891584723466</v>
      </c>
      <c r="EE2" s="13">
        <v>2.0034999999999998</v>
      </c>
      <c r="EF2" s="3">
        <v>2.0224099999999998</v>
      </c>
      <c r="EG2" s="3">
        <v>24.09649890350877</v>
      </c>
      <c r="EH2" s="3" t="s">
        <v>721</v>
      </c>
      <c r="EI2" s="3">
        <v>0</v>
      </c>
      <c r="EJ2" s="3">
        <v>0</v>
      </c>
      <c r="EK2" s="15">
        <v>45470</v>
      </c>
      <c r="EL2" s="16">
        <v>-0.69</v>
      </c>
      <c r="EM2" s="16">
        <v>-4.1500000000000004</v>
      </c>
      <c r="EN2" s="16">
        <v>0.9</v>
      </c>
      <c r="EO2" s="16">
        <v>3.58</v>
      </c>
      <c r="EP2" s="16">
        <v>-2.59</v>
      </c>
    </row>
    <row r="3" spans="1:146" ht="158.5" customHeight="1" x14ac:dyDescent="0.25">
      <c r="A3" s="9" t="s">
        <v>365</v>
      </c>
      <c r="B3" s="9"/>
      <c r="C3" s="7" t="str">
        <f>"公司主要从事功能性材料（包括信息材料产业、环保材料产业）和大健康产业 领域产品的研发、生产和销售。信息材料最主要是液晶和OLED材料；环保材料是汽车尾气用沸石环保材料；大健康为医药中间体，制剂，原料药等。"&amp;CHAR(10)&amp;Basic_Fundamental_Information_Constructure(F3)&amp;CHAR(10)&amp;Basic_Fundamental_Information_Concatenate("功能性材料类 14.06亿 54.34% 61.43% 42.54%
大健康类 11.61亿 44.88% 38.10% 31.94%
其他业务收入 2024.81万 0.78% 0.48% 23.01%")</f>
        <v>公司主要从事功能性材料（包括信息材料产业、环保材料产业）和大健康产业 领域产品的研发、生产和销售。信息材料最主要是液晶和OLED材料；环保材料是汽车尾气用沸石环保材料；大健康为医药中间体，制剂，原料药等。
市值89.290191亿, 利润9831.39万; PE13.04; 平均PE18.46; 平均PEG18.85, PB1.26; ROIC10.3267%; ROE10.93%; 股利率3.125%; 毛利39.5733%; 净利17.51%; 上一年度营收增-81.54%, 利润增-86.36%; 当季营收增-54.77%, 利润增-74.73%; 过往5年营收增-.98%, 利润增-6.68%
Income profile:
功能性材料类 14.06亿 54.34% 61.43% 42.54%
大健康类 11.61亿 44.88% 38.10% 31.94%
其他业务收入 2024.81万 0.78% 0.48% 23.01%</v>
      </c>
      <c r="D3" s="3" t="s">
        <v>102</v>
      </c>
      <c r="E3" s="3" t="s">
        <v>103</v>
      </c>
      <c r="F3" s="3">
        <v>9.6</v>
      </c>
      <c r="G3" s="3">
        <v>0.52</v>
      </c>
      <c r="H3" s="3" t="s">
        <v>914</v>
      </c>
      <c r="I3" s="3">
        <v>8929019100</v>
      </c>
      <c r="J3" s="3">
        <v>13.04</v>
      </c>
      <c r="K3" s="3">
        <v>1.26</v>
      </c>
      <c r="L3" s="3" t="s">
        <v>97</v>
      </c>
      <c r="M3" s="3" t="s">
        <v>626</v>
      </c>
      <c r="N3" s="3" t="s">
        <v>915</v>
      </c>
      <c r="O3" s="3" t="s">
        <v>627</v>
      </c>
      <c r="P3" s="3">
        <v>-9.19</v>
      </c>
      <c r="Q3" s="3" t="s">
        <v>627</v>
      </c>
      <c r="R3" s="3">
        <v>98313865</v>
      </c>
      <c r="S3" s="5">
        <v>-0.44319999999999998</v>
      </c>
      <c r="T3" s="3" t="s">
        <v>916</v>
      </c>
      <c r="U3" s="3">
        <v>902632060</v>
      </c>
      <c r="V3" s="3">
        <v>930106160</v>
      </c>
      <c r="W3" s="3">
        <v>1.33</v>
      </c>
      <c r="X3" s="3">
        <v>0.09</v>
      </c>
      <c r="Y3" s="3">
        <v>14.23</v>
      </c>
      <c r="Z3" s="3" t="s">
        <v>917</v>
      </c>
      <c r="AA3" s="3" t="s">
        <v>918</v>
      </c>
      <c r="AB3" s="3" t="s">
        <v>919</v>
      </c>
      <c r="AC3" s="3" t="s">
        <v>920</v>
      </c>
      <c r="AD3" s="3" t="s">
        <v>48</v>
      </c>
      <c r="AE3" s="3">
        <v>-2505783</v>
      </c>
      <c r="AF3" s="3" t="s">
        <v>630</v>
      </c>
      <c r="AG3" s="3" t="s">
        <v>921</v>
      </c>
      <c r="AH3" s="3" t="s">
        <v>631</v>
      </c>
      <c r="AI3" s="3" t="s">
        <v>922</v>
      </c>
      <c r="AJ3" s="3" t="s">
        <v>632</v>
      </c>
      <c r="AK3" s="3" t="s">
        <v>923</v>
      </c>
      <c r="AL3" s="3" t="s">
        <v>633</v>
      </c>
      <c r="AM3" s="3" t="s">
        <v>48</v>
      </c>
      <c r="AN3" s="3" t="s">
        <v>834</v>
      </c>
      <c r="AO3" s="3" t="s">
        <v>924</v>
      </c>
      <c r="AP3" s="3" t="s">
        <v>925</v>
      </c>
      <c r="AQ3" s="3" t="s">
        <v>926</v>
      </c>
      <c r="AR3" s="3" t="s">
        <v>48</v>
      </c>
      <c r="AS3" s="3" t="s">
        <v>927</v>
      </c>
      <c r="AT3" s="3" t="s">
        <v>928</v>
      </c>
      <c r="AU3" s="3" t="s">
        <v>929</v>
      </c>
      <c r="AV3" s="3" t="s">
        <v>930</v>
      </c>
      <c r="AW3" s="3" t="s">
        <v>720</v>
      </c>
      <c r="AX3" s="3" t="s">
        <v>456</v>
      </c>
      <c r="AY3" s="3" t="s">
        <v>246</v>
      </c>
      <c r="AZ3" s="3" t="s">
        <v>104</v>
      </c>
      <c r="BA3" s="3" t="s">
        <v>106</v>
      </c>
      <c r="BB3" s="3" t="s">
        <v>107</v>
      </c>
      <c r="BC3" s="3" t="s">
        <v>457</v>
      </c>
      <c r="BD3" s="3" t="s">
        <v>247</v>
      </c>
      <c r="BE3" s="3" t="s">
        <v>81</v>
      </c>
      <c r="BF3" s="3" t="s">
        <v>60</v>
      </c>
      <c r="BG3" s="3" t="s">
        <v>108</v>
      </c>
      <c r="BH3" s="3" t="s">
        <v>628</v>
      </c>
      <c r="BI3" s="3" t="s">
        <v>931</v>
      </c>
      <c r="BJ3" s="3" t="s">
        <v>456</v>
      </c>
      <c r="BK3" s="3" t="s">
        <v>294</v>
      </c>
      <c r="BL3" s="3" t="s">
        <v>932</v>
      </c>
      <c r="BM3" s="3" t="s">
        <v>457</v>
      </c>
      <c r="BN3" s="3">
        <v>7.87</v>
      </c>
      <c r="BO3" s="3">
        <v>11.89</v>
      </c>
      <c r="BP3" s="3">
        <v>11.22</v>
      </c>
      <c r="BQ3" s="3">
        <v>8.86</v>
      </c>
      <c r="BR3" s="3">
        <v>12.2</v>
      </c>
      <c r="BS3" s="3">
        <v>11.73</v>
      </c>
      <c r="BT3" s="3" t="s">
        <v>511</v>
      </c>
      <c r="BU3" s="3" t="s">
        <v>97</v>
      </c>
      <c r="BV3" s="3">
        <v>42.49</v>
      </c>
      <c r="BW3" s="3">
        <v>39.74</v>
      </c>
      <c r="BX3" s="3">
        <v>36.49</v>
      </c>
      <c r="BY3" s="3">
        <v>20.48</v>
      </c>
      <c r="BZ3" s="3">
        <v>16.22</v>
      </c>
      <c r="CA3" s="3">
        <v>15.83</v>
      </c>
      <c r="CB3" s="3">
        <v>-4</v>
      </c>
      <c r="CC3" s="3">
        <v>-13.82</v>
      </c>
      <c r="CD3" s="3" t="s">
        <v>933</v>
      </c>
      <c r="CE3" s="3" t="s">
        <v>934</v>
      </c>
      <c r="CF3" s="10">
        <v>-0.54773384763741551</v>
      </c>
      <c r="CG3" s="11">
        <v>-0.74726512853470439</v>
      </c>
      <c r="CH3" s="10">
        <v>-0.81535434722900391</v>
      </c>
      <c r="CI3" s="10">
        <v>0.16540488600730896</v>
      </c>
      <c r="CJ3" s="10">
        <v>0.4938313364982605</v>
      </c>
      <c r="CK3" s="10">
        <v>1.6724737361073494E-2</v>
      </c>
      <c r="CL3" s="10">
        <v>9.0425580739974976E-2</v>
      </c>
      <c r="CM3" s="11">
        <v>-0.86364227533340454</v>
      </c>
      <c r="CN3" s="11">
        <v>0.149920254945755</v>
      </c>
      <c r="CO3" s="11">
        <v>0.24158415198326111</v>
      </c>
      <c r="CP3" s="11">
        <v>-3.9447732269763947E-3</v>
      </c>
      <c r="CQ3" s="11">
        <v>0.14189189672470093</v>
      </c>
      <c r="CR3" s="3">
        <v>18.459104165128384</v>
      </c>
      <c r="CS3" s="3">
        <v>18.84820399193628</v>
      </c>
      <c r="CT3" s="3">
        <v>3.125</v>
      </c>
      <c r="CU3" s="10">
        <v>-9.7935613244771961E-3</v>
      </c>
      <c r="CV3" s="11">
        <v>-6.6838148981332779E-2</v>
      </c>
      <c r="CW3" s="3">
        <v>0.06</v>
      </c>
      <c r="CX3" s="3">
        <v>36.495542339384357</v>
      </c>
      <c r="CY3" s="3" t="s">
        <v>935</v>
      </c>
      <c r="CZ3" s="3">
        <v>-9.7935613244771961E-3</v>
      </c>
      <c r="DA3" s="3">
        <v>12.165180779794786</v>
      </c>
      <c r="DB3" s="3" t="s">
        <v>936</v>
      </c>
      <c r="DC3" s="3">
        <v>-9.303883258253336E-3</v>
      </c>
      <c r="DD3" s="3">
        <v>6.0825903898973932</v>
      </c>
      <c r="DE3" s="3" t="s">
        <v>937</v>
      </c>
      <c r="DF3" s="3">
        <v>-8.6183339655399333E-3</v>
      </c>
      <c r="DG3" s="3">
        <v>3.6495542339384359</v>
      </c>
      <c r="DH3" s="3" t="s">
        <v>938</v>
      </c>
      <c r="DI3" s="3">
        <v>-7.8348490595817576E-3</v>
      </c>
      <c r="DJ3" s="3">
        <v>1.824777116969218</v>
      </c>
      <c r="DK3" s="3" t="s">
        <v>939</v>
      </c>
      <c r="DL3" s="3">
        <v>-6.8554929271340366E-3</v>
      </c>
      <c r="DM3" s="3">
        <v>98313900</v>
      </c>
      <c r="DN3" s="3">
        <v>-9.7935613244771961E-3</v>
      </c>
      <c r="DO3" s="3">
        <v>3588019100</v>
      </c>
      <c r="DP3" s="3">
        <v>2889308900</v>
      </c>
      <c r="DQ3" s="3">
        <v>1133</v>
      </c>
      <c r="DR3" s="3">
        <v>-0.53794028631293833</v>
      </c>
      <c r="DS3" s="3">
        <v>-0.68042697955337161</v>
      </c>
      <c r="DT3" s="12">
        <v>-0.49</v>
      </c>
      <c r="DU3" s="3">
        <v>-0.64</v>
      </c>
      <c r="DV3" s="3">
        <v>-1.1299999999999999</v>
      </c>
      <c r="DW3" s="3">
        <v>-8.2894356005788712</v>
      </c>
      <c r="DX3" s="3">
        <v>0.28467755102040815</v>
      </c>
      <c r="DY3" s="3">
        <v>-8.0360861218582951</v>
      </c>
      <c r="DZ3" s="3">
        <v>2696</v>
      </c>
      <c r="EA3" s="3">
        <v>-8.0170473381929401</v>
      </c>
      <c r="EB3" s="3">
        <v>8</v>
      </c>
      <c r="EC3" s="3">
        <v>3.9409694910525053E-2</v>
      </c>
      <c r="ED3" s="3">
        <v>0.31609295007787069</v>
      </c>
      <c r="EE3" s="13">
        <v>-2.0063</v>
      </c>
      <c r="EF3" s="3">
        <v>-2.0308099999999998</v>
      </c>
      <c r="EG3" s="3">
        <v>16.124677551020408</v>
      </c>
      <c r="EH3" s="3" t="s">
        <v>561</v>
      </c>
      <c r="EI3" s="3">
        <v>0</v>
      </c>
      <c r="EJ3" s="3">
        <v>0</v>
      </c>
      <c r="EK3" s="15">
        <v>45470</v>
      </c>
      <c r="EL3" s="16">
        <v>0.95</v>
      </c>
      <c r="EM3" s="16">
        <v>-3.48</v>
      </c>
      <c r="EN3" s="16">
        <v>-1.95</v>
      </c>
      <c r="EO3" s="16">
        <v>1.79</v>
      </c>
      <c r="EP3" s="16">
        <v>-3.71</v>
      </c>
    </row>
    <row r="4" spans="1:146" ht="84" x14ac:dyDescent="0.25">
      <c r="C4" s="7" t="str">
        <f>""&amp;CHAR(10)&amp;Basic_Fundamental_Information_Constructure(F4)&amp;CHAR(10)&amp;Basic_Fundamental_Information_Concatenate("")</f>
        <v xml:space="preserve">
市值42.105112亿, 利润379.80万; PE; 平均PE68.7; 平均PEG184.71, PB3.12; ROIC5.91%; ROE-1.8467%; 股利率0%; 毛利11.0767%; 净利-3.3667%; 上一年度营收增-84.49%, 利润增-96.75%; 当季营收增-59.53%, 利润增101.76%; 过往5年营收增.37%, 利润增28.2%
Income profile:
</v>
      </c>
      <c r="D4" s="3" t="s">
        <v>111</v>
      </c>
      <c r="E4" s="3" t="s">
        <v>112</v>
      </c>
      <c r="F4" s="3">
        <v>10.54</v>
      </c>
      <c r="G4" s="3">
        <v>10.02</v>
      </c>
      <c r="H4" s="3" t="s">
        <v>940</v>
      </c>
      <c r="I4" s="3">
        <v>4210511200</v>
      </c>
      <c r="K4" s="3">
        <v>3.12</v>
      </c>
      <c r="L4" s="3" t="s">
        <v>97</v>
      </c>
      <c r="M4" s="3" t="s">
        <v>634</v>
      </c>
      <c r="N4" s="3" t="s">
        <v>941</v>
      </c>
      <c r="O4" s="3" t="s">
        <v>635</v>
      </c>
      <c r="P4" s="3">
        <v>-21.78</v>
      </c>
      <c r="Q4" s="3" t="s">
        <v>635</v>
      </c>
      <c r="R4" s="3">
        <v>3797979</v>
      </c>
      <c r="S4" s="5">
        <v>1.02</v>
      </c>
      <c r="T4" s="3" t="s">
        <v>942</v>
      </c>
      <c r="U4" s="3">
        <v>361506220</v>
      </c>
      <c r="V4" s="3">
        <v>399479240</v>
      </c>
      <c r="W4" s="3">
        <v>2.2999999999999998</v>
      </c>
      <c r="X4" s="3">
        <v>0.16</v>
      </c>
      <c r="Y4" s="3">
        <v>0.71</v>
      </c>
      <c r="Z4" s="3" t="s">
        <v>613</v>
      </c>
      <c r="AA4" s="3" t="s">
        <v>943</v>
      </c>
      <c r="AB4" s="3" t="s">
        <v>944</v>
      </c>
      <c r="AC4" s="3" t="s">
        <v>945</v>
      </c>
      <c r="AD4" s="3" t="s">
        <v>48</v>
      </c>
      <c r="AE4" s="3">
        <v>6150526</v>
      </c>
      <c r="AF4" s="3" t="s">
        <v>62</v>
      </c>
      <c r="AG4" s="3" t="s">
        <v>946</v>
      </c>
      <c r="AH4" s="3" t="s">
        <v>638</v>
      </c>
      <c r="AI4" s="3" t="s">
        <v>665</v>
      </c>
      <c r="AJ4" s="3" t="s">
        <v>640</v>
      </c>
      <c r="AK4" s="3" t="s">
        <v>226</v>
      </c>
      <c r="AL4" s="3" t="s">
        <v>641</v>
      </c>
      <c r="AM4" s="3" t="s">
        <v>48</v>
      </c>
      <c r="AN4" s="3" t="s">
        <v>947</v>
      </c>
      <c r="AO4" s="3" t="s">
        <v>948</v>
      </c>
      <c r="AP4" s="3" t="s">
        <v>949</v>
      </c>
      <c r="AQ4" s="3" t="s">
        <v>78</v>
      </c>
      <c r="AR4" s="3" t="s">
        <v>48</v>
      </c>
      <c r="AS4" s="3" t="s">
        <v>950</v>
      </c>
      <c r="AT4" s="3" t="s">
        <v>226</v>
      </c>
      <c r="AU4" s="3" t="s">
        <v>951</v>
      </c>
      <c r="AV4" s="3" t="s">
        <v>952</v>
      </c>
      <c r="AW4" s="3" t="s">
        <v>953</v>
      </c>
      <c r="AX4" s="3" t="s">
        <v>458</v>
      </c>
      <c r="AY4" s="3" t="s">
        <v>248</v>
      </c>
      <c r="AZ4" s="3" t="s">
        <v>113</v>
      </c>
      <c r="BA4" s="3" t="s">
        <v>115</v>
      </c>
      <c r="BB4" s="3" t="s">
        <v>116</v>
      </c>
      <c r="BC4" s="3" t="s">
        <v>83</v>
      </c>
      <c r="BD4" s="3" t="s">
        <v>249</v>
      </c>
      <c r="BE4" s="3" t="s">
        <v>114</v>
      </c>
      <c r="BF4" s="3" t="s">
        <v>118</v>
      </c>
      <c r="BG4" s="3" t="s">
        <v>76</v>
      </c>
      <c r="BH4" s="3" t="s">
        <v>636</v>
      </c>
      <c r="BI4" s="3" t="s">
        <v>954</v>
      </c>
      <c r="BJ4" s="3" t="s">
        <v>458</v>
      </c>
      <c r="BK4" s="3" t="s">
        <v>637</v>
      </c>
      <c r="BL4" s="3" t="s">
        <v>955</v>
      </c>
      <c r="BM4" s="3" t="s">
        <v>83</v>
      </c>
      <c r="BN4" s="3" t="s">
        <v>48</v>
      </c>
      <c r="BO4" s="3">
        <v>6.96</v>
      </c>
      <c r="BP4" s="3">
        <v>4.8600000000000003</v>
      </c>
      <c r="BQ4" s="3">
        <v>-17.079999999999998</v>
      </c>
      <c r="BR4" s="3">
        <v>7.03</v>
      </c>
      <c r="BS4" s="3">
        <v>4.51</v>
      </c>
      <c r="BT4" s="3" t="s">
        <v>439</v>
      </c>
      <c r="BU4" s="3" t="s">
        <v>97</v>
      </c>
      <c r="BV4" s="3">
        <v>2.21</v>
      </c>
      <c r="BW4" s="3">
        <v>15.28</v>
      </c>
      <c r="BX4" s="3">
        <v>15.74</v>
      </c>
      <c r="BY4" s="3">
        <v>-15.96</v>
      </c>
      <c r="BZ4" s="3">
        <v>3.45</v>
      </c>
      <c r="CA4" s="3">
        <v>2.41</v>
      </c>
      <c r="CB4" s="3">
        <v>17.37</v>
      </c>
      <c r="CC4" s="3">
        <v>-4.87</v>
      </c>
      <c r="CD4" s="3" t="s">
        <v>956</v>
      </c>
      <c r="CE4" s="3" t="s">
        <v>718</v>
      </c>
      <c r="CF4" s="10">
        <v>-0.59525691699604744</v>
      </c>
      <c r="CG4" s="11">
        <v>1.017583236111111</v>
      </c>
      <c r="CH4" s="10">
        <v>-0.84494245052337646</v>
      </c>
      <c r="CI4" s="10">
        <v>0.27984499931335449</v>
      </c>
      <c r="CJ4" s="10">
        <v>0.28103277087211609</v>
      </c>
      <c r="CK4" s="10">
        <v>0.17502917349338531</v>
      </c>
      <c r="CL4" s="10">
        <v>0.12763157486915588</v>
      </c>
      <c r="CM4" s="11">
        <v>-0.96753847599029541</v>
      </c>
      <c r="CN4" s="11">
        <v>0.87812721729278564</v>
      </c>
      <c r="CO4" s="11">
        <v>0.72399181127548218</v>
      </c>
      <c r="CP4" s="11">
        <v>1.6755815744400024</v>
      </c>
      <c r="CQ4" s="11">
        <v>-0.8999599814414978</v>
      </c>
      <c r="CR4" s="3">
        <v>68.699240728971972</v>
      </c>
      <c r="CS4" s="3">
        <v>184.71442629152037</v>
      </c>
      <c r="CT4" s="3">
        <v>0</v>
      </c>
      <c r="CU4" s="10">
        <v>3.7192136049270632E-3</v>
      </c>
      <c r="CV4" s="11">
        <v>0.28204042911529542</v>
      </c>
      <c r="CW4" s="3">
        <v>0.06</v>
      </c>
      <c r="CX4" s="3">
        <v>1321.483716937674</v>
      </c>
      <c r="CY4" s="3">
        <v>3596344.8804448233</v>
      </c>
      <c r="CZ4" s="3">
        <v>3.7192136049270632E-3</v>
      </c>
      <c r="DA4" s="3">
        <v>464.90201037697142</v>
      </c>
      <c r="DB4" s="3">
        <v>10222608.407622004</v>
      </c>
      <c r="DC4" s="3">
        <v>3.5332529246807098E-3</v>
      </c>
      <c r="DD4" s="3">
        <v>251.71348814575396</v>
      </c>
      <c r="DE4" s="3">
        <v>18880637.803755961</v>
      </c>
      <c r="DF4" s="3">
        <v>3.2729079723358154E-3</v>
      </c>
      <c r="DG4" s="3">
        <v>167.49041010158396</v>
      </c>
      <c r="DH4" s="3">
        <v>28374825.741471246</v>
      </c>
      <c r="DI4" s="3">
        <v>2.9753708839416505E-3</v>
      </c>
      <c r="DJ4" s="3">
        <v>106.67069417243108</v>
      </c>
      <c r="DK4" s="3">
        <v>44553110.269608438</v>
      </c>
      <c r="DL4" s="3">
        <v>2.6034495234489442E-3</v>
      </c>
      <c r="DM4" s="3">
        <v>3798000</v>
      </c>
      <c r="DN4" s="3">
        <v>3.7192136049270632E-3</v>
      </c>
      <c r="DO4" s="3">
        <v>4752511200</v>
      </c>
      <c r="DP4" s="3">
        <v>-29731600</v>
      </c>
      <c r="DQ4" s="3">
        <v>1223</v>
      </c>
      <c r="DR4" s="3">
        <v>-0.59897613060097454</v>
      </c>
      <c r="DS4" s="3">
        <v>0.73554280699581565</v>
      </c>
      <c r="DT4" s="12">
        <v>-0.37333333333333335</v>
      </c>
      <c r="DU4" s="3">
        <v>0.48666666666666664</v>
      </c>
      <c r="DV4" s="3">
        <v>0.11333333333333329</v>
      </c>
      <c r="DW4" s="3">
        <v>5.2803684513529072</v>
      </c>
      <c r="DX4" s="3">
        <v>1.0117078787878815</v>
      </c>
      <c r="DY4" s="3">
        <v>5.1126262158720186</v>
      </c>
      <c r="DZ4" s="3">
        <v>2999</v>
      </c>
      <c r="EA4" s="3">
        <v>5.0465271901576969</v>
      </c>
      <c r="EB4" s="3">
        <v>5</v>
      </c>
      <c r="EC4" s="3">
        <v>0.16592051191446144</v>
      </c>
      <c r="ED4" s="3">
        <v>0.41303773382566766</v>
      </c>
      <c r="EE4" s="13">
        <v>1.026</v>
      </c>
      <c r="EF4" s="3">
        <v>1.0085</v>
      </c>
      <c r="EG4" s="3">
        <v>61.401707878787882</v>
      </c>
      <c r="EH4" s="3" t="s">
        <v>288</v>
      </c>
      <c r="EI4" s="3">
        <v>1</v>
      </c>
      <c r="EJ4" s="3">
        <v>0</v>
      </c>
      <c r="EK4" s="15">
        <v>45470</v>
      </c>
      <c r="EL4" s="16">
        <v>-1.71</v>
      </c>
      <c r="EM4" s="16">
        <v>-4.8899999999999997</v>
      </c>
      <c r="EN4" s="16">
        <v>0</v>
      </c>
      <c r="EO4" s="16">
        <v>4.57</v>
      </c>
      <c r="EP4" s="16">
        <v>-1.75</v>
      </c>
    </row>
    <row r="5" spans="1:146" ht="252" x14ac:dyDescent="0.25">
      <c r="A5" s="7" t="s">
        <v>576</v>
      </c>
      <c r="B5" s="7" t="s">
        <v>577</v>
      </c>
      <c r="C5" s="7" t="str">
        <f>"公司主营业务是光电半导体工艺材料产业和打印复印通用耗材产业。主要产品是CMP抛光垫、柔性显示基板材料PI浆料、清洗液、彩色聚合碳粉、通用耗材芯片、显影辊、兼容耗材、墨盒等。"&amp;CHAR(10)&amp;Basic_Fundamental_Information_Constructure(F5)&amp;CHAR(10)&amp;Basic_Fundamental_Information_Concatenate("打印复印通用耗材（含彩色聚合碳粉、耗材芯片、显影辊、载体、硒鼓、墨盒等） 10.39亿 79.17% 65.31% 31.24%
半导体材料（含CMP抛光垫、CMP抛光液、CMP清洗液、PI浆料） 2.54亿 19.32% 34.09% 66.84%")</f>
        <v>公司主营业务是光电半导体工艺材料产业和打印复印通用耗材产业。主要产品是CMP抛光垫、柔性显示基板材料PI浆料、清洗液、彩色聚合碳粉、通用耗材芯片、显影辊、兼容耗材、墨盒等。
市值209.42467亿, 利润8157.58万; PE77.9; 平均PE147.37; 平均PEG48.51, PB4.83; ROIC6.47%; ROE6.22%; 股利率0%; 毛利36.16%; 净利12.6267%; 上一年度营收增-73.98%, 利润增-79.08%; 当季营收增-38.91%, 利润增120%; 过往5年营收增3.04%, 利润增-84.16%
Income profile:
打印复印通用耗材（含彩色聚合碳粉、耗材芯片、显影辊、载体、硒鼓、墨盒等） 10.39亿 79.17% 65.31% 31.24%
半导体材料（含CMP抛光垫、CMP抛光液、CMP清洗液、PI浆料） 2.54亿 19.32% 34.09% 66.84%</v>
      </c>
      <c r="D5" s="3" t="s">
        <v>120</v>
      </c>
      <c r="E5" s="3" t="s">
        <v>121</v>
      </c>
      <c r="F5" s="3">
        <v>22.32</v>
      </c>
      <c r="G5" s="3">
        <v>1</v>
      </c>
      <c r="H5" s="3" t="s">
        <v>957</v>
      </c>
      <c r="I5" s="3">
        <v>20942467000</v>
      </c>
      <c r="J5" s="3">
        <v>77.900000000000006</v>
      </c>
      <c r="K5" s="3">
        <v>4.83</v>
      </c>
      <c r="L5" s="3" t="s">
        <v>97</v>
      </c>
      <c r="M5" s="3" t="s">
        <v>266</v>
      </c>
      <c r="N5" s="3" t="s">
        <v>958</v>
      </c>
      <c r="O5" s="3" t="s">
        <v>574</v>
      </c>
      <c r="P5" s="3">
        <v>29.5</v>
      </c>
      <c r="Q5" s="3" t="s">
        <v>574</v>
      </c>
      <c r="R5" s="3">
        <v>210917800</v>
      </c>
      <c r="S5" s="5">
        <v>1.349</v>
      </c>
      <c r="T5" s="3" t="s">
        <v>959</v>
      </c>
      <c r="U5" s="3">
        <v>728174470</v>
      </c>
      <c r="V5" s="3">
        <v>938282590</v>
      </c>
      <c r="W5" s="3">
        <v>1.42</v>
      </c>
      <c r="X5" s="3">
        <v>0.1</v>
      </c>
      <c r="Y5" s="3">
        <v>16.13</v>
      </c>
      <c r="Z5" s="3" t="s">
        <v>960</v>
      </c>
      <c r="AA5" s="3" t="s">
        <v>961</v>
      </c>
      <c r="AB5" s="3" t="s">
        <v>962</v>
      </c>
      <c r="AC5" s="3" t="s">
        <v>963</v>
      </c>
      <c r="AD5" s="3" t="s">
        <v>48</v>
      </c>
      <c r="AE5" s="3">
        <v>6621048</v>
      </c>
      <c r="AF5" s="3" t="s">
        <v>645</v>
      </c>
      <c r="AG5" s="3" t="s">
        <v>964</v>
      </c>
      <c r="AH5" s="3" t="s">
        <v>646</v>
      </c>
      <c r="AI5" s="3" t="s">
        <v>965</v>
      </c>
      <c r="AJ5" s="3" t="s">
        <v>647</v>
      </c>
      <c r="AK5" s="3" t="s">
        <v>966</v>
      </c>
      <c r="AL5" s="3" t="s">
        <v>648</v>
      </c>
      <c r="AM5" s="3" t="s">
        <v>48</v>
      </c>
      <c r="AN5" s="3" t="s">
        <v>697</v>
      </c>
      <c r="AO5" s="3" t="s">
        <v>75</v>
      </c>
      <c r="AP5" s="3" t="s">
        <v>967</v>
      </c>
      <c r="AQ5" s="3" t="s">
        <v>537</v>
      </c>
      <c r="AR5" s="3" t="s">
        <v>48</v>
      </c>
      <c r="AS5" s="3" t="s">
        <v>968</v>
      </c>
      <c r="AT5" s="3" t="s">
        <v>969</v>
      </c>
      <c r="AU5" s="3" t="s">
        <v>970</v>
      </c>
      <c r="AV5" s="3" t="s">
        <v>971</v>
      </c>
      <c r="AW5" s="3" t="s">
        <v>972</v>
      </c>
      <c r="AX5" s="3" t="s">
        <v>460</v>
      </c>
      <c r="AY5" s="3" t="s">
        <v>251</v>
      </c>
      <c r="AZ5" s="3" t="s">
        <v>122</v>
      </c>
      <c r="BA5" s="3" t="s">
        <v>71</v>
      </c>
      <c r="BB5" s="3" t="s">
        <v>126</v>
      </c>
      <c r="BC5" s="3" t="s">
        <v>448</v>
      </c>
      <c r="BD5" s="3" t="s">
        <v>133</v>
      </c>
      <c r="BE5" s="3" t="s">
        <v>123</v>
      </c>
      <c r="BF5" s="3" t="s">
        <v>128</v>
      </c>
      <c r="BG5" s="3" t="s">
        <v>119</v>
      </c>
      <c r="BH5" s="3" t="s">
        <v>643</v>
      </c>
      <c r="BI5" s="3" t="s">
        <v>973</v>
      </c>
      <c r="BJ5" s="3" t="s">
        <v>460</v>
      </c>
      <c r="BK5" s="3" t="s">
        <v>644</v>
      </c>
      <c r="BL5" s="3" t="s">
        <v>974</v>
      </c>
      <c r="BM5" s="3" t="s">
        <v>448</v>
      </c>
      <c r="BN5" s="3">
        <v>4.05</v>
      </c>
      <c r="BO5" s="3">
        <v>9.67</v>
      </c>
      <c r="BP5" s="3">
        <v>5.69</v>
      </c>
      <c r="BQ5" s="3">
        <v>4.05</v>
      </c>
      <c r="BR5" s="3">
        <v>8.9700000000000006</v>
      </c>
      <c r="BS5" s="3">
        <v>5.64</v>
      </c>
      <c r="BT5" s="3" t="s">
        <v>439</v>
      </c>
      <c r="BU5" s="3" t="s">
        <v>97</v>
      </c>
      <c r="BV5" s="3">
        <v>36.950000000000003</v>
      </c>
      <c r="BW5" s="3">
        <v>38.090000000000003</v>
      </c>
      <c r="BX5" s="3">
        <v>33.44</v>
      </c>
      <c r="BY5" s="3">
        <v>10.79</v>
      </c>
      <c r="BZ5" s="3">
        <v>16.690000000000001</v>
      </c>
      <c r="CA5" s="3">
        <v>10.4</v>
      </c>
      <c r="CB5" s="3">
        <v>-1.59</v>
      </c>
      <c r="CC5" s="3">
        <v>-0.27</v>
      </c>
      <c r="CD5" s="3" t="s">
        <v>975</v>
      </c>
      <c r="CE5" s="3" t="s">
        <v>976</v>
      </c>
      <c r="CF5" s="10">
        <v>-0.38912855910267474</v>
      </c>
      <c r="CG5" s="11">
        <v>1.2000006258364042</v>
      </c>
      <c r="CH5" s="10">
        <v>-0.73980152606964111</v>
      </c>
      <c r="CI5" s="10">
        <v>0.15492357313632965</v>
      </c>
      <c r="CJ5" s="10">
        <v>0.29664278030395508</v>
      </c>
      <c r="CK5" s="10">
        <v>0.58137524127960205</v>
      </c>
      <c r="CL5" s="10">
        <v>-0.14125564694404602</v>
      </c>
      <c r="CM5" s="11">
        <v>-0.79083126783370972</v>
      </c>
      <c r="CN5" s="11">
        <v>0.82242989540100098</v>
      </c>
      <c r="CO5" s="11">
        <v>2.3375000953674316</v>
      </c>
      <c r="CP5" s="11">
        <v>-5.6933755874633789</v>
      </c>
      <c r="CQ5" s="11">
        <v>-0.88364988565444946</v>
      </c>
      <c r="CR5" s="3">
        <v>147.36689753460439</v>
      </c>
      <c r="CS5" s="3">
        <v>48.512841501173234</v>
      </c>
      <c r="CT5" s="3">
        <v>0</v>
      </c>
      <c r="CU5" s="10">
        <v>3.0376884341239929E-2</v>
      </c>
      <c r="CV5" s="11">
        <v>-0.84158535003662105</v>
      </c>
      <c r="CW5" s="3">
        <v>0.06</v>
      </c>
      <c r="CX5" s="3">
        <v>226.65020254726832</v>
      </c>
      <c r="CY5" s="3">
        <v>79296055.322305784</v>
      </c>
      <c r="CZ5" s="3">
        <v>3.0376884341239929E-2</v>
      </c>
      <c r="DA5" s="3">
        <v>77.928658932473624</v>
      </c>
      <c r="DB5" s="3">
        <v>230627181.91485137</v>
      </c>
      <c r="DC5" s="3">
        <v>2.885804012417793E-2</v>
      </c>
      <c r="DD5" s="3">
        <v>40.994205153160067</v>
      </c>
      <c r="DE5" s="3">
        <v>438414818.21277803</v>
      </c>
      <c r="DF5" s="3">
        <v>2.6731658220291138E-2</v>
      </c>
      <c r="DG5" s="3">
        <v>26.471298172608272</v>
      </c>
      <c r="DH5" s="3">
        <v>678941655.32831275</v>
      </c>
      <c r="DI5" s="3">
        <v>2.4301507472991944E-2</v>
      </c>
      <c r="DJ5" s="3">
        <v>15.915448069006022</v>
      </c>
      <c r="DK5" s="3">
        <v>1129246686.7458069</v>
      </c>
      <c r="DL5" s="3">
        <v>2.126381903886795E-2</v>
      </c>
      <c r="DM5" s="3">
        <v>81575800</v>
      </c>
      <c r="DN5" s="3">
        <v>3.0376884341239929E-2</v>
      </c>
      <c r="DO5" s="3">
        <v>17972467000</v>
      </c>
      <c r="DP5" s="3">
        <v>1873785500</v>
      </c>
      <c r="DQ5" s="3">
        <v>1549</v>
      </c>
      <c r="DR5" s="3">
        <v>-0.41950544344391466</v>
      </c>
      <c r="DS5" s="3">
        <v>2.0415859758730255</v>
      </c>
      <c r="DT5" s="12">
        <v>-0.37333333333333335</v>
      </c>
      <c r="DU5" s="3">
        <v>-4.6666666666666488E-2</v>
      </c>
      <c r="DV5" s="3">
        <v>-0.41999999999999982</v>
      </c>
      <c r="DW5" s="3">
        <v>-2.7000000000000001E-3</v>
      </c>
      <c r="DX5" s="3">
        <v>0.29957162534435244</v>
      </c>
      <c r="DY5" s="3">
        <v>-3.7684338842975204E-4</v>
      </c>
      <c r="DZ5" s="3">
        <v>3316</v>
      </c>
      <c r="EA5" s="3">
        <v>-1.3230079038022998E-4</v>
      </c>
      <c r="EB5" s="3">
        <v>0</v>
      </c>
      <c r="EC5" s="3">
        <v>5.3997058604700318E-2</v>
      </c>
      <c r="ED5" s="3">
        <v>0.38687704948250184</v>
      </c>
      <c r="EE5" s="13">
        <v>1.0454000000000001</v>
      </c>
      <c r="EF5" s="3">
        <v>1.0046999999999999</v>
      </c>
      <c r="EG5" s="3">
        <v>16.139571625344352</v>
      </c>
      <c r="EH5" s="3" t="s">
        <v>288</v>
      </c>
      <c r="EI5" s="3">
        <v>0</v>
      </c>
      <c r="EJ5" s="3">
        <v>0</v>
      </c>
      <c r="EK5" s="15">
        <v>45470</v>
      </c>
      <c r="EL5" s="16">
        <v>0.31</v>
      </c>
      <c r="EM5" s="16">
        <v>-2.15</v>
      </c>
      <c r="EN5" s="16">
        <v>-1.79</v>
      </c>
      <c r="EO5" s="16">
        <v>8.4700000000000006</v>
      </c>
      <c r="EP5" s="16">
        <v>-4.07</v>
      </c>
    </row>
    <row r="6" spans="1:146" ht="96" x14ac:dyDescent="0.25">
      <c r="C6" s="7" t="str">
        <f>""&amp;CHAR(10)&amp;Basic_Fundamental_Information_Constructure(F6)&amp;CHAR(10)&amp;Basic_Fundamental_Information_Concatenate("")</f>
        <v xml:space="preserve">
市值96.427457亿, 利润3241.04万; PE67.5; 平均PE87.4; 平均PEG37.42, PB2.54; ROIC1.79%; ROE2.1933%; 股利率.6463%; 毛利33.98%; 净利9.5867%; 上一年度营收增-75.17%, 利润增-39.12%; 当季营收增-46.2%, 利润增-62.66%; 过往5年营收增2.34%, 利润增586.93%
Income profile:
</v>
      </c>
      <c r="D6" s="3" t="s">
        <v>130</v>
      </c>
      <c r="E6" s="3" t="s">
        <v>131</v>
      </c>
      <c r="F6" s="3">
        <v>30.77</v>
      </c>
      <c r="G6" s="3">
        <v>-0.23</v>
      </c>
      <c r="H6" s="3" t="s">
        <v>977</v>
      </c>
      <c r="I6" s="3">
        <v>9642745700</v>
      </c>
      <c r="J6" s="3">
        <v>67.5</v>
      </c>
      <c r="K6" s="3">
        <v>2.54</v>
      </c>
      <c r="L6" s="3" t="s">
        <v>97</v>
      </c>
      <c r="M6" s="3" t="s">
        <v>649</v>
      </c>
      <c r="N6" s="3" t="s">
        <v>978</v>
      </c>
      <c r="O6" s="3" t="s">
        <v>650</v>
      </c>
      <c r="P6" s="3">
        <v>14.01</v>
      </c>
      <c r="Q6" s="3" t="s">
        <v>650</v>
      </c>
      <c r="R6" s="3">
        <v>32410399</v>
      </c>
      <c r="S6" s="5">
        <v>-0.42530000000000001</v>
      </c>
      <c r="T6" s="3" t="s">
        <v>979</v>
      </c>
      <c r="U6" s="3">
        <v>278418720</v>
      </c>
      <c r="V6" s="3">
        <v>313381400</v>
      </c>
      <c r="W6" s="3">
        <v>1.33</v>
      </c>
      <c r="X6" s="3">
        <v>0.06</v>
      </c>
      <c r="Y6" s="3">
        <v>11</v>
      </c>
      <c r="Z6" s="3" t="s">
        <v>584</v>
      </c>
      <c r="AA6" s="3" t="s">
        <v>980</v>
      </c>
      <c r="AB6" s="3" t="s">
        <v>981</v>
      </c>
      <c r="AC6" s="3" t="s">
        <v>982</v>
      </c>
      <c r="AD6" s="3" t="s">
        <v>48</v>
      </c>
      <c r="AE6" s="3">
        <v>127073</v>
      </c>
      <c r="AF6" s="3" t="s">
        <v>652</v>
      </c>
      <c r="AG6" s="3">
        <v>3000</v>
      </c>
      <c r="AH6" s="3" t="s">
        <v>653</v>
      </c>
      <c r="AI6" s="3" t="s">
        <v>983</v>
      </c>
      <c r="AJ6" s="3" t="s">
        <v>655</v>
      </c>
      <c r="AK6" s="3" t="s">
        <v>841</v>
      </c>
      <c r="AL6" s="3" t="s">
        <v>656</v>
      </c>
      <c r="AM6" s="3" t="s">
        <v>48</v>
      </c>
      <c r="AN6" s="3" t="s">
        <v>984</v>
      </c>
      <c r="AO6" s="3" t="s">
        <v>985</v>
      </c>
      <c r="AP6" s="3" t="s">
        <v>609</v>
      </c>
      <c r="AQ6" s="3" t="s">
        <v>986</v>
      </c>
      <c r="AR6" s="3" t="s">
        <v>987</v>
      </c>
      <c r="AS6" s="3" t="s">
        <v>804</v>
      </c>
      <c r="AT6" s="3" t="s">
        <v>988</v>
      </c>
      <c r="AU6" s="3" t="s">
        <v>989</v>
      </c>
      <c r="AV6" s="3" t="s">
        <v>990</v>
      </c>
      <c r="AW6" s="3" t="s">
        <v>991</v>
      </c>
      <c r="AX6" s="3" t="s">
        <v>462</v>
      </c>
      <c r="AY6" s="3" t="s">
        <v>252</v>
      </c>
      <c r="AZ6" s="3" t="s">
        <v>132</v>
      </c>
      <c r="BA6" s="3" t="s">
        <v>135</v>
      </c>
      <c r="BB6" s="3" t="s">
        <v>136</v>
      </c>
      <c r="BC6" s="3" t="s">
        <v>463</v>
      </c>
      <c r="BD6" s="3" t="s">
        <v>464</v>
      </c>
      <c r="BE6" s="3" t="s">
        <v>93</v>
      </c>
      <c r="BF6" s="3" t="s">
        <v>55</v>
      </c>
      <c r="BG6" s="3" t="s">
        <v>138</v>
      </c>
      <c r="BH6" s="3" t="s">
        <v>651</v>
      </c>
      <c r="BI6" s="3" t="s">
        <v>992</v>
      </c>
      <c r="BJ6" s="3" t="s">
        <v>462</v>
      </c>
      <c r="BK6" s="3" t="s">
        <v>258</v>
      </c>
      <c r="BL6" s="3" t="s">
        <v>993</v>
      </c>
      <c r="BM6" s="3" t="s">
        <v>463</v>
      </c>
      <c r="BN6" s="3">
        <v>2.3199999999999998</v>
      </c>
      <c r="BO6" s="3">
        <v>1.05</v>
      </c>
      <c r="BP6" s="3">
        <v>2</v>
      </c>
      <c r="BQ6" s="3">
        <v>2.61</v>
      </c>
      <c r="BR6" s="3">
        <v>1.21</v>
      </c>
      <c r="BS6" s="3">
        <v>2.76</v>
      </c>
      <c r="BT6" s="3" t="s">
        <v>994</v>
      </c>
      <c r="BU6" s="3" t="s">
        <v>97</v>
      </c>
      <c r="BV6" s="3">
        <v>35.159999999999997</v>
      </c>
      <c r="BW6" s="3">
        <v>31.35</v>
      </c>
      <c r="BX6" s="3">
        <v>35.43</v>
      </c>
      <c r="BY6" s="3">
        <v>13.83</v>
      </c>
      <c r="BZ6" s="3">
        <v>4.76</v>
      </c>
      <c r="CA6" s="3">
        <v>10.17</v>
      </c>
      <c r="CB6" s="3">
        <v>-1.19</v>
      </c>
      <c r="CC6" s="3">
        <v>0.55000000000000004</v>
      </c>
      <c r="CD6" s="3" t="s">
        <v>995</v>
      </c>
      <c r="CE6" s="3" t="s">
        <v>970</v>
      </c>
      <c r="CF6" s="10">
        <v>-0.46195652173913043</v>
      </c>
      <c r="CG6" s="11">
        <v>-0.62663110432197111</v>
      </c>
      <c r="CH6" s="10">
        <v>-0.75167226791381836</v>
      </c>
      <c r="CI6" s="10">
        <v>0.17716535925865173</v>
      </c>
      <c r="CJ6" s="10">
        <v>0.46397694945335388</v>
      </c>
      <c r="CK6" s="10">
        <v>8.268330991268158E-2</v>
      </c>
      <c r="CL6" s="10">
        <v>0.14464285969734192</v>
      </c>
      <c r="CM6" s="11">
        <v>-0.39117333292961121</v>
      </c>
      <c r="CN6" s="11">
        <v>-0.43167328834533691</v>
      </c>
      <c r="CO6" s="11">
        <v>-0.64786350727081299</v>
      </c>
      <c r="CP6" s="11">
        <v>0.26666668057441711</v>
      </c>
      <c r="CQ6" s="11">
        <v>30.550479888916016</v>
      </c>
      <c r="CR6" s="3">
        <v>87.400592686454004</v>
      </c>
      <c r="CS6" s="3">
        <v>37.415851242511614</v>
      </c>
      <c r="CT6" s="3">
        <v>0.64629704257393561</v>
      </c>
      <c r="CU6" s="10">
        <v>2.335924208164215E-2</v>
      </c>
      <c r="CV6" s="11">
        <v>5.869287288188934</v>
      </c>
      <c r="CW6" s="3">
        <v>0.06</v>
      </c>
      <c r="CX6" s="3">
        <v>229.23387295397754</v>
      </c>
      <c r="CY6" s="3">
        <v>31290077.716568731</v>
      </c>
      <c r="CZ6" s="3">
        <v>2.335924208164215E-2</v>
      </c>
      <c r="DA6" s="3">
        <v>79.293251649021741</v>
      </c>
      <c r="DB6" s="3">
        <v>90458463.372759059</v>
      </c>
      <c r="DC6" s="3">
        <v>2.2191279977560041E-2</v>
      </c>
      <c r="DD6" s="3">
        <v>42.032074209709265</v>
      </c>
      <c r="DE6" s="3">
        <v>170649339.45951021</v>
      </c>
      <c r="DF6" s="3">
        <v>2.0556133031845093E-2</v>
      </c>
      <c r="DG6" s="3">
        <v>27.360922794284487</v>
      </c>
      <c r="DH6" s="3">
        <v>262152916.18374577</v>
      </c>
      <c r="DI6" s="3">
        <v>1.8687393665313721E-2</v>
      </c>
      <c r="DJ6" s="3">
        <v>16.712044656324974</v>
      </c>
      <c r="DK6" s="3">
        <v>429196178.4152692</v>
      </c>
      <c r="DL6" s="3">
        <v>1.6351469457149503E-2</v>
      </c>
      <c r="DM6" s="3">
        <v>32410400</v>
      </c>
      <c r="DN6" s="3">
        <v>2.335924208164215E-2</v>
      </c>
      <c r="DO6" s="3">
        <v>7172745700</v>
      </c>
      <c r="DP6" s="3">
        <v>1294666700</v>
      </c>
      <c r="DQ6" s="3">
        <v>1721</v>
      </c>
      <c r="DR6" s="3">
        <v>-0.48531576382077257</v>
      </c>
      <c r="DS6" s="3">
        <v>-6.4959183925109052</v>
      </c>
      <c r="DT6" s="12">
        <v>-0.49</v>
      </c>
      <c r="DU6" s="3">
        <v>-0.45333333333333342</v>
      </c>
      <c r="DV6" s="3">
        <v>-0.94333333333333336</v>
      </c>
      <c r="DW6" s="3">
        <v>5.5000000000000005E-3</v>
      </c>
      <c r="DX6" s="3">
        <v>0.291827710843374</v>
      </c>
      <c r="DY6" s="3">
        <v>4.5005240963855424E-4</v>
      </c>
      <c r="DZ6" s="3">
        <v>1500</v>
      </c>
      <c r="EA6" s="3">
        <v>3.179430917407399E-4</v>
      </c>
      <c r="EB6" s="3">
        <v>0</v>
      </c>
      <c r="EC6" s="3">
        <v>4.3344627345464661E-2</v>
      </c>
      <c r="ED6" s="3">
        <v>0.52970597489193683</v>
      </c>
      <c r="EE6" s="13">
        <v>-1.0302</v>
      </c>
      <c r="EF6" s="3">
        <v>-1.0085999999999999</v>
      </c>
      <c r="EG6" s="3">
        <v>21.081827710843374</v>
      </c>
      <c r="EH6" s="3" t="s">
        <v>443</v>
      </c>
      <c r="EI6" s="3">
        <v>0</v>
      </c>
      <c r="EJ6" s="3">
        <v>1</v>
      </c>
      <c r="EK6" s="15">
        <v>45470</v>
      </c>
      <c r="EL6" s="16">
        <v>-0.33</v>
      </c>
      <c r="EM6" s="16">
        <v>-4.41</v>
      </c>
      <c r="EN6" s="16">
        <v>-3.95</v>
      </c>
      <c r="EO6" s="16">
        <v>3.29</v>
      </c>
      <c r="EP6" s="16">
        <v>-2.16</v>
      </c>
    </row>
    <row r="7" spans="1:146" ht="156" x14ac:dyDescent="0.25">
      <c r="A7" s="7" t="s">
        <v>364</v>
      </c>
      <c r="C7" s="7" t="str">
        <f>"公司主要从事各类高端陶瓷材料的研发,生产和销售，已形成包括电子材料,催化材料,生物医疗材料和其他材料在内的四大业务板块。"&amp;CHAR(10)&amp;Basic_Fundamental_Information_Constructure(F7)&amp;CHAR(10)&amp;Basic_Fundamental_Information_Concatenate("其他材料板块 5.72亿 33.04% 15.64% 18.84%
生物医疗材料板块 4.80亿 27.76% 37.08% 53.18%
电子材料板块 4.20亿 24.24% 22.82% 37.48%
催化材料板块 2.97亿 17.18% 14.45% 33.48%
精密陶瓷事业部 9936.70万 5.74% 6.59% 45.69%
新能源事业部 8582.39万 4.96% 2.96% 23.73%")</f>
        <v>公司主要从事各类高端陶瓷材料的研发,生产和销售，已形成包括电子材料,催化材料,生物医疗材料和其他材料在内的四大业务板块。
市值173.08758亿, 利润1.33亿; PE29.89; 平均PE34.13; 平均PEG14.8, PB2.71; ROIC10.1333%; ROE10.1833%; 股利率.576%; 毛利39.5267%; 净利19.8167%; 上一年度营收增-73.89%, 利润增-73.24%; 当季营收增-55.3%, 利润增6.58%; 过往5年营收增-2.31%, 利润增-13.08%
Income profile:
其他材料板块 5.72亿 33.04% 15.64% 18.84%
生物医疗材料板块 4.80亿 27.76% 37.08% 53.18%
电子材料板块 4.20亿 24.24% 22.82% 37.48%
催化材料板块 2.97亿 17.18% 14.45% 33.48%
精密陶瓷事业部 9936.70万 5.74% 6.59% 45.69%
新能源事业部 8582.39万 4.96% 2.96% 23.73%</v>
      </c>
      <c r="D7" s="3" t="s">
        <v>311</v>
      </c>
      <c r="E7" s="3" t="s">
        <v>312</v>
      </c>
      <c r="F7" s="3">
        <v>17.36</v>
      </c>
      <c r="G7" s="3">
        <v>-0.28999999999999998</v>
      </c>
      <c r="H7" s="3" t="s">
        <v>996</v>
      </c>
      <c r="I7" s="3">
        <v>17308758000</v>
      </c>
      <c r="J7" s="3">
        <v>29.89</v>
      </c>
      <c r="K7" s="3">
        <v>2.71</v>
      </c>
      <c r="L7" s="3" t="s">
        <v>97</v>
      </c>
      <c r="M7" s="3" t="s">
        <v>658</v>
      </c>
      <c r="N7" s="3" t="s">
        <v>997</v>
      </c>
      <c r="O7" s="3" t="s">
        <v>659</v>
      </c>
      <c r="P7" s="3">
        <v>5.23</v>
      </c>
      <c r="Q7" s="3" t="s">
        <v>659</v>
      </c>
      <c r="R7" s="3">
        <v>340000000</v>
      </c>
      <c r="S7" s="5">
        <v>7.9899999999999999E-2</v>
      </c>
      <c r="T7" s="3" t="s">
        <v>629</v>
      </c>
      <c r="U7" s="3">
        <v>803949850</v>
      </c>
      <c r="V7" s="3">
        <v>997048300</v>
      </c>
      <c r="W7" s="3">
        <v>1.29</v>
      </c>
      <c r="X7" s="3">
        <v>0.09</v>
      </c>
      <c r="Y7" s="3">
        <v>17.72</v>
      </c>
      <c r="Z7" s="3" t="s">
        <v>51</v>
      </c>
      <c r="AA7" s="3" t="s">
        <v>998</v>
      </c>
      <c r="AB7" s="3" t="s">
        <v>999</v>
      </c>
      <c r="AC7" s="3" t="s">
        <v>1000</v>
      </c>
      <c r="AD7" s="3" t="s">
        <v>48</v>
      </c>
      <c r="AE7" s="3">
        <v>5798318</v>
      </c>
      <c r="AF7" s="3" t="s">
        <v>662</v>
      </c>
      <c r="AG7" s="3" t="s">
        <v>1001</v>
      </c>
      <c r="AH7" s="3" t="s">
        <v>663</v>
      </c>
      <c r="AI7" s="3" t="s">
        <v>579</v>
      </c>
      <c r="AJ7" s="3" t="s">
        <v>664</v>
      </c>
      <c r="AK7" s="3" t="s">
        <v>55</v>
      </c>
      <c r="AL7" s="3" t="s">
        <v>666</v>
      </c>
      <c r="AM7" s="3" t="s">
        <v>48</v>
      </c>
      <c r="AN7" s="3" t="s">
        <v>1002</v>
      </c>
      <c r="AO7" s="3" t="s">
        <v>1002</v>
      </c>
      <c r="AP7" s="3" t="s">
        <v>667</v>
      </c>
      <c r="AQ7" s="3" t="s">
        <v>903</v>
      </c>
      <c r="AR7" s="3" t="s">
        <v>48</v>
      </c>
      <c r="AS7" s="3" t="s">
        <v>1003</v>
      </c>
      <c r="AT7" s="3" t="s">
        <v>657</v>
      </c>
      <c r="AU7" s="3" t="s">
        <v>1004</v>
      </c>
      <c r="AV7" s="3" t="s">
        <v>1005</v>
      </c>
      <c r="AW7" s="3" t="s">
        <v>1006</v>
      </c>
      <c r="AX7" s="3" t="s">
        <v>465</v>
      </c>
      <c r="AY7" s="3" t="s">
        <v>313</v>
      </c>
      <c r="AZ7" s="3" t="s">
        <v>315</v>
      </c>
      <c r="BA7" s="3" t="s">
        <v>316</v>
      </c>
      <c r="BB7" s="3" t="s">
        <v>317</v>
      </c>
      <c r="BC7" s="3" t="s">
        <v>466</v>
      </c>
      <c r="BD7" s="3" t="s">
        <v>314</v>
      </c>
      <c r="BE7" s="3" t="s">
        <v>318</v>
      </c>
      <c r="BF7" s="3" t="s">
        <v>289</v>
      </c>
      <c r="BG7" s="3" t="s">
        <v>319</v>
      </c>
      <c r="BH7" s="3" t="s">
        <v>660</v>
      </c>
      <c r="BI7" s="3" t="s">
        <v>1007</v>
      </c>
      <c r="BJ7" s="3" t="s">
        <v>465</v>
      </c>
      <c r="BK7" s="3" t="s">
        <v>661</v>
      </c>
      <c r="BL7" s="3" t="s">
        <v>583</v>
      </c>
      <c r="BM7" s="3" t="s">
        <v>466</v>
      </c>
      <c r="BN7" s="3">
        <v>7.22</v>
      </c>
      <c r="BO7" s="3">
        <v>8.5399999999999991</v>
      </c>
      <c r="BP7" s="3">
        <v>14.64</v>
      </c>
      <c r="BQ7" s="3">
        <v>7.22</v>
      </c>
      <c r="BR7" s="3">
        <v>8.5500000000000007</v>
      </c>
      <c r="BS7" s="3">
        <v>14.78</v>
      </c>
      <c r="BT7" s="3" t="s">
        <v>442</v>
      </c>
      <c r="BU7" s="3" t="s">
        <v>97</v>
      </c>
      <c r="BV7" s="3">
        <v>38.65</v>
      </c>
      <c r="BW7" s="3">
        <v>34.89</v>
      </c>
      <c r="BX7" s="3">
        <v>45.04</v>
      </c>
      <c r="BY7" s="3">
        <v>16.09</v>
      </c>
      <c r="BZ7" s="3">
        <v>16.64</v>
      </c>
      <c r="CA7" s="3">
        <v>26.72</v>
      </c>
      <c r="CB7" s="3">
        <v>-2.75</v>
      </c>
      <c r="CC7" s="3">
        <v>-9.58</v>
      </c>
      <c r="CD7" s="3" t="s">
        <v>1008</v>
      </c>
      <c r="CE7" s="3" t="s">
        <v>590</v>
      </c>
      <c r="CF7" s="10">
        <v>-0.55297297297297299</v>
      </c>
      <c r="CG7" s="11">
        <v>6.5830721003134793E-2</v>
      </c>
      <c r="CH7" s="10">
        <v>-0.73886960744857788</v>
      </c>
      <c r="CI7" s="10">
        <v>1.5813384670764208E-3</v>
      </c>
      <c r="CJ7" s="10">
        <v>0.24390232563018799</v>
      </c>
      <c r="CK7" s="10">
        <v>0.18067821860313416</v>
      </c>
      <c r="CL7" s="10">
        <v>0.19744156301021576</v>
      </c>
      <c r="CM7" s="11">
        <v>-0.73239433765411377</v>
      </c>
      <c r="CN7" s="11">
        <v>-0.37484276294708252</v>
      </c>
      <c r="CO7" s="11">
        <v>0.38501742482185364</v>
      </c>
      <c r="CP7" s="11">
        <v>0.14570857584476471</v>
      </c>
      <c r="CQ7" s="11">
        <v>-7.7348068356513977E-2</v>
      </c>
      <c r="CR7" s="3">
        <v>34.128343082484392</v>
      </c>
      <c r="CS7" s="3">
        <v>14.804146580359339</v>
      </c>
      <c r="CT7" s="3">
        <v>0.57603686635944706</v>
      </c>
      <c r="CU7" s="10">
        <v>-2.3053232347592711E-2</v>
      </c>
      <c r="CV7" s="11">
        <v>-0.13077183365821837</v>
      </c>
      <c r="CW7" s="3">
        <v>0.06</v>
      </c>
      <c r="CX7" s="3">
        <v>93.020736842105265</v>
      </c>
      <c r="CY7" s="3" t="s">
        <v>1009</v>
      </c>
      <c r="CZ7" s="3">
        <v>-2.3053232347592711E-2</v>
      </c>
      <c r="DA7" s="3">
        <v>31.006912280701755</v>
      </c>
      <c r="DB7" s="3" t="s">
        <v>1010</v>
      </c>
      <c r="DC7" s="3">
        <v>-2.1900570730213075E-2</v>
      </c>
      <c r="DD7" s="3">
        <v>15.503456140350877</v>
      </c>
      <c r="DE7" s="3" t="s">
        <v>1011</v>
      </c>
      <c r="DF7" s="3">
        <v>-2.0286844465881585E-2</v>
      </c>
      <c r="DG7" s="3">
        <v>9.3020736842105265</v>
      </c>
      <c r="DH7" s="3" t="s">
        <v>1012</v>
      </c>
      <c r="DI7" s="3">
        <v>-1.844258587807417E-2</v>
      </c>
      <c r="DJ7" s="3">
        <v>4.6510368421052632</v>
      </c>
      <c r="DK7" s="3" t="s">
        <v>1013</v>
      </c>
      <c r="DL7" s="3">
        <v>-1.6137262643314897E-2</v>
      </c>
      <c r="DM7" s="3">
        <v>133000000</v>
      </c>
      <c r="DN7" s="3">
        <v>-2.3053232347592711E-2</v>
      </c>
      <c r="DO7" s="3">
        <v>12371758000</v>
      </c>
      <c r="DP7" s="3">
        <v>2337693800</v>
      </c>
      <c r="DQ7" s="3">
        <v>1769</v>
      </c>
      <c r="DR7" s="3">
        <v>-0.52991974062538028</v>
      </c>
      <c r="DS7" s="3">
        <v>0.19660255466135318</v>
      </c>
      <c r="DT7" s="12">
        <v>-0.42333333333333339</v>
      </c>
      <c r="DU7" s="3">
        <v>9.0000000000000011E-2</v>
      </c>
      <c r="DV7" s="3">
        <v>-0.33333333333333337</v>
      </c>
      <c r="DW7" s="3">
        <v>-8.2870563674321502</v>
      </c>
      <c r="DX7" s="3">
        <v>0.42526153846153858</v>
      </c>
      <c r="DY7" s="3">
        <v>-8.0589216316043046</v>
      </c>
      <c r="DZ7" s="3">
        <v>1579</v>
      </c>
      <c r="EA7" s="3">
        <v>-8.040714732132054</v>
      </c>
      <c r="EB7" s="3">
        <v>8</v>
      </c>
      <c r="EC7" s="3">
        <v>4.8173393405314464E-2</v>
      </c>
      <c r="ED7" s="3">
        <v>0.23469274256823866</v>
      </c>
      <c r="EE7" s="13">
        <v>-3.0339999999999998</v>
      </c>
      <c r="EF7" s="3">
        <v>-3.0207999999999999</v>
      </c>
      <c r="EG7" s="3">
        <v>22.205261538461539</v>
      </c>
      <c r="EH7" s="3" t="s">
        <v>588</v>
      </c>
      <c r="EI7" s="3">
        <v>0</v>
      </c>
      <c r="EJ7" s="3">
        <v>0</v>
      </c>
      <c r="EK7" s="15">
        <v>45470</v>
      </c>
      <c r="EL7" s="16">
        <v>1.18</v>
      </c>
      <c r="EM7" s="16">
        <v>-3.18</v>
      </c>
      <c r="EN7" s="16">
        <v>-1.48</v>
      </c>
      <c r="EO7" s="16">
        <v>1.34</v>
      </c>
      <c r="EP7" s="16">
        <v>-1.32</v>
      </c>
    </row>
    <row r="8" spans="1:146" ht="144" x14ac:dyDescent="0.25">
      <c r="C8" s="7" t="str">
        <f>"公司主要从事先进前驱体材料、电子特气、光刻胶及配套材料三类半导体材料产品生产、研发和销售,是MO源产业化生产的企业,也是全球主要的MO源生产商；公司主要产品有MO源产品、高纯ALD/CVD前驱体、高K三甲基铝、硅前驱体和OLED材料。"&amp;CHAR(10)&amp;Basic_Fundamental_Information_Constructure(F8)&amp;CHAR(10)&amp;Basic_Fundamental_Information_Concatenate("特气产品 7.31亿 74.27% 76.99% 45.01%
MO源产品 1.66亿 16.90% 15.65% 40.22%
其他 8698.52万 8.84% 7.36% 36.16%")</f>
        <v>公司主要从事先进前驱体材料、电子特气、光刻胶及配套材料三类半导体材料产品生产、研发和销售,是MO源产业化生产的企业,也是全球主要的MO源生产商；公司主要产品有MO源产品、高纯ALD/CVD前驱体、高K三甲基铝、硅前驱体和OLED材料。
市值151.18105亿, 利润8211.05万; PE69.16; 平均PE151.59; 平均PEG4.11, PB6.58; ROIC7.6267%; ROE9.2667%; 股利率.1258%; 毛利43.9733%; 净利16.9367%; 上一年度营收增-67.81%, 利润增-56.09%; 当季营收增-38.38%, 利润增-45.98%; 过往5年营收增36.88%, 利润增20.65%
Income profile:
特气产品 7.31亿 74.27% 76.99% 45.01%
MO源产品 1.66亿 16.90% 15.65% 40.22%
其他 8698.52万 8.84% 7.36% 36.16%</v>
      </c>
      <c r="D8" s="3" t="s">
        <v>139</v>
      </c>
      <c r="E8" s="3" t="s">
        <v>140</v>
      </c>
      <c r="F8" s="3">
        <v>27.82</v>
      </c>
      <c r="G8" s="3">
        <v>-1.03</v>
      </c>
      <c r="H8" s="3" t="s">
        <v>1014</v>
      </c>
      <c r="I8" s="3">
        <v>15118105000</v>
      </c>
      <c r="J8" s="3">
        <v>69.16</v>
      </c>
      <c r="K8" s="3">
        <v>6.58</v>
      </c>
      <c r="L8" s="3" t="s">
        <v>97</v>
      </c>
      <c r="M8" s="3" t="s">
        <v>502</v>
      </c>
      <c r="N8" s="3" t="s">
        <v>1015</v>
      </c>
      <c r="O8" s="3" t="s">
        <v>668</v>
      </c>
      <c r="P8" s="3">
        <v>27.88</v>
      </c>
      <c r="Q8" s="3" t="s">
        <v>668</v>
      </c>
      <c r="R8" s="3">
        <v>82110495</v>
      </c>
      <c r="S8" s="5">
        <v>9.5200000000000007E-2</v>
      </c>
      <c r="T8" s="3" t="s">
        <v>1016</v>
      </c>
      <c r="U8" s="3">
        <v>513355170</v>
      </c>
      <c r="V8" s="3">
        <v>543425760</v>
      </c>
      <c r="W8" s="3">
        <v>2.02</v>
      </c>
      <c r="X8" s="3">
        <v>0.09</v>
      </c>
      <c r="Y8" s="3">
        <v>20.48</v>
      </c>
      <c r="Z8" s="3" t="s">
        <v>1017</v>
      </c>
      <c r="AA8" s="3" t="s">
        <v>550</v>
      </c>
      <c r="AB8" s="3" t="s">
        <v>1018</v>
      </c>
      <c r="AC8" s="3" t="s">
        <v>1019</v>
      </c>
      <c r="AD8" s="3" t="s">
        <v>48</v>
      </c>
      <c r="AE8" s="3">
        <v>11093288</v>
      </c>
      <c r="AF8" s="3" t="s">
        <v>671</v>
      </c>
      <c r="AG8" s="3" t="s">
        <v>1020</v>
      </c>
      <c r="AH8" s="3" t="s">
        <v>672</v>
      </c>
      <c r="AI8" s="3" t="s">
        <v>1021</v>
      </c>
      <c r="AJ8" s="3" t="s">
        <v>673</v>
      </c>
      <c r="AK8" s="3" t="s">
        <v>1022</v>
      </c>
      <c r="AL8" s="3" t="s">
        <v>674</v>
      </c>
      <c r="AM8" s="3" t="s">
        <v>48</v>
      </c>
      <c r="AN8" s="3" t="s">
        <v>134</v>
      </c>
      <c r="AO8" s="3" t="s">
        <v>1023</v>
      </c>
      <c r="AP8" s="3" t="s">
        <v>205</v>
      </c>
      <c r="AQ8" s="3" t="s">
        <v>1024</v>
      </c>
      <c r="AR8" s="3" t="s">
        <v>48</v>
      </c>
      <c r="AS8" s="3" t="s">
        <v>1025</v>
      </c>
      <c r="AT8" s="3" t="s">
        <v>675</v>
      </c>
      <c r="AU8" s="3" t="s">
        <v>1026</v>
      </c>
      <c r="AV8" s="3" t="s">
        <v>1027</v>
      </c>
      <c r="AW8" s="3" t="s">
        <v>1028</v>
      </c>
      <c r="AX8" s="3" t="s">
        <v>468</v>
      </c>
      <c r="AY8" s="3" t="s">
        <v>253</v>
      </c>
      <c r="AZ8" s="3" t="s">
        <v>141</v>
      </c>
      <c r="BA8" s="3" t="s">
        <v>143</v>
      </c>
      <c r="BB8" s="3" t="s">
        <v>144</v>
      </c>
      <c r="BC8" s="3" t="s">
        <v>454</v>
      </c>
      <c r="BD8" s="3" t="s">
        <v>254</v>
      </c>
      <c r="BE8" s="3" t="s">
        <v>142</v>
      </c>
      <c r="BF8" s="3" t="s">
        <v>146</v>
      </c>
      <c r="BG8" s="3" t="s">
        <v>147</v>
      </c>
      <c r="BH8" s="3" t="s">
        <v>669</v>
      </c>
      <c r="BI8" s="3" t="s">
        <v>1029</v>
      </c>
      <c r="BJ8" s="3" t="s">
        <v>468</v>
      </c>
      <c r="BK8" s="3" t="s">
        <v>585</v>
      </c>
      <c r="BL8" s="3" t="s">
        <v>459</v>
      </c>
      <c r="BM8" s="3" t="s">
        <v>454</v>
      </c>
      <c r="BN8" s="3">
        <v>7.21</v>
      </c>
      <c r="BO8" s="3">
        <v>7.77</v>
      </c>
      <c r="BP8" s="3">
        <v>7.9</v>
      </c>
      <c r="BQ8" s="3">
        <v>9.75</v>
      </c>
      <c r="BR8" s="3">
        <v>9.3000000000000007</v>
      </c>
      <c r="BS8" s="3">
        <v>8.75</v>
      </c>
      <c r="BT8" s="3" t="s">
        <v>679</v>
      </c>
      <c r="BU8" s="3" t="s">
        <v>97</v>
      </c>
      <c r="BV8" s="3">
        <v>43.16</v>
      </c>
      <c r="BW8" s="3">
        <v>45.34</v>
      </c>
      <c r="BX8" s="3">
        <v>43.42</v>
      </c>
      <c r="BY8" s="3">
        <v>16.09</v>
      </c>
      <c r="BZ8" s="3">
        <v>16.11</v>
      </c>
      <c r="CA8" s="3">
        <v>18.61</v>
      </c>
      <c r="CB8" s="3">
        <v>-2.69</v>
      </c>
      <c r="CC8" s="3">
        <v>16.5</v>
      </c>
      <c r="CD8" s="3" t="s">
        <v>91</v>
      </c>
      <c r="CE8" s="3" t="s">
        <v>1030</v>
      </c>
      <c r="CF8" s="10">
        <v>-0.38377723970944311</v>
      </c>
      <c r="CG8" s="11">
        <v>-0.45979937500000001</v>
      </c>
      <c r="CH8" s="10">
        <v>-0.67805182933807373</v>
      </c>
      <c r="CI8" s="10">
        <v>0.60670727491378784</v>
      </c>
      <c r="CJ8" s="10">
        <v>0.65378153324127197</v>
      </c>
      <c r="CK8" s="10">
        <v>0.85358256101608276</v>
      </c>
      <c r="CL8" s="10">
        <v>0.40789473056793213</v>
      </c>
      <c r="CM8" s="11">
        <v>-0.56090641021728516</v>
      </c>
      <c r="CN8" s="11">
        <v>0.375</v>
      </c>
      <c r="CO8" s="11">
        <v>0.56292563676834106</v>
      </c>
      <c r="CP8" s="11">
        <v>0.58178949356079102</v>
      </c>
      <c r="CQ8" s="11">
        <v>7.3552511632442474E-2</v>
      </c>
      <c r="CR8" s="3">
        <v>151.59024259484434</v>
      </c>
      <c r="CS8" s="3">
        <v>4.1105555997968821</v>
      </c>
      <c r="CT8" s="3">
        <v>0.12580877066858373</v>
      </c>
      <c r="CU8" s="10">
        <v>0.36878285408020017</v>
      </c>
      <c r="CV8" s="11">
        <v>0.20647224634885789</v>
      </c>
      <c r="CW8" s="3">
        <v>0.06</v>
      </c>
      <c r="CX8" s="3">
        <v>144.33795531681565</v>
      </c>
      <c r="CY8" s="3">
        <v>106029664.66033235</v>
      </c>
      <c r="CZ8" s="3">
        <v>0.36878285408020017</v>
      </c>
      <c r="DA8" s="3">
        <v>37.546358365289663</v>
      </c>
      <c r="DB8" s="3">
        <v>407605575.24929309</v>
      </c>
      <c r="DC8" s="3">
        <v>0.35034371137619014</v>
      </c>
      <c r="DD8" s="3">
        <v>13.263115412833324</v>
      </c>
      <c r="DE8" s="3">
        <v>1153884628.4329114</v>
      </c>
      <c r="DF8" s="3">
        <v>0.32452891159057617</v>
      </c>
      <c r="DG8" s="3">
        <v>5.2783027537818228</v>
      </c>
      <c r="DH8" s="3">
        <v>2899436753.4213238</v>
      </c>
      <c r="DI8" s="3">
        <v>0.29502628326416014</v>
      </c>
      <c r="DJ8" s="3">
        <v>0.98511166041639775</v>
      </c>
      <c r="DK8" s="3">
        <v>15535401330.577179</v>
      </c>
      <c r="DL8" s="3">
        <v>0.25814799785614012</v>
      </c>
      <c r="DM8" s="3">
        <v>82110500</v>
      </c>
      <c r="DN8" s="3">
        <v>0.36878285408020017</v>
      </c>
      <c r="DO8" s="3">
        <v>15304105000</v>
      </c>
      <c r="DP8" s="3">
        <v>2135799700</v>
      </c>
      <c r="DQ8" s="3">
        <v>1824</v>
      </c>
      <c r="DR8" s="3">
        <v>-0.75256009378964328</v>
      </c>
      <c r="DS8" s="3">
        <v>-0.66627162134885787</v>
      </c>
      <c r="DT8" s="12">
        <v>0.12666666666666671</v>
      </c>
      <c r="DU8" s="3">
        <v>1.3333333333333308E-2</v>
      </c>
      <c r="DV8" s="3">
        <v>0.14000000000000001</v>
      </c>
      <c r="DW8" s="3">
        <v>-6.1401771756122985</v>
      </c>
      <c r="DX8" s="3">
        <v>0.29197475733668626</v>
      </c>
      <c r="DY8" s="3">
        <v>-6.0128927617110834</v>
      </c>
      <c r="DZ8" s="3">
        <v>302</v>
      </c>
      <c r="EA8" s="3">
        <v>-6.0121308020170039</v>
      </c>
      <c r="EB8" s="3">
        <v>6</v>
      </c>
      <c r="EC8" s="3">
        <v>0.1876981319398624</v>
      </c>
      <c r="ED8" s="3">
        <v>2.0407571404049745</v>
      </c>
      <c r="EE8" s="13">
        <v>3.0342099999999999</v>
      </c>
      <c r="EF8" s="3">
        <v>3.0786099999999998</v>
      </c>
      <c r="EG8" s="3">
        <v>20.091974757336686</v>
      </c>
      <c r="EH8" s="3" t="s">
        <v>522</v>
      </c>
      <c r="EI8" s="3">
        <v>0</v>
      </c>
      <c r="EJ8" s="3">
        <v>1</v>
      </c>
      <c r="EK8" s="15">
        <v>45470</v>
      </c>
      <c r="EL8" s="16">
        <v>1.68</v>
      </c>
      <c r="EM8" s="16">
        <v>1.78</v>
      </c>
      <c r="EN8" s="16">
        <v>-6.35</v>
      </c>
      <c r="EO8" s="16">
        <v>2.7</v>
      </c>
      <c r="EP8" s="16">
        <v>-4.4400000000000004</v>
      </c>
    </row>
    <row r="9" spans="1:146" ht="180" x14ac:dyDescent="0.25">
      <c r="C9" s="7" t="str">
        <f>"公司的主营业务为高科技制造领域适用的屏幕显示材料、半导体材料及紫外固化材料等的研究、生产和销售。主要产品为屏幕显示材料、半导体材料、紫外固化材料。公司掌握行业内领先的低聚物树脂合成技术，是紫外固化材料领域极少数同时具备低聚物树脂合成技术和配方技术的企业之一，在新产品开发上具有独特的优势。"&amp;CHAR(10)&amp;Basic_Fundamental_Information_Constructure(F9)&amp;CHAR(10)&amp;Basic_Fundamental_Information_Concatenate("屏幕显示材料 7.00亿 42.54% 42.36% 40.11%
紫外固化材料 3.24亿 19.70% 15.01% 30.68%
医药中间体 3.16亿 19.19% 24.07% 50.50%
半导体材料 2.92亿 17.78% 16.90% 38.29%")</f>
        <v>公司的主营业务为高科技制造领域适用的屏幕显示材料、半导体材料及紫外固化材料等的研究、生产和销售。主要产品为屏幕显示材料、半导体材料、紫外固化材料。公司掌握行业内领先的低聚物树脂合成技术，是紫外固化材料领域极少数同时具备低聚物树脂合成技术和配方技术的企业之一，在新产品开发上具有独特的优势。
市值63.280353亿, 利润5984.13万; PE63.29; 平均PE23.01; 平均PEG64.06, PB1.69; ROIC7.8333%; ROE10.3667%; 股利率.6683%; 毛利37.74%; 净利11.8733%; 上一年度营收增-76.87%, 利润增-86.24%; 当季营收增-48.65%, 利润增-65.61%; 过往5年营收增.36%, 利润增-5.15%
Income profile:
屏幕显示材料 7.00亿 42.54% 42.36% 40.11%
紫外固化材料 3.24亿 19.70% 15.01% 30.68%
医药中间体 3.16亿 19.19% 24.07% 50.50%
半导体材料 2.92亿 17.78% 16.90% 38.29%</v>
      </c>
      <c r="D9" s="3" t="s">
        <v>148</v>
      </c>
      <c r="E9" s="3" t="s">
        <v>149</v>
      </c>
      <c r="F9" s="3">
        <v>11.97</v>
      </c>
      <c r="G9" s="3">
        <v>-1.8</v>
      </c>
      <c r="H9" s="3" t="s">
        <v>1031</v>
      </c>
      <c r="I9" s="3">
        <v>6328035300</v>
      </c>
      <c r="J9" s="3">
        <v>63.29</v>
      </c>
      <c r="K9" s="3">
        <v>1.69</v>
      </c>
      <c r="L9" s="3" t="s">
        <v>97</v>
      </c>
      <c r="M9" s="3" t="s">
        <v>680</v>
      </c>
      <c r="N9" s="3" t="s">
        <v>1032</v>
      </c>
      <c r="O9" s="3" t="s">
        <v>681</v>
      </c>
      <c r="P9" s="3">
        <v>12.51</v>
      </c>
      <c r="Q9" s="3" t="s">
        <v>681</v>
      </c>
      <c r="R9" s="3">
        <v>59841253</v>
      </c>
      <c r="S9" s="5">
        <v>-0.17130000000000001</v>
      </c>
      <c r="T9" s="3" t="s">
        <v>1033</v>
      </c>
      <c r="U9" s="3">
        <v>525196410</v>
      </c>
      <c r="V9" s="3">
        <v>528657920</v>
      </c>
      <c r="W9" s="3">
        <v>1.62</v>
      </c>
      <c r="X9" s="3">
        <v>0.1</v>
      </c>
      <c r="Y9" s="3">
        <v>9.9499999999999993</v>
      </c>
      <c r="Z9" s="3" t="s">
        <v>811</v>
      </c>
      <c r="AA9" s="3" t="s">
        <v>1034</v>
      </c>
      <c r="AB9" s="3" t="s">
        <v>1035</v>
      </c>
      <c r="AC9" s="3" t="s">
        <v>1036</v>
      </c>
      <c r="AD9" s="3" t="s">
        <v>48</v>
      </c>
      <c r="AE9" s="3">
        <v>10037164</v>
      </c>
      <c r="AF9" s="3" t="s">
        <v>682</v>
      </c>
      <c r="AG9" s="3">
        <v>6643.31</v>
      </c>
      <c r="AH9" s="3" t="s">
        <v>683</v>
      </c>
      <c r="AI9" s="3" t="s">
        <v>1037</v>
      </c>
      <c r="AJ9" s="3" t="s">
        <v>684</v>
      </c>
      <c r="AK9" s="3" t="s">
        <v>557</v>
      </c>
      <c r="AL9" s="3" t="s">
        <v>685</v>
      </c>
      <c r="AM9" s="3" t="s">
        <v>48</v>
      </c>
      <c r="AN9" s="3" t="s">
        <v>703</v>
      </c>
      <c r="AO9" s="3" t="s">
        <v>1038</v>
      </c>
      <c r="AP9" s="3" t="s">
        <v>1039</v>
      </c>
      <c r="AQ9" s="3" t="s">
        <v>167</v>
      </c>
      <c r="AR9" s="3" t="s">
        <v>48</v>
      </c>
      <c r="AS9" s="3" t="s">
        <v>1040</v>
      </c>
      <c r="AT9" s="3" t="s">
        <v>604</v>
      </c>
      <c r="AU9" s="3" t="s">
        <v>1041</v>
      </c>
      <c r="AV9" s="3" t="s">
        <v>1042</v>
      </c>
      <c r="AW9" s="3" t="s">
        <v>1043</v>
      </c>
      <c r="AX9" s="3" t="s">
        <v>1044</v>
      </c>
      <c r="AY9" s="3" t="s">
        <v>1045</v>
      </c>
      <c r="AZ9" s="3" t="s">
        <v>150</v>
      </c>
      <c r="BA9" s="3" t="s">
        <v>152</v>
      </c>
      <c r="BB9" s="3" t="s">
        <v>153</v>
      </c>
      <c r="BC9" s="3" t="s">
        <v>359</v>
      </c>
      <c r="BD9" s="3" t="s">
        <v>255</v>
      </c>
      <c r="BE9" s="3" t="s">
        <v>151</v>
      </c>
      <c r="BF9" s="3" t="s">
        <v>154</v>
      </c>
      <c r="BG9" s="3" t="s">
        <v>155</v>
      </c>
      <c r="BH9" s="3" t="s">
        <v>600</v>
      </c>
      <c r="BI9" s="3" t="s">
        <v>835</v>
      </c>
      <c r="BJ9" s="3" t="s">
        <v>1044</v>
      </c>
      <c r="BK9" s="3" t="s">
        <v>134</v>
      </c>
      <c r="BL9" s="3" t="s">
        <v>471</v>
      </c>
      <c r="BM9" s="3" t="s">
        <v>359</v>
      </c>
      <c r="BN9" s="3">
        <v>4.71</v>
      </c>
      <c r="BO9" s="3">
        <v>9.43</v>
      </c>
      <c r="BP9" s="3">
        <v>9.36</v>
      </c>
      <c r="BQ9" s="3">
        <v>5.52</v>
      </c>
      <c r="BR9" s="3">
        <v>12.65</v>
      </c>
      <c r="BS9" s="3">
        <v>12.93</v>
      </c>
      <c r="BT9" s="3" t="s">
        <v>472</v>
      </c>
      <c r="BU9" s="3" t="s">
        <v>97</v>
      </c>
      <c r="BV9" s="3">
        <v>34.46</v>
      </c>
      <c r="BW9" s="3">
        <v>38.909999999999997</v>
      </c>
      <c r="BX9" s="3">
        <v>39.85</v>
      </c>
      <c r="BY9" s="3">
        <v>4.9800000000000004</v>
      </c>
      <c r="BZ9" s="3">
        <v>15.36</v>
      </c>
      <c r="CA9" s="3">
        <v>15.28</v>
      </c>
      <c r="CB9" s="3">
        <v>-2.68</v>
      </c>
      <c r="CC9" s="3">
        <v>5.93</v>
      </c>
      <c r="CD9" s="3" t="s">
        <v>582</v>
      </c>
      <c r="CE9" s="3" t="s">
        <v>1046</v>
      </c>
      <c r="CF9" s="10">
        <v>-0.48654880860876248</v>
      </c>
      <c r="CG9" s="11">
        <v>-0.65608475287356327</v>
      </c>
      <c r="CH9" s="10">
        <v>-0.76869803667068481</v>
      </c>
      <c r="CI9" s="10">
        <v>0.10060975700616837</v>
      </c>
      <c r="CJ9" s="10">
        <v>0.40772533416748047</v>
      </c>
      <c r="CK9" s="10">
        <v>0.23198947310447693</v>
      </c>
      <c r="CL9" s="10">
        <v>4.6334672719240189E-2</v>
      </c>
      <c r="CM9" s="11">
        <v>-0.8624337911605835</v>
      </c>
      <c r="CN9" s="11">
        <v>0.12694300711154938</v>
      </c>
      <c r="CO9" s="11">
        <v>0.67826086282730103</v>
      </c>
      <c r="CP9" s="11">
        <v>-9.8039217293262482E-2</v>
      </c>
      <c r="CQ9" s="11">
        <v>-0.10211267322301865</v>
      </c>
      <c r="CR9" s="3">
        <v>23.013250910860336</v>
      </c>
      <c r="CS9" s="3">
        <v>64.063788867925609</v>
      </c>
      <c r="CT9" s="3">
        <v>0.66833751044277356</v>
      </c>
      <c r="CU9" s="10">
        <v>3.5922400653362273E-3</v>
      </c>
      <c r="CV9" s="11">
        <v>-5.1476362347602847E-2</v>
      </c>
      <c r="CW9" s="3">
        <v>0.06</v>
      </c>
      <c r="CX9" s="3">
        <v>85.586032974084077</v>
      </c>
      <c r="CY9" s="3">
        <v>56656853.127756424</v>
      </c>
      <c r="CZ9" s="3">
        <v>3.5922400653362273E-3</v>
      </c>
      <c r="DA9" s="3">
        <v>30.112725561082552</v>
      </c>
      <c r="DB9" s="3">
        <v>161029438.8717458</v>
      </c>
      <c r="DC9" s="3">
        <v>3.4126280620694156E-3</v>
      </c>
      <c r="DD9" s="3">
        <v>16.306252797352933</v>
      </c>
      <c r="DE9" s="3">
        <v>297372753.8915112</v>
      </c>
      <c r="DF9" s="3">
        <v>3.16117125749588E-3</v>
      </c>
      <c r="DG9" s="3">
        <v>10.851706185026591</v>
      </c>
      <c r="DH9" s="3">
        <v>446845428.48117274</v>
      </c>
      <c r="DI9" s="3">
        <v>2.8737920522689821E-3</v>
      </c>
      <c r="DJ9" s="3">
        <v>6.9129854885593396</v>
      </c>
      <c r="DK9" s="3">
        <v>701438663.22660756</v>
      </c>
      <c r="DL9" s="3">
        <v>2.5145680457353591E-3</v>
      </c>
      <c r="DM9" s="3">
        <v>59841300</v>
      </c>
      <c r="DN9" s="3">
        <v>3.5922400653362273E-3</v>
      </c>
      <c r="DO9" s="3">
        <v>4849035300</v>
      </c>
      <c r="DP9" s="3">
        <v>1761597100</v>
      </c>
      <c r="DQ9" s="3">
        <v>1870</v>
      </c>
      <c r="DR9" s="3">
        <v>-0.49014104867409869</v>
      </c>
      <c r="DS9" s="3">
        <v>-0.60460839052596038</v>
      </c>
      <c r="DT9" s="12">
        <v>-0.52333333333333332</v>
      </c>
      <c r="DU9" s="3">
        <v>-0.50666666666666671</v>
      </c>
      <c r="DV9" s="3">
        <v>-1.03</v>
      </c>
      <c r="DW9" s="3">
        <v>-6.3112659698025553</v>
      </c>
      <c r="DX9" s="3">
        <v>0.27923076923076795</v>
      </c>
      <c r="DY9" s="3">
        <v>-6.0371124810149199</v>
      </c>
      <c r="DZ9" s="3">
        <v>2842</v>
      </c>
      <c r="EA9" s="3">
        <v>-6.0164718408888138</v>
      </c>
      <c r="EB9" s="3">
        <v>6</v>
      </c>
      <c r="EC9" s="3">
        <v>0.2345562135908226</v>
      </c>
      <c r="ED9" s="3">
        <v>1.967245662374641</v>
      </c>
      <c r="EE9" s="13">
        <v>-4.0415999999999999</v>
      </c>
      <c r="EF9" s="3">
        <v>-4.00291</v>
      </c>
      <c r="EG9" s="3">
        <v>16.119230769230768</v>
      </c>
      <c r="EH9" s="3" t="s">
        <v>603</v>
      </c>
      <c r="EI9" s="3">
        <v>0</v>
      </c>
      <c r="EJ9" s="3">
        <v>0</v>
      </c>
      <c r="EK9" s="15">
        <v>45470</v>
      </c>
      <c r="EL9" s="16">
        <v>-3.39</v>
      </c>
      <c r="EM9" s="16">
        <v>-5.03</v>
      </c>
      <c r="EN9" s="16">
        <v>-1.1200000000000001</v>
      </c>
      <c r="EO9" s="16">
        <v>4.0599999999999996</v>
      </c>
      <c r="EP9" s="16">
        <v>-4.45</v>
      </c>
    </row>
    <row r="10" spans="1:146" ht="96" x14ac:dyDescent="0.25">
      <c r="C10" s="7" t="str">
        <f>""&amp;CHAR(10)&amp;Basic_Fundamental_Information_Constructure(F10)&amp;CHAR(10)&amp;Basic_Fundamental_Information_Concatenate("")</f>
        <v xml:space="preserve">
市值58.225182亿, 利润1266.14万; PE; 平均PE82.03; 平均PEG8.29, PB3.53; ROIC3.95%; ROE.01%; 股利率0%; 毛利28.48%; 净利-3.0333%; 上一年度营收增-75.87%, 利润增113.66%; 当季营收增-44.59%, 利润增183.38%; 过往5年营收增-9.9%, 利润增-15.77%
Income profile:
</v>
      </c>
      <c r="D10" s="3" t="s">
        <v>156</v>
      </c>
      <c r="E10" s="3" t="s">
        <v>157</v>
      </c>
      <c r="F10" s="3">
        <v>11.3</v>
      </c>
      <c r="G10" s="3">
        <v>-3.34</v>
      </c>
      <c r="H10" s="3" t="s">
        <v>1047</v>
      </c>
      <c r="I10" s="3">
        <v>5822518200</v>
      </c>
      <c r="K10" s="3">
        <v>3.53</v>
      </c>
      <c r="L10" s="3" t="s">
        <v>97</v>
      </c>
      <c r="M10" s="3" t="s">
        <v>686</v>
      </c>
      <c r="N10" s="3" t="s">
        <v>1048</v>
      </c>
      <c r="O10" s="3" t="s">
        <v>687</v>
      </c>
      <c r="P10" s="3">
        <v>15.3</v>
      </c>
      <c r="Q10" s="3" t="s">
        <v>687</v>
      </c>
      <c r="R10" s="3">
        <v>12661386</v>
      </c>
      <c r="S10" s="5">
        <v>12.56</v>
      </c>
      <c r="T10" s="3" t="s">
        <v>1049</v>
      </c>
      <c r="U10" s="3">
        <v>377611160</v>
      </c>
      <c r="V10" s="3">
        <v>515267100</v>
      </c>
      <c r="W10" s="3">
        <v>2</v>
      </c>
      <c r="X10" s="3">
        <v>0.06</v>
      </c>
      <c r="Y10" s="3">
        <v>6.15</v>
      </c>
      <c r="Z10" s="3" t="s">
        <v>64</v>
      </c>
      <c r="AA10" s="3" t="s">
        <v>336</v>
      </c>
      <c r="AB10" s="3" t="s">
        <v>1050</v>
      </c>
      <c r="AC10" s="3" t="s">
        <v>1051</v>
      </c>
      <c r="AD10" s="3" t="s">
        <v>48</v>
      </c>
      <c r="AE10" s="3">
        <v>11019654</v>
      </c>
      <c r="AF10" s="3" t="s">
        <v>689</v>
      </c>
      <c r="AG10" s="3" t="s">
        <v>1052</v>
      </c>
      <c r="AH10" s="3" t="s">
        <v>690</v>
      </c>
      <c r="AI10" s="3" t="s">
        <v>1053</v>
      </c>
      <c r="AJ10" s="3" t="s">
        <v>691</v>
      </c>
      <c r="AK10" s="3" t="s">
        <v>1054</v>
      </c>
      <c r="AL10" s="3" t="s">
        <v>692</v>
      </c>
      <c r="AM10" s="3" t="s">
        <v>48</v>
      </c>
      <c r="AN10" s="3" t="s">
        <v>1055</v>
      </c>
      <c r="AO10" s="3" t="s">
        <v>687</v>
      </c>
      <c r="AP10" s="3" t="s">
        <v>1056</v>
      </c>
      <c r="AQ10" s="3" t="s">
        <v>52</v>
      </c>
      <c r="AR10" s="3" t="s">
        <v>48</v>
      </c>
      <c r="AS10" s="3" t="s">
        <v>589</v>
      </c>
      <c r="AT10" s="3" t="s">
        <v>1057</v>
      </c>
      <c r="AU10" s="3" t="s">
        <v>1058</v>
      </c>
      <c r="AV10" s="3" t="s">
        <v>986</v>
      </c>
      <c r="AW10" s="3" t="s">
        <v>1059</v>
      </c>
      <c r="AX10" s="3" t="s">
        <v>473</v>
      </c>
      <c r="AY10" s="3" t="s">
        <v>256</v>
      </c>
      <c r="AZ10" s="3" t="s">
        <v>158</v>
      </c>
      <c r="BA10" s="3" t="s">
        <v>160</v>
      </c>
      <c r="BB10" s="3" t="s">
        <v>161</v>
      </c>
      <c r="BC10" s="3" t="s">
        <v>474</v>
      </c>
      <c r="BD10" s="3" t="s">
        <v>89</v>
      </c>
      <c r="BE10" s="3" t="s">
        <v>159</v>
      </c>
      <c r="BF10" s="3" t="s">
        <v>63</v>
      </c>
      <c r="BG10" s="3" t="s">
        <v>162</v>
      </c>
      <c r="BH10" s="3" t="s">
        <v>580</v>
      </c>
      <c r="BI10" s="3" t="s">
        <v>1060</v>
      </c>
      <c r="BJ10" s="3" t="s">
        <v>473</v>
      </c>
      <c r="BK10" s="3" t="s">
        <v>688</v>
      </c>
      <c r="BL10" s="3" t="s">
        <v>1061</v>
      </c>
      <c r="BM10" s="3" t="s">
        <v>474</v>
      </c>
      <c r="BN10" s="3" t="s">
        <v>48</v>
      </c>
      <c r="BO10" s="3" t="s">
        <v>48</v>
      </c>
      <c r="BP10" s="3">
        <v>3.95</v>
      </c>
      <c r="BQ10" s="3">
        <v>-1.08</v>
      </c>
      <c r="BR10" s="3">
        <v>-4.6900000000000004</v>
      </c>
      <c r="BS10" s="3">
        <v>5.8</v>
      </c>
      <c r="BT10" s="3" t="s">
        <v>439</v>
      </c>
      <c r="BU10" s="3" t="s">
        <v>97</v>
      </c>
      <c r="BV10" s="3">
        <v>24.16</v>
      </c>
      <c r="BW10" s="3">
        <v>28.23</v>
      </c>
      <c r="BX10" s="3">
        <v>33.049999999999997</v>
      </c>
      <c r="BY10" s="3">
        <v>-5.7</v>
      </c>
      <c r="BZ10" s="3">
        <v>-14.06</v>
      </c>
      <c r="CA10" s="3">
        <v>10.66</v>
      </c>
      <c r="CB10" s="3">
        <v>-0.53</v>
      </c>
      <c r="CC10" s="3">
        <v>6.3</v>
      </c>
      <c r="CD10" s="3" t="s">
        <v>350</v>
      </c>
      <c r="CE10" s="3" t="s">
        <v>1062</v>
      </c>
      <c r="CF10" s="10">
        <v>-0.44587628865979384</v>
      </c>
      <c r="CG10" s="11">
        <v>1.8338307232327489</v>
      </c>
      <c r="CH10" s="10">
        <v>-0.75869810581207275</v>
      </c>
      <c r="CI10" s="10">
        <v>-0.14244465529918671</v>
      </c>
      <c r="CJ10" s="10">
        <v>0.33891752362251282</v>
      </c>
      <c r="CK10" s="10">
        <v>-0.10185185074806213</v>
      </c>
      <c r="CL10" s="10">
        <v>0.16914749145507813</v>
      </c>
      <c r="CM10" s="11">
        <v>1.1366422176361084</v>
      </c>
      <c r="CN10" s="11">
        <v>-1.8057477474212646</v>
      </c>
      <c r="CO10" s="11">
        <v>0.23827002942562103</v>
      </c>
      <c r="CP10" s="11">
        <v>-0.38495692610740662</v>
      </c>
      <c r="CQ10" s="11">
        <v>2.7210883796215057E-2</v>
      </c>
      <c r="CR10" s="3">
        <v>82.031965950324505</v>
      </c>
      <c r="CS10" s="3">
        <v>8.2872358496779785</v>
      </c>
      <c r="CT10" s="3">
        <v>0</v>
      </c>
      <c r="CU10" s="10">
        <v>-9.8985919356346125E-2</v>
      </c>
      <c r="CV10" s="11">
        <v>-0.15771630853414537</v>
      </c>
      <c r="CW10" s="3">
        <v>0.06</v>
      </c>
      <c r="CX10" s="3">
        <v>462.86494384507245</v>
      </c>
      <c r="CY10" s="3" t="s">
        <v>1063</v>
      </c>
      <c r="CZ10" s="3">
        <v>-9.8985919356346125E-2</v>
      </c>
      <c r="DA10" s="3">
        <v>154.28831461502415</v>
      </c>
      <c r="DB10" s="3" t="s">
        <v>1064</v>
      </c>
      <c r="DC10" s="3">
        <v>-9.403662338852882E-2</v>
      </c>
      <c r="DD10" s="3">
        <v>77.144157307512074</v>
      </c>
      <c r="DE10" s="3" t="s">
        <v>1065</v>
      </c>
      <c r="DF10" s="3">
        <v>-8.7107609033584596E-2</v>
      </c>
      <c r="DG10" s="3">
        <v>46.286494384507243</v>
      </c>
      <c r="DH10" s="3" t="s">
        <v>1066</v>
      </c>
      <c r="DI10" s="3">
        <v>-7.9188735485076905E-2</v>
      </c>
      <c r="DJ10" s="3">
        <v>23.143247192253622</v>
      </c>
      <c r="DK10" s="3" t="s">
        <v>1067</v>
      </c>
      <c r="DL10" s="3">
        <v>-6.9290143549442282E-2</v>
      </c>
      <c r="DM10" s="3">
        <v>12661400.000000002</v>
      </c>
      <c r="DN10" s="3">
        <v>-9.8985919356346125E-2</v>
      </c>
      <c r="DO10" s="3">
        <v>5860518200</v>
      </c>
      <c r="DP10" s="3">
        <v>406708680</v>
      </c>
      <c r="DQ10" s="3">
        <v>1901</v>
      </c>
      <c r="DR10" s="3">
        <v>-0.34689036930344774</v>
      </c>
      <c r="DS10" s="3">
        <v>1.9915470317668942</v>
      </c>
      <c r="DT10" s="12">
        <v>-0.54</v>
      </c>
      <c r="DU10" s="3">
        <v>0.23333333333333328</v>
      </c>
      <c r="DV10" s="3">
        <v>-0.30666666666666675</v>
      </c>
      <c r="DW10" s="3">
        <v>2.0630000000000002</v>
      </c>
      <c r="DX10" s="3">
        <v>0.28575719649562031</v>
      </c>
      <c r="DY10" s="3">
        <v>2.0066627033792241</v>
      </c>
      <c r="DZ10" s="3">
        <v>3925</v>
      </c>
      <c r="EA10" s="3">
        <v>2.0015450691789396</v>
      </c>
      <c r="EB10" s="3">
        <v>2</v>
      </c>
      <c r="EC10" s="3">
        <v>0.32798523328968604</v>
      </c>
      <c r="ED10" s="3">
        <v>3.1013041585616468</v>
      </c>
      <c r="EE10" s="13">
        <v>-4.0518999999999998</v>
      </c>
      <c r="EF10" s="3">
        <v>-4.0033099999999999</v>
      </c>
      <c r="EG10" s="3">
        <v>18.10575719649562</v>
      </c>
      <c r="EH10" s="3" t="s">
        <v>603</v>
      </c>
      <c r="EI10" s="3">
        <v>1</v>
      </c>
      <c r="EJ10" s="3">
        <v>0</v>
      </c>
      <c r="EK10" s="15">
        <v>45470</v>
      </c>
      <c r="EL10" s="16">
        <v>-1.78</v>
      </c>
      <c r="EM10" s="16">
        <v>-5.28</v>
      </c>
      <c r="EN10" s="16">
        <v>1.22</v>
      </c>
      <c r="EO10" s="16">
        <v>2.93</v>
      </c>
      <c r="EP10" s="16">
        <v>-5.52</v>
      </c>
    </row>
    <row r="11" spans="1:146" ht="96" x14ac:dyDescent="0.25">
      <c r="C11" s="7" t="str">
        <f>""&amp;CHAR(10)&amp;Basic_Fundamental_Information_Constructure(F11)&amp;CHAR(10)&amp;Basic_Fundamental_Information_Concatenate("")</f>
        <v xml:space="preserve">
市值39.860251亿, 利润5505.57万; PE18.13; 平均PE20.6; 平均PEG3.37, PB1.59; ROIC14.12%; ROE14.81%; 股利率2.974%; 毛利30.4867%; 净利20.53%; 上一年度营收增-77.83%, 利润增-86.95%; 当季营收增-49.21%, 利润增-61.23%; 过往5年营收增6.11%, 利润增16.27%
Income profile:
</v>
      </c>
      <c r="D11" s="3" t="s">
        <v>164</v>
      </c>
      <c r="E11" s="3" t="s">
        <v>165</v>
      </c>
      <c r="F11" s="3">
        <v>13.45</v>
      </c>
      <c r="G11" s="3">
        <v>1.1299999999999999</v>
      </c>
      <c r="H11" s="3" t="s">
        <v>1068</v>
      </c>
      <c r="I11" s="3">
        <v>3986025100</v>
      </c>
      <c r="J11" s="3">
        <v>18.13</v>
      </c>
      <c r="K11" s="3">
        <v>1.59</v>
      </c>
      <c r="L11" s="3" t="s">
        <v>97</v>
      </c>
      <c r="M11" s="3" t="s">
        <v>49</v>
      </c>
      <c r="N11" s="3" t="s">
        <v>1069</v>
      </c>
      <c r="O11" s="3" t="s">
        <v>75</v>
      </c>
      <c r="P11" s="3">
        <v>1.28</v>
      </c>
      <c r="Q11" s="3" t="s">
        <v>75</v>
      </c>
      <c r="R11" s="3">
        <v>55055666</v>
      </c>
      <c r="S11" s="5">
        <v>-0.2165</v>
      </c>
      <c r="T11" s="3" t="s">
        <v>1070</v>
      </c>
      <c r="U11" s="3">
        <v>293952260</v>
      </c>
      <c r="V11" s="3">
        <v>296358750</v>
      </c>
      <c r="W11" s="3">
        <v>1.1599999999999999</v>
      </c>
      <c r="X11" s="3">
        <v>0.12</v>
      </c>
      <c r="Y11" s="3">
        <v>15.55</v>
      </c>
      <c r="Z11" s="3" t="s">
        <v>1071</v>
      </c>
      <c r="AA11" s="3" t="s">
        <v>476</v>
      </c>
      <c r="AB11" s="3" t="s">
        <v>1072</v>
      </c>
      <c r="AC11" s="3" t="s">
        <v>1073</v>
      </c>
      <c r="AD11" s="3" t="s">
        <v>48</v>
      </c>
      <c r="AE11" s="3">
        <v>-6452394</v>
      </c>
      <c r="AF11" s="3" t="s">
        <v>695</v>
      </c>
      <c r="AG11" s="3" t="s">
        <v>48</v>
      </c>
      <c r="AH11" s="3" t="s">
        <v>696</v>
      </c>
      <c r="AI11" s="3" t="s">
        <v>1074</v>
      </c>
      <c r="AJ11" s="3" t="s">
        <v>698</v>
      </c>
      <c r="AK11" s="3" t="s">
        <v>1075</v>
      </c>
      <c r="AL11" s="3" t="s">
        <v>699</v>
      </c>
      <c r="AM11" s="3" t="s">
        <v>48</v>
      </c>
      <c r="AN11" s="3" t="s">
        <v>906</v>
      </c>
      <c r="AO11" s="3" t="s">
        <v>362</v>
      </c>
      <c r="AP11" s="3" t="s">
        <v>48</v>
      </c>
      <c r="AQ11" s="3" t="s">
        <v>1076</v>
      </c>
      <c r="AR11" s="3" t="s">
        <v>48</v>
      </c>
      <c r="AS11" s="3" t="s">
        <v>708</v>
      </c>
      <c r="AT11" s="3" t="s">
        <v>63</v>
      </c>
      <c r="AU11" s="3" t="s">
        <v>1077</v>
      </c>
      <c r="AV11" s="3" t="s">
        <v>1078</v>
      </c>
      <c r="AW11" s="3" t="s">
        <v>1079</v>
      </c>
      <c r="AX11" s="3" t="s">
        <v>558</v>
      </c>
      <c r="AY11" s="3" t="s">
        <v>259</v>
      </c>
      <c r="AZ11" s="3" t="s">
        <v>73</v>
      </c>
      <c r="BA11" s="3" t="s">
        <v>51</v>
      </c>
      <c r="BB11" s="3" t="s">
        <v>166</v>
      </c>
      <c r="BC11" s="3" t="s">
        <v>90</v>
      </c>
      <c r="BD11" s="3" t="s">
        <v>260</v>
      </c>
      <c r="BE11" s="3" t="s">
        <v>72</v>
      </c>
      <c r="BF11" s="3" t="s">
        <v>70</v>
      </c>
      <c r="BG11" s="3" t="s">
        <v>86</v>
      </c>
      <c r="BH11" s="3" t="s">
        <v>694</v>
      </c>
      <c r="BI11" s="3" t="s">
        <v>1055</v>
      </c>
      <c r="BJ11" s="3" t="s">
        <v>558</v>
      </c>
      <c r="BK11" s="3" t="s">
        <v>261</v>
      </c>
      <c r="BL11" s="3" t="s">
        <v>1080</v>
      </c>
      <c r="BM11" s="3" t="s">
        <v>90</v>
      </c>
      <c r="BN11" s="3">
        <v>7.15</v>
      </c>
      <c r="BO11" s="3">
        <v>18.489999999999998</v>
      </c>
      <c r="BP11" s="3">
        <v>16.72</v>
      </c>
      <c r="BQ11" s="3">
        <v>8.4499999999999993</v>
      </c>
      <c r="BR11" s="3">
        <v>19.71</v>
      </c>
      <c r="BS11" s="3">
        <v>16.27</v>
      </c>
      <c r="BT11" s="3" t="s">
        <v>440</v>
      </c>
      <c r="BU11" s="3" t="s">
        <v>97</v>
      </c>
      <c r="BV11" s="3">
        <v>26.07</v>
      </c>
      <c r="BW11" s="3">
        <v>36</v>
      </c>
      <c r="BX11" s="3">
        <v>29.39</v>
      </c>
      <c r="BY11" s="3">
        <v>17.04</v>
      </c>
      <c r="BZ11" s="3">
        <v>26.44</v>
      </c>
      <c r="CA11" s="3">
        <v>18.11</v>
      </c>
      <c r="CB11" s="3">
        <v>-2.54</v>
      </c>
      <c r="CC11" s="3">
        <v>-10.15</v>
      </c>
      <c r="CD11" s="3" t="s">
        <v>1081</v>
      </c>
      <c r="CE11" s="3" t="s">
        <v>949</v>
      </c>
      <c r="CF11" s="10">
        <v>-0.49210903873744621</v>
      </c>
      <c r="CG11" s="11">
        <v>-0.61228404225352118</v>
      </c>
      <c r="CH11" s="10">
        <v>-0.77833437919616699</v>
      </c>
      <c r="CI11" s="10">
        <v>0.14644652605056763</v>
      </c>
      <c r="CJ11" s="10">
        <v>0.52573925256729126</v>
      </c>
      <c r="CK11" s="10">
        <v>0.34264704585075378</v>
      </c>
      <c r="CL11" s="10">
        <v>6.9182388484477997E-2</v>
      </c>
      <c r="CM11" s="11">
        <v>-0.86953622102737427</v>
      </c>
      <c r="CN11" s="11">
        <v>0.66798418760299683</v>
      </c>
      <c r="CO11" s="11">
        <v>0.40555554628372192</v>
      </c>
      <c r="CP11" s="11">
        <v>0.24137930572032928</v>
      </c>
      <c r="CQ11" s="11">
        <v>0.36792454123497009</v>
      </c>
      <c r="CR11" s="3">
        <v>20.598624682691796</v>
      </c>
      <c r="CS11" s="3">
        <v>3.3693026202407816</v>
      </c>
      <c r="CT11" s="3">
        <v>2.9739776951672865</v>
      </c>
      <c r="CU11" s="10">
        <v>6.1136166751384738E-2</v>
      </c>
      <c r="CV11" s="11">
        <v>0.16266147196292877</v>
      </c>
      <c r="CW11" s="3">
        <v>0.06</v>
      </c>
      <c r="CX11" s="3">
        <v>33.766394504894841</v>
      </c>
      <c r="CY11" s="3">
        <v>55114711.750768125</v>
      </c>
      <c r="CZ11" s="3">
        <v>6.1136166751384738E-2</v>
      </c>
      <c r="DA11" s="3">
        <v>11.308459771518123</v>
      </c>
      <c r="DB11" s="3">
        <v>164569281.54683292</v>
      </c>
      <c r="DC11" s="3">
        <v>5.80793584138155E-2</v>
      </c>
      <c r="DD11" s="3">
        <v>5.7503462211332659</v>
      </c>
      <c r="DE11" s="3">
        <v>323637052.17617893</v>
      </c>
      <c r="DF11" s="3">
        <v>5.3799826741218568E-2</v>
      </c>
      <c r="DG11" s="3">
        <v>3.579943761189182</v>
      </c>
      <c r="DH11" s="3">
        <v>519847579.77924395</v>
      </c>
      <c r="DI11" s="3">
        <v>4.8908933401107794E-2</v>
      </c>
      <c r="DJ11" s="3">
        <v>1.9980648912241281</v>
      </c>
      <c r="DK11" s="3">
        <v>931413743.45446324</v>
      </c>
      <c r="DL11" s="3">
        <v>4.2795316725969312E-2</v>
      </c>
      <c r="DM11" s="3">
        <v>55055700</v>
      </c>
      <c r="DN11" s="3">
        <v>6.1136166751384738E-2</v>
      </c>
      <c r="DO11" s="3">
        <v>1861025100</v>
      </c>
      <c r="DP11" s="3">
        <v>1732443800</v>
      </c>
      <c r="DQ11" s="3">
        <v>1952</v>
      </c>
      <c r="DR11" s="3">
        <v>-0.55324520548883094</v>
      </c>
      <c r="DS11" s="3">
        <v>-0.77494551421644997</v>
      </c>
      <c r="DT11" s="12">
        <v>-0.52333333333333332</v>
      </c>
      <c r="DU11" s="3">
        <v>-0.12333333333333345</v>
      </c>
      <c r="DV11" s="3">
        <v>-0.64666666666666672</v>
      </c>
      <c r="DW11" s="3">
        <v>-8.2502463054187185</v>
      </c>
      <c r="DX11" s="3">
        <v>0.2484789237668153</v>
      </c>
      <c r="DY11" s="3">
        <v>-8.0121316715633206</v>
      </c>
      <c r="DZ11" s="3">
        <v>1546</v>
      </c>
      <c r="EA11" s="3">
        <v>-8.0084613067420101</v>
      </c>
      <c r="EB11" s="3">
        <v>8</v>
      </c>
      <c r="EC11" s="3">
        <v>7.2957521922332305E-2</v>
      </c>
      <c r="ED11" s="3">
        <v>1.504932788385698</v>
      </c>
      <c r="EE11" s="13">
        <v>-6.0605099999999998</v>
      </c>
      <c r="EF11" s="3">
        <v>-6.0981100000000001</v>
      </c>
      <c r="EG11" s="3">
        <v>20.048478923766815</v>
      </c>
      <c r="EH11" s="3" t="s">
        <v>1082</v>
      </c>
      <c r="EI11" s="3">
        <v>0</v>
      </c>
      <c r="EJ11" s="3">
        <v>0</v>
      </c>
      <c r="EK11" s="15">
        <v>45470</v>
      </c>
      <c r="EL11" s="16">
        <v>-1.1299999999999999</v>
      </c>
      <c r="EM11" s="16">
        <v>-8.06</v>
      </c>
      <c r="EN11" s="16">
        <v>-0.73</v>
      </c>
      <c r="EO11" s="16">
        <v>3.68</v>
      </c>
      <c r="EP11" s="16">
        <v>-3.76</v>
      </c>
    </row>
    <row r="12" spans="1:146" ht="84" x14ac:dyDescent="0.25">
      <c r="C12" s="7" t="str">
        <f>""&amp;CHAR(10)&amp;Basic_Fundamental_Information_Constructure(F12)&amp;CHAR(10)&amp;Basic_Fundamental_Information_Concatenate("")</f>
        <v xml:space="preserve">
市值29.678055亿, 利润1493.60万; PE338.9; 平均PE-34.59; 平均PEG-1.84, PB3.75; ROIC4.73%; ROE-15.09%; 股利率0%; 毛利29.5367%; 净利-24.4133%; 上一年度营收增-76.51%, 利润增146.69%; 当季营收增-51.85%, 利润增-24.91%; 过往5年营收增-18.83%, 利润增-43.69%
Income profile:
</v>
      </c>
      <c r="D12" s="3" t="s">
        <v>168</v>
      </c>
      <c r="E12" s="3" t="s">
        <v>169</v>
      </c>
      <c r="F12" s="3">
        <v>14.83</v>
      </c>
      <c r="G12" s="3">
        <v>-0.2</v>
      </c>
      <c r="H12" s="3" t="s">
        <v>1083</v>
      </c>
      <c r="I12" s="3">
        <v>2967805500</v>
      </c>
      <c r="J12" s="3">
        <v>338.9</v>
      </c>
      <c r="K12" s="3">
        <v>3.75</v>
      </c>
      <c r="L12" s="3" t="s">
        <v>97</v>
      </c>
      <c r="M12" s="3" t="s">
        <v>700</v>
      </c>
      <c r="N12" s="3" t="s">
        <v>580</v>
      </c>
      <c r="O12" s="3" t="s">
        <v>83</v>
      </c>
      <c r="P12" s="3">
        <v>11.63</v>
      </c>
      <c r="Q12" s="3" t="s">
        <v>83</v>
      </c>
      <c r="R12" s="3">
        <v>14935969</v>
      </c>
      <c r="S12" s="5">
        <v>0.14230000000000001</v>
      </c>
      <c r="T12" s="3" t="s">
        <v>1084</v>
      </c>
      <c r="U12" s="3">
        <v>142529810</v>
      </c>
      <c r="V12" s="3">
        <v>200121750</v>
      </c>
      <c r="W12" s="3">
        <v>1.54</v>
      </c>
      <c r="X12" s="3">
        <v>0.09</v>
      </c>
      <c r="Y12" s="3">
        <v>12.88</v>
      </c>
      <c r="Z12" s="3" t="s">
        <v>1085</v>
      </c>
      <c r="AA12" s="3" t="s">
        <v>1086</v>
      </c>
      <c r="AB12" s="3" t="s">
        <v>1087</v>
      </c>
      <c r="AC12" s="3" t="s">
        <v>1088</v>
      </c>
      <c r="AD12" s="3" t="s">
        <v>48</v>
      </c>
      <c r="AE12" s="3">
        <v>1451382</v>
      </c>
      <c r="AF12" s="3" t="s">
        <v>704</v>
      </c>
      <c r="AG12" s="3" t="s">
        <v>1089</v>
      </c>
      <c r="AH12" s="3" t="s">
        <v>705</v>
      </c>
      <c r="AI12" s="3" t="s">
        <v>1090</v>
      </c>
      <c r="AJ12" s="3" t="s">
        <v>706</v>
      </c>
      <c r="AK12" s="3" t="s">
        <v>1091</v>
      </c>
      <c r="AL12" s="3" t="s">
        <v>707</v>
      </c>
      <c r="AM12" s="3" t="s">
        <v>48</v>
      </c>
      <c r="AN12" s="3" t="s">
        <v>63</v>
      </c>
      <c r="AO12" s="3" t="s">
        <v>582</v>
      </c>
      <c r="AP12" s="3" t="s">
        <v>1092</v>
      </c>
      <c r="AQ12" s="3" t="s">
        <v>77</v>
      </c>
      <c r="AR12" s="3" t="s">
        <v>48</v>
      </c>
      <c r="AS12" s="3" t="s">
        <v>1093</v>
      </c>
      <c r="AT12" s="3" t="s">
        <v>48</v>
      </c>
      <c r="AU12" s="3" t="s">
        <v>1094</v>
      </c>
      <c r="AV12" s="3" t="s">
        <v>1095</v>
      </c>
      <c r="AW12" s="3" t="s">
        <v>1096</v>
      </c>
      <c r="AX12" s="3" t="s">
        <v>358</v>
      </c>
      <c r="AY12" s="3" t="s">
        <v>262</v>
      </c>
      <c r="AZ12" s="3" t="s">
        <v>68</v>
      </c>
      <c r="BA12" s="3" t="s">
        <v>171</v>
      </c>
      <c r="BB12" s="3" t="s">
        <v>172</v>
      </c>
      <c r="BC12" s="3" t="s">
        <v>477</v>
      </c>
      <c r="BD12" s="3" t="s">
        <v>263</v>
      </c>
      <c r="BE12" s="3" t="s">
        <v>125</v>
      </c>
      <c r="BF12" s="3" t="s">
        <v>174</v>
      </c>
      <c r="BG12" s="3" t="s">
        <v>175</v>
      </c>
      <c r="BH12" s="3" t="s">
        <v>701</v>
      </c>
      <c r="BI12" s="3" t="s">
        <v>354</v>
      </c>
      <c r="BJ12" s="3" t="s">
        <v>358</v>
      </c>
      <c r="BK12" s="3" t="s">
        <v>702</v>
      </c>
      <c r="BL12" s="3" t="s">
        <v>1097</v>
      </c>
      <c r="BM12" s="3" t="s">
        <v>477</v>
      </c>
      <c r="BN12" s="3">
        <v>4.7300000000000004</v>
      </c>
      <c r="BO12" s="3" t="s">
        <v>48</v>
      </c>
      <c r="BP12" s="3" t="s">
        <v>48</v>
      </c>
      <c r="BQ12" s="3">
        <v>5.2</v>
      </c>
      <c r="BR12" s="3">
        <v>-4.74</v>
      </c>
      <c r="BS12" s="3">
        <v>-45.73</v>
      </c>
      <c r="BT12" s="3" t="s">
        <v>439</v>
      </c>
      <c r="BU12" s="3" t="s">
        <v>97</v>
      </c>
      <c r="BV12" s="3">
        <v>35.770000000000003</v>
      </c>
      <c r="BW12" s="3">
        <v>25.62</v>
      </c>
      <c r="BX12" s="3">
        <v>27.22</v>
      </c>
      <c r="BY12" s="3">
        <v>1.73</v>
      </c>
      <c r="BZ12" s="3">
        <v>-7.85</v>
      </c>
      <c r="CA12" s="3">
        <v>-67.12</v>
      </c>
      <c r="CB12" s="3">
        <v>-6.96</v>
      </c>
      <c r="CC12" s="3">
        <v>-4.8099999999999996</v>
      </c>
      <c r="CD12" s="3" t="s">
        <v>1098</v>
      </c>
      <c r="CE12" s="3" t="s">
        <v>623</v>
      </c>
      <c r="CF12" s="10">
        <v>-0.5185185185185186</v>
      </c>
      <c r="CG12" s="11">
        <v>-0.24909031949925844</v>
      </c>
      <c r="CH12" s="10">
        <v>-0.76506024599075317</v>
      </c>
      <c r="CI12" s="10">
        <v>-0.19547657668590546</v>
      </c>
      <c r="CJ12" s="10">
        <v>-0.17795485258102417</v>
      </c>
      <c r="CK12" s="10">
        <v>-6.9221258163452148E-2</v>
      </c>
      <c r="CL12" s="10">
        <v>0.26604068279266357</v>
      </c>
      <c r="CM12" s="11">
        <v>1.4669148921966553</v>
      </c>
      <c r="CN12" s="11">
        <v>0.92216861248016357</v>
      </c>
      <c r="CO12" s="11">
        <v>-0.92056077718734741</v>
      </c>
      <c r="CP12" s="11">
        <v>-3.9646170139312744</v>
      </c>
      <c r="CQ12" s="11">
        <v>0.31175035238265991</v>
      </c>
      <c r="CR12" s="3">
        <v>-34.587207605022698</v>
      </c>
      <c r="CS12" s="3">
        <v>-1.8364780093041513</v>
      </c>
      <c r="CT12" s="3">
        <v>0</v>
      </c>
      <c r="CU12" s="10">
        <v>-0.18833445012569427</v>
      </c>
      <c r="CV12" s="11">
        <v>-0.43686878681182861</v>
      </c>
      <c r="CW12" s="3">
        <v>0.06</v>
      </c>
      <c r="CX12" s="3">
        <v>177.67846143545796</v>
      </c>
      <c r="CY12" s="3" t="s">
        <v>1099</v>
      </c>
      <c r="CZ12" s="3">
        <v>-0.18833445012569427</v>
      </c>
      <c r="DA12" s="3">
        <v>59.226153811819316</v>
      </c>
      <c r="DB12" s="3" t="s">
        <v>1100</v>
      </c>
      <c r="DC12" s="3">
        <v>-0.17891772761940955</v>
      </c>
      <c r="DD12" s="3">
        <v>29.613076905909658</v>
      </c>
      <c r="DE12" s="3" t="s">
        <v>1101</v>
      </c>
      <c r="DF12" s="3">
        <v>-0.16573431611061096</v>
      </c>
      <c r="DG12" s="3">
        <v>17.767846143545796</v>
      </c>
      <c r="DH12" s="3" t="s">
        <v>1102</v>
      </c>
      <c r="DI12" s="3">
        <v>-0.15066756010055543</v>
      </c>
      <c r="DJ12" s="3">
        <v>8.8839230717728981</v>
      </c>
      <c r="DK12" s="3" t="s">
        <v>1103</v>
      </c>
      <c r="DL12" s="3">
        <v>-0.13183411508798598</v>
      </c>
      <c r="DM12" s="3">
        <v>14936000</v>
      </c>
      <c r="DN12" s="3">
        <v>-0.18833445012569427</v>
      </c>
      <c r="DO12" s="3">
        <v>2653805500</v>
      </c>
      <c r="DP12" s="3">
        <v>243454390</v>
      </c>
      <c r="DQ12" s="3">
        <v>2006</v>
      </c>
      <c r="DR12" s="3">
        <v>-0.33018406839282433</v>
      </c>
      <c r="DS12" s="3">
        <v>0.18777846731257017</v>
      </c>
      <c r="DT12" s="12">
        <v>-0.95666666666666667</v>
      </c>
      <c r="DU12" s="3">
        <v>-1.2366666666666666</v>
      </c>
      <c r="DV12" s="3">
        <v>-2.1933333333333334</v>
      </c>
      <c r="DW12" s="3">
        <v>-5.6910919540229887</v>
      </c>
      <c r="DX12" s="3">
        <v>0.25813397435897373</v>
      </c>
      <c r="DY12" s="3">
        <v>-5.0401759219348659</v>
      </c>
      <c r="DZ12" s="3">
        <v>3596</v>
      </c>
      <c r="EA12" s="3">
        <v>-5.0119033944832463</v>
      </c>
      <c r="EB12" s="3">
        <v>5</v>
      </c>
      <c r="EC12" s="3">
        <v>0.18126765331604386</v>
      </c>
      <c r="ED12" s="3">
        <v>3.1181018554954671</v>
      </c>
      <c r="EE12" s="13">
        <v>1.02921</v>
      </c>
      <c r="EF12" s="3">
        <v>1.06911</v>
      </c>
      <c r="EG12" s="3">
        <v>20.058133974358974</v>
      </c>
      <c r="EH12" s="3" t="s">
        <v>292</v>
      </c>
      <c r="EI12" s="3">
        <v>0</v>
      </c>
      <c r="EJ12" s="3">
        <v>0</v>
      </c>
      <c r="EK12" s="15">
        <v>45470</v>
      </c>
      <c r="EL12" s="16">
        <v>-1.74</v>
      </c>
      <c r="EM12" s="16">
        <v>-3.73</v>
      </c>
      <c r="EN12" s="16">
        <v>-2.34</v>
      </c>
      <c r="EO12" s="16">
        <v>2.64</v>
      </c>
      <c r="EP12" s="16">
        <v>-3.99</v>
      </c>
    </row>
    <row r="13" spans="1:146" ht="84" x14ac:dyDescent="0.25">
      <c r="C13" s="7" t="str">
        <f>""&amp;CHAR(10)&amp;Basic_Fundamental_Information_Constructure(F13)&amp;CHAR(10)&amp;Basic_Fundamental_Information_Concatenate("")</f>
        <v xml:space="preserve">
市值105.568006亿, 利润3624.16万; PE101.6; 平均PE238.36; 平均PEG170.58, PB8.24; ROIC7.1433%; ROE7.57%; 股利率.2101%; 毛利30.7733%; 净利7.5433%; 上一年度营收增-72.11%, 利润增-31.21%; 当季营收增-44.14%, 利润增-19.27%; 过往5年营收增-1.4%, 利润增2.17%
Income profile:
</v>
      </c>
      <c r="D13" s="3" t="s">
        <v>176</v>
      </c>
      <c r="E13" s="3" t="s">
        <v>177</v>
      </c>
      <c r="F13" s="3">
        <v>35.700000000000003</v>
      </c>
      <c r="G13" s="3">
        <v>0.06</v>
      </c>
      <c r="H13" s="3" t="s">
        <v>1104</v>
      </c>
      <c r="I13" s="3">
        <v>10556800600</v>
      </c>
      <c r="J13" s="3">
        <v>101.6</v>
      </c>
      <c r="K13" s="3">
        <v>8.24</v>
      </c>
      <c r="L13" s="3" t="s">
        <v>97</v>
      </c>
      <c r="M13" s="3" t="s">
        <v>593</v>
      </c>
      <c r="N13" s="3" t="s">
        <v>1105</v>
      </c>
      <c r="O13" s="3" t="s">
        <v>546</v>
      </c>
      <c r="P13" s="3">
        <v>24.06</v>
      </c>
      <c r="Q13" s="3" t="s">
        <v>546</v>
      </c>
      <c r="R13" s="3">
        <v>36241609</v>
      </c>
      <c r="S13" s="5">
        <v>1.03</v>
      </c>
      <c r="T13" s="3" t="s">
        <v>1106</v>
      </c>
      <c r="U13" s="3">
        <v>183530810</v>
      </c>
      <c r="V13" s="3">
        <v>295708700</v>
      </c>
      <c r="W13" s="3">
        <v>1.23</v>
      </c>
      <c r="X13" s="3">
        <v>0.13</v>
      </c>
      <c r="Y13" s="3">
        <v>17.75</v>
      </c>
      <c r="Z13" s="3" t="s">
        <v>336</v>
      </c>
      <c r="AA13" s="3" t="s">
        <v>1107</v>
      </c>
      <c r="AB13" s="3" t="s">
        <v>1108</v>
      </c>
      <c r="AC13" s="3" t="s">
        <v>1109</v>
      </c>
      <c r="AD13" s="3" t="s">
        <v>48</v>
      </c>
      <c r="AE13" s="3">
        <v>-930385</v>
      </c>
      <c r="AF13" s="3" t="s">
        <v>710</v>
      </c>
      <c r="AG13" s="3" t="s">
        <v>1110</v>
      </c>
      <c r="AH13" s="3" t="s">
        <v>711</v>
      </c>
      <c r="AI13" s="3" t="s">
        <v>667</v>
      </c>
      <c r="AJ13" s="3" t="s">
        <v>713</v>
      </c>
      <c r="AK13" s="3" t="s">
        <v>1111</v>
      </c>
      <c r="AL13" s="3" t="s">
        <v>714</v>
      </c>
      <c r="AM13" s="3" t="s">
        <v>48</v>
      </c>
      <c r="AN13" s="3" t="s">
        <v>66</v>
      </c>
      <c r="AO13" s="3" t="s">
        <v>48</v>
      </c>
      <c r="AP13" s="3" t="s">
        <v>1023</v>
      </c>
      <c r="AQ13" s="3" t="s">
        <v>924</v>
      </c>
      <c r="AR13" s="3" t="s">
        <v>1112</v>
      </c>
      <c r="AS13" s="3" t="s">
        <v>69</v>
      </c>
      <c r="AT13" s="3" t="s">
        <v>48</v>
      </c>
      <c r="AU13" s="3" t="s">
        <v>1113</v>
      </c>
      <c r="AV13" s="3" t="s">
        <v>1114</v>
      </c>
      <c r="AW13" s="3" t="s">
        <v>1115</v>
      </c>
      <c r="AX13" s="3" t="s">
        <v>352</v>
      </c>
      <c r="AY13" s="3" t="s">
        <v>264</v>
      </c>
      <c r="AZ13" s="3" t="s">
        <v>178</v>
      </c>
      <c r="BA13" s="3" t="s">
        <v>181</v>
      </c>
      <c r="BB13" s="3" t="s">
        <v>61</v>
      </c>
      <c r="BC13" s="3" t="s">
        <v>717</v>
      </c>
      <c r="BD13" s="3" t="s">
        <v>265</v>
      </c>
      <c r="BE13" s="3" t="s">
        <v>179</v>
      </c>
      <c r="BF13" s="3" t="s">
        <v>182</v>
      </c>
      <c r="BG13" s="3" t="s">
        <v>183</v>
      </c>
      <c r="BH13" s="3" t="s">
        <v>469</v>
      </c>
      <c r="BI13" s="3" t="s">
        <v>351</v>
      </c>
      <c r="BJ13" s="3" t="s">
        <v>352</v>
      </c>
      <c r="BK13" s="3" t="s">
        <v>709</v>
      </c>
      <c r="BL13" s="3" t="s">
        <v>1116</v>
      </c>
      <c r="BM13" s="3" t="s">
        <v>717</v>
      </c>
      <c r="BN13" s="3">
        <v>7.61</v>
      </c>
      <c r="BO13" s="3">
        <v>6.76</v>
      </c>
      <c r="BP13" s="3">
        <v>7.06</v>
      </c>
      <c r="BQ13" s="3">
        <v>8.43</v>
      </c>
      <c r="BR13" s="3">
        <v>7.18</v>
      </c>
      <c r="BS13" s="3">
        <v>7.1</v>
      </c>
      <c r="BT13" s="3" t="s">
        <v>719</v>
      </c>
      <c r="BU13" s="3" t="s">
        <v>97</v>
      </c>
      <c r="BV13" s="3">
        <v>35.96</v>
      </c>
      <c r="BW13" s="3">
        <v>28.54</v>
      </c>
      <c r="BX13" s="3">
        <v>27.82</v>
      </c>
      <c r="BY13" s="3">
        <v>10.56</v>
      </c>
      <c r="BZ13" s="3">
        <v>6.98</v>
      </c>
      <c r="CA13" s="3">
        <v>5.09</v>
      </c>
      <c r="CB13" s="3">
        <v>-2.27</v>
      </c>
      <c r="CC13" s="3">
        <v>19.04</v>
      </c>
      <c r="CD13" s="3" t="s">
        <v>1117</v>
      </c>
      <c r="CE13" s="3" t="s">
        <v>1118</v>
      </c>
      <c r="CF13" s="10">
        <v>-0.44141689373297011</v>
      </c>
      <c r="CG13" s="11">
        <v>-0.19272034927105261</v>
      </c>
      <c r="CH13" s="10">
        <v>-0.72108840942382813</v>
      </c>
      <c r="CI13" s="10">
        <v>-6.4885497093200684E-2</v>
      </c>
      <c r="CJ13" s="10">
        <v>0.44485294818878174</v>
      </c>
      <c r="CK13" s="10">
        <v>0.19560439884662628</v>
      </c>
      <c r="CL13" s="10">
        <v>7.5650118291378021E-2</v>
      </c>
      <c r="CM13" s="11">
        <v>-0.31214436888694763</v>
      </c>
      <c r="CN13" s="11">
        <v>0.31712913513183594</v>
      </c>
      <c r="CO13" s="11">
        <v>-0.2961173951625824</v>
      </c>
      <c r="CP13" s="11">
        <v>0.50197821855545044</v>
      </c>
      <c r="CQ13" s="11">
        <v>-0.10210324078798294</v>
      </c>
      <c r="CR13" s="3">
        <v>238.35746769288778</v>
      </c>
      <c r="CS13" s="3">
        <v>170.5807993310068</v>
      </c>
      <c r="CT13" s="3">
        <v>0.21008403361344535</v>
      </c>
      <c r="CU13" s="10">
        <v>-1.3973288238048553E-2</v>
      </c>
      <c r="CV13" s="11">
        <v>2.1748469769954683E-2</v>
      </c>
      <c r="CW13" s="3">
        <v>0.06</v>
      </c>
      <c r="CX13" s="3">
        <v>266.59420665754271</v>
      </c>
      <c r="CY13" s="3" t="s">
        <v>1119</v>
      </c>
      <c r="CZ13" s="3">
        <v>-1.3973288238048553E-2</v>
      </c>
      <c r="DA13" s="3">
        <v>88.864735552514233</v>
      </c>
      <c r="DB13" s="3" t="s">
        <v>1120</v>
      </c>
      <c r="DC13" s="3">
        <v>-1.3274623826146125E-2</v>
      </c>
      <c r="DD13" s="3">
        <v>44.432367776257117</v>
      </c>
      <c r="DE13" s="3" t="s">
        <v>1121</v>
      </c>
      <c r="DF13" s="3">
        <v>-1.2296493649482727E-2</v>
      </c>
      <c r="DG13" s="3">
        <v>26.659420665754272</v>
      </c>
      <c r="DH13" s="3" t="s">
        <v>1122</v>
      </c>
      <c r="DI13" s="3">
        <v>-1.1178630590438844E-2</v>
      </c>
      <c r="DJ13" s="3">
        <v>13.329710332877136</v>
      </c>
      <c r="DK13" s="3" t="s">
        <v>1123</v>
      </c>
      <c r="DL13" s="3">
        <v>-9.7813017666339864E-3</v>
      </c>
      <c r="DM13" s="3">
        <v>36241600</v>
      </c>
      <c r="DN13" s="3">
        <v>-1.3973288238048553E-2</v>
      </c>
      <c r="DO13" s="3">
        <v>9661800600</v>
      </c>
      <c r="DP13" s="3">
        <v>750065990</v>
      </c>
      <c r="DQ13" s="3">
        <v>2043</v>
      </c>
      <c r="DR13" s="3">
        <v>-0.42744360549492155</v>
      </c>
      <c r="DS13" s="3">
        <v>-0.21446881904100729</v>
      </c>
      <c r="DT13" s="12">
        <v>-0.52333333333333332</v>
      </c>
      <c r="DU13" s="3">
        <v>-0.25333333333333335</v>
      </c>
      <c r="DV13" s="3">
        <v>-0.77666666666666662</v>
      </c>
      <c r="DW13" s="3">
        <v>3.0343809523809524</v>
      </c>
      <c r="DX13" s="3">
        <v>0.22613539571589633</v>
      </c>
      <c r="DY13" s="3">
        <v>3.0026176074146131</v>
      </c>
      <c r="DZ13" s="3">
        <v>442</v>
      </c>
      <c r="EA13" s="3">
        <v>3.0023911920570283</v>
      </c>
      <c r="EB13" s="3">
        <v>3</v>
      </c>
      <c r="EC13" s="3">
        <v>0.22837373401594205</v>
      </c>
      <c r="ED13" s="3">
        <v>2.9995735668243779</v>
      </c>
      <c r="EE13" s="13">
        <v>3.0907</v>
      </c>
      <c r="EF13" s="3">
        <v>3.0609000000000002</v>
      </c>
      <c r="EG13" s="3">
        <v>15.076135395715896</v>
      </c>
      <c r="EH13" s="3" t="s">
        <v>1124</v>
      </c>
      <c r="EI13" s="3">
        <v>0</v>
      </c>
      <c r="EJ13" s="3">
        <v>1</v>
      </c>
      <c r="EK13" s="15">
        <v>45470</v>
      </c>
      <c r="EL13" s="16">
        <v>-1.72</v>
      </c>
      <c r="EM13" s="16">
        <v>-2.52</v>
      </c>
      <c r="EN13" s="16">
        <v>-2.2799999999999998</v>
      </c>
      <c r="EO13" s="16">
        <v>3.62</v>
      </c>
      <c r="EP13" s="16">
        <v>-2.98</v>
      </c>
    </row>
    <row r="14" spans="1:146" ht="180" x14ac:dyDescent="0.25">
      <c r="C14" s="7" t="str">
        <f>"公司是一家微电子材料的平台型高新技术企业，围绕泛半导体材料和新能源材料两个方向，主导产品包括光刻胶及配套材料，超净高纯试剂，锂电池材料和基础化工材料等，超大规模集成电路用超净高纯双氧水技术突破了国外技术垄断，产品品质可达到10ppt以下，满足SEMI制定的最高纯度等级，成功填补了国内空白。"&amp;CHAR(10)&amp;Basic_Fundamental_Information_Constructure(F14)&amp;CHAR(10)&amp;Basic_Fundamental_Information_Concatenate("锂电池材料 5.83亿 31.82% 25.15% 16.70%
基础化工材料 5.53亿 30.20% 15.27% 10.68%
超净高纯化学品 3.32亿 18.11% 14.93% 17.42%
光刻胶及配套材料 2.74亿 14.96% 30.83% 43.52%
能源 8136.75万 4.44% 12.62% 60.05%")</f>
        <v>公司是一家微电子材料的平台型高新技术企业，围绕泛半导体材料和新能源材料两个方向，主导产品包括光刻胶及配套材料，超净高纯试剂，锂电池材料和基础化工材料等，超大规模集成电路用超净高纯双氧水技术突破了国外技术垄断，产品品质可达到10ppt以下，满足SEMI制定的最高纯度等级，成功填补了国内空白。
市值72.896196亿, 利润-902.26万; PE; 平均PE85.18; 平均PEG19.48, PB2.66; ROIC8.615%; ROE7.8967%; 股利率.407%; 毛利22.3833%; 净利7.2133%; 上一年度营收增-81.1%, 利润增-105.54%; 当季营收增-47.45%, 利润增-184.21%; 过往5年营收增4.37%, 利润增28.97%
Income profile:
锂电池材料 5.83亿 31.82% 25.15% 16.70%
基础化工材料 5.53亿 30.20% 15.27% 10.68%
超净高纯化学品 3.32亿 18.11% 14.93% 17.42%
光刻胶及配套材料 2.74亿 14.96% 30.83% 43.52%
能源 8136.75万 4.44% 12.62% 60.05%</v>
      </c>
      <c r="D14" s="3" t="s">
        <v>185</v>
      </c>
      <c r="E14" s="3" t="s">
        <v>186</v>
      </c>
      <c r="F14" s="3">
        <v>6.88</v>
      </c>
      <c r="G14" s="3">
        <v>-0.86</v>
      </c>
      <c r="H14" s="3" t="s">
        <v>1125</v>
      </c>
      <c r="I14" s="3">
        <v>7289619600</v>
      </c>
      <c r="K14" s="3">
        <v>2.66</v>
      </c>
      <c r="L14" s="3" t="s">
        <v>97</v>
      </c>
      <c r="M14" s="3" t="s">
        <v>722</v>
      </c>
      <c r="N14" s="3" t="s">
        <v>1126</v>
      </c>
      <c r="O14" s="3" t="s">
        <v>608</v>
      </c>
      <c r="P14" s="3">
        <v>11.69</v>
      </c>
      <c r="Q14" s="3" t="s">
        <v>608</v>
      </c>
      <c r="R14" s="3">
        <v>-9022579</v>
      </c>
      <c r="S14" s="5">
        <v>-1.5029999999999999</v>
      </c>
      <c r="T14" s="3" t="s">
        <v>1127</v>
      </c>
      <c r="U14" s="3">
        <v>949988850</v>
      </c>
      <c r="V14" s="3">
        <v>1059537740</v>
      </c>
      <c r="W14" s="3">
        <v>1.45</v>
      </c>
      <c r="X14" s="3">
        <v>0.06</v>
      </c>
      <c r="Y14" s="3">
        <v>-4.05</v>
      </c>
      <c r="Z14" s="3" t="s">
        <v>110</v>
      </c>
      <c r="AA14" s="3" t="s">
        <v>1128</v>
      </c>
      <c r="AB14" s="3" t="s">
        <v>1129</v>
      </c>
      <c r="AC14" s="3" t="s">
        <v>1130</v>
      </c>
      <c r="AD14" s="3" t="s">
        <v>48</v>
      </c>
      <c r="AE14" s="3">
        <v>9781961</v>
      </c>
      <c r="AF14" s="3" t="s">
        <v>724</v>
      </c>
      <c r="AG14" s="3" t="s">
        <v>1131</v>
      </c>
      <c r="AH14" s="3" t="s">
        <v>725</v>
      </c>
      <c r="AI14" s="3" t="s">
        <v>1132</v>
      </c>
      <c r="AJ14" s="3" t="s">
        <v>726</v>
      </c>
      <c r="AK14" s="3" t="s">
        <v>1133</v>
      </c>
      <c r="AL14" s="3" t="s">
        <v>727</v>
      </c>
      <c r="AM14" s="3" t="s">
        <v>48</v>
      </c>
      <c r="AN14" s="3" t="s">
        <v>1134</v>
      </c>
      <c r="AO14" s="3" t="s">
        <v>678</v>
      </c>
      <c r="AP14" s="3" t="s">
        <v>48</v>
      </c>
      <c r="AQ14" s="3" t="s">
        <v>55</v>
      </c>
      <c r="AR14" s="3" t="s">
        <v>1135</v>
      </c>
      <c r="AS14" s="3" t="s">
        <v>1136</v>
      </c>
      <c r="AT14" s="3" t="s">
        <v>459</v>
      </c>
      <c r="AU14" s="3" t="s">
        <v>1137</v>
      </c>
      <c r="AV14" s="3" t="s">
        <v>1138</v>
      </c>
      <c r="AW14" s="3" t="s">
        <v>1139</v>
      </c>
      <c r="AX14" s="3" t="s">
        <v>479</v>
      </c>
      <c r="AY14" s="3" t="s">
        <v>266</v>
      </c>
      <c r="AZ14" s="3" t="s">
        <v>187</v>
      </c>
      <c r="BA14" s="3" t="s">
        <v>88</v>
      </c>
      <c r="BB14" s="3" t="s">
        <v>129</v>
      </c>
      <c r="BC14" s="3" t="s">
        <v>336</v>
      </c>
      <c r="BD14" s="3" t="s">
        <v>184</v>
      </c>
      <c r="BE14" s="3" t="s">
        <v>188</v>
      </c>
      <c r="BF14" s="3" t="s">
        <v>189</v>
      </c>
      <c r="BG14" s="3" t="s">
        <v>190</v>
      </c>
      <c r="BH14" s="3" t="s">
        <v>117</v>
      </c>
      <c r="BI14" s="3" t="s">
        <v>1140</v>
      </c>
      <c r="BJ14" s="3" t="s">
        <v>479</v>
      </c>
      <c r="BK14" s="3" t="s">
        <v>723</v>
      </c>
      <c r="BL14" s="3" t="s">
        <v>1141</v>
      </c>
      <c r="BM14" s="3" t="s">
        <v>336</v>
      </c>
      <c r="BN14" s="3" t="s">
        <v>48</v>
      </c>
      <c r="BO14" s="3">
        <v>6.67</v>
      </c>
      <c r="BP14" s="3">
        <v>10.56</v>
      </c>
      <c r="BQ14" s="3">
        <v>1.07</v>
      </c>
      <c r="BR14" s="3">
        <v>8.6300000000000008</v>
      </c>
      <c r="BS14" s="3">
        <v>13.99</v>
      </c>
      <c r="BT14" s="3" t="s">
        <v>730</v>
      </c>
      <c r="BU14" s="3" t="s">
        <v>97</v>
      </c>
      <c r="BV14" s="3">
        <v>23.61</v>
      </c>
      <c r="BW14" s="3">
        <v>22.42</v>
      </c>
      <c r="BX14" s="3">
        <v>21.12</v>
      </c>
      <c r="BY14" s="3">
        <v>0.78</v>
      </c>
      <c r="BZ14" s="3">
        <v>9.5399999999999991</v>
      </c>
      <c r="CA14" s="3">
        <v>11.32</v>
      </c>
      <c r="CB14" s="3">
        <v>-4.4400000000000004</v>
      </c>
      <c r="CC14" s="3">
        <v>-1.32</v>
      </c>
      <c r="CD14" s="3" t="s">
        <v>1142</v>
      </c>
      <c r="CE14" s="3" t="s">
        <v>1143</v>
      </c>
      <c r="CF14" s="10">
        <v>-0.47452229299363058</v>
      </c>
      <c r="CG14" s="11">
        <v>-1.8421141102462153</v>
      </c>
      <c r="CH14" s="10">
        <v>-0.81099659204483032</v>
      </c>
      <c r="CI14" s="10">
        <v>-4.6943232417106628E-2</v>
      </c>
      <c r="CJ14" s="10">
        <v>0.79256361722946167</v>
      </c>
      <c r="CK14" s="10">
        <v>0.35185185074806213</v>
      </c>
      <c r="CL14" s="10">
        <v>-6.7817509174346924E-2</v>
      </c>
      <c r="CM14" s="11">
        <v>-1.0553532838821411</v>
      </c>
      <c r="CN14" s="11">
        <v>-0.18905472755432129</v>
      </c>
      <c r="CO14" s="11">
        <v>1.6120824813842773</v>
      </c>
      <c r="CP14" s="11">
        <v>1.4572212696075439</v>
      </c>
      <c r="CQ14" s="11">
        <v>-0.37640213966369629</v>
      </c>
      <c r="CR14" s="3">
        <v>85.182078111017077</v>
      </c>
      <c r="CS14" s="3">
        <v>19.478369365870726</v>
      </c>
      <c r="CT14" s="3">
        <v>0.40697674418604657</v>
      </c>
      <c r="CU14" s="10">
        <v>4.3731626868247983E-2</v>
      </c>
      <c r="CV14" s="11">
        <v>0.28969871997833252</v>
      </c>
      <c r="CW14" s="3">
        <v>0.06</v>
      </c>
      <c r="CX14" s="3" t="e">
        <v>#VALUE!</v>
      </c>
      <c r="CY14" s="3" t="s">
        <v>290</v>
      </c>
      <c r="CZ14" s="3">
        <v>4.3731626868247983E-2</v>
      </c>
      <c r="DA14" s="3" t="e">
        <v>#VALUE!</v>
      </c>
      <c r="DB14" s="3" t="s">
        <v>291</v>
      </c>
      <c r="DC14" s="3">
        <v>4.154504552483558E-2</v>
      </c>
      <c r="DD14" s="3" t="e">
        <v>#VALUE!</v>
      </c>
      <c r="DE14" s="3" t="s">
        <v>291</v>
      </c>
      <c r="DF14" s="3">
        <v>3.8483831644058226E-2</v>
      </c>
      <c r="DG14" s="3" t="e">
        <v>#VALUE!</v>
      </c>
      <c r="DH14" s="3" t="s">
        <v>291</v>
      </c>
      <c r="DI14" s="3">
        <v>3.4985301494598386E-2</v>
      </c>
      <c r="DJ14" s="3" t="e">
        <v>#VALUE!</v>
      </c>
      <c r="DK14" s="3" t="s">
        <v>291</v>
      </c>
      <c r="DL14" s="3">
        <v>3.0612138807773585E-2</v>
      </c>
      <c r="DM14" s="3">
        <v>-9022600</v>
      </c>
      <c r="DN14" s="3">
        <v>4.3731626868247983E-2</v>
      </c>
      <c r="DO14" s="3">
        <v>5140619600</v>
      </c>
      <c r="DP14" s="3">
        <v>2024042600</v>
      </c>
      <c r="DQ14" s="3">
        <v>2121</v>
      </c>
      <c r="DR14" s="3">
        <v>-0.51825391986187852</v>
      </c>
      <c r="DS14" s="3">
        <v>-2.1318128302245478</v>
      </c>
      <c r="DT14" s="12">
        <v>-0.39000000000000007</v>
      </c>
      <c r="DU14" s="3">
        <v>-1.3983333333333334</v>
      </c>
      <c r="DV14" s="3">
        <v>-1.7883333333333336</v>
      </c>
      <c r="DW14" s="3">
        <v>-4.2972972972972974</v>
      </c>
      <c r="DX14" s="3">
        <v>0.23927539066448675</v>
      </c>
      <c r="DY14" s="3">
        <v>-4.020595386413766</v>
      </c>
      <c r="DZ14" s="3">
        <v>3766</v>
      </c>
      <c r="EA14" s="3">
        <v>-4.0054168687554013</v>
      </c>
      <c r="EB14" s="3">
        <v>4</v>
      </c>
      <c r="EC14" s="3">
        <v>7.1201711040514704E-2</v>
      </c>
      <c r="ED14" s="3">
        <v>1.0278067112550422</v>
      </c>
      <c r="EE14" s="13">
        <v>6.8210000000000007E-2</v>
      </c>
      <c r="EF14" s="3">
        <v>0.10210999999999999</v>
      </c>
      <c r="EG14" s="3">
        <v>17.069275390664487</v>
      </c>
      <c r="EH14" s="3">
        <v>-1</v>
      </c>
      <c r="EI14" s="3">
        <v>0</v>
      </c>
      <c r="EJ14" s="3">
        <v>0</v>
      </c>
      <c r="EK14" s="15">
        <v>45470</v>
      </c>
      <c r="EL14" s="16">
        <v>-1.1299999999999999</v>
      </c>
      <c r="EM14" s="16">
        <v>-3.04</v>
      </c>
      <c r="EN14" s="16">
        <v>-6.14</v>
      </c>
      <c r="EO14" s="16">
        <v>2.5</v>
      </c>
      <c r="EP14" s="16">
        <v>-3.39</v>
      </c>
    </row>
    <row r="15" spans="1:146" ht="96" x14ac:dyDescent="0.25">
      <c r="C15" s="7" t="str">
        <f>""&amp;CHAR(10)&amp;Basic_Fundamental_Information_Constructure(F15)&amp;CHAR(10)&amp;Basic_Fundamental_Information_Concatenate("")</f>
        <v xml:space="preserve">
市值51.126224亿, 利润3000.94万; PE61.85; 平均PE38.01; 平均PEG39.63, PB2.66; ROIC7.1133%; ROE7.49%; 股利率1.406%; 毛利26.4833%; 净利9.4267%; 上一年度营收增-81.16%, 利润增-84.45%; 当季营收增-53.42%, 利润增-13.42%; 过往5年营收增.96%, 利润增-5.59%
Income profile:
</v>
      </c>
      <c r="D15" s="3" t="s">
        <v>325</v>
      </c>
      <c r="E15" s="3" t="s">
        <v>326</v>
      </c>
      <c r="F15" s="3">
        <v>17.07</v>
      </c>
      <c r="G15" s="3">
        <v>2.34</v>
      </c>
      <c r="H15" s="3" t="s">
        <v>1144</v>
      </c>
      <c r="I15" s="3">
        <v>5112622400</v>
      </c>
      <c r="J15" s="3">
        <v>61.85</v>
      </c>
      <c r="K15" s="3">
        <v>2.66</v>
      </c>
      <c r="L15" s="3" t="s">
        <v>97</v>
      </c>
      <c r="M15" s="3" t="s">
        <v>351</v>
      </c>
      <c r="N15" s="3" t="s">
        <v>1145</v>
      </c>
      <c r="O15" s="3" t="s">
        <v>538</v>
      </c>
      <c r="P15" s="3">
        <v>-4.49</v>
      </c>
      <c r="Q15" s="3" t="s">
        <v>538</v>
      </c>
      <c r="R15" s="3">
        <v>30009376</v>
      </c>
      <c r="S15" s="5">
        <v>0.42159999999999997</v>
      </c>
      <c r="T15" s="3" t="s">
        <v>1146</v>
      </c>
      <c r="U15" s="3">
        <v>201053620</v>
      </c>
      <c r="V15" s="3">
        <v>299509220</v>
      </c>
      <c r="W15" s="3">
        <v>1.18</v>
      </c>
      <c r="X15" s="3">
        <v>0.13</v>
      </c>
      <c r="Y15" s="3">
        <v>9.89</v>
      </c>
      <c r="Z15" s="3" t="s">
        <v>1024</v>
      </c>
      <c r="AA15" s="3" t="s">
        <v>467</v>
      </c>
      <c r="AB15" s="3" t="s">
        <v>1147</v>
      </c>
      <c r="AC15" s="3" t="s">
        <v>1148</v>
      </c>
      <c r="AD15" s="3" t="s">
        <v>48</v>
      </c>
      <c r="AE15" s="3">
        <v>-579688</v>
      </c>
      <c r="AF15" s="3" t="s">
        <v>734</v>
      </c>
      <c r="AG15" s="3">
        <v>2696.59</v>
      </c>
      <c r="AH15" s="3" t="s">
        <v>735</v>
      </c>
      <c r="AI15" s="3" t="s">
        <v>644</v>
      </c>
      <c r="AJ15" s="3" t="s">
        <v>736</v>
      </c>
      <c r="AK15" s="3" t="s">
        <v>1149</v>
      </c>
      <c r="AL15" s="3" t="s">
        <v>737</v>
      </c>
      <c r="AM15" s="3" t="s">
        <v>48</v>
      </c>
      <c r="AN15" s="3" t="s">
        <v>1150</v>
      </c>
      <c r="AO15" s="3" t="s">
        <v>48</v>
      </c>
      <c r="AP15" s="3" t="s">
        <v>1151</v>
      </c>
      <c r="AQ15" s="3" t="s">
        <v>601</v>
      </c>
      <c r="AR15" s="3" t="s">
        <v>1152</v>
      </c>
      <c r="AS15" s="3" t="s">
        <v>703</v>
      </c>
      <c r="AT15" s="3" t="s">
        <v>48</v>
      </c>
      <c r="AU15" s="3" t="s">
        <v>1153</v>
      </c>
      <c r="AV15" s="3" t="s">
        <v>1154</v>
      </c>
      <c r="AW15" s="3" t="s">
        <v>1155</v>
      </c>
      <c r="AX15" s="3" t="s">
        <v>480</v>
      </c>
      <c r="AY15" s="3" t="s">
        <v>295</v>
      </c>
      <c r="AZ15" s="3" t="s">
        <v>71</v>
      </c>
      <c r="BA15" s="3" t="s">
        <v>158</v>
      </c>
      <c r="BB15" s="3" t="s">
        <v>294</v>
      </c>
      <c r="BC15" s="3" t="s">
        <v>66</v>
      </c>
      <c r="BD15" s="3" t="s">
        <v>109</v>
      </c>
      <c r="BE15" s="3" t="s">
        <v>59</v>
      </c>
      <c r="BF15" s="3" t="s">
        <v>327</v>
      </c>
      <c r="BG15" s="3" t="s">
        <v>82</v>
      </c>
      <c r="BH15" s="3" t="s">
        <v>732</v>
      </c>
      <c r="BI15" s="3" t="s">
        <v>1156</v>
      </c>
      <c r="BJ15" s="3" t="s">
        <v>480</v>
      </c>
      <c r="BK15" s="3" t="s">
        <v>733</v>
      </c>
      <c r="BL15" s="3" t="s">
        <v>1157</v>
      </c>
      <c r="BM15" s="3" t="s">
        <v>66</v>
      </c>
      <c r="BN15" s="3">
        <v>2.83</v>
      </c>
      <c r="BO15" s="3">
        <v>10.92</v>
      </c>
      <c r="BP15" s="3">
        <v>7.59</v>
      </c>
      <c r="BQ15" s="3">
        <v>2.99</v>
      </c>
      <c r="BR15" s="3">
        <v>11.52</v>
      </c>
      <c r="BS15" s="3">
        <v>7.96</v>
      </c>
      <c r="BT15" s="3" t="s">
        <v>738</v>
      </c>
      <c r="BU15" s="3" t="s">
        <v>97</v>
      </c>
      <c r="BV15" s="3">
        <v>25.11</v>
      </c>
      <c r="BW15" s="3">
        <v>28.19</v>
      </c>
      <c r="BX15" s="3">
        <v>26.15</v>
      </c>
      <c r="BY15" s="3">
        <v>5.72</v>
      </c>
      <c r="BZ15" s="3">
        <v>12.07</v>
      </c>
      <c r="CA15" s="3">
        <v>10.49</v>
      </c>
      <c r="CB15" s="3">
        <v>-1.56</v>
      </c>
      <c r="CC15" s="3">
        <v>-1.67</v>
      </c>
      <c r="CD15" s="3" t="s">
        <v>1158</v>
      </c>
      <c r="CE15" s="3" t="s">
        <v>728</v>
      </c>
      <c r="CF15" s="10">
        <v>-0.53416149068322982</v>
      </c>
      <c r="CG15" s="11">
        <v>-0.13421588794483794</v>
      </c>
      <c r="CH15" s="10">
        <v>-0.81155776977539063</v>
      </c>
      <c r="CI15" s="10">
        <v>0.27564102411270142</v>
      </c>
      <c r="CJ15" s="10">
        <v>8.6161941289901733E-2</v>
      </c>
      <c r="CK15" s="10">
        <v>0.48067003488540649</v>
      </c>
      <c r="CL15" s="10">
        <v>1.7038008198142052E-2</v>
      </c>
      <c r="CM15" s="11">
        <v>-0.84451085329055786</v>
      </c>
      <c r="CN15" s="11">
        <v>0.46212121844291687</v>
      </c>
      <c r="CO15" s="11">
        <v>-0.29787233471870422</v>
      </c>
      <c r="CP15" s="11">
        <v>0.52845525741577148</v>
      </c>
      <c r="CQ15" s="11">
        <v>-0.12765957415103912</v>
      </c>
      <c r="CR15" s="3">
        <v>38.011619691170885</v>
      </c>
      <c r="CS15" s="3">
        <v>39.634048411667337</v>
      </c>
      <c r="CT15" s="3">
        <v>1.4059753954305798</v>
      </c>
      <c r="CU15" s="10">
        <v>9.5906477421522137E-3</v>
      </c>
      <c r="CV15" s="11">
        <v>-5.5893257260322571E-2</v>
      </c>
      <c r="CW15" s="3">
        <v>0.06</v>
      </c>
      <c r="CX15" s="3">
        <v>124.53951356459665</v>
      </c>
      <c r="CY15" s="3">
        <v>28582273.192786168</v>
      </c>
      <c r="CZ15" s="3">
        <v>9.5906477421522137E-3</v>
      </c>
      <c r="DA15" s="3">
        <v>43.59219877985808</v>
      </c>
      <c r="DB15" s="3">
        <v>81657326.302263409</v>
      </c>
      <c r="DC15" s="3">
        <v>9.1111153550446026E-3</v>
      </c>
      <c r="DD15" s="3">
        <v>23.454027361484609</v>
      </c>
      <c r="DE15" s="3">
        <v>151770198.99983099</v>
      </c>
      <c r="DF15" s="3">
        <v>8.4397700130939488E-3</v>
      </c>
      <c r="DG15" s="3">
        <v>15.505669126499702</v>
      </c>
      <c r="DH15" s="3">
        <v>229569093.14648584</v>
      </c>
      <c r="DI15" s="3">
        <v>7.672518193721771E-3</v>
      </c>
      <c r="DJ15" s="3">
        <v>9.7561141056310774</v>
      </c>
      <c r="DK15" s="3">
        <v>364860677.25934458</v>
      </c>
      <c r="DL15" s="3">
        <v>6.7134534195065496E-3</v>
      </c>
      <c r="DM15" s="3">
        <v>30009400</v>
      </c>
      <c r="DN15" s="3">
        <v>9.5906477421522137E-3</v>
      </c>
      <c r="DO15" s="3">
        <v>3559622400</v>
      </c>
      <c r="DP15" s="3">
        <v>1224384900</v>
      </c>
      <c r="DQ15" s="3">
        <v>2150</v>
      </c>
      <c r="DR15" s="3">
        <v>-0.54375213842538206</v>
      </c>
      <c r="DS15" s="3">
        <v>-7.8322630684515365E-2</v>
      </c>
      <c r="DT15" s="12">
        <v>-0.50666666666666671</v>
      </c>
      <c r="DU15" s="3">
        <v>-0.20000000000000004</v>
      </c>
      <c r="DV15" s="3">
        <v>-0.70666666666666678</v>
      </c>
      <c r="DW15" s="3">
        <v>-1.67E-2</v>
      </c>
      <c r="DX15" s="3">
        <v>0.29801396276595593</v>
      </c>
      <c r="DY15" s="3">
        <v>-1.4698331781914894E-3</v>
      </c>
      <c r="DZ15" s="3">
        <v>2939</v>
      </c>
      <c r="EA15" s="3">
        <v>-6.2446337179133536E-4</v>
      </c>
      <c r="EB15" s="3">
        <v>0</v>
      </c>
      <c r="EC15" s="3">
        <v>0.22098318041761786</v>
      </c>
      <c r="ED15" s="3">
        <v>2.5107741257514542</v>
      </c>
      <c r="EE15" s="13">
        <v>-4.0301999999999998</v>
      </c>
      <c r="EF15" s="3">
        <v>-4.0343999999999998</v>
      </c>
      <c r="EG15" s="3">
        <v>21.088013962765956</v>
      </c>
      <c r="EH15" s="3" t="s">
        <v>1159</v>
      </c>
      <c r="EI15" s="3">
        <v>0</v>
      </c>
      <c r="EJ15" s="3">
        <v>0</v>
      </c>
      <c r="EK15" s="15">
        <v>45470</v>
      </c>
      <c r="EL15" s="16">
        <v>-0.06</v>
      </c>
      <c r="EM15" s="16">
        <v>-4.71</v>
      </c>
      <c r="EN15" s="16">
        <v>-2.93</v>
      </c>
      <c r="EO15" s="16">
        <v>4.2699999999999996</v>
      </c>
      <c r="EP15" s="16">
        <v>0.42</v>
      </c>
    </row>
    <row r="16" spans="1:146" ht="84" x14ac:dyDescent="0.25">
      <c r="A16" s="3"/>
      <c r="B16" s="3"/>
      <c r="C16" s="7" t="str">
        <f>""&amp;CHAR(10)&amp;Basic_Fundamental_Information_Constructure(F16)&amp;CHAR(10)&amp;Basic_Fundamental_Information_Concatenate("")</f>
        <v xml:space="preserve">
市值23.178633亿, 利润2161.03万; PE23.98; 平均PE40.08; 平均PEG15.66, PB2; ROIC13.1367%; ROE15.6133%; 股利率5.1357%; 毛利20.4067%; 净利9.3533%; 上一年度营收增-79.33%, 利润增-73.87%; 当季营收增-50.46%, 利润增-58.47%; 过往5年营收增2.56%, 利润增1.06%
Income profile:
</v>
      </c>
      <c r="D16" s="3" t="s">
        <v>338</v>
      </c>
      <c r="E16" s="3" t="s">
        <v>339</v>
      </c>
      <c r="F16" s="3">
        <v>27.26</v>
      </c>
      <c r="G16" s="3">
        <v>1.56</v>
      </c>
      <c r="H16" s="3" t="s">
        <v>1160</v>
      </c>
      <c r="I16" s="3">
        <v>2317863300</v>
      </c>
      <c r="J16" s="3">
        <v>23.98</v>
      </c>
      <c r="K16" s="3">
        <v>2</v>
      </c>
      <c r="L16" s="3" t="s">
        <v>97</v>
      </c>
      <c r="M16" s="3" t="s">
        <v>257</v>
      </c>
      <c r="N16" s="3" t="s">
        <v>1161</v>
      </c>
      <c r="O16" s="3" t="s">
        <v>708</v>
      </c>
      <c r="P16" s="3">
        <v>12.22</v>
      </c>
      <c r="Q16" s="3" t="s">
        <v>708</v>
      </c>
      <c r="R16" s="3">
        <v>21610315</v>
      </c>
      <c r="S16" s="3">
        <v>-0.20230000000000001</v>
      </c>
      <c r="T16" s="3" t="s">
        <v>1162</v>
      </c>
      <c r="U16" s="3">
        <v>38641413</v>
      </c>
      <c r="V16" s="3">
        <v>85028000</v>
      </c>
      <c r="W16" s="3">
        <v>1.1200000000000001</v>
      </c>
      <c r="X16" s="3">
        <v>0.17</v>
      </c>
      <c r="Y16" s="3">
        <v>10</v>
      </c>
      <c r="Z16" s="3" t="s">
        <v>520</v>
      </c>
      <c r="AA16" s="3" t="s">
        <v>293</v>
      </c>
      <c r="AB16" s="3" t="s">
        <v>1163</v>
      </c>
      <c r="AC16" s="3" t="s">
        <v>1164</v>
      </c>
      <c r="AD16" s="3" t="s">
        <v>48</v>
      </c>
      <c r="AE16" s="3">
        <v>-1475685</v>
      </c>
      <c r="AF16" s="3" t="s">
        <v>741</v>
      </c>
      <c r="AG16" s="3">
        <v>5888</v>
      </c>
      <c r="AH16" s="3" t="s">
        <v>742</v>
      </c>
      <c r="AI16" s="3" t="s">
        <v>932</v>
      </c>
      <c r="AJ16" s="3" t="s">
        <v>743</v>
      </c>
      <c r="AK16" s="3" t="s">
        <v>1165</v>
      </c>
      <c r="AL16" s="3" t="s">
        <v>744</v>
      </c>
      <c r="AM16" s="3" t="s">
        <v>48</v>
      </c>
      <c r="AN16" s="3" t="s">
        <v>1166</v>
      </c>
      <c r="AO16" s="3" t="s">
        <v>48</v>
      </c>
      <c r="AP16" s="3" t="s">
        <v>1167</v>
      </c>
      <c r="AQ16" s="3" t="s">
        <v>1168</v>
      </c>
      <c r="AR16" s="3" t="s">
        <v>48</v>
      </c>
      <c r="AS16" s="3" t="s">
        <v>76</v>
      </c>
      <c r="AT16" s="3" t="s">
        <v>48</v>
      </c>
      <c r="AU16" s="3" t="s">
        <v>1169</v>
      </c>
      <c r="AV16" s="3" t="s">
        <v>1170</v>
      </c>
      <c r="AW16" s="3" t="s">
        <v>1171</v>
      </c>
      <c r="AX16" s="3" t="s">
        <v>481</v>
      </c>
      <c r="AY16" s="3" t="s">
        <v>324</v>
      </c>
      <c r="AZ16" s="3" t="s">
        <v>342</v>
      </c>
      <c r="BA16" s="3" t="s">
        <v>343</v>
      </c>
      <c r="BB16" s="3" t="s">
        <v>344</v>
      </c>
      <c r="BC16" s="3" t="s">
        <v>745</v>
      </c>
      <c r="BD16" s="3" t="s">
        <v>340</v>
      </c>
      <c r="BE16" s="3" t="s">
        <v>345</v>
      </c>
      <c r="BF16" s="3" t="s">
        <v>346</v>
      </c>
      <c r="BG16" s="3" t="s">
        <v>347</v>
      </c>
      <c r="BH16" s="3" t="s">
        <v>739</v>
      </c>
      <c r="BI16" s="3" t="s">
        <v>1172</v>
      </c>
      <c r="BJ16" s="3" t="s">
        <v>481</v>
      </c>
      <c r="BK16" s="3" t="s">
        <v>91</v>
      </c>
      <c r="BL16" s="3" t="s">
        <v>1173</v>
      </c>
      <c r="BM16" s="3" t="s">
        <v>745</v>
      </c>
      <c r="BN16" s="3">
        <v>6.86</v>
      </c>
      <c r="BO16" s="3">
        <v>11</v>
      </c>
      <c r="BP16" s="3">
        <v>21.55</v>
      </c>
      <c r="BQ16" s="3">
        <v>7.09</v>
      </c>
      <c r="BR16" s="3">
        <v>14.7</v>
      </c>
      <c r="BS16" s="3">
        <v>25.05</v>
      </c>
      <c r="BT16" s="3" t="s">
        <v>746</v>
      </c>
      <c r="BU16" s="3" t="s">
        <v>97</v>
      </c>
      <c r="BV16" s="3">
        <v>21.15</v>
      </c>
      <c r="BW16" s="3">
        <v>18</v>
      </c>
      <c r="BX16" s="3">
        <v>22.07</v>
      </c>
      <c r="BY16" s="3">
        <v>10.6</v>
      </c>
      <c r="BZ16" s="3">
        <v>7.92</v>
      </c>
      <c r="CA16" s="3">
        <v>9.5399999999999991</v>
      </c>
      <c r="CB16" s="3">
        <v>-9.2200000000000006</v>
      </c>
      <c r="CC16" s="10">
        <v>-15.01</v>
      </c>
      <c r="CD16" s="11" t="s">
        <v>1174</v>
      </c>
      <c r="CE16" s="10" t="s">
        <v>1175</v>
      </c>
      <c r="CF16" s="10">
        <v>-0.50458715596330284</v>
      </c>
      <c r="CG16" s="10">
        <v>-0.58474842193249621</v>
      </c>
      <c r="CH16" s="10">
        <v>-0.79330146312713623</v>
      </c>
      <c r="CI16" s="10">
        <v>0.21089223027229309</v>
      </c>
      <c r="CJ16" s="11">
        <v>0.46023687720298767</v>
      </c>
      <c r="CK16" s="11">
        <v>0.14092664420604706</v>
      </c>
      <c r="CL16" s="11">
        <v>0.10920771211385727</v>
      </c>
      <c r="CM16" s="11">
        <v>-0.73869138956069946</v>
      </c>
      <c r="CN16" s="11">
        <v>4.6966662630438805E-3</v>
      </c>
      <c r="CO16" s="3">
        <v>0.26174861192703247</v>
      </c>
      <c r="CP16" s="3">
        <v>0.20453618466854095</v>
      </c>
      <c r="CQ16" s="3">
        <v>0.32093295454978943</v>
      </c>
      <c r="CR16" s="10">
        <v>40.075602350964026</v>
      </c>
      <c r="CS16" s="11">
        <v>15.659180905949448</v>
      </c>
      <c r="CT16" s="3">
        <v>5.1357300073367567</v>
      </c>
      <c r="CU16" s="3">
        <v>2.559240013360977E-2</v>
      </c>
      <c r="CV16" s="3">
        <v>1.0644605569541454E-2</v>
      </c>
      <c r="CW16" s="3">
        <v>0.06</v>
      </c>
      <c r="CX16" s="3">
        <v>62.694245494362001</v>
      </c>
      <c r="CY16" s="3">
        <v>20908829.664723918</v>
      </c>
      <c r="CZ16" s="3">
        <v>2.559240013360977E-2</v>
      </c>
      <c r="DA16" s="3">
        <v>21.644727887101119</v>
      </c>
      <c r="DB16" s="3">
        <v>60562706.393790759</v>
      </c>
      <c r="DC16" s="3">
        <v>2.4312780126929282E-2</v>
      </c>
      <c r="DD16" s="3">
        <v>11.445696446294182</v>
      </c>
      <c r="DE16" s="3">
        <v>114528924.13763283</v>
      </c>
      <c r="DF16" s="3">
        <v>2.2521312117576599E-2</v>
      </c>
      <c r="DG16" s="3">
        <v>7.4316352303748996</v>
      </c>
      <c r="DH16" s="3">
        <v>176389618.08057842</v>
      </c>
      <c r="DI16" s="3">
        <v>2.0473920106887818E-2</v>
      </c>
      <c r="DJ16" s="3">
        <v>4.5167153805274225</v>
      </c>
      <c r="DK16" s="3">
        <v>290224906.72124857</v>
      </c>
      <c r="DL16" s="3">
        <v>1.7914680093526838E-2</v>
      </c>
      <c r="DM16" s="3">
        <v>21610300.000000004</v>
      </c>
      <c r="DN16" s="3">
        <v>2.559240013360977E-2</v>
      </c>
      <c r="DO16" s="3">
        <v>1310863300</v>
      </c>
      <c r="DP16" s="3">
        <v>1077639040</v>
      </c>
      <c r="DQ16" s="12">
        <v>2723</v>
      </c>
      <c r="DR16" s="3">
        <v>-0.53017955609691259</v>
      </c>
      <c r="DS16" s="3">
        <v>-0.59539302750203771</v>
      </c>
      <c r="DT16" s="3">
        <v>-0.49</v>
      </c>
      <c r="DU16" s="3">
        <v>-0.20333333333333339</v>
      </c>
      <c r="DV16" s="3">
        <v>-0.69333333333333336</v>
      </c>
      <c r="DW16" s="3">
        <v>-9.6142571618920716</v>
      </c>
      <c r="DX16" s="3">
        <v>0.30271830674356665</v>
      </c>
      <c r="DY16" s="3">
        <v>-9.0692380271935846</v>
      </c>
      <c r="DZ16" s="3">
        <v>2124</v>
      </c>
      <c r="EA16" s="3">
        <v>-9.0404588550293621</v>
      </c>
      <c r="EB16" s="13">
        <v>9</v>
      </c>
      <c r="EC16" s="3">
        <v>7.3712188926000843E-2</v>
      </c>
      <c r="ED16" s="3">
        <v>0.65395046337676999</v>
      </c>
      <c r="EE16" s="3">
        <v>-1.0327</v>
      </c>
      <c r="EF16" s="3">
        <v>-1.0315099999999999</v>
      </c>
      <c r="EG16" s="3">
        <v>19.112718306743567</v>
      </c>
      <c r="EH16" s="15" t="s">
        <v>444</v>
      </c>
      <c r="EI16" s="16">
        <v>0</v>
      </c>
      <c r="EJ16" s="16">
        <v>0</v>
      </c>
      <c r="EK16" s="16">
        <v>45470</v>
      </c>
      <c r="EL16" s="16">
        <v>-0.53</v>
      </c>
      <c r="EM16" s="16">
        <v>-5.82</v>
      </c>
      <c r="EN16" s="16">
        <v>2.2999999999999998</v>
      </c>
      <c r="EO16" s="16">
        <v>8.91</v>
      </c>
      <c r="EP16" s="16">
        <v>-6.42</v>
      </c>
    </row>
    <row r="17" spans="1:146" ht="84" x14ac:dyDescent="0.25">
      <c r="A17" s="3"/>
      <c r="B17" s="3"/>
      <c r="C17" s="7" t="str">
        <f>""&amp;CHAR(10)&amp;Basic_Fundamental_Information_Constructure(F17)&amp;CHAR(10)&amp;Basic_Fundamental_Information_Concatenate("")</f>
        <v xml:space="preserve">
市值37.665911亿, 利润986.92万; PE72.94; 平均PE94.01; 平均PEG30.45, PB3.74; ROIC11.3833%; ROE12.08%; 股利率.389%; 毛利26.18%; 净利13.14%; 上一年度营收增-77.61%, 利润增-83.11%; 当季营收增-51.19%, 利润增-58.64%; 过往5年营收增3.09%, 利润增3.46%
Income profile:
</v>
      </c>
      <c r="D17" s="5" t="s">
        <v>594</v>
      </c>
      <c r="E17" s="3" t="s">
        <v>595</v>
      </c>
      <c r="F17" s="3">
        <v>65.3</v>
      </c>
      <c r="G17" s="3">
        <v>1.3</v>
      </c>
      <c r="H17" s="3" t="s">
        <v>1176</v>
      </c>
      <c r="I17" s="3">
        <v>3766591100</v>
      </c>
      <c r="J17" s="3">
        <v>72.94</v>
      </c>
      <c r="K17" s="3">
        <v>3.74</v>
      </c>
      <c r="L17" s="3" t="s">
        <v>97</v>
      </c>
      <c r="M17" s="3" t="s">
        <v>355</v>
      </c>
      <c r="N17" s="3" t="s">
        <v>1177</v>
      </c>
      <c r="O17" s="3" t="s">
        <v>747</v>
      </c>
      <c r="P17" s="5">
        <v>-4.49</v>
      </c>
      <c r="Q17" s="3" t="s">
        <v>747</v>
      </c>
      <c r="R17" s="3">
        <v>9869197</v>
      </c>
      <c r="S17" s="3">
        <v>-0.22919999999999999</v>
      </c>
      <c r="T17" s="3" t="s">
        <v>1178</v>
      </c>
      <c r="U17" s="3">
        <v>14420334</v>
      </c>
      <c r="V17" s="3">
        <v>57681334</v>
      </c>
      <c r="W17" s="3">
        <v>1.21</v>
      </c>
      <c r="X17" s="3">
        <v>0.08</v>
      </c>
      <c r="Y17" s="3">
        <v>9.86</v>
      </c>
      <c r="Z17" s="3" t="s">
        <v>1179</v>
      </c>
      <c r="AA17" s="3" t="s">
        <v>1180</v>
      </c>
      <c r="AB17" s="3" t="s">
        <v>1181</v>
      </c>
      <c r="AC17" s="3" t="s">
        <v>1182</v>
      </c>
      <c r="AD17" s="3" t="s">
        <v>48</v>
      </c>
      <c r="AE17" s="3">
        <v>-2410313</v>
      </c>
      <c r="AF17" s="3" t="s">
        <v>751</v>
      </c>
      <c r="AG17" s="3" t="s">
        <v>1183</v>
      </c>
      <c r="AH17" s="3" t="s">
        <v>752</v>
      </c>
      <c r="AI17" s="3" t="s">
        <v>529</v>
      </c>
      <c r="AJ17" s="3" t="s">
        <v>753</v>
      </c>
      <c r="AK17" s="3" t="s">
        <v>1184</v>
      </c>
      <c r="AL17" s="3" t="s">
        <v>754</v>
      </c>
      <c r="AM17" s="3" t="s">
        <v>48</v>
      </c>
      <c r="AN17" s="3" t="s">
        <v>1185</v>
      </c>
      <c r="AO17" s="3" t="s">
        <v>48</v>
      </c>
      <c r="AP17" s="3" t="s">
        <v>1186</v>
      </c>
      <c r="AQ17" s="3" t="s">
        <v>1187</v>
      </c>
      <c r="AR17" s="3" t="s">
        <v>48</v>
      </c>
      <c r="AS17" s="3" t="s">
        <v>355</v>
      </c>
      <c r="AT17" s="3" t="s">
        <v>48</v>
      </c>
      <c r="AU17" s="3" t="s">
        <v>1188</v>
      </c>
      <c r="AV17" s="3" t="s">
        <v>1189</v>
      </c>
      <c r="AW17" s="3" t="s">
        <v>1190</v>
      </c>
      <c r="AX17" s="3" t="s">
        <v>61</v>
      </c>
      <c r="AY17" s="3" t="s">
        <v>173</v>
      </c>
      <c r="AZ17" s="3" t="s">
        <v>475</v>
      </c>
      <c r="BA17" s="3" t="s">
        <v>476</v>
      </c>
      <c r="BB17" s="3" t="s">
        <v>87</v>
      </c>
      <c r="BC17" s="3" t="s">
        <v>755</v>
      </c>
      <c r="BD17" s="3" t="s">
        <v>596</v>
      </c>
      <c r="BE17" s="3" t="s">
        <v>597</v>
      </c>
      <c r="BF17" s="3" t="s">
        <v>598</v>
      </c>
      <c r="BG17" s="3" t="s">
        <v>599</v>
      </c>
      <c r="BH17" s="3" t="s">
        <v>748</v>
      </c>
      <c r="BI17" s="3" t="s">
        <v>353</v>
      </c>
      <c r="BJ17" s="3" t="s">
        <v>61</v>
      </c>
      <c r="BK17" s="3" t="s">
        <v>749</v>
      </c>
      <c r="BL17" s="3" t="s">
        <v>1191</v>
      </c>
      <c r="BM17" s="3" t="s">
        <v>755</v>
      </c>
      <c r="BN17" s="3">
        <v>5.72</v>
      </c>
      <c r="BO17" s="3">
        <v>12.37</v>
      </c>
      <c r="BP17" s="3">
        <v>16.059999999999999</v>
      </c>
      <c r="BQ17" s="3">
        <v>8.7899999999999991</v>
      </c>
      <c r="BR17" s="3">
        <v>15.37</v>
      </c>
      <c r="BS17" s="3" t="s">
        <v>48</v>
      </c>
      <c r="BT17" s="3" t="s">
        <v>756</v>
      </c>
      <c r="BU17" s="3" t="s">
        <v>97</v>
      </c>
      <c r="BV17" s="3">
        <v>25.11</v>
      </c>
      <c r="BW17" s="3">
        <v>25.82</v>
      </c>
      <c r="BX17" s="3">
        <v>27.61</v>
      </c>
      <c r="BY17" s="3">
        <v>12.63</v>
      </c>
      <c r="BZ17" s="3">
        <v>13.84</v>
      </c>
      <c r="CA17" s="3">
        <v>12.95</v>
      </c>
      <c r="CB17" s="3">
        <v>-7.48</v>
      </c>
      <c r="CC17" s="10">
        <v>-18.11</v>
      </c>
      <c r="CD17" s="11" t="s">
        <v>1192</v>
      </c>
      <c r="CE17" s="10" t="s">
        <v>1193</v>
      </c>
      <c r="CF17" s="10">
        <v>-0.51187268041237111</v>
      </c>
      <c r="CG17" s="10">
        <v>-0.58639488881624713</v>
      </c>
      <c r="CH17" s="10">
        <v>-0.77613073587417603</v>
      </c>
      <c r="CI17" s="10">
        <v>-5.7906460016965866E-2</v>
      </c>
      <c r="CJ17" s="11">
        <v>0.52203387022018433</v>
      </c>
      <c r="CK17" s="11">
        <v>8.0586083233356476E-2</v>
      </c>
      <c r="CL17" s="11">
        <v>0.38578680157661438</v>
      </c>
      <c r="CM17" s="11">
        <v>-0.83110255002975464</v>
      </c>
      <c r="CN17" s="11">
        <v>1.8209349364042282E-2</v>
      </c>
      <c r="CO17" s="3">
        <v>8.2963936030864716E-2</v>
      </c>
      <c r="CP17" s="3">
        <v>0.44929412007331848</v>
      </c>
      <c r="CQ17" s="3">
        <v>0.45339560508728027</v>
      </c>
      <c r="CR17" s="10">
        <v>94.006767791137719</v>
      </c>
      <c r="CS17" s="11">
        <v>30.448609270977606</v>
      </c>
      <c r="CT17" s="3">
        <v>0.3889739663093415</v>
      </c>
      <c r="CU17" s="3">
        <v>3.0873911827802657E-2</v>
      </c>
      <c r="CV17" s="3">
        <v>3.4552092105150221E-2</v>
      </c>
      <c r="CW17" s="3">
        <v>0.06</v>
      </c>
      <c r="CX17" s="3">
        <v>307.62503235099422</v>
      </c>
      <c r="CY17" s="3">
        <v>9598019.6326518394</v>
      </c>
      <c r="CZ17" s="3">
        <v>3.0873911827802657E-2</v>
      </c>
      <c r="DA17" s="3">
        <v>105.72497807463645</v>
      </c>
      <c r="DB17" s="3">
        <v>27927091.154519994</v>
      </c>
      <c r="DC17" s="3">
        <v>2.9330216236412524E-2</v>
      </c>
      <c r="DD17" s="3">
        <v>55.586222454931374</v>
      </c>
      <c r="DE17" s="3">
        <v>53117318.817516781</v>
      </c>
      <c r="DF17" s="3">
        <v>2.7169042408466338E-2</v>
      </c>
      <c r="DG17" s="3">
        <v>35.873228572396975</v>
      </c>
      <c r="DH17" s="3">
        <v>82306255.040336728</v>
      </c>
      <c r="DI17" s="3">
        <v>2.4699129462242127E-2</v>
      </c>
      <c r="DJ17" s="3">
        <v>21.543747393780244</v>
      </c>
      <c r="DK17" s="3">
        <v>137050952.4657917</v>
      </c>
      <c r="DL17" s="3">
        <v>2.1611738279461858E-2</v>
      </c>
      <c r="DM17" s="3">
        <v>9869200</v>
      </c>
      <c r="DN17" s="3">
        <v>3.0873911827802657E-2</v>
      </c>
      <c r="DO17" s="3">
        <v>2952591100</v>
      </c>
      <c r="DP17" s="3">
        <v>574303530</v>
      </c>
      <c r="DQ17" s="12">
        <v>2802</v>
      </c>
      <c r="DR17" s="3">
        <v>-0.54274659224017374</v>
      </c>
      <c r="DS17" s="3">
        <v>-0.62094698092139733</v>
      </c>
      <c r="DT17" s="3">
        <v>-0.54</v>
      </c>
      <c r="DU17" s="3">
        <v>-0.33666666666666667</v>
      </c>
      <c r="DV17" s="3">
        <v>-0.87666666666666671</v>
      </c>
      <c r="DW17" s="3">
        <v>-9.4130314743235779</v>
      </c>
      <c r="DX17" s="3">
        <v>0.27033342069167149</v>
      </c>
      <c r="DY17" s="3">
        <v>-9.0290499164425029</v>
      </c>
      <c r="DZ17" s="3">
        <v>453</v>
      </c>
      <c r="EA17" s="3">
        <v>-9.0264746498772475</v>
      </c>
      <c r="EB17" s="13">
        <v>9</v>
      </c>
      <c r="EC17" s="13">
        <v>0.12163900370265361</v>
      </c>
      <c r="ED17" s="3">
        <v>1.7294624288682368</v>
      </c>
      <c r="EE17" s="3">
        <v>-4.0133099999999997</v>
      </c>
      <c r="EF17" s="3">
        <v>-4.0579099999999997</v>
      </c>
      <c r="EG17" s="3">
        <v>20.070333420691671</v>
      </c>
      <c r="EH17" s="15" t="s">
        <v>603</v>
      </c>
      <c r="EI17" s="3">
        <v>0</v>
      </c>
      <c r="EJ17" s="3">
        <v>1</v>
      </c>
      <c r="EK17" s="3">
        <v>45470</v>
      </c>
      <c r="EL17" s="3">
        <v>-2.36</v>
      </c>
      <c r="EM17" s="3">
        <v>-7.48</v>
      </c>
      <c r="EN17" s="16">
        <v>0.82</v>
      </c>
      <c r="EO17" s="16">
        <v>2.08</v>
      </c>
      <c r="EP17" s="16">
        <v>-4.46</v>
      </c>
    </row>
    <row r="18" spans="1:146" ht="96" x14ac:dyDescent="0.25">
      <c r="A18" s="3"/>
      <c r="B18" s="3"/>
      <c r="C18" s="7" t="str">
        <f>""&amp;CHAR(10)&amp;Basic_Fundamental_Information_Constructure(F18)&amp;CHAR(10)&amp;Basic_Fundamental_Information_Concatenate("")</f>
        <v xml:space="preserve">
市值81.036641亿, 利润4433.48万; PE28.69; 平均PE24.87; 平均PEG5.8, PB1; ROIC6.6333%; ROE8.1167%; 股利率1.2177%; 毛利24.1867%; 净利11.3567%; 上一年度营收增-81.28%, 利润增-93.37%; 当季营收增-57.55%, 利润增-76.29%; 过往5年营收增-4.29%, 利润增13.8%
Income profile:
</v>
      </c>
      <c r="D18" s="5" t="s">
        <v>482</v>
      </c>
      <c r="E18" s="3" t="s">
        <v>483</v>
      </c>
      <c r="F18" s="3">
        <v>6.57</v>
      </c>
      <c r="G18" s="3">
        <v>0.77</v>
      </c>
      <c r="H18" s="3" t="s">
        <v>1194</v>
      </c>
      <c r="I18" s="3">
        <v>8103664100</v>
      </c>
      <c r="J18" s="3">
        <v>28.69</v>
      </c>
      <c r="K18" s="3">
        <v>1</v>
      </c>
      <c r="L18" s="3" t="s">
        <v>97</v>
      </c>
      <c r="M18" s="3" t="s">
        <v>757</v>
      </c>
      <c r="N18" s="3" t="s">
        <v>1195</v>
      </c>
      <c r="O18" s="3" t="s">
        <v>57</v>
      </c>
      <c r="P18" s="5">
        <v>-6.92</v>
      </c>
      <c r="Q18" s="3" t="s">
        <v>57</v>
      </c>
      <c r="R18" s="3">
        <v>44334770</v>
      </c>
      <c r="S18" s="3">
        <v>-0.48959999999999998</v>
      </c>
      <c r="T18" s="3" t="s">
        <v>1196</v>
      </c>
      <c r="U18" s="3">
        <v>1233434420</v>
      </c>
      <c r="V18" s="3">
        <v>1233434420</v>
      </c>
      <c r="W18" s="3">
        <v>1.39</v>
      </c>
      <c r="X18" s="3">
        <v>7.0000000000000007E-2</v>
      </c>
      <c r="Y18" s="3">
        <v>5.28</v>
      </c>
      <c r="Z18" s="3" t="s">
        <v>1197</v>
      </c>
      <c r="AA18" s="3" t="s">
        <v>1198</v>
      </c>
      <c r="AB18" s="3" t="s">
        <v>1199</v>
      </c>
      <c r="AC18" s="3" t="s">
        <v>1200</v>
      </c>
      <c r="AD18" s="3" t="s">
        <v>48</v>
      </c>
      <c r="AE18" s="3">
        <v>-10928274</v>
      </c>
      <c r="AF18" s="3" t="s">
        <v>759</v>
      </c>
      <c r="AG18" s="3" t="s">
        <v>1201</v>
      </c>
      <c r="AH18" s="3" t="s">
        <v>760</v>
      </c>
      <c r="AI18" s="3" t="s">
        <v>1202</v>
      </c>
      <c r="AJ18" s="3" t="s">
        <v>761</v>
      </c>
      <c r="AK18" s="3" t="s">
        <v>1203</v>
      </c>
      <c r="AL18" s="3" t="s">
        <v>762</v>
      </c>
      <c r="AM18" s="3" t="s">
        <v>48</v>
      </c>
      <c r="AN18" s="3" t="s">
        <v>1204</v>
      </c>
      <c r="AO18" s="3" t="s">
        <v>79</v>
      </c>
      <c r="AP18" s="3" t="s">
        <v>654</v>
      </c>
      <c r="AQ18" s="3" t="s">
        <v>1205</v>
      </c>
      <c r="AR18" s="3" t="s">
        <v>48</v>
      </c>
      <c r="AS18" s="3" t="s">
        <v>1206</v>
      </c>
      <c r="AT18" s="3" t="s">
        <v>48</v>
      </c>
      <c r="AU18" s="3" t="s">
        <v>1207</v>
      </c>
      <c r="AV18" s="3" t="s">
        <v>1208</v>
      </c>
      <c r="AW18" s="3" t="s">
        <v>1209</v>
      </c>
      <c r="AX18" s="3" t="s">
        <v>484</v>
      </c>
      <c r="AY18" s="3" t="s">
        <v>486</v>
      </c>
      <c r="AZ18" s="3" t="s">
        <v>487</v>
      </c>
      <c r="BA18" s="3" t="s">
        <v>488</v>
      </c>
      <c r="BB18" s="3" t="s">
        <v>489</v>
      </c>
      <c r="BC18" s="3" t="s">
        <v>485</v>
      </c>
      <c r="BD18" s="3" t="s">
        <v>490</v>
      </c>
      <c r="BE18" s="3" t="s">
        <v>491</v>
      </c>
      <c r="BF18" s="3" t="s">
        <v>238</v>
      </c>
      <c r="BG18" s="3" t="s">
        <v>155</v>
      </c>
      <c r="BH18" s="3" t="s">
        <v>758</v>
      </c>
      <c r="BI18" s="3" t="s">
        <v>1210</v>
      </c>
      <c r="BJ18" s="3" t="s">
        <v>484</v>
      </c>
      <c r="BK18" s="3" t="s">
        <v>750</v>
      </c>
      <c r="BL18" s="3" t="s">
        <v>454</v>
      </c>
      <c r="BM18" s="3" t="s">
        <v>485</v>
      </c>
      <c r="BN18" s="3">
        <v>2.71</v>
      </c>
      <c r="BO18" s="3">
        <v>9.59</v>
      </c>
      <c r="BP18" s="3">
        <v>7.6</v>
      </c>
      <c r="BQ18" s="3">
        <v>3.51</v>
      </c>
      <c r="BR18" s="3">
        <v>12.31</v>
      </c>
      <c r="BS18" s="3">
        <v>8.5299999999999994</v>
      </c>
      <c r="BT18" s="3" t="s">
        <v>472</v>
      </c>
      <c r="BU18" s="3" t="s">
        <v>97</v>
      </c>
      <c r="BV18" s="3">
        <v>21.18</v>
      </c>
      <c r="BW18" s="3">
        <v>25.43</v>
      </c>
      <c r="BX18" s="3">
        <v>25.95</v>
      </c>
      <c r="BY18" s="3">
        <v>8.81</v>
      </c>
      <c r="BZ18" s="3">
        <v>14.95</v>
      </c>
      <c r="CA18" s="3">
        <v>10.31</v>
      </c>
      <c r="CB18" s="3">
        <v>-3.38</v>
      </c>
      <c r="CC18" s="10">
        <v>-11.57</v>
      </c>
      <c r="CD18" s="11" t="s">
        <v>1211</v>
      </c>
      <c r="CE18" s="10" t="s">
        <v>1212</v>
      </c>
      <c r="CF18" s="10">
        <v>-0.57545271629778671</v>
      </c>
      <c r="CG18" s="10">
        <v>-0.76291566844919789</v>
      </c>
      <c r="CH18" s="10">
        <v>-0.81277728080749512</v>
      </c>
      <c r="CI18" s="10">
        <v>0.10354965180158615</v>
      </c>
      <c r="CJ18" s="11">
        <v>0.29435992240905762</v>
      </c>
      <c r="CK18" s="11">
        <v>0.13525180518627167</v>
      </c>
      <c r="CL18" s="11">
        <v>6.5134152770042419E-2</v>
      </c>
      <c r="CM18" s="11">
        <v>-0.93372976779937744</v>
      </c>
      <c r="CN18" s="11">
        <v>0.61204820871353149</v>
      </c>
      <c r="CO18" s="3">
        <v>8.9238844811916351E-2</v>
      </c>
      <c r="CP18" s="3">
        <v>1.3518518209457397</v>
      </c>
      <c r="CQ18" s="3">
        <v>-0.42957746982574463</v>
      </c>
      <c r="CR18" s="10">
        <v>24.866321920931394</v>
      </c>
      <c r="CS18" s="11">
        <v>5.7968386770769813</v>
      </c>
      <c r="CT18" s="3">
        <v>1.2176560121765601</v>
      </c>
      <c r="CU18" s="3">
        <v>-4.289634972810745E-2</v>
      </c>
      <c r="CV18" s="3">
        <v>0.1379663273692131</v>
      </c>
      <c r="CW18" s="3">
        <v>0.06</v>
      </c>
      <c r="CX18" s="3">
        <v>76.253058545431585</v>
      </c>
      <c r="CY18" s="3" t="s">
        <v>1213</v>
      </c>
      <c r="CZ18" s="3">
        <v>-4.289634972810745E-2</v>
      </c>
      <c r="DA18" s="3">
        <v>25.417686181810527</v>
      </c>
      <c r="DB18" s="3" t="s">
        <v>1214</v>
      </c>
      <c r="DC18" s="3">
        <v>-4.0751532241702075E-2</v>
      </c>
      <c r="DD18" s="3">
        <v>12.708843090905264</v>
      </c>
      <c r="DE18" s="3" t="s">
        <v>1215</v>
      </c>
      <c r="DF18" s="3">
        <v>-3.7748787760734558E-2</v>
      </c>
      <c r="DG18" s="3">
        <v>7.625305854543158</v>
      </c>
      <c r="DH18" s="3" t="s">
        <v>1216</v>
      </c>
      <c r="DI18" s="3">
        <v>-3.4317079782485958E-2</v>
      </c>
      <c r="DJ18" s="3">
        <v>3.812652927271579</v>
      </c>
      <c r="DK18" s="3" t="s">
        <v>1217</v>
      </c>
      <c r="DL18" s="3">
        <v>-3.0027444809675213E-2</v>
      </c>
      <c r="DM18" s="3">
        <v>44334799.999999993</v>
      </c>
      <c r="DN18" s="3">
        <v>-4.289634972810745E-2</v>
      </c>
      <c r="DO18" s="3">
        <v>3380664100</v>
      </c>
      <c r="DP18" s="3">
        <v>3409844700</v>
      </c>
      <c r="DQ18" s="12">
        <v>3102</v>
      </c>
      <c r="DR18" s="3">
        <v>-0.53255636656967931</v>
      </c>
      <c r="DS18" s="3">
        <v>-0.900881995818411</v>
      </c>
      <c r="DT18" s="3">
        <v>-0.64</v>
      </c>
      <c r="DU18" s="3">
        <v>-0.34</v>
      </c>
      <c r="DV18" s="3">
        <v>-0.98</v>
      </c>
      <c r="DW18" s="3">
        <v>-8.2921348314606735</v>
      </c>
      <c r="DX18" s="3">
        <v>0.29004212860310502</v>
      </c>
      <c r="DY18" s="3">
        <v>-8.0321471386930412</v>
      </c>
      <c r="DZ18" s="3">
        <v>2085</v>
      </c>
      <c r="EA18" s="3">
        <v>-8.0190303511832575</v>
      </c>
      <c r="EB18" s="13">
        <v>8</v>
      </c>
      <c r="EC18" s="13">
        <v>4.0236431864776399E-2</v>
      </c>
      <c r="ED18" s="3">
        <v>0.36564570656298045</v>
      </c>
      <c r="EE18" s="3">
        <v>-1.0033099999999999</v>
      </c>
      <c r="EF18" s="3">
        <v>-1.03081</v>
      </c>
      <c r="EG18" s="3">
        <v>18.110042128603105</v>
      </c>
      <c r="EH18" s="15" t="s">
        <v>444</v>
      </c>
      <c r="EI18" s="3">
        <v>0</v>
      </c>
      <c r="EJ18" s="3">
        <v>0</v>
      </c>
      <c r="EK18" s="3">
        <v>45470</v>
      </c>
      <c r="EL18" s="3">
        <v>1.85</v>
      </c>
      <c r="EM18" s="3">
        <v>-1.52</v>
      </c>
      <c r="EN18" s="16">
        <v>-2.23</v>
      </c>
      <c r="EO18" s="16">
        <v>1.67</v>
      </c>
      <c r="EP18" s="16">
        <v>-2.75</v>
      </c>
    </row>
    <row r="19" spans="1:146" ht="84" x14ac:dyDescent="0.25">
      <c r="A19" s="3"/>
      <c r="B19" s="3"/>
      <c r="C19" s="7" t="str">
        <f>""&amp;CHAR(10)&amp;Basic_Fundamental_Information_Constructure(F19)&amp;CHAR(10)&amp;Basic_Fundamental_Information_Concatenate("")</f>
        <v xml:space="preserve">
市值37.031072亿, 利润-1605.30万; PE; 平均PE-7.94; 平均PEG-.29, PB3.55; ROIC13.08%; ROE-10.35%; 股利率0%; 毛利3.71%; 净利-88.6567%; 上一年度营收增-83.57%, 利润增-126.53%; 当季营收增-30.19%, 利润增91.75%; 过往5年营收增-27.34%, 利润增-200.18%
Income profile:
</v>
      </c>
      <c r="D19" s="5" t="s">
        <v>492</v>
      </c>
      <c r="E19" s="3" t="s">
        <v>493</v>
      </c>
      <c r="F19" s="3">
        <v>1.34</v>
      </c>
      <c r="G19" s="3">
        <v>2.29</v>
      </c>
      <c r="H19" s="3" t="s">
        <v>1218</v>
      </c>
      <c r="I19" s="3">
        <v>3703107200</v>
      </c>
      <c r="K19" s="3">
        <v>3.55</v>
      </c>
      <c r="L19" s="3" t="s">
        <v>97</v>
      </c>
      <c r="M19" s="3" t="s">
        <v>729</v>
      </c>
      <c r="N19" s="3" t="s">
        <v>1219</v>
      </c>
      <c r="O19" s="3" t="s">
        <v>763</v>
      </c>
      <c r="P19" s="5">
        <v>95.26</v>
      </c>
      <c r="Q19" s="3" t="s">
        <v>763</v>
      </c>
      <c r="R19" s="3">
        <v>-5000000</v>
      </c>
      <c r="S19" s="3">
        <v>-0.31030000000000002</v>
      </c>
      <c r="T19" s="3" t="s">
        <v>1220</v>
      </c>
      <c r="U19" s="3">
        <v>2419752900</v>
      </c>
      <c r="V19" s="3">
        <v>2763512800</v>
      </c>
      <c r="W19" s="3">
        <v>1.98</v>
      </c>
      <c r="X19" s="3">
        <v>0.04</v>
      </c>
      <c r="Y19" s="3">
        <v>-19.899999999999999</v>
      </c>
      <c r="Z19" s="3" t="s">
        <v>134</v>
      </c>
      <c r="AA19" s="3" t="s">
        <v>1221</v>
      </c>
      <c r="AB19" s="3" t="s">
        <v>1222</v>
      </c>
      <c r="AC19" s="3" t="s">
        <v>1223</v>
      </c>
      <c r="AD19" s="3" t="s">
        <v>48</v>
      </c>
      <c r="AE19" s="3">
        <v>-485712</v>
      </c>
      <c r="AF19" s="3" t="s">
        <v>62</v>
      </c>
      <c r="AG19" s="3" t="s">
        <v>1224</v>
      </c>
      <c r="AH19" s="3" t="s">
        <v>765</v>
      </c>
      <c r="AI19" s="3" t="s">
        <v>888</v>
      </c>
      <c r="AJ19" s="3" t="s">
        <v>48</v>
      </c>
      <c r="AK19" s="3" t="s">
        <v>1225</v>
      </c>
      <c r="AL19" s="3" t="s">
        <v>766</v>
      </c>
      <c r="AM19" s="3" t="s">
        <v>48</v>
      </c>
      <c r="AN19" s="3" t="s">
        <v>50</v>
      </c>
      <c r="AO19" s="3" t="s">
        <v>1226</v>
      </c>
      <c r="AP19" s="3" t="s">
        <v>48</v>
      </c>
      <c r="AQ19" s="3" t="s">
        <v>82</v>
      </c>
      <c r="AR19" s="3" t="s">
        <v>48</v>
      </c>
      <c r="AS19" s="3" t="s">
        <v>1227</v>
      </c>
      <c r="AT19" s="3" t="s">
        <v>48</v>
      </c>
      <c r="AU19" s="3" t="s">
        <v>1228</v>
      </c>
      <c r="AV19" s="3" t="s">
        <v>1229</v>
      </c>
      <c r="AW19" s="3" t="s">
        <v>1230</v>
      </c>
      <c r="AX19" s="3" t="s">
        <v>337</v>
      </c>
      <c r="AY19" s="3" t="s">
        <v>494</v>
      </c>
      <c r="AZ19" s="3" t="s">
        <v>495</v>
      </c>
      <c r="BA19" s="3" t="s">
        <v>323</v>
      </c>
      <c r="BB19" s="3" t="s">
        <v>496</v>
      </c>
      <c r="BC19" s="3" t="s">
        <v>767</v>
      </c>
      <c r="BD19" s="3" t="s">
        <v>497</v>
      </c>
      <c r="BE19" s="3" t="s">
        <v>498</v>
      </c>
      <c r="BF19" s="3" t="s">
        <v>499</v>
      </c>
      <c r="BG19" s="3" t="s">
        <v>500</v>
      </c>
      <c r="BH19" s="3" t="s">
        <v>703</v>
      </c>
      <c r="BI19" s="3" t="s">
        <v>85</v>
      </c>
      <c r="BJ19" s="3" t="s">
        <v>337</v>
      </c>
      <c r="BK19" s="3" t="s">
        <v>764</v>
      </c>
      <c r="BL19" s="3" t="s">
        <v>1231</v>
      </c>
      <c r="BM19" s="3" t="s">
        <v>767</v>
      </c>
      <c r="BN19" s="3" t="s">
        <v>48</v>
      </c>
      <c r="BO19" s="3">
        <v>13.08</v>
      </c>
      <c r="BP19" s="3" t="s">
        <v>48</v>
      </c>
      <c r="BQ19" s="3">
        <v>-10.35</v>
      </c>
      <c r="BR19" s="3" t="s">
        <v>48</v>
      </c>
      <c r="BS19" s="3" t="s">
        <v>48</v>
      </c>
      <c r="BT19" s="3" t="s">
        <v>439</v>
      </c>
      <c r="BU19" s="3" t="s">
        <v>97</v>
      </c>
      <c r="BV19" s="3">
        <v>-7.01</v>
      </c>
      <c r="BW19" s="3">
        <v>6.85</v>
      </c>
      <c r="BX19" s="3">
        <v>11.29</v>
      </c>
      <c r="BY19" s="3">
        <v>-208.13</v>
      </c>
      <c r="BZ19" s="3">
        <v>11.23</v>
      </c>
      <c r="CA19" s="3">
        <v>-69.069999999999993</v>
      </c>
      <c r="CB19" s="3">
        <v>0.75</v>
      </c>
      <c r="CC19" s="10">
        <v>-6.94</v>
      </c>
      <c r="CD19" s="11" t="s">
        <v>1232</v>
      </c>
      <c r="CE19" s="10" t="s">
        <v>1233</v>
      </c>
      <c r="CF19" s="10">
        <v>-0.3018728</v>
      </c>
      <c r="CG19" s="10">
        <v>0.91751066999483621</v>
      </c>
      <c r="CH19" s="10">
        <v>-0.83565741777420044</v>
      </c>
      <c r="CI19" s="10">
        <v>-0.24142856895923615</v>
      </c>
      <c r="CJ19" s="11">
        <v>0.3461538553237915</v>
      </c>
      <c r="CK19" s="11">
        <v>-0.28767123818397522</v>
      </c>
      <c r="CL19" s="11">
        <v>-0.34821429848670959</v>
      </c>
      <c r="CM19" s="11">
        <v>-1.2652950286865234</v>
      </c>
      <c r="CN19" s="11">
        <v>1.1252795457839966</v>
      </c>
      <c r="CO19" s="3">
        <v>0.29489052295684814</v>
      </c>
      <c r="CP19" s="3">
        <v>-11.202515602111816</v>
      </c>
      <c r="CQ19" s="3">
        <v>1.0385642051696777</v>
      </c>
      <c r="CR19" s="10">
        <v>-7.9425973242965702</v>
      </c>
      <c r="CS19" s="11">
        <v>-0.29055072632517992</v>
      </c>
      <c r="CT19" s="3">
        <v>0</v>
      </c>
      <c r="CU19" s="3">
        <v>-0.27336353361606597</v>
      </c>
      <c r="CV19" s="3">
        <v>-2.0018152713775637</v>
      </c>
      <c r="CW19" s="3">
        <v>0.06</v>
      </c>
      <c r="CX19" s="3" t="e">
        <v>#VALUE!</v>
      </c>
      <c r="CY19" s="3" t="s">
        <v>290</v>
      </c>
      <c r="CZ19" s="3">
        <v>-0.27336353361606597</v>
      </c>
      <c r="DA19" s="3" t="e">
        <v>#VALUE!</v>
      </c>
      <c r="DB19" s="3" t="s">
        <v>291</v>
      </c>
      <c r="DC19" s="3">
        <v>-0.25969535693526263</v>
      </c>
      <c r="DD19" s="3" t="e">
        <v>#VALUE!</v>
      </c>
      <c r="DE19" s="3" t="s">
        <v>291</v>
      </c>
      <c r="DF19" s="3">
        <v>-0.24055990958213805</v>
      </c>
      <c r="DG19" s="3" t="e">
        <v>#VALUE!</v>
      </c>
      <c r="DH19" s="3" t="s">
        <v>291</v>
      </c>
      <c r="DI19" s="3">
        <v>-0.2186908268928528</v>
      </c>
      <c r="DJ19" s="3" t="e">
        <v>#VALUE!</v>
      </c>
      <c r="DK19" s="3" t="s">
        <v>291</v>
      </c>
      <c r="DL19" s="3">
        <v>-0.19135447353124616</v>
      </c>
      <c r="DM19" s="3">
        <v>-16053000</v>
      </c>
      <c r="DN19" s="3">
        <v>-0.27336353361606597</v>
      </c>
      <c r="DO19" s="3">
        <v>3746107200</v>
      </c>
      <c r="DP19" s="3">
        <v>269446100.00000006</v>
      </c>
      <c r="DQ19" s="12">
        <v>3361</v>
      </c>
      <c r="DR19" s="3">
        <v>-2.8509266383934029E-2</v>
      </c>
      <c r="DS19" s="3">
        <v>2.9193259413723998</v>
      </c>
      <c r="DT19" s="3">
        <v>-1.0066666666666666</v>
      </c>
      <c r="DU19" s="3">
        <v>-2.081666666666667</v>
      </c>
      <c r="DV19" s="3">
        <v>-3.0883333333333338</v>
      </c>
      <c r="DW19" s="3">
        <v>-2.0693999999999999</v>
      </c>
      <c r="DX19" s="3">
        <v>0.26057727999999997</v>
      </c>
      <c r="DY19" s="3">
        <v>-2.0055920632320001</v>
      </c>
      <c r="DZ19" s="3">
        <v>4334</v>
      </c>
      <c r="EA19" s="3">
        <v>-2.0008492056884601</v>
      </c>
      <c r="EB19" s="13">
        <v>2</v>
      </c>
      <c r="EC19" s="13">
        <v>1.8223472675791479E-2</v>
      </c>
      <c r="ED19" s="3">
        <v>0.22616142758593338</v>
      </c>
      <c r="EE19" s="3">
        <v>-2.0297000000000001</v>
      </c>
      <c r="EF19" s="3">
        <v>-2.0209000000000001</v>
      </c>
      <c r="EG19" s="3">
        <v>18.08057728</v>
      </c>
      <c r="EH19" s="15" t="s">
        <v>1234</v>
      </c>
      <c r="EI19" s="3">
        <v>0</v>
      </c>
      <c r="EJ19" s="3">
        <v>0</v>
      </c>
      <c r="EK19" s="3">
        <v>45470</v>
      </c>
      <c r="EL19" s="3">
        <v>0.44</v>
      </c>
      <c r="EM19" s="3">
        <v>-4.42</v>
      </c>
      <c r="EN19" s="16">
        <v>3.24</v>
      </c>
      <c r="EO19" s="16">
        <v>2.2400000000000002</v>
      </c>
      <c r="EP19" s="16">
        <v>-0.88</v>
      </c>
    </row>
    <row r="20" spans="1:146" ht="96" x14ac:dyDescent="0.25">
      <c r="C20" s="7" t="str">
        <f>""&amp;CHAR(10)&amp;Basic_Fundamental_Information_Constructure(F20)&amp;CHAR(10)&amp;Basic_Fundamental_Information_Concatenate("")</f>
        <v xml:space="preserve">
市值57.270965亿, 利润1187.73万; PE71.54; 平均PE24.9; 平均PEG89.01, PB1.65; ROIC13.9967%; ROE15.3233%; 股利率.9901%; 毛利10.6533%; 净利10.2333%; 上一年度营收增-83.92%, 利润增-97.87%; 当季营收增-55.86%, 利润增-69.37%; 过往5年营收增-.28%, 利润增56.06%
Income profile:
</v>
      </c>
      <c r="D20" s="3" t="s">
        <v>233</v>
      </c>
      <c r="E20" s="3" t="s">
        <v>234</v>
      </c>
      <c r="F20" s="3">
        <v>5.05</v>
      </c>
      <c r="G20" s="3">
        <v>-0.39</v>
      </c>
      <c r="H20" s="3" t="s">
        <v>1235</v>
      </c>
      <c r="I20" s="3">
        <v>5727096500</v>
      </c>
      <c r="J20" s="3">
        <v>71.540000000000006</v>
      </c>
      <c r="K20" s="3">
        <v>1.65</v>
      </c>
      <c r="L20" s="3" t="s">
        <v>97</v>
      </c>
      <c r="M20" s="3" t="s">
        <v>768</v>
      </c>
      <c r="N20" s="3" t="s">
        <v>1236</v>
      </c>
      <c r="O20" s="3" t="s">
        <v>769</v>
      </c>
      <c r="P20" s="3">
        <v>-10.77</v>
      </c>
      <c r="Q20" s="3" t="s">
        <v>769</v>
      </c>
      <c r="R20" s="3">
        <v>11877276</v>
      </c>
      <c r="S20" s="5">
        <v>-0.35639999999999999</v>
      </c>
      <c r="T20" s="3" t="s">
        <v>1237</v>
      </c>
      <c r="U20" s="3">
        <v>1102163620</v>
      </c>
      <c r="V20" s="3">
        <v>1134078510</v>
      </c>
      <c r="W20" s="3">
        <v>1.31</v>
      </c>
      <c r="X20" s="3">
        <v>0.1</v>
      </c>
      <c r="Y20" s="3">
        <v>2.4500000000000002</v>
      </c>
      <c r="Z20" s="3" t="s">
        <v>903</v>
      </c>
      <c r="AA20" s="3" t="s">
        <v>1238</v>
      </c>
      <c r="AB20" s="3" t="s">
        <v>1239</v>
      </c>
      <c r="AC20" s="3" t="s">
        <v>1240</v>
      </c>
      <c r="AD20" s="3" t="s">
        <v>48</v>
      </c>
      <c r="AE20" s="3">
        <v>-7630887</v>
      </c>
      <c r="AF20" s="3" t="s">
        <v>771</v>
      </c>
      <c r="AG20" s="3" t="s">
        <v>1241</v>
      </c>
      <c r="AH20" s="3" t="s">
        <v>772</v>
      </c>
      <c r="AI20" s="3" t="s">
        <v>1242</v>
      </c>
      <c r="AJ20" s="3" t="s">
        <v>773</v>
      </c>
      <c r="AK20" s="3" t="s">
        <v>441</v>
      </c>
      <c r="AL20" s="3" t="s">
        <v>774</v>
      </c>
      <c r="AM20" s="3" t="s">
        <v>48</v>
      </c>
      <c r="AN20" s="3" t="s">
        <v>1243</v>
      </c>
      <c r="AO20" s="3" t="s">
        <v>1244</v>
      </c>
      <c r="AP20" s="3" t="s">
        <v>1245</v>
      </c>
      <c r="AQ20" s="3" t="s">
        <v>356</v>
      </c>
      <c r="AR20" s="3" t="s">
        <v>48</v>
      </c>
      <c r="AS20" s="3" t="s">
        <v>504</v>
      </c>
      <c r="AT20" s="3" t="s">
        <v>557</v>
      </c>
      <c r="AU20" s="3" t="s">
        <v>1246</v>
      </c>
      <c r="AV20" s="3" t="s">
        <v>1247</v>
      </c>
      <c r="AW20" s="3" t="s">
        <v>1248</v>
      </c>
      <c r="AX20" s="3" t="s">
        <v>502</v>
      </c>
      <c r="AY20" s="3" t="s">
        <v>267</v>
      </c>
      <c r="AZ20" s="3" t="s">
        <v>235</v>
      </c>
      <c r="BA20" s="3" t="s">
        <v>236</v>
      </c>
      <c r="BB20" s="3" t="s">
        <v>237</v>
      </c>
      <c r="BC20" s="3" t="s">
        <v>503</v>
      </c>
      <c r="BD20" s="3" t="s">
        <v>170</v>
      </c>
      <c r="BE20" s="3" t="s">
        <v>64</v>
      </c>
      <c r="BF20" s="3" t="s">
        <v>238</v>
      </c>
      <c r="BG20" s="3" t="s">
        <v>239</v>
      </c>
      <c r="BH20" s="3" t="s">
        <v>586</v>
      </c>
      <c r="BI20" s="3" t="s">
        <v>965</v>
      </c>
      <c r="BJ20" s="3" t="s">
        <v>502</v>
      </c>
      <c r="BK20" s="3" t="s">
        <v>770</v>
      </c>
      <c r="BL20" s="3" t="s">
        <v>1249</v>
      </c>
      <c r="BM20" s="3" t="s">
        <v>503</v>
      </c>
      <c r="BN20" s="3">
        <v>1.57</v>
      </c>
      <c r="BO20" s="3">
        <v>22.71</v>
      </c>
      <c r="BP20" s="3">
        <v>17.71</v>
      </c>
      <c r="BQ20" s="3">
        <v>2.4900000000000002</v>
      </c>
      <c r="BR20" s="3">
        <v>24.99</v>
      </c>
      <c r="BS20" s="3">
        <v>18.489999999999998</v>
      </c>
      <c r="BT20" s="3" t="s">
        <v>461</v>
      </c>
      <c r="BU20" s="3" t="s">
        <v>97</v>
      </c>
      <c r="BV20" s="3">
        <v>8.24</v>
      </c>
      <c r="BW20" s="3">
        <v>9.14</v>
      </c>
      <c r="BX20" s="3">
        <v>14.58</v>
      </c>
      <c r="BY20" s="3">
        <v>3.87</v>
      </c>
      <c r="BZ20" s="3">
        <v>18.420000000000002</v>
      </c>
      <c r="CA20" s="3">
        <v>8.41</v>
      </c>
      <c r="CB20" s="3">
        <v>7.68</v>
      </c>
      <c r="CC20" s="3">
        <v>4.55</v>
      </c>
      <c r="CD20" s="3" t="s">
        <v>470</v>
      </c>
      <c r="CE20" s="3" t="s">
        <v>1250</v>
      </c>
      <c r="CF20" s="10">
        <v>-0.55858310626703001</v>
      </c>
      <c r="CG20" s="11">
        <v>-0.6937038612995815</v>
      </c>
      <c r="CH20" s="10">
        <v>-0.83917933702468872</v>
      </c>
      <c r="CI20" s="10">
        <v>-0.3213563859462738</v>
      </c>
      <c r="CJ20" s="10">
        <v>0.7783547043800354</v>
      </c>
      <c r="CK20" s="10">
        <v>6.5531857311725616E-2</v>
      </c>
      <c r="CL20" s="10">
        <v>0.30266082286834717</v>
      </c>
      <c r="CM20" s="11">
        <v>-0.97867625951766968</v>
      </c>
      <c r="CN20" s="11">
        <v>0.48533332347869873</v>
      </c>
      <c r="CO20" s="11">
        <v>0.6741071343421936</v>
      </c>
      <c r="CP20" s="11">
        <v>0.38271605968475342</v>
      </c>
      <c r="CQ20" s="11">
        <v>2.2395138740539551</v>
      </c>
      <c r="CR20" s="3">
        <v>24.902498382473667</v>
      </c>
      <c r="CS20" s="3">
        <v>89.011638305627542</v>
      </c>
      <c r="CT20" s="3">
        <v>0.99009900990099009</v>
      </c>
      <c r="CU20" s="10">
        <v>-2.7976676821708677E-3</v>
      </c>
      <c r="CV20" s="11">
        <v>0.56059882640838621</v>
      </c>
      <c r="CW20" s="3">
        <v>0.06</v>
      </c>
      <c r="CX20" s="3">
        <v>297.63468970220504</v>
      </c>
      <c r="CY20" s="3" t="s">
        <v>1251</v>
      </c>
      <c r="CZ20" s="3">
        <v>-2.7976676821708677E-3</v>
      </c>
      <c r="DA20" s="3">
        <v>99.21156323406835</v>
      </c>
      <c r="DB20" s="3" t="s">
        <v>1252</v>
      </c>
      <c r="DC20" s="3">
        <v>-2.6577842980623242E-3</v>
      </c>
      <c r="DD20" s="3">
        <v>49.605781617034175</v>
      </c>
      <c r="DE20" s="3" t="s">
        <v>1253</v>
      </c>
      <c r="DF20" s="3">
        <v>-2.4619475603103636E-3</v>
      </c>
      <c r="DG20" s="3">
        <v>29.763468970220504</v>
      </c>
      <c r="DH20" s="3" t="s">
        <v>1254</v>
      </c>
      <c r="DI20" s="3">
        <v>-2.2381341457366941E-3</v>
      </c>
      <c r="DJ20" s="3">
        <v>14.881734485110252</v>
      </c>
      <c r="DK20" s="3" t="s">
        <v>1255</v>
      </c>
      <c r="DL20" s="3">
        <v>-1.9583673775196075E-3</v>
      </c>
      <c r="DM20" s="3">
        <v>11877300</v>
      </c>
      <c r="DN20" s="3">
        <v>-2.7976676821708677E-3</v>
      </c>
      <c r="DO20" s="3">
        <v>3535096500</v>
      </c>
      <c r="DP20" s="3">
        <v>2418650300</v>
      </c>
      <c r="DQ20" s="3">
        <v>3846</v>
      </c>
      <c r="DR20" s="3">
        <v>-0.55578543858485918</v>
      </c>
      <c r="DS20" s="3">
        <v>-1.2543026877079677</v>
      </c>
      <c r="DT20" s="12">
        <v>-0.55666666666666664</v>
      </c>
      <c r="DU20" s="3">
        <v>0.28000000000000003</v>
      </c>
      <c r="DV20" s="3">
        <v>-0.27666666666666662</v>
      </c>
      <c r="DW20" s="3">
        <v>5.592447916666667</v>
      </c>
      <c r="DX20" s="3">
        <v>0.5070858895705519</v>
      </c>
      <c r="DY20" s="3">
        <v>5.1167631246804701</v>
      </c>
      <c r="DZ20" s="3">
        <v>4114</v>
      </c>
      <c r="EA20" s="3">
        <v>5.0227585268457435</v>
      </c>
      <c r="EB20" s="3">
        <v>5</v>
      </c>
      <c r="EC20" s="3">
        <v>0.22661570405738485</v>
      </c>
      <c r="ED20" s="3">
        <v>1.1498322104701553</v>
      </c>
      <c r="EE20" s="13">
        <v>-2.0394999999999999</v>
      </c>
      <c r="EF20" s="3">
        <v>-2.0438999999999998</v>
      </c>
      <c r="EG20" s="3">
        <v>31.197085889570552</v>
      </c>
      <c r="EH20" s="3" t="s">
        <v>1234</v>
      </c>
      <c r="EI20" s="3">
        <v>1</v>
      </c>
      <c r="EJ20" s="3">
        <v>0</v>
      </c>
      <c r="EK20" s="15">
        <v>45470</v>
      </c>
      <c r="EL20" s="16">
        <v>4.8</v>
      </c>
      <c r="EM20" s="16">
        <v>-3.59</v>
      </c>
      <c r="EN20" s="16">
        <v>0</v>
      </c>
      <c r="EO20" s="16">
        <v>-5.17</v>
      </c>
      <c r="EP20" s="16">
        <v>0.44</v>
      </c>
    </row>
    <row r="21" spans="1:146" ht="84" x14ac:dyDescent="0.25">
      <c r="C21" s="7" t="str">
        <f>""&amp;CHAR(10)&amp;Basic_Fundamental_Information_Constructure(F21)&amp;CHAR(10)&amp;Basic_Fundamental_Information_Concatenate("")</f>
        <v xml:space="preserve">
市值48.474602亿, 利润2539.15万; PE46.68; 平均PE90.74; 平均PEG16.39, PB2.93; ROIC3.69%; ROE6.8533%; 股利率.6762%; 毛利25.32%; 净利7.74%; 上一年度营收增-74.01%, 利润增-76.05%; 当季营收增-51.1%, 利润增-60.8%; 过往5年营收增5.54%, 利润增12.74%
Income profile:
</v>
      </c>
      <c r="D21" s="3" t="s">
        <v>191</v>
      </c>
      <c r="E21" s="3" t="s">
        <v>192</v>
      </c>
      <c r="F21" s="3">
        <v>12.57</v>
      </c>
      <c r="G21" s="3">
        <v>-1.64</v>
      </c>
      <c r="H21" s="3" t="s">
        <v>1256</v>
      </c>
      <c r="I21" s="3">
        <v>4847460200</v>
      </c>
      <c r="J21" s="3">
        <v>46.68</v>
      </c>
      <c r="K21" s="3">
        <v>2.93</v>
      </c>
      <c r="L21" s="3" t="s">
        <v>97</v>
      </c>
      <c r="M21" s="3" t="s">
        <v>777</v>
      </c>
      <c r="N21" s="3" t="s">
        <v>1257</v>
      </c>
      <c r="O21" s="3" t="s">
        <v>505</v>
      </c>
      <c r="P21" s="3">
        <v>7.99</v>
      </c>
      <c r="Q21" s="3" t="s">
        <v>505</v>
      </c>
      <c r="R21" s="3">
        <v>25391517</v>
      </c>
      <c r="S21" s="5">
        <v>-5.2900000000000003E-2</v>
      </c>
      <c r="T21" s="3" t="s">
        <v>1258</v>
      </c>
      <c r="U21" s="3">
        <v>385637250</v>
      </c>
      <c r="V21" s="3">
        <v>385637250</v>
      </c>
      <c r="W21" s="3">
        <v>1.47</v>
      </c>
      <c r="X21" s="3">
        <v>0.09</v>
      </c>
      <c r="Y21" s="3">
        <v>8.5</v>
      </c>
      <c r="Z21" s="3" t="s">
        <v>1057</v>
      </c>
      <c r="AA21" s="3" t="s">
        <v>549</v>
      </c>
      <c r="AB21" s="3" t="s">
        <v>1259</v>
      </c>
      <c r="AC21" s="3" t="s">
        <v>1260</v>
      </c>
      <c r="AD21" s="3" t="s">
        <v>48</v>
      </c>
      <c r="AE21" s="3">
        <v>-2186937</v>
      </c>
      <c r="AF21" s="3" t="s">
        <v>62</v>
      </c>
      <c r="AG21" s="3">
        <v>8533.44</v>
      </c>
      <c r="AH21" s="3" t="s">
        <v>779</v>
      </c>
      <c r="AI21" s="3" t="s">
        <v>838</v>
      </c>
      <c r="AJ21" s="3" t="s">
        <v>780</v>
      </c>
      <c r="AK21" s="3" t="s">
        <v>1261</v>
      </c>
      <c r="AL21" s="3" t="s">
        <v>781</v>
      </c>
      <c r="AM21" s="3" t="s">
        <v>48</v>
      </c>
      <c r="AN21" s="3" t="s">
        <v>1262</v>
      </c>
      <c r="AO21" s="3" t="s">
        <v>360</v>
      </c>
      <c r="AP21" s="3" t="s">
        <v>1263</v>
      </c>
      <c r="AQ21" s="3" t="s">
        <v>1264</v>
      </c>
      <c r="AR21" s="3" t="s">
        <v>48</v>
      </c>
      <c r="AS21" s="3" t="s">
        <v>1265</v>
      </c>
      <c r="AT21" s="3" t="s">
        <v>361</v>
      </c>
      <c r="AU21" s="3" t="s">
        <v>1266</v>
      </c>
      <c r="AV21" s="3" t="s">
        <v>1267</v>
      </c>
      <c r="AW21" s="3" t="s">
        <v>1268</v>
      </c>
      <c r="AX21" s="3" t="s">
        <v>504</v>
      </c>
      <c r="AY21" s="3" t="s">
        <v>268</v>
      </c>
      <c r="AZ21" s="3" t="s">
        <v>193</v>
      </c>
      <c r="BA21" s="3" t="s">
        <v>195</v>
      </c>
      <c r="BB21" s="3" t="s">
        <v>180</v>
      </c>
      <c r="BC21" s="3" t="s">
        <v>86</v>
      </c>
      <c r="BD21" s="3" t="s">
        <v>269</v>
      </c>
      <c r="BE21" s="3" t="s">
        <v>194</v>
      </c>
      <c r="BF21" s="3" t="s">
        <v>196</v>
      </c>
      <c r="BG21" s="3" t="s">
        <v>197</v>
      </c>
      <c r="BH21" s="3" t="s">
        <v>778</v>
      </c>
      <c r="BI21" s="3" t="s">
        <v>1269</v>
      </c>
      <c r="BJ21" s="3" t="s">
        <v>504</v>
      </c>
      <c r="BK21" s="3" t="s">
        <v>360</v>
      </c>
      <c r="BL21" s="3" t="s">
        <v>1270</v>
      </c>
      <c r="BM21" s="3" t="s">
        <v>86</v>
      </c>
      <c r="BN21" s="3">
        <v>2.94</v>
      </c>
      <c r="BO21" s="3">
        <v>4.63</v>
      </c>
      <c r="BP21" s="3">
        <v>3.5</v>
      </c>
      <c r="BQ21" s="3">
        <v>5.89</v>
      </c>
      <c r="BR21" s="3">
        <v>9.68</v>
      </c>
      <c r="BS21" s="3">
        <v>4.99</v>
      </c>
      <c r="BT21" s="3" t="s">
        <v>782</v>
      </c>
      <c r="BU21" s="3" t="s">
        <v>97</v>
      </c>
      <c r="BV21" s="3">
        <v>26.06</v>
      </c>
      <c r="BW21" s="3">
        <v>27.75</v>
      </c>
      <c r="BX21" s="3">
        <v>22.15</v>
      </c>
      <c r="BY21" s="3">
        <v>6.52</v>
      </c>
      <c r="BZ21" s="3">
        <v>9.64</v>
      </c>
      <c r="CA21" s="3">
        <v>7.06</v>
      </c>
      <c r="CB21" s="3">
        <v>-6.12</v>
      </c>
      <c r="CC21" s="3">
        <v>6.03</v>
      </c>
      <c r="CD21" s="3" t="s">
        <v>1271</v>
      </c>
      <c r="CE21" s="3" t="s">
        <v>642</v>
      </c>
      <c r="CF21" s="10">
        <v>-0.51102204408817631</v>
      </c>
      <c r="CG21" s="11">
        <v>-0.60800073794585507</v>
      </c>
      <c r="CH21" s="10">
        <v>-0.74014908075332642</v>
      </c>
      <c r="CI21" s="10">
        <v>0.18560606241226196</v>
      </c>
      <c r="CJ21" s="10">
        <v>0.40425533056259155</v>
      </c>
      <c r="CK21" s="10">
        <v>0.15102040767669678</v>
      </c>
      <c r="CL21" s="10">
        <v>0.2760416567325592</v>
      </c>
      <c r="CM21" s="11">
        <v>-0.76045751571655273</v>
      </c>
      <c r="CN21" s="11">
        <v>0.87585055828094482</v>
      </c>
      <c r="CO21" s="11">
        <v>-2.8958858922123909E-2</v>
      </c>
      <c r="CP21" s="11">
        <v>0.68584185838699341</v>
      </c>
      <c r="CQ21" s="11">
        <v>-0.13537275791168213</v>
      </c>
      <c r="CR21" s="3">
        <v>90.738515563725258</v>
      </c>
      <c r="CS21" s="3">
        <v>16.392145231848975</v>
      </c>
      <c r="CT21" s="3">
        <v>0.67621320604614155</v>
      </c>
      <c r="CU21" s="10">
        <v>5.5354875326156613E-2</v>
      </c>
      <c r="CV21" s="11">
        <v>0.1273806568235159</v>
      </c>
      <c r="CW21" s="3">
        <v>0.06</v>
      </c>
      <c r="CX21" s="3">
        <v>149.85861553896754</v>
      </c>
      <c r="CY21" s="3">
        <v>25280229.544192549</v>
      </c>
      <c r="CZ21" s="3">
        <v>5.5354875326156613E-2</v>
      </c>
      <c r="DA21" s="3">
        <v>50.436112557119358</v>
      </c>
      <c r="DB21" s="3">
        <v>75114040.474660575</v>
      </c>
      <c r="DC21" s="3">
        <v>5.2587131559848781E-2</v>
      </c>
      <c r="DD21" s="3">
        <v>25.812127911861829</v>
      </c>
      <c r="DE21" s="3">
        <v>146770549.60118312</v>
      </c>
      <c r="DF21" s="3">
        <v>4.8712290287017818E-2</v>
      </c>
      <c r="DG21" s="3">
        <v>16.182841218389797</v>
      </c>
      <c r="DH21" s="3">
        <v>234103526.62268499</v>
      </c>
      <c r="DI21" s="3">
        <v>4.4283900260925296E-2</v>
      </c>
      <c r="DJ21" s="3">
        <v>9.1651523296879223</v>
      </c>
      <c r="DK21" s="3">
        <v>413354853.65893519</v>
      </c>
      <c r="DL21" s="3">
        <v>3.8748412728309624E-2</v>
      </c>
      <c r="DM21" s="3">
        <v>25391500</v>
      </c>
      <c r="DN21" s="3">
        <v>5.5354875326156613E-2</v>
      </c>
      <c r="DO21" s="3">
        <v>3788460200</v>
      </c>
      <c r="DP21" s="3">
        <v>811433800</v>
      </c>
      <c r="DQ21" s="3">
        <v>3911</v>
      </c>
      <c r="DR21" s="3">
        <v>-0.56637691941433288</v>
      </c>
      <c r="DS21" s="3">
        <v>-0.73538139476937103</v>
      </c>
      <c r="DT21" s="12">
        <v>-0.27333333333333343</v>
      </c>
      <c r="DU21" s="3">
        <v>-0.24</v>
      </c>
      <c r="DV21" s="3">
        <v>-0.51333333333333342</v>
      </c>
      <c r="DW21" s="3">
        <v>-5.9852941176470589</v>
      </c>
      <c r="DX21" s="3">
        <v>0.30619298969072273</v>
      </c>
      <c r="DY21" s="3">
        <v>-5.0849254457246813</v>
      </c>
      <c r="DZ21" s="3">
        <v>2984</v>
      </c>
      <c r="EA21" s="3">
        <v>-5.0353329740921078</v>
      </c>
      <c r="EB21" s="3">
        <v>5</v>
      </c>
      <c r="EC21" s="3">
        <v>0.10840135386298912</v>
      </c>
      <c r="ED21" s="3">
        <v>1.2576585897757542</v>
      </c>
      <c r="EE21" s="13">
        <v>1.7909999999999999E-2</v>
      </c>
      <c r="EF21" s="3">
        <v>5.2810000000000003E-2</v>
      </c>
      <c r="EG21" s="3">
        <v>22.086192989690723</v>
      </c>
      <c r="EH21" s="3">
        <v>-1</v>
      </c>
      <c r="EI21" s="3">
        <v>0</v>
      </c>
      <c r="EJ21" s="3">
        <v>0</v>
      </c>
      <c r="EK21" s="15">
        <v>45470</v>
      </c>
      <c r="EL21" s="16">
        <v>-1.71</v>
      </c>
      <c r="EM21" s="16">
        <v>-1.74</v>
      </c>
      <c r="EN21" s="16">
        <v>-1.18</v>
      </c>
      <c r="EO21" s="16">
        <v>2.99</v>
      </c>
      <c r="EP21" s="16">
        <v>-3.49</v>
      </c>
    </row>
    <row r="22" spans="1:146" ht="84" x14ac:dyDescent="0.25">
      <c r="A22" s="3"/>
      <c r="B22" s="3"/>
      <c r="C22" s="7" t="str">
        <f>""&amp;CHAR(10)&amp;Basic_Fundamental_Information_Constructure(F22)&amp;CHAR(10)&amp;Basic_Fundamental_Information_Concatenate("")</f>
        <v xml:space="preserve">
市值24.30272亿, 利润1527.95万; PE17.44; 平均PE16.97; 平均PEG3.63, PB1.21; ROIC9.1967%; ROE10.6967%; 股利率4.9213%; 毛利24.29%; 净利11.36%; 上一年度营收增-77.17%, 利润增-93.3%; 当季营收增-55.12%, 利润增-59.31%; 过往5年营收增-4.67%, 利润增-5.84%
Income profile:
</v>
      </c>
      <c r="D22" s="3" t="s">
        <v>1272</v>
      </c>
      <c r="E22" s="3" t="s">
        <v>1273</v>
      </c>
      <c r="F22" s="3">
        <v>10.16</v>
      </c>
      <c r="G22" s="3">
        <v>0</v>
      </c>
      <c r="H22" s="3" t="s">
        <v>1274</v>
      </c>
      <c r="I22" s="3">
        <v>2430272000</v>
      </c>
      <c r="J22" s="3">
        <v>17.440000000000001</v>
      </c>
      <c r="K22" s="3">
        <v>1.21</v>
      </c>
      <c r="L22" s="3" t="s">
        <v>97</v>
      </c>
      <c r="M22" s="3" t="s">
        <v>1275</v>
      </c>
      <c r="N22" s="3" t="s">
        <v>1276</v>
      </c>
      <c r="O22" s="3" t="s">
        <v>84</v>
      </c>
      <c r="P22" s="5">
        <v>-7.23</v>
      </c>
      <c r="Q22" s="3" t="s">
        <v>84</v>
      </c>
      <c r="R22" s="3">
        <v>15279550</v>
      </c>
      <c r="S22" s="3">
        <v>0.20180000000000001</v>
      </c>
      <c r="T22" s="3" t="s">
        <v>1277</v>
      </c>
      <c r="U22" s="3">
        <v>239200000</v>
      </c>
      <c r="V22" s="3">
        <v>239200000</v>
      </c>
      <c r="W22" s="3">
        <v>1.19</v>
      </c>
      <c r="X22" s="3">
        <v>0.17</v>
      </c>
      <c r="Y22" s="3">
        <v>3.79</v>
      </c>
      <c r="Z22" s="3" t="s">
        <v>961</v>
      </c>
      <c r="AA22" s="3" t="s">
        <v>1278</v>
      </c>
      <c r="AB22" s="3" t="s">
        <v>1279</v>
      </c>
      <c r="AC22" s="3" t="s">
        <v>1280</v>
      </c>
      <c r="AD22" s="3" t="s">
        <v>48</v>
      </c>
      <c r="AE22" s="3">
        <v>-2898784</v>
      </c>
      <c r="AF22" s="3" t="s">
        <v>1281</v>
      </c>
      <c r="AG22" s="3">
        <v>1303.0999999999999</v>
      </c>
      <c r="AH22" s="3" t="s">
        <v>1282</v>
      </c>
      <c r="AI22" s="3" t="s">
        <v>998</v>
      </c>
      <c r="AJ22" s="3" t="s">
        <v>1283</v>
      </c>
      <c r="AK22" s="3" t="s">
        <v>1284</v>
      </c>
      <c r="AL22" s="3" t="s">
        <v>1285</v>
      </c>
      <c r="AM22" s="3" t="s">
        <v>48</v>
      </c>
      <c r="AN22" s="3" t="s">
        <v>1286</v>
      </c>
      <c r="AO22" s="3" t="s">
        <v>48</v>
      </c>
      <c r="AP22" s="3" t="s">
        <v>48</v>
      </c>
      <c r="AQ22" s="3" t="s">
        <v>587</v>
      </c>
      <c r="AR22" s="3" t="s">
        <v>48</v>
      </c>
      <c r="AS22" s="3" t="s">
        <v>639</v>
      </c>
      <c r="AT22" s="3" t="s">
        <v>48</v>
      </c>
      <c r="AU22" s="3" t="s">
        <v>1287</v>
      </c>
      <c r="AV22" s="3" t="s">
        <v>1288</v>
      </c>
      <c r="AW22" s="3" t="s">
        <v>48</v>
      </c>
      <c r="AX22" s="3" t="s">
        <v>1289</v>
      </c>
      <c r="AY22" s="3" t="s">
        <v>1290</v>
      </c>
      <c r="AZ22" s="3" t="s">
        <v>922</v>
      </c>
      <c r="BA22" s="3" t="s">
        <v>885</v>
      </c>
      <c r="BB22" s="3" t="s">
        <v>1291</v>
      </c>
      <c r="BC22" s="3" t="s">
        <v>144</v>
      </c>
      <c r="BD22" s="3" t="s">
        <v>80</v>
      </c>
      <c r="BE22" s="3" t="s">
        <v>1107</v>
      </c>
      <c r="BF22" s="3" t="s">
        <v>559</v>
      </c>
      <c r="BG22" s="3" t="s">
        <v>257</v>
      </c>
      <c r="BH22" s="3" t="s">
        <v>1292</v>
      </c>
      <c r="BI22" s="3" t="s">
        <v>1293</v>
      </c>
      <c r="BJ22" s="3" t="s">
        <v>1289</v>
      </c>
      <c r="BK22" s="3" t="s">
        <v>1294</v>
      </c>
      <c r="BL22" s="3" t="s">
        <v>1295</v>
      </c>
      <c r="BM22" s="3" t="s">
        <v>144</v>
      </c>
      <c r="BN22" s="3">
        <v>3.15</v>
      </c>
      <c r="BO22" s="3">
        <v>11.03</v>
      </c>
      <c r="BP22" s="3">
        <v>13.41</v>
      </c>
      <c r="BQ22" s="3">
        <v>3.61</v>
      </c>
      <c r="BR22" s="3">
        <v>11.45</v>
      </c>
      <c r="BS22" s="3">
        <v>17.03</v>
      </c>
      <c r="BT22" s="3" t="s">
        <v>842</v>
      </c>
      <c r="BU22" s="3" t="s">
        <v>97</v>
      </c>
      <c r="BV22" s="3">
        <v>20.440000000000001</v>
      </c>
      <c r="BW22" s="3">
        <v>24.87</v>
      </c>
      <c r="BX22" s="3">
        <v>27.56</v>
      </c>
      <c r="BY22" s="3">
        <v>7.64</v>
      </c>
      <c r="BZ22" s="3">
        <v>12.92</v>
      </c>
      <c r="CA22" s="3">
        <v>13.52</v>
      </c>
      <c r="CB22" s="3">
        <v>-2.31</v>
      </c>
      <c r="CC22" s="10">
        <v>-13.38</v>
      </c>
      <c r="CD22" s="11" t="s">
        <v>1296</v>
      </c>
      <c r="CE22" s="10" t="s">
        <v>1297</v>
      </c>
      <c r="CF22" s="10">
        <v>-0.55122494432071267</v>
      </c>
      <c r="CG22" s="10">
        <v>-0.59312580718175401</v>
      </c>
      <c r="CH22" s="10">
        <v>-0.7716713547706604</v>
      </c>
      <c r="CI22" s="10">
        <v>7.2948329150676727E-2</v>
      </c>
      <c r="CJ22" s="11">
        <v>0.34946665167808533</v>
      </c>
      <c r="CK22" s="11">
        <v>0.11121252179145813</v>
      </c>
      <c r="CL22" s="11">
        <v>4.5786960981786251E-3</v>
      </c>
      <c r="CM22" s="11">
        <v>-0.93298465013504028</v>
      </c>
      <c r="CN22" s="11">
        <v>3.1674209982156754E-2</v>
      </c>
      <c r="CO22" s="3">
        <v>0.75396823883056641</v>
      </c>
      <c r="CP22" s="3">
        <v>5.000000074505806E-2</v>
      </c>
      <c r="CQ22" s="3">
        <v>-0.19463087618350983</v>
      </c>
      <c r="CR22" s="10">
        <v>16.969603022066742</v>
      </c>
      <c r="CS22" s="11">
        <v>3.6342902960363102</v>
      </c>
      <c r="CT22" s="3">
        <v>4.9212598425196852</v>
      </c>
      <c r="CU22" s="3">
        <v>-4.6693031210452318E-2</v>
      </c>
      <c r="CV22" s="3">
        <v>-5.8394615352153775E-2</v>
      </c>
      <c r="CW22" s="3">
        <v>0.06</v>
      </c>
      <c r="CX22" s="3">
        <v>54.338950881900587</v>
      </c>
      <c r="CY22" s="3" t="s">
        <v>1298</v>
      </c>
      <c r="CZ22" s="3">
        <v>-4.6693031210452318E-2</v>
      </c>
      <c r="DA22" s="3">
        <v>18.112983627300196</v>
      </c>
      <c r="DB22" s="3" t="s">
        <v>1299</v>
      </c>
      <c r="DC22" s="3">
        <v>-4.4358379649929704E-2</v>
      </c>
      <c r="DD22" s="3">
        <v>9.0564918136500978</v>
      </c>
      <c r="DE22" s="3" t="s">
        <v>1300</v>
      </c>
      <c r="DF22" s="3">
        <v>-4.1089867465198042E-2</v>
      </c>
      <c r="DG22" s="3">
        <v>5.4338950881900585</v>
      </c>
      <c r="DH22" s="3" t="s">
        <v>1301</v>
      </c>
      <c r="DI22" s="3">
        <v>-3.7354424968361853E-2</v>
      </c>
      <c r="DJ22" s="3">
        <v>2.7169475440950293</v>
      </c>
      <c r="DK22" s="3" t="s">
        <v>1302</v>
      </c>
      <c r="DL22" s="3">
        <v>-3.2685121847316624E-2</v>
      </c>
      <c r="DM22" s="3">
        <v>15279500</v>
      </c>
      <c r="DN22" s="3">
        <v>-4.6693031210452318E-2</v>
      </c>
      <c r="DO22" s="3">
        <v>830272000</v>
      </c>
      <c r="DP22" s="3">
        <v>1292988300</v>
      </c>
      <c r="DQ22" s="12">
        <v>3942</v>
      </c>
      <c r="DR22" s="3">
        <v>-0.50453191311026035</v>
      </c>
      <c r="DS22" s="3">
        <v>-0.53473119182960027</v>
      </c>
      <c r="DT22" s="3">
        <v>-0.64</v>
      </c>
      <c r="DU22" s="3">
        <v>-0.38666666666666666</v>
      </c>
      <c r="DV22" s="3">
        <v>-1.0266666666666666</v>
      </c>
      <c r="DW22" s="3">
        <v>-2.1337999999999999</v>
      </c>
      <c r="DX22" s="3">
        <v>0.37621064646474522</v>
      </c>
      <c r="DY22" s="3">
        <v>-2.0168869844969826</v>
      </c>
      <c r="DZ22" s="3">
        <v>3841</v>
      </c>
      <c r="EA22" s="3">
        <v>-2.0041936562283111</v>
      </c>
      <c r="EB22" s="13">
        <v>2</v>
      </c>
      <c r="EC22" s="13">
        <v>2.1911371237458194E-2</v>
      </c>
      <c r="ED22" s="3">
        <v>0.17360953177257524</v>
      </c>
      <c r="EE22" s="3">
        <v>-2.0257999999999998</v>
      </c>
      <c r="EF22" s="3">
        <v>-2.0043099999999998</v>
      </c>
      <c r="EG22" s="3">
        <v>25.126210646464745</v>
      </c>
      <c r="EH22" s="15" t="s">
        <v>561</v>
      </c>
      <c r="EI22" s="3">
        <v>0</v>
      </c>
      <c r="EJ22" s="3">
        <v>0</v>
      </c>
      <c r="EK22" s="3">
        <v>45470</v>
      </c>
      <c r="EL22" s="3">
        <v>-0.18</v>
      </c>
      <c r="EM22" s="3">
        <v>-4.43</v>
      </c>
      <c r="EN22" s="16">
        <v>2.6</v>
      </c>
      <c r="EO22" s="16">
        <v>2.17</v>
      </c>
      <c r="EP22" s="16">
        <v>-3.01</v>
      </c>
    </row>
    <row r="23" spans="1:146" ht="96" x14ac:dyDescent="0.25">
      <c r="C23" s="7" t="str">
        <f>""&amp;CHAR(10)&amp;Basic_Fundamental_Information_Constructure(F23)&amp;CHAR(10)&amp;Basic_Fundamental_Information_Concatenate("")</f>
        <v xml:space="preserve">
市值38.873972亿, 利润3409.41万; PE21.44; 平均PE36.99; 平均PEG7.71, PB2.58; ROIC10.4167%; ROE11.2633%; 股利率1.3604%; 毛利31.7%; 净利20.83%; 上一年度营收增-79.83%, 利润增-79.08%; 当季营收增-49.71%, 利润增-56.13%; 过往5年营收增-4.8%, 利润增-2.17%
Income profile:
</v>
      </c>
      <c r="D23" s="3" t="s">
        <v>198</v>
      </c>
      <c r="E23" s="3" t="s">
        <v>199</v>
      </c>
      <c r="F23" s="3">
        <v>19.48</v>
      </c>
      <c r="G23" s="3">
        <v>0.46</v>
      </c>
      <c r="H23" s="3" t="s">
        <v>1303</v>
      </c>
      <c r="I23" s="3">
        <v>3887397200</v>
      </c>
      <c r="J23" s="3">
        <v>21.44</v>
      </c>
      <c r="K23" s="3">
        <v>2.58</v>
      </c>
      <c r="L23" s="3" t="s">
        <v>97</v>
      </c>
      <c r="M23" s="3" t="s">
        <v>521</v>
      </c>
      <c r="N23" s="3" t="s">
        <v>1304</v>
      </c>
      <c r="O23" s="3" t="s">
        <v>293</v>
      </c>
      <c r="P23" s="3">
        <v>5.8</v>
      </c>
      <c r="Q23" s="3" t="s">
        <v>293</v>
      </c>
      <c r="R23" s="3">
        <v>34094142</v>
      </c>
      <c r="S23" s="5">
        <v>0.223</v>
      </c>
      <c r="T23" s="3" t="s">
        <v>1305</v>
      </c>
      <c r="U23" s="3">
        <v>199558380</v>
      </c>
      <c r="V23" s="3">
        <v>199558380</v>
      </c>
      <c r="W23" s="3">
        <v>1.1200000000000001</v>
      </c>
      <c r="X23" s="3">
        <v>0.1</v>
      </c>
      <c r="Y23" s="3">
        <v>19.97</v>
      </c>
      <c r="Z23" s="3" t="s">
        <v>109</v>
      </c>
      <c r="AA23" s="3" t="s">
        <v>775</v>
      </c>
      <c r="AB23" s="3" t="s">
        <v>1306</v>
      </c>
      <c r="AC23" s="3" t="s">
        <v>1307</v>
      </c>
      <c r="AD23" s="3" t="s">
        <v>48</v>
      </c>
      <c r="AE23" s="3">
        <v>-5506821</v>
      </c>
      <c r="AF23" s="3" t="s">
        <v>62</v>
      </c>
      <c r="AG23" s="3" t="s">
        <v>1308</v>
      </c>
      <c r="AH23" s="3" t="s">
        <v>783</v>
      </c>
      <c r="AI23" s="3" t="s">
        <v>1309</v>
      </c>
      <c r="AJ23" s="3" t="s">
        <v>784</v>
      </c>
      <c r="AK23" s="3" t="s">
        <v>1310</v>
      </c>
      <c r="AL23" s="3" t="s">
        <v>785</v>
      </c>
      <c r="AM23" s="3" t="s">
        <v>48</v>
      </c>
      <c r="AN23" s="3" t="s">
        <v>1311</v>
      </c>
      <c r="AO23" s="3" t="s">
        <v>48</v>
      </c>
      <c r="AP23" s="3" t="s">
        <v>48</v>
      </c>
      <c r="AQ23" s="3" t="s">
        <v>557</v>
      </c>
      <c r="AR23" s="3" t="s">
        <v>48</v>
      </c>
      <c r="AS23" s="3" t="s">
        <v>363</v>
      </c>
      <c r="AT23" s="3" t="s">
        <v>48</v>
      </c>
      <c r="AU23" s="3" t="s">
        <v>1312</v>
      </c>
      <c r="AV23" s="3" t="s">
        <v>1313</v>
      </c>
      <c r="AW23" s="3" t="s">
        <v>48</v>
      </c>
      <c r="AX23" s="3" t="s">
        <v>506</v>
      </c>
      <c r="AY23" s="3" t="s">
        <v>270</v>
      </c>
      <c r="AZ23" s="3" t="s">
        <v>65</v>
      </c>
      <c r="BA23" s="3" t="s">
        <v>200</v>
      </c>
      <c r="BB23" s="3" t="s">
        <v>201</v>
      </c>
      <c r="BC23" s="3" t="s">
        <v>336</v>
      </c>
      <c r="BD23" s="3" t="s">
        <v>82</v>
      </c>
      <c r="BE23" s="3" t="s">
        <v>145</v>
      </c>
      <c r="BF23" s="3" t="s">
        <v>91</v>
      </c>
      <c r="BG23" s="3" t="s">
        <v>202</v>
      </c>
      <c r="BH23" s="3" t="s">
        <v>592</v>
      </c>
      <c r="BI23" s="3" t="s">
        <v>1314</v>
      </c>
      <c r="BJ23" s="3" t="s">
        <v>506</v>
      </c>
      <c r="BK23" s="3" t="s">
        <v>226</v>
      </c>
      <c r="BL23" s="3" t="s">
        <v>1315</v>
      </c>
      <c r="BM23" s="3" t="s">
        <v>336</v>
      </c>
      <c r="BN23" s="3">
        <v>8.08</v>
      </c>
      <c r="BO23" s="3">
        <v>11.91</v>
      </c>
      <c r="BP23" s="3">
        <v>11.26</v>
      </c>
      <c r="BQ23" s="3">
        <v>8.84</v>
      </c>
      <c r="BR23" s="3">
        <v>12.81</v>
      </c>
      <c r="BS23" s="3">
        <v>12.14</v>
      </c>
      <c r="BT23" s="3" t="s">
        <v>786</v>
      </c>
      <c r="BU23" s="3" t="s">
        <v>97</v>
      </c>
      <c r="BV23" s="3">
        <v>37.39</v>
      </c>
      <c r="BW23" s="3">
        <v>30.23</v>
      </c>
      <c r="BX23" s="3">
        <v>27.48</v>
      </c>
      <c r="BY23" s="3">
        <v>25.18</v>
      </c>
      <c r="BZ23" s="3">
        <v>19.28</v>
      </c>
      <c r="CA23" s="3">
        <v>18.03</v>
      </c>
      <c r="CB23" s="3">
        <v>-4.18</v>
      </c>
      <c r="CC23" s="3">
        <v>-12.82</v>
      </c>
      <c r="CD23" s="3" t="s">
        <v>1316</v>
      </c>
      <c r="CE23" s="3" t="s">
        <v>618</v>
      </c>
      <c r="CF23" s="10">
        <v>-0.49705882352941178</v>
      </c>
      <c r="CG23" s="11">
        <v>-0.56130732292299301</v>
      </c>
      <c r="CH23" s="10">
        <v>-0.79834908246994019</v>
      </c>
      <c r="CI23" s="10">
        <v>8.7179489433765411E-2</v>
      </c>
      <c r="CJ23" s="10">
        <v>0.33561643958091736</v>
      </c>
      <c r="CK23" s="10">
        <v>0.11238095164299011</v>
      </c>
      <c r="CL23" s="10">
        <v>2.3391813039779663E-2</v>
      </c>
      <c r="CM23" s="11">
        <v>-0.79083377122879028</v>
      </c>
      <c r="CN23" s="11">
        <v>0.1560283750295639</v>
      </c>
      <c r="CO23" s="11">
        <v>0.39603960514068604</v>
      </c>
      <c r="CP23" s="11">
        <v>-9.8039219155907631E-3</v>
      </c>
      <c r="CQ23" s="11">
        <v>0.14004439115524292</v>
      </c>
      <c r="CR23" s="3">
        <v>36.989698275021276</v>
      </c>
      <c r="CS23" s="3">
        <v>7.7132451207505648</v>
      </c>
      <c r="CT23" s="3">
        <v>1.3603696098562628</v>
      </c>
      <c r="CU23" s="10">
        <v>-4.7956077754497527E-2</v>
      </c>
      <c r="CV23" s="11">
        <v>-2.1705064363777636E-2</v>
      </c>
      <c r="CW23" s="3">
        <v>0.06</v>
      </c>
      <c r="CX23" s="3">
        <v>75.831220064468638</v>
      </c>
      <c r="CY23" s="3" t="s">
        <v>1317</v>
      </c>
      <c r="CZ23" s="3">
        <v>-4.7956077754497527E-2</v>
      </c>
      <c r="DA23" s="3">
        <v>25.277073354822878</v>
      </c>
      <c r="DB23" s="3" t="s">
        <v>1318</v>
      </c>
      <c r="DC23" s="3">
        <v>-4.555827386677265E-2</v>
      </c>
      <c r="DD23" s="3">
        <v>12.638536677411439</v>
      </c>
      <c r="DE23" s="3" t="s">
        <v>1319</v>
      </c>
      <c r="DF23" s="3">
        <v>-4.2201348423957827E-2</v>
      </c>
      <c r="DG23" s="3">
        <v>7.583122006446863</v>
      </c>
      <c r="DH23" s="3" t="s">
        <v>1320</v>
      </c>
      <c r="DI23" s="3">
        <v>-3.8364862203598027E-2</v>
      </c>
      <c r="DJ23" s="3">
        <v>3.7915610032234315</v>
      </c>
      <c r="DK23" s="3" t="s">
        <v>1321</v>
      </c>
      <c r="DL23" s="3">
        <v>-3.3569254428148267E-2</v>
      </c>
      <c r="DM23" s="3">
        <v>34094100</v>
      </c>
      <c r="DN23" s="3">
        <v>-4.7956077754497527E-2</v>
      </c>
      <c r="DO23" s="3">
        <v>2585397200</v>
      </c>
      <c r="DP23" s="3">
        <v>934774370</v>
      </c>
      <c r="DQ23" s="3">
        <v>4387</v>
      </c>
      <c r="DR23" s="3">
        <v>-0.44910274577491427</v>
      </c>
      <c r="DS23" s="3">
        <v>-0.5396022585592154</v>
      </c>
      <c r="DT23" s="12">
        <v>-0.64</v>
      </c>
      <c r="DU23" s="3">
        <v>-0.26999999999999996</v>
      </c>
      <c r="DV23" s="3">
        <v>-0.90999999999999992</v>
      </c>
      <c r="DW23" s="3">
        <v>-8.3260530421216856</v>
      </c>
      <c r="DX23" s="3">
        <v>0.26821068702290135</v>
      </c>
      <c r="DY23" s="3">
        <v>-8.0222403020090276</v>
      </c>
      <c r="DZ23" s="3">
        <v>2860</v>
      </c>
      <c r="EA23" s="3">
        <v>-8.0097926965793178</v>
      </c>
      <c r="EB23" s="3">
        <v>8</v>
      </c>
      <c r="EC23" s="3">
        <v>4.4776871810645089E-2</v>
      </c>
      <c r="ED23" s="3">
        <v>0.65644950615453979</v>
      </c>
      <c r="EE23" s="13">
        <v>6.4809999999999993E-2</v>
      </c>
      <c r="EF23" s="3">
        <v>8.9609999999999995E-2</v>
      </c>
      <c r="EG23" s="3">
        <v>20.068210687022901</v>
      </c>
      <c r="EH23" s="3">
        <v>-1</v>
      </c>
      <c r="EI23" s="3">
        <v>0</v>
      </c>
      <c r="EJ23" s="3">
        <v>0</v>
      </c>
      <c r="EK23" s="15">
        <v>45470</v>
      </c>
      <c r="EL23" s="16">
        <v>-1.33</v>
      </c>
      <c r="EM23" s="16">
        <v>-5.99</v>
      </c>
      <c r="EN23" s="16">
        <v>-1.91</v>
      </c>
      <c r="EO23" s="16">
        <v>4.63</v>
      </c>
      <c r="EP23" s="16">
        <v>-2.48</v>
      </c>
    </row>
    <row r="24" spans="1:146" ht="96" x14ac:dyDescent="0.25">
      <c r="C24" s="7" t="str">
        <f>""&amp;CHAR(10)&amp;Basic_Fundamental_Information_Constructure(F24)&amp;CHAR(10)&amp;Basic_Fundamental_Information_Concatenate("")</f>
        <v xml:space="preserve">
市值157.63443亿, 利润1.05亿; PE36.52; 平均PE118.85; 平均PEG5.05, PB7.03; ROIC16.25%; ROE16.9267%; 股利率.2859%; 毛利53.7%; 净利26.2467%; 上一年度营收增-64.9%, 利润增-65.12%; 当季营收增-34.26%, 利润增-55.28%; 过往5年营收增23.53%, 利润增47.44%
Income profile:
</v>
      </c>
      <c r="D24" s="3" t="s">
        <v>203</v>
      </c>
      <c r="E24" s="3" t="s">
        <v>204</v>
      </c>
      <c r="F24" s="3">
        <v>122.43</v>
      </c>
      <c r="G24" s="3">
        <v>0.35</v>
      </c>
      <c r="H24" s="3" t="s">
        <v>1322</v>
      </c>
      <c r="I24" s="3">
        <v>15763443000</v>
      </c>
      <c r="J24" s="3">
        <v>36.520000000000003</v>
      </c>
      <c r="K24" s="3">
        <v>7.03</v>
      </c>
      <c r="L24" s="3" t="s">
        <v>97</v>
      </c>
      <c r="M24" s="3" t="s">
        <v>787</v>
      </c>
      <c r="N24" s="3" t="s">
        <v>1323</v>
      </c>
      <c r="O24" s="3" t="s">
        <v>788</v>
      </c>
      <c r="P24" s="3">
        <v>40.51</v>
      </c>
      <c r="Q24" s="3" t="s">
        <v>788</v>
      </c>
      <c r="R24" s="3">
        <v>105080291</v>
      </c>
      <c r="S24" s="5">
        <v>0.37930000000000003</v>
      </c>
      <c r="T24" s="3" t="s">
        <v>360</v>
      </c>
      <c r="U24" s="3">
        <v>128754740</v>
      </c>
      <c r="V24" s="3">
        <v>128754740</v>
      </c>
      <c r="W24" s="3">
        <v>1.22</v>
      </c>
      <c r="X24" s="3">
        <v>0.14000000000000001</v>
      </c>
      <c r="Y24" s="3">
        <v>27.77</v>
      </c>
      <c r="Z24" s="3" t="s">
        <v>657</v>
      </c>
      <c r="AA24" s="3" t="s">
        <v>1324</v>
      </c>
      <c r="AB24" s="3" t="s">
        <v>1325</v>
      </c>
      <c r="AC24" s="3" t="s">
        <v>1326</v>
      </c>
      <c r="AD24" s="3" t="s">
        <v>48</v>
      </c>
      <c r="AE24" s="3">
        <v>-1323463</v>
      </c>
      <c r="AF24" s="3" t="s">
        <v>789</v>
      </c>
      <c r="AG24" s="3" t="s">
        <v>1327</v>
      </c>
      <c r="AH24" s="3" t="s">
        <v>790</v>
      </c>
      <c r="AI24" s="3" t="s">
        <v>1328</v>
      </c>
      <c r="AJ24" s="3" t="s">
        <v>791</v>
      </c>
      <c r="AK24" s="3" t="s">
        <v>1329</v>
      </c>
      <c r="AL24" s="3" t="s">
        <v>792</v>
      </c>
      <c r="AM24" s="3" t="s">
        <v>48</v>
      </c>
      <c r="AN24" s="3" t="s">
        <v>520</v>
      </c>
      <c r="AO24" s="3" t="s">
        <v>793</v>
      </c>
      <c r="AP24" s="3" t="s">
        <v>48</v>
      </c>
      <c r="AQ24" s="3" t="s">
        <v>1330</v>
      </c>
      <c r="AR24" s="3" t="s">
        <v>48</v>
      </c>
      <c r="AS24" s="3" t="s">
        <v>205</v>
      </c>
      <c r="AT24" s="3" t="s">
        <v>1331</v>
      </c>
      <c r="AU24" s="3" t="s">
        <v>78</v>
      </c>
      <c r="AV24" s="3" t="s">
        <v>1332</v>
      </c>
      <c r="AW24" s="3" t="s">
        <v>1333</v>
      </c>
      <c r="AX24" s="3" t="s">
        <v>508</v>
      </c>
      <c r="AY24" s="3" t="s">
        <v>216</v>
      </c>
      <c r="AZ24" s="3" t="s">
        <v>90</v>
      </c>
      <c r="BA24" s="3" t="s">
        <v>167</v>
      </c>
      <c r="BB24" s="3" t="s">
        <v>47</v>
      </c>
      <c r="BC24" s="3" t="s">
        <v>309</v>
      </c>
      <c r="BD24" s="3" t="s">
        <v>85</v>
      </c>
      <c r="BE24" s="3" t="s">
        <v>53</v>
      </c>
      <c r="BF24" s="3" t="s">
        <v>206</v>
      </c>
      <c r="BG24" s="3" t="s">
        <v>207</v>
      </c>
      <c r="BH24" s="3" t="s">
        <v>571</v>
      </c>
      <c r="BI24" s="3" t="s">
        <v>1334</v>
      </c>
      <c r="BJ24" s="3" t="s">
        <v>508</v>
      </c>
      <c r="BK24" s="3" t="s">
        <v>84</v>
      </c>
      <c r="BL24" s="3" t="s">
        <v>261</v>
      </c>
      <c r="BM24" s="3" t="s">
        <v>309</v>
      </c>
      <c r="BN24" s="3">
        <v>16.350000000000001</v>
      </c>
      <c r="BO24" s="3">
        <v>21.41</v>
      </c>
      <c r="BP24" s="3">
        <v>10.99</v>
      </c>
      <c r="BQ24" s="3">
        <v>17.47</v>
      </c>
      <c r="BR24" s="3">
        <v>22.2</v>
      </c>
      <c r="BS24" s="3">
        <v>11.11</v>
      </c>
      <c r="BT24" s="3" t="s">
        <v>794</v>
      </c>
      <c r="BU24" s="3" t="s">
        <v>97</v>
      </c>
      <c r="BV24" s="3">
        <v>55.81</v>
      </c>
      <c r="BW24" s="3">
        <v>54.21</v>
      </c>
      <c r="BX24" s="3">
        <v>51.08</v>
      </c>
      <c r="BY24" s="3">
        <v>32.53</v>
      </c>
      <c r="BZ24" s="3">
        <v>27.99</v>
      </c>
      <c r="CA24" s="3">
        <v>18.22</v>
      </c>
      <c r="CB24" s="3">
        <v>-2.68</v>
      </c>
      <c r="CC24" s="3">
        <v>3.59</v>
      </c>
      <c r="CD24" s="3" t="s">
        <v>1335</v>
      </c>
      <c r="CE24" s="3" t="s">
        <v>1336</v>
      </c>
      <c r="CF24" s="10">
        <v>-0.34260869565217389</v>
      </c>
      <c r="CG24" s="11">
        <v>-0.55284982553191486</v>
      </c>
      <c r="CH24" s="10">
        <v>-0.64902502298355103</v>
      </c>
      <c r="CI24" s="10">
        <v>0.56768548488616943</v>
      </c>
      <c r="CJ24" s="10">
        <v>0.62796211242675781</v>
      </c>
      <c r="CK24" s="10">
        <v>0.480701744556427</v>
      </c>
      <c r="CL24" s="10">
        <v>0.14919355511665344</v>
      </c>
      <c r="CM24" s="11">
        <v>-0.65116280317306519</v>
      </c>
      <c r="CN24" s="11">
        <v>1.4079999923706055</v>
      </c>
      <c r="CO24" s="11">
        <v>-0.18831168115139008</v>
      </c>
      <c r="CP24" s="11">
        <v>1.3387905359268188</v>
      </c>
      <c r="CQ24" s="11">
        <v>0.4644680917263031</v>
      </c>
      <c r="CR24" s="3">
        <v>118.84852936963219</v>
      </c>
      <c r="CS24" s="3">
        <v>5.0508594895084453</v>
      </c>
      <c r="CT24" s="3">
        <v>0.28587764436821039</v>
      </c>
      <c r="CU24" s="10">
        <v>0.23530357480049133</v>
      </c>
      <c r="CV24" s="11">
        <v>0.47435682713985444</v>
      </c>
      <c r="CW24" s="3">
        <v>0.06</v>
      </c>
      <c r="CX24" s="3">
        <v>114.41544281666668</v>
      </c>
      <c r="CY24" s="3">
        <v>122364976.74910524</v>
      </c>
      <c r="CZ24" s="3">
        <v>0.23530357480049133</v>
      </c>
      <c r="DA24" s="3">
        <v>33.130861111075959</v>
      </c>
      <c r="DB24" s="3">
        <v>422580112.03094023</v>
      </c>
      <c r="DC24" s="3">
        <v>0.22353839606046674</v>
      </c>
      <c r="DD24" s="3">
        <v>13.761815174141832</v>
      </c>
      <c r="DE24" s="3">
        <v>1017339851.090759</v>
      </c>
      <c r="DF24" s="3">
        <v>0.20706714582443236</v>
      </c>
      <c r="DG24" s="3">
        <v>6.7459172336894691</v>
      </c>
      <c r="DH24" s="3">
        <v>2075395015.2369263</v>
      </c>
      <c r="DI24" s="3">
        <v>0.18824285984039307</v>
      </c>
      <c r="DJ24" s="3">
        <v>2.1481315776746741</v>
      </c>
      <c r="DK24" s="3">
        <v>6517497878.3912792</v>
      </c>
      <c r="DL24" s="3">
        <v>0.16471250236034393</v>
      </c>
      <c r="DM24" s="3">
        <v>105000000</v>
      </c>
      <c r="DN24" s="3">
        <v>0.23530357480049133</v>
      </c>
      <c r="DO24" s="3">
        <v>14000443000</v>
      </c>
      <c r="DP24" s="3">
        <v>1191169400</v>
      </c>
      <c r="DQ24" s="3">
        <v>4557</v>
      </c>
      <c r="DR24" s="3">
        <v>-0.57791227045266524</v>
      </c>
      <c r="DS24" s="3">
        <v>-1.0272066526717694</v>
      </c>
      <c r="DT24" s="12">
        <v>-0.24000000000000007</v>
      </c>
      <c r="DU24" s="3">
        <v>-5.3333333333333344E-2</v>
      </c>
      <c r="DV24" s="3">
        <v>-0.29333333333333345</v>
      </c>
      <c r="DW24" s="3">
        <v>-6.4274322169059008</v>
      </c>
      <c r="DX24" s="3">
        <v>0.50102574331776395</v>
      </c>
      <c r="DY24" s="3">
        <v>-6.0560046239380565</v>
      </c>
      <c r="DZ24" s="3">
        <v>4440</v>
      </c>
      <c r="EA24" s="3">
        <v>-6.0073430720231897</v>
      </c>
      <c r="EB24" s="3">
        <v>6</v>
      </c>
      <c r="EC24" s="3">
        <v>4.3364617100698583E-2</v>
      </c>
      <c r="ED24" s="3">
        <v>0.33096257271771123</v>
      </c>
      <c r="EE24" s="13">
        <v>-4.0231000000000003</v>
      </c>
      <c r="EF24" s="3">
        <v>-4.0031999999999996</v>
      </c>
      <c r="EG24" s="3">
        <v>37.131025743317764</v>
      </c>
      <c r="EH24" s="3" t="s">
        <v>1159</v>
      </c>
      <c r="EI24" s="3">
        <v>0</v>
      </c>
      <c r="EJ24" s="3">
        <v>0</v>
      </c>
      <c r="EK24" s="15">
        <v>45470</v>
      </c>
      <c r="EL24" s="16">
        <v>-0.03</v>
      </c>
      <c r="EM24" s="16">
        <v>-5.94</v>
      </c>
      <c r="EN24" s="16">
        <v>-6.38</v>
      </c>
      <c r="EO24" s="16">
        <v>4.1100000000000003</v>
      </c>
      <c r="EP24" s="16">
        <v>-1.99</v>
      </c>
    </row>
    <row r="25" spans="1:146" ht="84" x14ac:dyDescent="0.25">
      <c r="C25" s="7" t="str">
        <f>""&amp;CHAR(10)&amp;Basic_Fundamental_Information_Constructure(F25)&amp;CHAR(10)&amp;Basic_Fundamental_Information_Concatenate("")</f>
        <v xml:space="preserve">
市值24.241181亿, 利润-1420.37万; PE; 平均PE46.05; 平均PEG3.54, PB1.65; ROIC2.16%; ROE-1.8567%; 股利率.6221%; 毛利35.6433%; 净利-8.4233%; 上一年度营收增-78.46%, 利润增79.12%; 当季营收增-60.79%, 利润增67.43%; 过往5年营收增-13.01%, 利润增-59.23%
Income profile:
</v>
      </c>
      <c r="D25" s="3" t="s">
        <v>208</v>
      </c>
      <c r="E25" s="3" t="s">
        <v>209</v>
      </c>
      <c r="F25" s="3">
        <v>30.05</v>
      </c>
      <c r="G25" s="3">
        <v>-0.73</v>
      </c>
      <c r="H25" s="3" t="s">
        <v>1337</v>
      </c>
      <c r="I25" s="3">
        <v>2424118100</v>
      </c>
      <c r="K25" s="3">
        <v>1.65</v>
      </c>
      <c r="L25" s="3" t="s">
        <v>97</v>
      </c>
      <c r="M25" s="3" t="s">
        <v>795</v>
      </c>
      <c r="N25" s="3" t="s">
        <v>1338</v>
      </c>
      <c r="O25" s="3" t="s">
        <v>796</v>
      </c>
      <c r="P25" s="3">
        <v>-11.45</v>
      </c>
      <c r="Q25" s="3" t="s">
        <v>796</v>
      </c>
      <c r="R25" s="3">
        <v>-14203674</v>
      </c>
      <c r="S25" s="5">
        <v>0.34749999999999998</v>
      </c>
      <c r="T25" s="3" t="s">
        <v>1339</v>
      </c>
      <c r="U25" s="3">
        <v>80669486</v>
      </c>
      <c r="V25" s="3">
        <v>80669486</v>
      </c>
      <c r="W25" s="3">
        <v>1.31</v>
      </c>
      <c r="X25" s="3">
        <v>0.03</v>
      </c>
      <c r="Y25" s="3">
        <v>-18.84</v>
      </c>
      <c r="Z25" s="3" t="s">
        <v>1340</v>
      </c>
      <c r="AA25" s="3" t="s">
        <v>1341</v>
      </c>
      <c r="AB25" s="3" t="s">
        <v>1342</v>
      </c>
      <c r="AC25" s="3" t="s">
        <v>1343</v>
      </c>
      <c r="AD25" s="3" t="s">
        <v>48</v>
      </c>
      <c r="AE25" s="3">
        <v>549315</v>
      </c>
      <c r="AF25" s="3" t="s">
        <v>798</v>
      </c>
      <c r="AG25" s="3">
        <v>100</v>
      </c>
      <c r="AH25" s="3" t="s">
        <v>799</v>
      </c>
      <c r="AI25" s="3" t="s">
        <v>75</v>
      </c>
      <c r="AJ25" s="3" t="s">
        <v>800</v>
      </c>
      <c r="AK25" s="3" t="s">
        <v>1344</v>
      </c>
      <c r="AL25" s="3" t="s">
        <v>801</v>
      </c>
      <c r="AM25" s="3" t="s">
        <v>48</v>
      </c>
      <c r="AN25" s="3" t="s">
        <v>1345</v>
      </c>
      <c r="AO25" s="3" t="s">
        <v>1346</v>
      </c>
      <c r="AP25" s="3" t="s">
        <v>1347</v>
      </c>
      <c r="AQ25" s="3" t="s">
        <v>86</v>
      </c>
      <c r="AR25" s="3" t="s">
        <v>48</v>
      </c>
      <c r="AS25" s="3" t="s">
        <v>712</v>
      </c>
      <c r="AT25" s="3" t="s">
        <v>48</v>
      </c>
      <c r="AU25" s="3" t="s">
        <v>1348</v>
      </c>
      <c r="AV25" s="3" t="s">
        <v>1349</v>
      </c>
      <c r="AW25" s="3" t="s">
        <v>1350</v>
      </c>
      <c r="AX25" s="3" t="s">
        <v>321</v>
      </c>
      <c r="AY25" s="3" t="s">
        <v>54</v>
      </c>
      <c r="AZ25" s="3" t="s">
        <v>441</v>
      </c>
      <c r="BA25" s="3" t="s">
        <v>54</v>
      </c>
      <c r="BB25" s="3" t="s">
        <v>69</v>
      </c>
      <c r="BC25" s="3" t="s">
        <v>802</v>
      </c>
      <c r="BD25" s="3" t="s">
        <v>510</v>
      </c>
      <c r="BE25" s="3" t="s">
        <v>124</v>
      </c>
      <c r="BF25" s="3" t="s">
        <v>77</v>
      </c>
      <c r="BG25" s="3" t="s">
        <v>83</v>
      </c>
      <c r="BH25" s="3" t="s">
        <v>525</v>
      </c>
      <c r="BI25" s="3" t="s">
        <v>509</v>
      </c>
      <c r="BJ25" s="3" t="s">
        <v>321</v>
      </c>
      <c r="BK25" s="3" t="s">
        <v>797</v>
      </c>
      <c r="BL25" s="3" t="s">
        <v>1351</v>
      </c>
      <c r="BM25" s="3" t="s">
        <v>802</v>
      </c>
      <c r="BN25" s="3" t="s">
        <v>48</v>
      </c>
      <c r="BO25" s="3" t="s">
        <v>48</v>
      </c>
      <c r="BP25" s="3">
        <v>2.16</v>
      </c>
      <c r="BQ25" s="3">
        <v>-3.43</v>
      </c>
      <c r="BR25" s="3">
        <v>-4.3099999999999996</v>
      </c>
      <c r="BS25" s="3">
        <v>2.17</v>
      </c>
      <c r="BT25" s="3" t="s">
        <v>1352</v>
      </c>
      <c r="BU25" s="3" t="s">
        <v>97</v>
      </c>
      <c r="BV25" s="3">
        <v>28.21</v>
      </c>
      <c r="BW25" s="3">
        <v>28.88</v>
      </c>
      <c r="BX25" s="3">
        <v>49.84</v>
      </c>
      <c r="BY25" s="3">
        <v>-18.739999999999998</v>
      </c>
      <c r="BZ25" s="3">
        <v>-20.74</v>
      </c>
      <c r="CA25" s="3">
        <v>14.21</v>
      </c>
      <c r="CB25" s="3">
        <v>-9.92</v>
      </c>
      <c r="CC25" s="3">
        <v>-29.71</v>
      </c>
      <c r="CD25" s="3" t="s">
        <v>1353</v>
      </c>
      <c r="CE25" s="3" t="s">
        <v>1354</v>
      </c>
      <c r="CF25" s="10">
        <v>-0.60794127906976747</v>
      </c>
      <c r="CG25" s="11">
        <v>0.67425530402236511</v>
      </c>
      <c r="CH25" s="10">
        <v>-0.78455561399459839</v>
      </c>
      <c r="CI25" s="10">
        <v>7.1917809545993805E-2</v>
      </c>
      <c r="CJ25" s="10">
        <v>1.3888888992369175E-2</v>
      </c>
      <c r="CK25" s="10">
        <v>-1.3698630034923553E-2</v>
      </c>
      <c r="CL25" s="10">
        <v>6.1818182468414307E-2</v>
      </c>
      <c r="CM25" s="11">
        <v>0.79119634628295898</v>
      </c>
      <c r="CN25" s="11">
        <v>-3.0557019710540771</v>
      </c>
      <c r="CO25" s="11">
        <v>-0.72192859649658203</v>
      </c>
      <c r="CP25" s="11">
        <v>-7.7519379556179047E-2</v>
      </c>
      <c r="CQ25" s="11">
        <v>0.10256410390138626</v>
      </c>
      <c r="CR25" s="3">
        <v>46.047580815202565</v>
      </c>
      <c r="CS25" s="3">
        <v>3.5386952566412861</v>
      </c>
      <c r="CT25" s="3">
        <v>0.6220965058236273</v>
      </c>
      <c r="CU25" s="10">
        <v>-0.13012587260454894</v>
      </c>
      <c r="CV25" s="11">
        <v>-0.5922778993844986</v>
      </c>
      <c r="CW25" s="3">
        <v>0.06</v>
      </c>
      <c r="CX25" s="3" t="e">
        <v>#VALUE!</v>
      </c>
      <c r="CY25" s="3" t="s">
        <v>290</v>
      </c>
      <c r="CZ25" s="3">
        <v>-0.13012587260454894</v>
      </c>
      <c r="DA25" s="3" t="e">
        <v>#VALUE!</v>
      </c>
      <c r="DB25" s="3" t="s">
        <v>291</v>
      </c>
      <c r="DC25" s="3">
        <v>-0.12361957897432149</v>
      </c>
      <c r="DD25" s="3" t="e">
        <v>#VALUE!</v>
      </c>
      <c r="DE25" s="3" t="s">
        <v>291</v>
      </c>
      <c r="DF25" s="3">
        <v>-0.11451076789200307</v>
      </c>
      <c r="DG25" s="3" t="e">
        <v>#VALUE!</v>
      </c>
      <c r="DH25" s="3" t="s">
        <v>291</v>
      </c>
      <c r="DI25" s="3">
        <v>-0.10410069808363916</v>
      </c>
      <c r="DJ25" s="3" t="e">
        <v>#VALUE!</v>
      </c>
      <c r="DK25" s="3" t="s">
        <v>291</v>
      </c>
      <c r="DL25" s="3">
        <v>-9.1088110823184257E-2</v>
      </c>
      <c r="DM25" s="3">
        <v>-14203699.999999998</v>
      </c>
      <c r="DN25" s="3">
        <v>-0.13012587260454894</v>
      </c>
      <c r="DO25" s="3">
        <v>1381118100</v>
      </c>
      <c r="DP25" s="3">
        <v>645585240</v>
      </c>
      <c r="DQ25" s="3">
        <v>4558</v>
      </c>
      <c r="DR25" s="3">
        <v>-0.47781540646521853</v>
      </c>
      <c r="DS25" s="3">
        <v>1.2665332034068637</v>
      </c>
      <c r="DT25" s="12">
        <v>-0.77333333333333332</v>
      </c>
      <c r="DU25" s="3">
        <v>-1.7449999999999999</v>
      </c>
      <c r="DV25" s="3">
        <v>-2.5183333333333331</v>
      </c>
      <c r="DW25" s="3">
        <v>-9.3338943116795683</v>
      </c>
      <c r="DX25" s="3">
        <v>0.26116877605846855</v>
      </c>
      <c r="DY25" s="3">
        <v>-9.0337796788455069</v>
      </c>
      <c r="DZ25" s="3">
        <v>4421</v>
      </c>
      <c r="EA25" s="3">
        <v>-9.0045546377151773</v>
      </c>
      <c r="EB25" s="3">
        <v>9</v>
      </c>
      <c r="EC25" s="3">
        <v>7.9499700791449204E-2</v>
      </c>
      <c r="ED25" s="3">
        <v>0.78581261816890713</v>
      </c>
      <c r="EE25" s="13">
        <v>-5.0559000000000003</v>
      </c>
      <c r="EF25" s="3">
        <v>-5.0430999999999999</v>
      </c>
      <c r="EG25" s="3">
        <v>16.101168776058469</v>
      </c>
      <c r="EH25" s="3" t="s">
        <v>591</v>
      </c>
      <c r="EI25" s="3">
        <v>0</v>
      </c>
      <c r="EJ25" s="3">
        <v>0</v>
      </c>
      <c r="EK25" s="15">
        <v>45470</v>
      </c>
      <c r="EL25" s="16">
        <v>-3.13</v>
      </c>
      <c r="EM25" s="16">
        <v>-5.81</v>
      </c>
      <c r="EN25" s="16">
        <v>2.85</v>
      </c>
      <c r="EO25" s="16">
        <v>3.88</v>
      </c>
      <c r="EP25" s="16">
        <v>-1.28</v>
      </c>
    </row>
    <row r="26" spans="1:146" ht="96" x14ac:dyDescent="0.25">
      <c r="C26" s="7" t="str">
        <f>""&amp;CHAR(10)&amp;Basic_Fundamental_Information_Constructure(F26)&amp;CHAR(10)&amp;Basic_Fundamental_Information_Concatenate("")</f>
        <v xml:space="preserve">
市值41.633648亿, 利润1378.46万; PE44.92; 平均PE84.15; 平均PEG3.67, PB1.85; ROIC8.6467%; ROE10.05%; 股利率.8541%; 毛利31.3333%; 净利12.2833%; 上一年度营收增-78.15%, 利润增-88.79%; 当季营收增-48.61%, 利润增-72.68%; 过往5年营收增22.9%, 利润增455.45%
Income profile:
</v>
      </c>
      <c r="D26" s="3" t="s">
        <v>328</v>
      </c>
      <c r="E26" s="3" t="s">
        <v>329</v>
      </c>
      <c r="F26" s="3">
        <v>29.27</v>
      </c>
      <c r="G26" s="3">
        <v>0.38</v>
      </c>
      <c r="H26" s="3" t="s">
        <v>1355</v>
      </c>
      <c r="I26" s="3">
        <v>4163364800</v>
      </c>
      <c r="J26" s="3">
        <v>44.92</v>
      </c>
      <c r="K26" s="3">
        <v>1.85</v>
      </c>
      <c r="L26" s="3" t="s">
        <v>97</v>
      </c>
      <c r="M26" s="3" t="s">
        <v>803</v>
      </c>
      <c r="N26" s="3" t="s">
        <v>1356</v>
      </c>
      <c r="O26" s="3" t="s">
        <v>670</v>
      </c>
      <c r="P26" s="3">
        <v>16.53</v>
      </c>
      <c r="Q26" s="3" t="s">
        <v>670</v>
      </c>
      <c r="R26" s="3">
        <v>13784586</v>
      </c>
      <c r="S26" s="3">
        <v>-0.42699999999999999</v>
      </c>
      <c r="T26" s="3" t="s">
        <v>1357</v>
      </c>
      <c r="U26" s="3">
        <v>87516668</v>
      </c>
      <c r="V26" s="3">
        <v>142240000</v>
      </c>
      <c r="W26" s="3">
        <v>1.22</v>
      </c>
      <c r="X26" s="3">
        <v>7.0000000000000007E-2</v>
      </c>
      <c r="Y26" s="3">
        <v>6.6</v>
      </c>
      <c r="Z26" s="3" t="s">
        <v>87</v>
      </c>
      <c r="AA26" s="3" t="s">
        <v>1358</v>
      </c>
      <c r="AB26" s="3" t="s">
        <v>1359</v>
      </c>
      <c r="AC26" s="3" t="s">
        <v>1360</v>
      </c>
      <c r="AD26" s="3" t="s">
        <v>48</v>
      </c>
      <c r="AE26" s="3">
        <v>-2784458</v>
      </c>
      <c r="AF26" s="3" t="s">
        <v>805</v>
      </c>
      <c r="AG26" s="3" t="s">
        <v>1361</v>
      </c>
      <c r="AH26" s="3" t="s">
        <v>806</v>
      </c>
      <c r="AI26" s="3" t="s">
        <v>579</v>
      </c>
      <c r="AJ26" s="3" t="s">
        <v>807</v>
      </c>
      <c r="AK26" s="3" t="s">
        <v>1362</v>
      </c>
      <c r="AL26" s="3" t="s">
        <v>808</v>
      </c>
      <c r="AM26" s="3" t="s">
        <v>48</v>
      </c>
      <c r="AN26" s="3" t="s">
        <v>1363</v>
      </c>
      <c r="AO26" s="3" t="s">
        <v>986</v>
      </c>
      <c r="AP26" s="3" t="s">
        <v>48</v>
      </c>
      <c r="AQ26" s="3" t="s">
        <v>715</v>
      </c>
      <c r="AR26" s="3" t="s">
        <v>48</v>
      </c>
      <c r="AS26" s="3" t="s">
        <v>1364</v>
      </c>
      <c r="AT26" s="3" t="s">
        <v>809</v>
      </c>
      <c r="AU26" s="3" t="s">
        <v>1365</v>
      </c>
      <c r="AV26" s="3" t="s">
        <v>629</v>
      </c>
      <c r="AW26" s="3" t="s">
        <v>1366</v>
      </c>
      <c r="AX26" s="3" t="s">
        <v>451</v>
      </c>
      <c r="AY26" s="3" t="s">
        <v>65</v>
      </c>
      <c r="AZ26" s="3" t="s">
        <v>331</v>
      </c>
      <c r="BA26" s="3" t="s">
        <v>332</v>
      </c>
      <c r="BB26" s="3" t="s">
        <v>87</v>
      </c>
      <c r="BC26" s="3" t="s">
        <v>327</v>
      </c>
      <c r="BD26" s="3" t="s">
        <v>330</v>
      </c>
      <c r="BE26" s="3" t="s">
        <v>333</v>
      </c>
      <c r="BF26" s="3" t="s">
        <v>334</v>
      </c>
      <c r="BG26" s="3" t="s">
        <v>335</v>
      </c>
      <c r="BH26" s="3" t="s">
        <v>612</v>
      </c>
      <c r="BI26" s="3" t="s">
        <v>961</v>
      </c>
      <c r="BJ26" s="3" t="s">
        <v>451</v>
      </c>
      <c r="BK26" s="3" t="s">
        <v>776</v>
      </c>
      <c r="BL26" s="3" t="s">
        <v>1367</v>
      </c>
      <c r="BM26" s="3" t="s">
        <v>327</v>
      </c>
      <c r="BN26" s="3">
        <v>3.11</v>
      </c>
      <c r="BO26" s="3">
        <v>8.25</v>
      </c>
      <c r="BP26" s="3">
        <v>14.58</v>
      </c>
      <c r="BQ26" s="3">
        <v>3.77</v>
      </c>
      <c r="BR26" s="3">
        <v>11.97</v>
      </c>
      <c r="BS26" s="3">
        <v>14.41</v>
      </c>
      <c r="BT26" s="3" t="s">
        <v>507</v>
      </c>
      <c r="BU26" s="3" t="s">
        <v>97</v>
      </c>
      <c r="BV26" s="3">
        <v>29.19</v>
      </c>
      <c r="BW26" s="3">
        <v>30.29</v>
      </c>
      <c r="BX26" s="3">
        <v>34.520000000000003</v>
      </c>
      <c r="BY26" s="3">
        <v>10.76</v>
      </c>
      <c r="BZ26" s="3">
        <v>13.06</v>
      </c>
      <c r="CA26" s="3">
        <v>13.03</v>
      </c>
      <c r="CB26" s="3">
        <v>-9.16</v>
      </c>
      <c r="CC26" s="3">
        <v>-11.76</v>
      </c>
      <c r="CD26" s="3" t="s">
        <v>1368</v>
      </c>
      <c r="CE26" s="3" t="s">
        <v>1369</v>
      </c>
      <c r="CF26" s="10">
        <v>-0.4860759493670887</v>
      </c>
      <c r="CG26" s="11">
        <v>-0.72676791522712547</v>
      </c>
      <c r="CH26" s="10">
        <v>-0.78148549795150757</v>
      </c>
      <c r="CI26" s="10">
        <v>0.59075343608856201</v>
      </c>
      <c r="CJ26" s="10">
        <v>0.40047961473464966</v>
      </c>
      <c r="CK26" s="10">
        <v>0.27522936463356018</v>
      </c>
      <c r="CL26" s="10">
        <v>0.65989845991134644</v>
      </c>
      <c r="CM26" s="11">
        <v>-0.88793009519577026</v>
      </c>
      <c r="CN26" s="11">
        <v>0.62085437774658203</v>
      </c>
      <c r="CO26" s="11">
        <v>0.51318156719207764</v>
      </c>
      <c r="CP26" s="11">
        <v>0.40326544642448425</v>
      </c>
      <c r="CQ26" s="11">
        <v>22.122997283935547</v>
      </c>
      <c r="CR26" s="3">
        <v>84.146203091288513</v>
      </c>
      <c r="CS26" s="3">
        <v>3.6749066645647845</v>
      </c>
      <c r="CT26" s="3">
        <v>0.8541168431841476</v>
      </c>
      <c r="CU26" s="10">
        <v>0.22897507548332213</v>
      </c>
      <c r="CV26" s="11">
        <v>4.5544737160205839</v>
      </c>
      <c r="CW26" s="3">
        <v>0.06</v>
      </c>
      <c r="CX26" s="3">
        <v>147.00059050185055</v>
      </c>
      <c r="CY26" s="3">
        <v>15982009.269346606</v>
      </c>
      <c r="CZ26" s="3">
        <v>0.22897507548332213</v>
      </c>
      <c r="DA26" s="3">
        <v>42.787357738484843</v>
      </c>
      <c r="DB26" s="3">
        <v>54907919.632692747</v>
      </c>
      <c r="DC26" s="3">
        <v>0.21752632170915601</v>
      </c>
      <c r="DD26" s="3">
        <v>17.908073846936034</v>
      </c>
      <c r="DE26" s="3">
        <v>131190256.42179617</v>
      </c>
      <c r="DF26" s="3">
        <v>0.20149806642532347</v>
      </c>
      <c r="DG26" s="3">
        <v>8.8618253607455557</v>
      </c>
      <c r="DH26" s="3">
        <v>265110708.50106952</v>
      </c>
      <c r="DI26" s="3">
        <v>0.18318006038665771</v>
      </c>
      <c r="DJ26" s="3">
        <v>2.8897039468239072</v>
      </c>
      <c r="DK26" s="3">
        <v>813012281.96134162</v>
      </c>
      <c r="DL26" s="3">
        <v>0.16028255283832549</v>
      </c>
      <c r="DM26" s="3">
        <v>13784600</v>
      </c>
      <c r="DN26" s="3">
        <v>0.22897507548332213</v>
      </c>
      <c r="DO26" s="3">
        <v>2349364800</v>
      </c>
      <c r="DP26" s="3">
        <v>953593700</v>
      </c>
      <c r="DQ26" s="3">
        <v>4571</v>
      </c>
      <c r="DR26" s="3">
        <v>-0.71505102485041083</v>
      </c>
      <c r="DS26" s="3">
        <v>-5.2812416312477097</v>
      </c>
      <c r="DT26" s="12">
        <v>-0.17333333333333334</v>
      </c>
      <c r="DU26" s="3">
        <v>0.29833333333333339</v>
      </c>
      <c r="DV26" s="3">
        <v>0.12500000000000006</v>
      </c>
      <c r="DW26" s="3">
        <v>-9.7789115646258509</v>
      </c>
      <c r="DX26" s="3">
        <v>0.21812555910764686</v>
      </c>
      <c r="DY26" s="3">
        <v>-9.0764311327743243</v>
      </c>
      <c r="DZ26" s="3">
        <v>184</v>
      </c>
      <c r="EA26" s="3">
        <v>-9.0736790137076948</v>
      </c>
      <c r="EB26" s="3">
        <v>9</v>
      </c>
      <c r="EC26" s="3">
        <v>5.9687851518560181E-2</v>
      </c>
      <c r="ED26" s="3">
        <v>0.60828037120359957</v>
      </c>
      <c r="EE26" s="13">
        <v>5.1185099999999997</v>
      </c>
      <c r="EF26" s="3">
        <v>5.1369100000000003</v>
      </c>
      <c r="EG26" s="3">
        <v>12.098125559107647</v>
      </c>
      <c r="EH26" s="3" t="s">
        <v>1370</v>
      </c>
      <c r="EI26" s="3">
        <v>0</v>
      </c>
      <c r="EJ26" s="3">
        <v>1</v>
      </c>
      <c r="EK26" s="15">
        <v>45470</v>
      </c>
      <c r="EL26" s="16">
        <v>-0.25</v>
      </c>
      <c r="EM26" s="16">
        <v>-2.73</v>
      </c>
      <c r="EN26" s="16">
        <v>-2</v>
      </c>
      <c r="EO26" s="16">
        <v>0.77</v>
      </c>
      <c r="EP26" s="16">
        <v>-1.84</v>
      </c>
    </row>
    <row r="27" spans="1:146" ht="240" x14ac:dyDescent="0.25">
      <c r="A27" s="9" t="s">
        <v>445</v>
      </c>
      <c r="B27" s="9" t="s">
        <v>230</v>
      </c>
      <c r="C27" s="7" t="str">
        <f>""&amp;CHAR(10)&amp;Basic_Fundamental_Information_Constructure(F27)&amp;CHAR(10)&amp;Basic_Fundamental_Information_Concatenate("特种气体47.84%（毛利51.65%） 大宗气体42.13%（毛利44.74%） 天然气10.03%（毛利19.82%）")</f>
        <v xml:space="preserve">
市值85.129637亿, 利润7648.26万; PE25.71; 平均PE51.83; 平均PEG179.6, PB2.76; ROIC6.3233%; ROE8.0933%; 股利率2.0046%; 毛利34.5533%; 净利11.7733%; 上一年度营收增-70.06%, 利润增-66.6%; 当季营收增-48.06%, 利润增-52.79%; 过往5年营收增-.29%, 利润增-1.21%
Income profile:
特种气体47.84%（毛利51.65%） 大宗气体42.13%（毛利44.74%） 天然气10.03%（毛利19.82%）</v>
      </c>
      <c r="D27" s="3" t="s">
        <v>210</v>
      </c>
      <c r="E27" s="3" t="s">
        <v>211</v>
      </c>
      <c r="F27" s="3">
        <v>17.46</v>
      </c>
      <c r="G27" s="3">
        <v>1.75</v>
      </c>
      <c r="H27" s="3" t="s">
        <v>1371</v>
      </c>
      <c r="I27" s="3">
        <v>8512963700</v>
      </c>
      <c r="J27" s="3">
        <v>25.71</v>
      </c>
      <c r="K27" s="3">
        <v>2.76</v>
      </c>
      <c r="L27" s="3" t="s">
        <v>97</v>
      </c>
      <c r="M27" s="3" t="s">
        <v>810</v>
      </c>
      <c r="N27" s="3" t="s">
        <v>1372</v>
      </c>
      <c r="O27" s="3" t="s">
        <v>811</v>
      </c>
      <c r="P27" s="3">
        <v>13.74</v>
      </c>
      <c r="Q27" s="3" t="s">
        <v>811</v>
      </c>
      <c r="R27" s="3">
        <v>76482616</v>
      </c>
      <c r="S27" s="5">
        <v>0.26679999999999998</v>
      </c>
      <c r="T27" s="3" t="s">
        <v>1373</v>
      </c>
      <c r="U27" s="3">
        <v>487569510</v>
      </c>
      <c r="V27" s="3">
        <v>487569510</v>
      </c>
      <c r="W27" s="3">
        <v>1.93</v>
      </c>
      <c r="X27" s="3">
        <v>0.09</v>
      </c>
      <c r="Y27" s="3">
        <v>13.23</v>
      </c>
      <c r="Z27" s="3" t="s">
        <v>676</v>
      </c>
      <c r="AA27" s="3" t="s">
        <v>1060</v>
      </c>
      <c r="AB27" s="3" t="s">
        <v>1374</v>
      </c>
      <c r="AC27" s="3" t="s">
        <v>1375</v>
      </c>
      <c r="AD27" s="3" t="s">
        <v>48</v>
      </c>
      <c r="AE27" s="3">
        <v>7783697</v>
      </c>
      <c r="AF27" s="3" t="s">
        <v>813</v>
      </c>
      <c r="AG27" s="3" t="s">
        <v>1376</v>
      </c>
      <c r="AH27" s="3" t="s">
        <v>814</v>
      </c>
      <c r="AI27" s="3" t="s">
        <v>1377</v>
      </c>
      <c r="AJ27" s="3" t="s">
        <v>815</v>
      </c>
      <c r="AK27" s="3" t="s">
        <v>82</v>
      </c>
      <c r="AL27" s="3" t="s">
        <v>816</v>
      </c>
      <c r="AM27" s="3" t="s">
        <v>48</v>
      </c>
      <c r="AN27" s="3" t="s">
        <v>1378</v>
      </c>
      <c r="AO27" s="3" t="s">
        <v>255</v>
      </c>
      <c r="AP27" s="3" t="s">
        <v>1379</v>
      </c>
      <c r="AQ27" s="3" t="s">
        <v>476</v>
      </c>
      <c r="AR27" s="3" t="s">
        <v>48</v>
      </c>
      <c r="AS27" s="3" t="s">
        <v>1380</v>
      </c>
      <c r="AT27" s="3" t="s">
        <v>740</v>
      </c>
      <c r="AU27" s="3" t="s">
        <v>1381</v>
      </c>
      <c r="AV27" s="3" t="s">
        <v>1382</v>
      </c>
      <c r="AW27" s="3" t="s">
        <v>579</v>
      </c>
      <c r="AX27" s="3" t="s">
        <v>512</v>
      </c>
      <c r="AY27" s="3" t="s">
        <v>271</v>
      </c>
      <c r="AZ27" s="3" t="s">
        <v>212</v>
      </c>
      <c r="BA27" s="3" t="s">
        <v>213</v>
      </c>
      <c r="BB27" s="3" t="s">
        <v>214</v>
      </c>
      <c r="BC27" s="3" t="s">
        <v>163</v>
      </c>
      <c r="BD27" s="3" t="s">
        <v>258</v>
      </c>
      <c r="BE27" s="3" t="s">
        <v>87</v>
      </c>
      <c r="BF27" s="3" t="s">
        <v>67</v>
      </c>
      <c r="BG27" s="3" t="s">
        <v>74</v>
      </c>
      <c r="BH27" s="3" t="s">
        <v>812</v>
      </c>
      <c r="BI27" s="3" t="s">
        <v>1383</v>
      </c>
      <c r="BJ27" s="3" t="s">
        <v>512</v>
      </c>
      <c r="BK27" s="3" t="s">
        <v>478</v>
      </c>
      <c r="BL27" s="3" t="s">
        <v>238</v>
      </c>
      <c r="BM27" s="3" t="s">
        <v>163</v>
      </c>
      <c r="BN27" s="3">
        <v>6.43</v>
      </c>
      <c r="BO27" s="3">
        <v>7.16</v>
      </c>
      <c r="BP27" s="3">
        <v>5.38</v>
      </c>
      <c r="BQ27" s="3">
        <v>8.3699999999999992</v>
      </c>
      <c r="BR27" s="3">
        <v>8.39</v>
      </c>
      <c r="BS27" s="3">
        <v>7.52</v>
      </c>
      <c r="BT27" s="3" t="s">
        <v>817</v>
      </c>
      <c r="BU27" s="3" t="s">
        <v>97</v>
      </c>
      <c r="BV27" s="3">
        <v>37.729999999999997</v>
      </c>
      <c r="BW27" s="3">
        <v>35.97</v>
      </c>
      <c r="BX27" s="3">
        <v>29.96</v>
      </c>
      <c r="BY27" s="3">
        <v>13.52</v>
      </c>
      <c r="BZ27" s="3">
        <v>12.23</v>
      </c>
      <c r="CA27" s="3">
        <v>9.57</v>
      </c>
      <c r="CB27" s="3">
        <v>-0.34</v>
      </c>
      <c r="CC27" s="3">
        <v>-1.47</v>
      </c>
      <c r="CD27" s="3" t="s">
        <v>1384</v>
      </c>
      <c r="CE27" s="3" t="s">
        <v>1385</v>
      </c>
      <c r="CF27" s="10">
        <v>-0.48059964726631393</v>
      </c>
      <c r="CG27" s="11">
        <v>-0.52788508641975307</v>
      </c>
      <c r="CH27" s="10">
        <v>-0.70055925846099854</v>
      </c>
      <c r="CI27" s="10">
        <v>0.12981052696704865</v>
      </c>
      <c r="CJ27" s="10">
        <v>0.40064346790313721</v>
      </c>
      <c r="CK27" s="10">
        <v>7.0628881454467773E-2</v>
      </c>
      <c r="CL27" s="10">
        <v>8.5046671330928802E-2</v>
      </c>
      <c r="CM27" s="11">
        <v>-0.6660149097442627</v>
      </c>
      <c r="CN27" s="11">
        <v>0.371257483959198</v>
      </c>
      <c r="CO27" s="11">
        <v>-0.15228426456451416</v>
      </c>
      <c r="CP27" s="11">
        <v>0.11299435049295425</v>
      </c>
      <c r="CQ27" s="11">
        <v>0.27338129281997681</v>
      </c>
      <c r="CR27" s="3">
        <v>51.830222268764565</v>
      </c>
      <c r="CS27" s="3">
        <v>179.59549906332978</v>
      </c>
      <c r="CT27" s="3">
        <v>2.004581901489118</v>
      </c>
      <c r="CU27" s="10">
        <v>-2.8859421610832213E-3</v>
      </c>
      <c r="CV27" s="11">
        <v>-1.213320940732956E-2</v>
      </c>
      <c r="CW27" s="3">
        <v>0.06</v>
      </c>
      <c r="CX27" s="3">
        <v>102.10117987620714</v>
      </c>
      <c r="CY27" s="3" t="s">
        <v>1386</v>
      </c>
      <c r="CZ27" s="3">
        <v>-2.8859421610832213E-3</v>
      </c>
      <c r="DA27" s="3">
        <v>34.03372662540238</v>
      </c>
      <c r="DB27" s="3" t="s">
        <v>1387</v>
      </c>
      <c r="DC27" s="3">
        <v>-2.7416450530290599E-3</v>
      </c>
      <c r="DD27" s="3">
        <v>17.01686331270119</v>
      </c>
      <c r="DE27" s="3" t="s">
        <v>1388</v>
      </c>
      <c r="DF27" s="3">
        <v>-2.5396291017532346E-3</v>
      </c>
      <c r="DG27" s="3">
        <v>10.210117987620714</v>
      </c>
      <c r="DH27" s="3" t="s">
        <v>1389</v>
      </c>
      <c r="DI27" s="3">
        <v>-2.3087537288665771E-3</v>
      </c>
      <c r="DJ27" s="3">
        <v>5.1050589938103572</v>
      </c>
      <c r="DK27" s="3" t="s">
        <v>1390</v>
      </c>
      <c r="DL27" s="3">
        <v>-2.0201595127582548E-3</v>
      </c>
      <c r="DM27" s="3">
        <v>76482600</v>
      </c>
      <c r="DN27" s="3">
        <v>-2.8859421610832213E-3</v>
      </c>
      <c r="DO27" s="3">
        <v>7808963700</v>
      </c>
      <c r="DP27" s="3">
        <v>1470600800</v>
      </c>
      <c r="DQ27" s="3">
        <v>4632</v>
      </c>
      <c r="DR27" s="3">
        <v>-0.4777137051052307</v>
      </c>
      <c r="DS27" s="3">
        <v>-0.51575187701242353</v>
      </c>
      <c r="DT27" s="12">
        <v>-0.64</v>
      </c>
      <c r="DU27" s="3">
        <v>-0.4366666666666667</v>
      </c>
      <c r="DV27" s="3">
        <v>-1.0766666666666667</v>
      </c>
      <c r="DW27" s="3">
        <v>-1.47E-2</v>
      </c>
      <c r="DX27" s="3">
        <v>0.37756885245901572</v>
      </c>
      <c r="DY27" s="3">
        <v>-1.7282621311475409E-3</v>
      </c>
      <c r="DZ27" s="3">
        <v>4103</v>
      </c>
      <c r="EA27" s="3">
        <v>-3.4057924971929036E-4</v>
      </c>
      <c r="EB27" s="3">
        <v>0</v>
      </c>
      <c r="EC27" s="3">
        <v>2.941816439670315E-2</v>
      </c>
      <c r="ED27" s="3">
        <v>0.25022073262948702</v>
      </c>
      <c r="EE27" s="13">
        <v>2.0698099999999999</v>
      </c>
      <c r="EF27" s="3">
        <v>2.1051099999999998</v>
      </c>
      <c r="EG27" s="3">
        <v>26.117568852459016</v>
      </c>
      <c r="EH27" s="3" t="s">
        <v>721</v>
      </c>
      <c r="EI27" s="3">
        <v>0</v>
      </c>
      <c r="EJ27" s="3">
        <v>0</v>
      </c>
      <c r="EK27" s="15">
        <v>45470</v>
      </c>
      <c r="EL27" s="16">
        <v>-7.86</v>
      </c>
      <c r="EM27" s="16">
        <v>-4.97</v>
      </c>
      <c r="EN27" s="3">
        <v>-3.51</v>
      </c>
      <c r="EO27" s="3">
        <v>3.22</v>
      </c>
      <c r="EP27" s="3">
        <v>-3.53</v>
      </c>
    </row>
    <row r="28" spans="1:146" ht="96" x14ac:dyDescent="0.25">
      <c r="A28" s="3"/>
      <c r="B28" s="3"/>
      <c r="C28" s="9" t="str">
        <f>""&amp;CHAR(10)&amp;Basic_Fundamental_Information_Constructure(F28)&amp;CHAR(10)&amp;Basic_Fundamental_Information_Concatenate("")</f>
        <v xml:space="preserve">
市值151.46471亿, 利润9032.57万; PE44.56; 平均PE59.99; 平均PEG46.18, PB2.8; ROIC14.17%; ROE12.265%; 股利率.6641%; 毛利38.34%; 净利20.2667%; 上一年度营收增-77.76%, 利润增-76.42%; 当季营收增-45.63%, 利润增-47.49%; 过往5年营收增-1.3%, 利润增.51%
Income profile:
</v>
      </c>
      <c r="D28" s="5" t="s">
        <v>513</v>
      </c>
      <c r="E28" s="3" t="s">
        <v>514</v>
      </c>
      <c r="F28" s="3">
        <v>28.61</v>
      </c>
      <c r="G28" s="3">
        <v>0.46</v>
      </c>
      <c r="H28" s="3" t="s">
        <v>1391</v>
      </c>
      <c r="I28" s="3">
        <v>15146471000</v>
      </c>
      <c r="J28" s="3">
        <v>44.56</v>
      </c>
      <c r="K28" s="3">
        <v>2.8</v>
      </c>
      <c r="L28" s="3" t="s">
        <v>97</v>
      </c>
      <c r="M28" s="3" t="s">
        <v>578</v>
      </c>
      <c r="N28" s="3" t="s">
        <v>1392</v>
      </c>
      <c r="O28" s="3" t="s">
        <v>359</v>
      </c>
      <c r="P28" s="5">
        <v>8.42</v>
      </c>
      <c r="Q28" s="3" t="s">
        <v>359</v>
      </c>
      <c r="R28" s="3">
        <v>90325704</v>
      </c>
      <c r="S28" s="3">
        <v>5.8900000000000001E-2</v>
      </c>
      <c r="T28" s="3" t="s">
        <v>1393</v>
      </c>
      <c r="U28" s="3">
        <v>97588489</v>
      </c>
      <c r="V28" s="3">
        <v>529411770</v>
      </c>
      <c r="W28" s="3">
        <v>1.1000000000000001</v>
      </c>
      <c r="X28" s="3">
        <v>7.0000000000000007E-2</v>
      </c>
      <c r="Y28" s="3">
        <v>20.75</v>
      </c>
      <c r="Z28" s="3" t="s">
        <v>1394</v>
      </c>
      <c r="AA28" s="3" t="s">
        <v>1395</v>
      </c>
      <c r="AB28" s="3" t="s">
        <v>1396</v>
      </c>
      <c r="AC28" s="3" t="s">
        <v>1397</v>
      </c>
      <c r="AD28" s="3" t="s">
        <v>48</v>
      </c>
      <c r="AE28" s="3">
        <v>-12171120</v>
      </c>
      <c r="AF28" s="3" t="s">
        <v>62</v>
      </c>
      <c r="AG28" s="3" t="s">
        <v>1398</v>
      </c>
      <c r="AH28" s="3" t="s">
        <v>820</v>
      </c>
      <c r="AI28" s="3" t="s">
        <v>1399</v>
      </c>
      <c r="AJ28" s="3" t="s">
        <v>821</v>
      </c>
      <c r="AK28" s="3" t="s">
        <v>48</v>
      </c>
      <c r="AL28" s="3" t="s">
        <v>822</v>
      </c>
      <c r="AM28" s="3" t="s">
        <v>48</v>
      </c>
      <c r="AN28" s="3" t="s">
        <v>76</v>
      </c>
      <c r="AO28" s="3" t="s">
        <v>48</v>
      </c>
      <c r="AP28" s="3" t="s">
        <v>48</v>
      </c>
      <c r="AQ28" s="3" t="s">
        <v>155</v>
      </c>
      <c r="AR28" s="3" t="s">
        <v>48</v>
      </c>
      <c r="AS28" s="3" t="s">
        <v>537</v>
      </c>
      <c r="AT28" s="3" t="s">
        <v>48</v>
      </c>
      <c r="AU28" s="3" t="s">
        <v>718</v>
      </c>
      <c r="AV28" s="3" t="s">
        <v>1400</v>
      </c>
      <c r="AW28" s="3" t="s">
        <v>1401</v>
      </c>
      <c r="AX28" s="3" t="s">
        <v>515</v>
      </c>
      <c r="AY28" s="3" t="s">
        <v>516</v>
      </c>
      <c r="AZ28" s="3" t="s">
        <v>517</v>
      </c>
      <c r="BA28" s="3" t="s">
        <v>518</v>
      </c>
      <c r="BB28" s="3" t="s">
        <v>48</v>
      </c>
      <c r="BC28" s="3" t="s">
        <v>298</v>
      </c>
      <c r="BD28" s="3" t="s">
        <v>519</v>
      </c>
      <c r="BE28" s="3" t="s">
        <v>449</v>
      </c>
      <c r="BF28" s="3" t="s">
        <v>520</v>
      </c>
      <c r="BG28" s="3" t="s">
        <v>48</v>
      </c>
      <c r="BH28" s="3" t="s">
        <v>818</v>
      </c>
      <c r="BI28" s="3" t="s">
        <v>1402</v>
      </c>
      <c r="BJ28" s="3" t="s">
        <v>515</v>
      </c>
      <c r="BK28" s="3" t="s">
        <v>819</v>
      </c>
      <c r="BL28" s="3" t="s">
        <v>509</v>
      </c>
      <c r="BM28" s="3" t="s">
        <v>298</v>
      </c>
      <c r="BN28" s="3">
        <v>6</v>
      </c>
      <c r="BO28" s="3">
        <v>17.8</v>
      </c>
      <c r="BP28" s="3">
        <v>18.71</v>
      </c>
      <c r="BQ28" s="3">
        <v>6.27</v>
      </c>
      <c r="BR28" s="3">
        <v>18.260000000000002</v>
      </c>
      <c r="BS28" s="3" t="s">
        <v>48</v>
      </c>
      <c r="BT28" s="3" t="s">
        <v>823</v>
      </c>
      <c r="BU28" s="3" t="s">
        <v>97</v>
      </c>
      <c r="BV28" s="3">
        <v>36.81</v>
      </c>
      <c r="BW28" s="3">
        <v>37.86</v>
      </c>
      <c r="BX28" s="3">
        <v>40.35</v>
      </c>
      <c r="BY28" s="3">
        <v>20.72</v>
      </c>
      <c r="BZ28" s="3">
        <v>19.59</v>
      </c>
      <c r="CA28" s="3">
        <v>20.49</v>
      </c>
      <c r="CB28" s="3">
        <v>-4.1500000000000004</v>
      </c>
      <c r="CC28" s="10">
        <v>0.74</v>
      </c>
      <c r="CD28" s="11" t="s">
        <v>1403</v>
      </c>
      <c r="CE28" s="10" t="s">
        <v>1404</v>
      </c>
      <c r="CF28" s="10">
        <v>-0.4562500000000001</v>
      </c>
      <c r="CG28" s="10">
        <v>-0.47485055813953486</v>
      </c>
      <c r="CH28" s="10">
        <v>-0.77760732173919678</v>
      </c>
      <c r="CI28" s="10">
        <v>0.12867863476276398</v>
      </c>
      <c r="CJ28" s="11">
        <v>0.42049175500869751</v>
      </c>
      <c r="CK28" s="11">
        <v>0.17647059261798859</v>
      </c>
      <c r="CL28" s="11" t="s">
        <v>48</v>
      </c>
      <c r="CM28" s="11">
        <v>-0.76416265964508057</v>
      </c>
      <c r="CN28" s="11">
        <v>7.8873239457607269E-2</v>
      </c>
      <c r="CO28" s="3">
        <v>0.49159663915634155</v>
      </c>
      <c r="CP28" s="3">
        <v>0.2142857164144516</v>
      </c>
      <c r="CQ28" s="3" t="s">
        <v>48</v>
      </c>
      <c r="CR28" s="10">
        <v>59.994306540697067</v>
      </c>
      <c r="CS28" s="11">
        <v>46.179359401800539</v>
      </c>
      <c r="CT28" s="3">
        <v>0.66410346032855638</v>
      </c>
      <c r="CU28" s="3">
        <v>-1.2991584837436676E-2</v>
      </c>
      <c r="CV28" s="3">
        <v>5.1482338458299637E-3</v>
      </c>
      <c r="CW28" s="3">
        <v>0.06</v>
      </c>
      <c r="CX28" s="3">
        <v>113.67164605422377</v>
      </c>
      <c r="CY28" s="3" t="s">
        <v>1405</v>
      </c>
      <c r="CZ28" s="3">
        <v>-1.2991584837436676E-2</v>
      </c>
      <c r="DA28" s="3">
        <v>37.890548684741255</v>
      </c>
      <c r="DB28" s="3" t="s">
        <v>1406</v>
      </c>
      <c r="DC28" s="3">
        <v>-1.2342005595564842E-2</v>
      </c>
      <c r="DD28" s="3">
        <v>18.945274342370627</v>
      </c>
      <c r="DE28" s="3" t="s">
        <v>1407</v>
      </c>
      <c r="DF28" s="3">
        <v>-1.1432594656944276E-2</v>
      </c>
      <c r="DG28" s="3">
        <v>11.367164605422378</v>
      </c>
      <c r="DH28" s="3" t="s">
        <v>1408</v>
      </c>
      <c r="DI28" s="3">
        <v>-1.0393267869949341E-2</v>
      </c>
      <c r="DJ28" s="3">
        <v>5.6835823027111889</v>
      </c>
      <c r="DK28" s="3" t="s">
        <v>1409</v>
      </c>
      <c r="DL28" s="3">
        <v>-9.0941093862056729E-3</v>
      </c>
      <c r="DM28" s="3">
        <v>90325700</v>
      </c>
      <c r="DN28" s="3">
        <v>-1.2991584837436676E-2</v>
      </c>
      <c r="DO28" s="3">
        <v>10267471000</v>
      </c>
      <c r="DP28" s="3">
        <v>3746297100</v>
      </c>
      <c r="DQ28" s="12">
        <v>4666</v>
      </c>
      <c r="DR28" s="3">
        <v>-0.44325841516256342</v>
      </c>
      <c r="DS28" s="3">
        <v>-0.47999879198536483</v>
      </c>
      <c r="DT28" s="3">
        <v>-0.628</v>
      </c>
      <c r="DU28" s="3">
        <v>-0.36399999999999999</v>
      </c>
      <c r="DV28" s="3">
        <v>-0.99199999999999999</v>
      </c>
      <c r="DW28" s="3">
        <v>-4.1783132530120479</v>
      </c>
      <c r="DX28" s="3">
        <v>0.33750914835150225</v>
      </c>
      <c r="DY28" s="3">
        <v>-4.0173871734409907</v>
      </c>
      <c r="DZ28" s="3">
        <v>3</v>
      </c>
      <c r="EA28" s="3">
        <v>-4.0173769657070721</v>
      </c>
      <c r="EB28" s="13">
        <v>4</v>
      </c>
      <c r="EC28" s="13">
        <v>1.2636288762526001E-2</v>
      </c>
      <c r="ED28" s="3">
        <v>0.12959080981520302</v>
      </c>
      <c r="EE28" s="3">
        <v>1.0700099999999999</v>
      </c>
      <c r="EF28" s="3">
        <v>1.10771</v>
      </c>
      <c r="EG28" s="3">
        <v>24.097509148351502</v>
      </c>
      <c r="EH28" s="15" t="s">
        <v>292</v>
      </c>
      <c r="EI28" s="3">
        <v>0</v>
      </c>
      <c r="EJ28" s="3">
        <v>1</v>
      </c>
      <c r="EK28" s="3">
        <v>45470</v>
      </c>
      <c r="EL28" s="3">
        <v>-2.4500000000000002</v>
      </c>
      <c r="EM28" s="3">
        <v>-5.13</v>
      </c>
      <c r="EN28" s="3">
        <v>-2.65</v>
      </c>
      <c r="EO28" s="3">
        <v>1.94</v>
      </c>
      <c r="EP28" s="3">
        <v>-3.77</v>
      </c>
    </row>
    <row r="29" spans="1:146" ht="84" x14ac:dyDescent="0.25">
      <c r="A29" s="9"/>
      <c r="B29" s="9"/>
      <c r="C29" s="9" t="str">
        <f>""&amp;CHAR(10)&amp;Basic_Fundamental_Information_Constructure(F29)&amp;CHAR(10)&amp;Basic_Fundamental_Information_Concatenate("")</f>
        <v xml:space="preserve">
市值73.525347亿, 利润4351.16万; PE75.77; 平均PE114.83; 平均PEG9.07, PB4.22; ROIC7.9967%; ROE8.2967%; 股利率.3284%; 毛利60.3867%; 净利31.77%; 上一年度营收增-59.29%, 利润增-58.56%; 当季营收增-19.15%, 利润增111.06%; 过往5年营收增12.66%, 利润增168.75%
Income profile:
</v>
      </c>
      <c r="D29" s="3" t="s">
        <v>296</v>
      </c>
      <c r="E29" s="3" t="s">
        <v>272</v>
      </c>
      <c r="F29" s="3">
        <v>18.27</v>
      </c>
      <c r="G29" s="3">
        <v>2.81</v>
      </c>
      <c r="H29" s="3" t="s">
        <v>1410</v>
      </c>
      <c r="I29" s="3">
        <v>7352534700</v>
      </c>
      <c r="J29" s="3">
        <v>75.77</v>
      </c>
      <c r="K29" s="3">
        <v>4.22</v>
      </c>
      <c r="L29" s="3" t="s">
        <v>97</v>
      </c>
      <c r="M29" s="3" t="s">
        <v>824</v>
      </c>
      <c r="N29" s="3" t="s">
        <v>1411</v>
      </c>
      <c r="O29" s="3" t="s">
        <v>775</v>
      </c>
      <c r="P29" s="3">
        <v>61.94</v>
      </c>
      <c r="Q29" s="3" t="s">
        <v>775</v>
      </c>
      <c r="R29" s="3">
        <v>92323700</v>
      </c>
      <c r="S29" s="5">
        <v>0.85</v>
      </c>
      <c r="T29" s="3" t="s">
        <v>1412</v>
      </c>
      <c r="U29" s="3">
        <v>178804330</v>
      </c>
      <c r="V29" s="3">
        <v>402437590</v>
      </c>
      <c r="W29" s="3">
        <v>1.1399999999999999</v>
      </c>
      <c r="X29" s="3">
        <v>0.06</v>
      </c>
      <c r="Y29" s="3">
        <v>38.15</v>
      </c>
      <c r="Z29" s="3" t="s">
        <v>1413</v>
      </c>
      <c r="AA29" s="3" t="s">
        <v>1414</v>
      </c>
      <c r="AB29" s="3" t="s">
        <v>1415</v>
      </c>
      <c r="AC29" s="3" t="s">
        <v>1416</v>
      </c>
      <c r="AD29" s="3" t="s">
        <v>48</v>
      </c>
      <c r="AE29" s="3">
        <v>-509021</v>
      </c>
      <c r="AF29" s="3" t="s">
        <v>827</v>
      </c>
      <c r="AG29" s="3">
        <v>4420</v>
      </c>
      <c r="AH29" s="3" t="s">
        <v>828</v>
      </c>
      <c r="AI29" s="3" t="s">
        <v>613</v>
      </c>
      <c r="AJ29" s="3" t="s">
        <v>829</v>
      </c>
      <c r="AK29" s="3" t="s">
        <v>1417</v>
      </c>
      <c r="AL29" s="3" t="s">
        <v>830</v>
      </c>
      <c r="AM29" s="3" t="s">
        <v>48</v>
      </c>
      <c r="AN29" s="3" t="s">
        <v>590</v>
      </c>
      <c r="AO29" s="3" t="s">
        <v>48</v>
      </c>
      <c r="AP29" s="3" t="s">
        <v>1418</v>
      </c>
      <c r="AQ29" s="3" t="s">
        <v>1419</v>
      </c>
      <c r="AR29" s="3" t="s">
        <v>1420</v>
      </c>
      <c r="AS29" s="3" t="s">
        <v>607</v>
      </c>
      <c r="AT29" s="3" t="s">
        <v>77</v>
      </c>
      <c r="AU29" s="3" t="s">
        <v>1421</v>
      </c>
      <c r="AV29" s="3" t="s">
        <v>750</v>
      </c>
      <c r="AW29" s="3" t="s">
        <v>1422</v>
      </c>
      <c r="AX29" s="3" t="s">
        <v>361</v>
      </c>
      <c r="AY29" s="3" t="s">
        <v>523</v>
      </c>
      <c r="AZ29" s="3" t="s">
        <v>69</v>
      </c>
      <c r="BA29" s="3" t="s">
        <v>273</v>
      </c>
      <c r="BB29" s="3" t="s">
        <v>134</v>
      </c>
      <c r="BC29" s="3" t="s">
        <v>360</v>
      </c>
      <c r="BD29" s="3" t="s">
        <v>78</v>
      </c>
      <c r="BE29" s="3" t="s">
        <v>274</v>
      </c>
      <c r="BF29" s="3" t="s">
        <v>275</v>
      </c>
      <c r="BG29" s="3" t="s">
        <v>276</v>
      </c>
      <c r="BH29" s="3" t="s">
        <v>309</v>
      </c>
      <c r="BI29" s="3" t="s">
        <v>82</v>
      </c>
      <c r="BJ29" s="3" t="s">
        <v>361</v>
      </c>
      <c r="BK29" s="3" t="s">
        <v>825</v>
      </c>
      <c r="BL29" s="3" t="s">
        <v>1423</v>
      </c>
      <c r="BM29" s="3" t="s">
        <v>360</v>
      </c>
      <c r="BN29" s="3">
        <v>2.8</v>
      </c>
      <c r="BO29" s="3">
        <v>7.76</v>
      </c>
      <c r="BP29" s="3">
        <v>13.43</v>
      </c>
      <c r="BQ29" s="3">
        <v>3.27</v>
      </c>
      <c r="BR29" s="3">
        <v>7.28</v>
      </c>
      <c r="BS29" s="3">
        <v>14.34</v>
      </c>
      <c r="BT29" s="3" t="s">
        <v>831</v>
      </c>
      <c r="BU29" s="3" t="s">
        <v>97</v>
      </c>
      <c r="BV29" s="3">
        <v>57.55</v>
      </c>
      <c r="BW29" s="3">
        <v>58.99</v>
      </c>
      <c r="BX29" s="3">
        <v>64.62</v>
      </c>
      <c r="BY29" s="3">
        <v>25.62</v>
      </c>
      <c r="BZ29" s="3">
        <v>37.630000000000003</v>
      </c>
      <c r="CA29" s="3">
        <v>32.06</v>
      </c>
      <c r="CB29" s="3">
        <v>-5.82</v>
      </c>
      <c r="CC29" s="3">
        <v>-16.690000000000001</v>
      </c>
      <c r="CD29" s="3" t="s">
        <v>1424</v>
      </c>
      <c r="CE29" s="3" t="s">
        <v>826</v>
      </c>
      <c r="CF29" s="10">
        <v>-0.19148936170212777</v>
      </c>
      <c r="CG29" s="11">
        <v>1.110584045063004</v>
      </c>
      <c r="CH29" s="10">
        <v>-0.59285712242126465</v>
      </c>
      <c r="CI29" s="10">
        <v>-0.17888562381267548</v>
      </c>
      <c r="CJ29" s="10">
        <v>0.23999999463558197</v>
      </c>
      <c r="CK29" s="10">
        <v>0.36138615012168884</v>
      </c>
      <c r="CL29" s="10">
        <v>0.80357140302658081</v>
      </c>
      <c r="CM29" s="11">
        <v>-0.58560383319854736</v>
      </c>
      <c r="CN29" s="11">
        <v>-2.777777798473835E-2</v>
      </c>
      <c r="CO29" s="11">
        <v>0.52806341648101807</v>
      </c>
      <c r="CP29" s="11">
        <v>7.3699966073036194E-2</v>
      </c>
      <c r="CQ29" s="11">
        <v>8.4491109848022461</v>
      </c>
      <c r="CR29" s="3">
        <v>114.82988702135569</v>
      </c>
      <c r="CS29" s="3">
        <v>9.0672143749868219</v>
      </c>
      <c r="CT29" s="3">
        <v>0.32840722495894908</v>
      </c>
      <c r="CU29" s="10">
        <v>0.12664296030998229</v>
      </c>
      <c r="CV29" s="11">
        <v>1.687498551234603</v>
      </c>
      <c r="CW29" s="3">
        <v>0.06</v>
      </c>
      <c r="CX29" s="3">
        <v>126.59218295432329</v>
      </c>
      <c r="CY29" s="3">
        <v>46247205.501720592</v>
      </c>
      <c r="CZ29" s="3">
        <v>0.12664296030998229</v>
      </c>
      <c r="DA29" s="3">
        <v>40.110452790127944</v>
      </c>
      <c r="DB29" s="3">
        <v>145960324.37312523</v>
      </c>
      <c r="DC29" s="3">
        <v>0.12031081229448316</v>
      </c>
      <c r="DD29" s="3">
        <v>18.935467447173458</v>
      </c>
      <c r="DE29" s="3">
        <v>309183531.71544862</v>
      </c>
      <c r="DF29" s="3">
        <v>0.11144580507278441</v>
      </c>
      <c r="DG29" s="3">
        <v>10.837811585696578</v>
      </c>
      <c r="DH29" s="3">
        <v>540195283.31039095</v>
      </c>
      <c r="DI29" s="3">
        <v>0.10131436824798584</v>
      </c>
      <c r="DJ29" s="3">
        <v>5.0247958730254076</v>
      </c>
      <c r="DK29" s="3">
        <v>1165128862.5332775</v>
      </c>
      <c r="DL29" s="3">
        <v>8.8650072216987591E-2</v>
      </c>
      <c r="DM29" s="3">
        <v>43511600</v>
      </c>
      <c r="DN29" s="3">
        <v>0.12664296030998229</v>
      </c>
      <c r="DO29" s="3">
        <v>5854534700</v>
      </c>
      <c r="DP29" s="3">
        <v>1071763000</v>
      </c>
      <c r="DQ29" s="3">
        <v>4669</v>
      </c>
      <c r="DR29" s="3">
        <v>-0.31813232201211006</v>
      </c>
      <c r="DS29" s="3">
        <v>-0.57691450617159901</v>
      </c>
      <c r="DT29" s="12">
        <v>-0.30666666666666664</v>
      </c>
      <c r="DU29" s="3">
        <v>0.90333333333333332</v>
      </c>
      <c r="DV29" s="3">
        <v>0.59666666666666668</v>
      </c>
      <c r="DW29" s="3">
        <v>-8.3487118034751351</v>
      </c>
      <c r="DX29" s="3">
        <v>0.3426640625000017</v>
      </c>
      <c r="DY29" s="3">
        <v>-8.0462615244907134</v>
      </c>
      <c r="DZ29" s="3">
        <v>3265</v>
      </c>
      <c r="EA29" s="3">
        <v>-8.0167030357505613</v>
      </c>
      <c r="EB29" s="3">
        <v>8</v>
      </c>
      <c r="EC29" s="3">
        <v>4.2195362515713306E-2</v>
      </c>
      <c r="ED29" s="3">
        <v>0.31806173970975227</v>
      </c>
      <c r="EE29" s="13">
        <v>-2.09131</v>
      </c>
      <c r="EF29" s="3">
        <v>-2.1163099999999999</v>
      </c>
      <c r="EG29" s="3">
        <v>21.132664062500002</v>
      </c>
      <c r="EH29" s="3" t="s">
        <v>561</v>
      </c>
      <c r="EI29" s="3">
        <v>0</v>
      </c>
      <c r="EJ29" s="3">
        <v>0</v>
      </c>
      <c r="EK29" s="15">
        <v>45470</v>
      </c>
      <c r="EL29" s="16">
        <v>-2.2200000000000002</v>
      </c>
      <c r="EM29" s="16">
        <v>-3.91</v>
      </c>
      <c r="EN29" s="3">
        <v>1.87</v>
      </c>
      <c r="EO29" s="3">
        <v>2</v>
      </c>
      <c r="EP29" s="3">
        <v>-2.5</v>
      </c>
    </row>
    <row r="30" spans="1:146" ht="288" x14ac:dyDescent="0.25">
      <c r="A30" s="9" t="s">
        <v>446</v>
      </c>
      <c r="B30" s="9" t="s">
        <v>231</v>
      </c>
      <c r="C30" s="9" t="str">
        <f>""&amp;CHAR(10)&amp;Basic_Fundamental_Information_Constructure(F30)&amp;CHAR(10)&amp;Basic_Fundamental_Information_Concatenate("特种气体67.21%（毛利40.00%） 普通工业气体32.79%（毛利31.13%）；海外销售额占比约20%；
下游行业分布占比：半导体65.47% 机械制造15.72% 食品医疗15.31% 其他3.50%")</f>
        <v xml:space="preserve">
市值57.845003亿, 利润4509.52万; PE32.83; 平均PE55.31; 平均PEG31.84, PB3.39; ROIC9.5167%; ROE10.4167%; 股利率1.0406%; 毛利27.22%; 净利10.84%; 上一年度营收增-81.53%, 利润增-78.21%; 当季营收增-55.06%, 利润增-39.57%; 过往5年营收增1.74%, 利润增11.39%
Income profile:
特种气体67.21%（毛利40.00%） 普通工业气体32.79%（毛利31.13%）；海外销售额占比约20%；
下游行业分布占比：半导体65.47% 机械制造15.72% 食品医疗15.31% 其他3.50%</v>
      </c>
      <c r="D30" s="3" t="s">
        <v>297</v>
      </c>
      <c r="E30" s="3" t="s">
        <v>1425</v>
      </c>
      <c r="F30" s="3">
        <v>48.05</v>
      </c>
      <c r="G30" s="3">
        <v>-0.62</v>
      </c>
      <c r="H30" s="3" t="s">
        <v>1426</v>
      </c>
      <c r="I30" s="3">
        <v>5784500300</v>
      </c>
      <c r="J30" s="3">
        <v>32.83</v>
      </c>
      <c r="K30" s="3">
        <v>3.39</v>
      </c>
      <c r="L30" s="3" t="s">
        <v>97</v>
      </c>
      <c r="M30" s="3" t="s">
        <v>832</v>
      </c>
      <c r="N30" s="3" t="s">
        <v>1427</v>
      </c>
      <c r="O30" s="3" t="s">
        <v>833</v>
      </c>
      <c r="P30" s="3">
        <v>-7.3</v>
      </c>
      <c r="Q30" s="3" t="s">
        <v>833</v>
      </c>
      <c r="R30" s="3">
        <v>45095211</v>
      </c>
      <c r="S30" s="5">
        <v>0.1268</v>
      </c>
      <c r="T30" s="3" t="s">
        <v>1428</v>
      </c>
      <c r="U30" s="3">
        <v>120223021</v>
      </c>
      <c r="V30" s="3">
        <v>120385021</v>
      </c>
      <c r="W30" s="3">
        <v>1.66</v>
      </c>
      <c r="X30" s="3">
        <v>0.1</v>
      </c>
      <c r="Y30" s="3">
        <v>13.62</v>
      </c>
      <c r="Z30" s="3" t="s">
        <v>167</v>
      </c>
      <c r="AA30" s="3" t="s">
        <v>609</v>
      </c>
      <c r="AB30" s="3" t="s">
        <v>1429</v>
      </c>
      <c r="AC30" s="3" t="s">
        <v>1430</v>
      </c>
      <c r="AD30" s="3" t="s">
        <v>48</v>
      </c>
      <c r="AE30" s="3">
        <v>5803753</v>
      </c>
      <c r="AF30" s="3" t="s">
        <v>836</v>
      </c>
      <c r="AG30" s="3" t="s">
        <v>1431</v>
      </c>
      <c r="AH30" s="3" t="s">
        <v>837</v>
      </c>
      <c r="AI30" s="3" t="s">
        <v>270</v>
      </c>
      <c r="AJ30" s="3" t="s">
        <v>839</v>
      </c>
      <c r="AK30" s="3" t="s">
        <v>1432</v>
      </c>
      <c r="AL30" s="3" t="s">
        <v>840</v>
      </c>
      <c r="AM30" s="3" t="s">
        <v>48</v>
      </c>
      <c r="AN30" s="3" t="s">
        <v>92</v>
      </c>
      <c r="AO30" s="3" t="s">
        <v>48</v>
      </c>
      <c r="AP30" s="3" t="s">
        <v>1433</v>
      </c>
      <c r="AQ30" s="3" t="s">
        <v>1434</v>
      </c>
      <c r="AR30" s="3" t="s">
        <v>48</v>
      </c>
      <c r="AS30" s="3" t="s">
        <v>1243</v>
      </c>
      <c r="AT30" s="3" t="s">
        <v>261</v>
      </c>
      <c r="AU30" s="3" t="s">
        <v>1435</v>
      </c>
      <c r="AV30" s="3" t="s">
        <v>1436</v>
      </c>
      <c r="AW30" s="3" t="s">
        <v>1437</v>
      </c>
      <c r="AX30" s="3" t="s">
        <v>524</v>
      </c>
      <c r="AY30" s="3" t="s">
        <v>277</v>
      </c>
      <c r="AZ30" s="3" t="s">
        <v>215</v>
      </c>
      <c r="BA30" s="3" t="s">
        <v>57</v>
      </c>
      <c r="BB30" s="3" t="s">
        <v>79</v>
      </c>
      <c r="BC30" s="3" t="s">
        <v>605</v>
      </c>
      <c r="BD30" s="3" t="s">
        <v>77</v>
      </c>
      <c r="BE30" s="3" t="s">
        <v>86</v>
      </c>
      <c r="BF30" s="3" t="s">
        <v>217</v>
      </c>
      <c r="BG30" s="3" t="s">
        <v>218</v>
      </c>
      <c r="BH30" s="3" t="s">
        <v>834</v>
      </c>
      <c r="BI30" s="3" t="s">
        <v>1438</v>
      </c>
      <c r="BJ30" s="3" t="s">
        <v>524</v>
      </c>
      <c r="BK30" s="3" t="s">
        <v>293</v>
      </c>
      <c r="BL30" s="3" t="s">
        <v>1439</v>
      </c>
      <c r="BM30" s="3" t="s">
        <v>605</v>
      </c>
      <c r="BN30" s="3">
        <v>6.14</v>
      </c>
      <c r="BO30" s="3">
        <v>12.89</v>
      </c>
      <c r="BP30" s="3">
        <v>9.52</v>
      </c>
      <c r="BQ30" s="3">
        <v>7.28</v>
      </c>
      <c r="BR30" s="3">
        <v>14.14</v>
      </c>
      <c r="BS30" s="3">
        <v>9.83</v>
      </c>
      <c r="BT30" s="3" t="s">
        <v>842</v>
      </c>
      <c r="BU30" s="3" t="s">
        <v>97</v>
      </c>
      <c r="BV30" s="3">
        <v>30.59</v>
      </c>
      <c r="BW30" s="3">
        <v>26.88</v>
      </c>
      <c r="BX30" s="3">
        <v>24.19</v>
      </c>
      <c r="BY30" s="3">
        <v>11.47</v>
      </c>
      <c r="BZ30" s="3">
        <v>11.46</v>
      </c>
      <c r="CA30" s="3">
        <v>9.59</v>
      </c>
      <c r="CB30" s="3">
        <v>-5.99</v>
      </c>
      <c r="CC30" s="3">
        <v>-2.58</v>
      </c>
      <c r="CD30" s="3" t="s">
        <v>1440</v>
      </c>
      <c r="CE30" s="3" t="s">
        <v>1441</v>
      </c>
      <c r="CF30" s="10">
        <v>-0.55060728744939269</v>
      </c>
      <c r="CG30" s="11">
        <v>-0.39565885540909262</v>
      </c>
      <c r="CH30" s="10">
        <v>-0.8153078556060791</v>
      </c>
      <c r="CI30" s="10">
        <v>0.33853006362915039</v>
      </c>
      <c r="CJ30" s="10">
        <v>0.34700006246566772</v>
      </c>
      <c r="CK30" s="10">
        <v>0.18483412265777588</v>
      </c>
      <c r="CL30" s="10">
        <v>3.1784839928150177E-2</v>
      </c>
      <c r="CM30" s="11">
        <v>-0.78214877843856812</v>
      </c>
      <c r="CN30" s="11">
        <v>0.60465115308761597</v>
      </c>
      <c r="CO30" s="11">
        <v>0.21698112785816193</v>
      </c>
      <c r="CP30" s="11">
        <v>0.46016162633895874</v>
      </c>
      <c r="CQ30" s="11">
        <v>6.9954544305801392E-2</v>
      </c>
      <c r="CR30" s="3">
        <v>55.306587342955801</v>
      </c>
      <c r="CS30" s="3">
        <v>31.843506468525067</v>
      </c>
      <c r="CT30" s="3">
        <v>1.0405827263267431</v>
      </c>
      <c r="CU30" s="10">
        <v>1.7368246614933015E-2</v>
      </c>
      <c r="CV30" s="11">
        <v>0.11391993463039399</v>
      </c>
      <c r="CW30" s="3">
        <v>0.06</v>
      </c>
      <c r="CX30" s="3">
        <v>119.18478829792129</v>
      </c>
      <c r="CY30" s="3">
        <v>43281532.5988205</v>
      </c>
      <c r="CZ30" s="3">
        <v>1.7368246614933015E-2</v>
      </c>
      <c r="DA30" s="3">
        <v>41.439531397965524</v>
      </c>
      <c r="DB30" s="3">
        <v>124482592.49025333</v>
      </c>
      <c r="DC30" s="3">
        <v>1.6499834284186363E-2</v>
      </c>
      <c r="DD30" s="3">
        <v>22.109558740802836</v>
      </c>
      <c r="DE30" s="3">
        <v>233315389.0801118</v>
      </c>
      <c r="DF30" s="3">
        <v>1.5284057021141053E-2</v>
      </c>
      <c r="DG30" s="3">
        <v>14.490323188147821</v>
      </c>
      <c r="DH30" s="3">
        <v>355996221.27264428</v>
      </c>
      <c r="DI30" s="3">
        <v>1.3894597291946413E-2</v>
      </c>
      <c r="DJ30" s="3">
        <v>8.96759930698388</v>
      </c>
      <c r="DK30" s="3">
        <v>575237599.65307653</v>
      </c>
      <c r="DL30" s="3">
        <v>1.2157772630453109E-2</v>
      </c>
      <c r="DM30" s="3">
        <v>45095200.000000007</v>
      </c>
      <c r="DN30" s="3">
        <v>1.7368246614933015E-2</v>
      </c>
      <c r="DO30" s="3">
        <v>5158500300</v>
      </c>
      <c r="DP30" s="3">
        <v>1330097400</v>
      </c>
      <c r="DQ30" s="3">
        <v>4771</v>
      </c>
      <c r="DR30" s="3">
        <v>-0.56797553406432566</v>
      </c>
      <c r="DS30" s="3">
        <v>-0.50957879003948658</v>
      </c>
      <c r="DT30" s="12">
        <v>-0.37333333333333335</v>
      </c>
      <c r="DU30" s="3">
        <v>-3.3333333333333726E-3</v>
      </c>
      <c r="DV30" s="3">
        <v>-0.37666666666666671</v>
      </c>
      <c r="DW30" s="3">
        <v>-4.4307178631051753</v>
      </c>
      <c r="DX30" s="3">
        <v>0.48887383236292237</v>
      </c>
      <c r="DY30" s="3">
        <v>-4.0512010830544796</v>
      </c>
      <c r="DZ30" s="3">
        <v>1553</v>
      </c>
      <c r="EA30" s="3">
        <v>-4.0356403625097421</v>
      </c>
      <c r="EB30" s="3">
        <v>4</v>
      </c>
      <c r="EC30" s="3">
        <v>3.7717317007404105E-2</v>
      </c>
      <c r="ED30" s="3">
        <v>0.31728864341021296</v>
      </c>
      <c r="EE30" s="13">
        <v>-4.0312000000000001</v>
      </c>
      <c r="EF30" s="3">
        <v>-4.0133999999999999</v>
      </c>
      <c r="EG30" s="3">
        <v>37.118873832362922</v>
      </c>
      <c r="EH30" s="3" t="s">
        <v>1159</v>
      </c>
      <c r="EI30" s="3">
        <v>0</v>
      </c>
      <c r="EJ30" s="3">
        <v>0</v>
      </c>
      <c r="EK30" s="15">
        <v>45470</v>
      </c>
      <c r="EL30" s="16">
        <v>-1.54</v>
      </c>
      <c r="EM30" s="16">
        <v>-3.69</v>
      </c>
      <c r="EN30" s="3">
        <v>-0.71</v>
      </c>
      <c r="EO30" s="3">
        <v>2.7</v>
      </c>
      <c r="EP30" s="3">
        <v>-1.78</v>
      </c>
    </row>
    <row r="31" spans="1:146" ht="96" x14ac:dyDescent="0.25">
      <c r="C31" s="7" t="str">
        <f>""&amp;CHAR(10)&amp;Basic_Fundamental_Information_Constructure(F31)&amp;CHAR(10)&amp;Basic_Fundamental_Information_Concatenate("")</f>
        <v xml:space="preserve">
市值36.156223亿, 利润1524.59万; PE; 平均PE142.36; 平均PEG26.9, PB7.24; ROIC12.92%; ROE-.2033%; 股利率0%; 毛利31.07%; 净利-.4633%; 上一年度营收增-49.04%, 利润增147.29%; 当季营收增-13.08%, 利润增181.34%; 过往5年营收增5.29%, 利润增9.61%
Income profile:
</v>
      </c>
      <c r="D31" s="3" t="s">
        <v>219</v>
      </c>
      <c r="E31" s="3" t="s">
        <v>220</v>
      </c>
      <c r="F31" s="3">
        <v>38.880000000000003</v>
      </c>
      <c r="G31" s="3">
        <v>-1.19</v>
      </c>
      <c r="H31" s="3" t="s">
        <v>1442</v>
      </c>
      <c r="I31" s="3">
        <v>3615622300</v>
      </c>
      <c r="K31" s="3">
        <v>7.24</v>
      </c>
      <c r="L31" s="3" t="s">
        <v>97</v>
      </c>
      <c r="M31" s="3" t="s">
        <v>843</v>
      </c>
      <c r="N31" s="3" t="s">
        <v>606</v>
      </c>
      <c r="O31" s="3" t="s">
        <v>310</v>
      </c>
      <c r="P31" s="3">
        <v>122.05</v>
      </c>
      <c r="Q31" s="3" t="s">
        <v>310</v>
      </c>
      <c r="R31" s="3">
        <v>15245889</v>
      </c>
      <c r="S31" s="5">
        <v>2.2440000000000002</v>
      </c>
      <c r="T31" s="3" t="s">
        <v>1443</v>
      </c>
      <c r="U31" s="3">
        <v>92994400</v>
      </c>
      <c r="V31" s="3">
        <v>92994400</v>
      </c>
      <c r="W31" s="3">
        <v>2.0299999999999998</v>
      </c>
      <c r="X31" s="3">
        <v>0.15</v>
      </c>
      <c r="Y31" s="3">
        <v>13.47</v>
      </c>
      <c r="Z31" s="3" t="s">
        <v>293</v>
      </c>
      <c r="AA31" s="3" t="s">
        <v>1023</v>
      </c>
      <c r="AB31" s="3" t="s">
        <v>1444</v>
      </c>
      <c r="AC31" s="3" t="s">
        <v>1445</v>
      </c>
      <c r="AD31" s="3" t="s">
        <v>48</v>
      </c>
      <c r="AE31" s="3">
        <v>2983920</v>
      </c>
      <c r="AF31" s="3" t="s">
        <v>845</v>
      </c>
      <c r="AG31" s="3">
        <v>3668.76</v>
      </c>
      <c r="AH31" s="3" t="s">
        <v>846</v>
      </c>
      <c r="AI31" s="3" t="s">
        <v>1446</v>
      </c>
      <c r="AJ31" s="3" t="s">
        <v>847</v>
      </c>
      <c r="AK31" s="3" t="s">
        <v>1447</v>
      </c>
      <c r="AL31" s="3" t="s">
        <v>848</v>
      </c>
      <c r="AM31" s="3" t="s">
        <v>48</v>
      </c>
      <c r="AN31" s="3" t="s">
        <v>1448</v>
      </c>
      <c r="AO31" s="3" t="s">
        <v>151</v>
      </c>
      <c r="AP31" s="3" t="s">
        <v>48</v>
      </c>
      <c r="AQ31" s="3" t="s">
        <v>1449</v>
      </c>
      <c r="AR31" s="3" t="s">
        <v>48</v>
      </c>
      <c r="AS31" s="3" t="s">
        <v>731</v>
      </c>
      <c r="AT31" s="3" t="s">
        <v>1450</v>
      </c>
      <c r="AU31" s="3" t="s">
        <v>1451</v>
      </c>
      <c r="AV31" s="3" t="s">
        <v>1452</v>
      </c>
      <c r="AW31" s="3" t="s">
        <v>1453</v>
      </c>
      <c r="AX31" s="3" t="s">
        <v>357</v>
      </c>
      <c r="AY31" s="3" t="s">
        <v>49</v>
      </c>
      <c r="AZ31" s="3" t="s">
        <v>56</v>
      </c>
      <c r="BA31" s="3" t="s">
        <v>80</v>
      </c>
      <c r="BB31" s="3" t="s">
        <v>59</v>
      </c>
      <c r="BC31" s="3" t="s">
        <v>526</v>
      </c>
      <c r="BD31" s="3" t="s">
        <v>278</v>
      </c>
      <c r="BE31" s="3" t="s">
        <v>221</v>
      </c>
      <c r="BF31" s="3" t="s">
        <v>222</v>
      </c>
      <c r="BG31" s="3" t="s">
        <v>223</v>
      </c>
      <c r="BH31" s="3" t="s">
        <v>466</v>
      </c>
      <c r="BI31" s="3" t="s">
        <v>133</v>
      </c>
      <c r="BJ31" s="3" t="s">
        <v>357</v>
      </c>
      <c r="BK31" s="3" t="s">
        <v>844</v>
      </c>
      <c r="BL31" s="3" t="s">
        <v>1454</v>
      </c>
      <c r="BM31" s="3" t="s">
        <v>526</v>
      </c>
      <c r="BN31" s="3" t="s">
        <v>48</v>
      </c>
      <c r="BO31" s="3" t="s">
        <v>48</v>
      </c>
      <c r="BP31" s="3">
        <v>12.92</v>
      </c>
      <c r="BQ31" s="3">
        <v>-6.71</v>
      </c>
      <c r="BR31" s="3">
        <v>-6.22</v>
      </c>
      <c r="BS31" s="3">
        <v>12.32</v>
      </c>
      <c r="BT31" s="3" t="s">
        <v>439</v>
      </c>
      <c r="BU31" s="3" t="s">
        <v>97</v>
      </c>
      <c r="BV31" s="3">
        <v>32.17</v>
      </c>
      <c r="BW31" s="3">
        <v>29.87</v>
      </c>
      <c r="BX31" s="3">
        <v>31.17</v>
      </c>
      <c r="BY31" s="3">
        <v>-7</v>
      </c>
      <c r="BZ31" s="3">
        <v>-10</v>
      </c>
      <c r="CA31" s="3">
        <v>15.61</v>
      </c>
      <c r="CB31" s="3">
        <v>-2.8</v>
      </c>
      <c r="CC31" s="3">
        <v>-25.99</v>
      </c>
      <c r="CD31" s="3" t="s">
        <v>1455</v>
      </c>
      <c r="CE31" s="3" t="s">
        <v>1456</v>
      </c>
      <c r="CF31" s="10">
        <v>-0.13084112149532709</v>
      </c>
      <c r="CG31" s="11">
        <v>1.813439455782313</v>
      </c>
      <c r="CH31" s="10">
        <v>-0.49041095376014709</v>
      </c>
      <c r="CI31" s="10">
        <v>-2.9255319386720657E-2</v>
      </c>
      <c r="CJ31" s="10">
        <v>0.31010451912879944</v>
      </c>
      <c r="CK31" s="10">
        <v>0.29864254593849182</v>
      </c>
      <c r="CL31" s="10">
        <v>0.17553190886974335</v>
      </c>
      <c r="CM31" s="11">
        <v>1.4728554487228394</v>
      </c>
      <c r="CN31" s="11">
        <v>-1.6073086261749268</v>
      </c>
      <c r="CO31" s="11">
        <v>6.2243644148111343E-2</v>
      </c>
      <c r="CP31" s="11">
        <v>0.41728439927101135</v>
      </c>
      <c r="CQ31" s="11">
        <v>0.1355803906917572</v>
      </c>
      <c r="CR31" s="3">
        <v>142.35527440834954</v>
      </c>
      <c r="CS31" s="3">
        <v>26.898798504995938</v>
      </c>
      <c r="CT31" s="3">
        <v>0</v>
      </c>
      <c r="CU31" s="10">
        <v>5.2922540158033368E-2</v>
      </c>
      <c r="CV31" s="11">
        <v>9.6131051331758505E-2</v>
      </c>
      <c r="CW31" s="3">
        <v>0.06</v>
      </c>
      <c r="CX31" s="3">
        <v>236.76686066096201</v>
      </c>
      <c r="CY31" s="3">
        <v>15144105.429240907</v>
      </c>
      <c r="CZ31" s="3">
        <v>5.2922540158033368E-2</v>
      </c>
      <c r="DA31" s="3">
        <v>79.851380784578268</v>
      </c>
      <c r="DB31" s="3">
        <v>44903698.154866382</v>
      </c>
      <c r="DC31" s="3">
        <v>5.0276413150131698E-2</v>
      </c>
      <c r="DD31" s="3">
        <v>40.976622936607704</v>
      </c>
      <c r="DE31" s="3">
        <v>87504094.848106086</v>
      </c>
      <c r="DF31" s="3">
        <v>4.6571835339069362E-2</v>
      </c>
      <c r="DG31" s="3">
        <v>25.765635500383617</v>
      </c>
      <c r="DH31" s="3">
        <v>139162967.66468713</v>
      </c>
      <c r="DI31" s="3">
        <v>4.23380321264267E-2</v>
      </c>
      <c r="DJ31" s="3">
        <v>14.681139264855926</v>
      </c>
      <c r="DK31" s="3">
        <v>244233246.16117164</v>
      </c>
      <c r="DL31" s="3">
        <v>3.7045778110623352E-2</v>
      </c>
      <c r="DM31" s="3">
        <v>15245900</v>
      </c>
      <c r="DN31" s="3">
        <v>5.2922540158033368E-2</v>
      </c>
      <c r="DO31" s="3">
        <v>3585622300</v>
      </c>
      <c r="DP31" s="3">
        <v>178906669.99999994</v>
      </c>
      <c r="DQ31" s="3">
        <v>4851</v>
      </c>
      <c r="DR31" s="3">
        <v>-0.18376366165336044</v>
      </c>
      <c r="DS31" s="3">
        <v>1.7173084044505544</v>
      </c>
      <c r="DT31" s="12">
        <v>-0.25666666666666677</v>
      </c>
      <c r="DU31" s="3">
        <v>0.33333333333333331</v>
      </c>
      <c r="DV31" s="3">
        <v>7.666666666666655E-2</v>
      </c>
      <c r="DW31" s="3">
        <v>-8.1077337437475947</v>
      </c>
      <c r="DX31" s="3">
        <v>0.39610353911350304</v>
      </c>
      <c r="DY31" s="3">
        <v>-8.0125082689310432</v>
      </c>
      <c r="DZ31" s="3">
        <v>1804</v>
      </c>
      <c r="EA31" s="3">
        <v>-8.0080924338720205</v>
      </c>
      <c r="EB31" s="3">
        <v>8</v>
      </c>
      <c r="EC31" s="3">
        <v>2.1801312767220391E-2</v>
      </c>
      <c r="ED31" s="3">
        <v>0.18777474772674482</v>
      </c>
      <c r="EE31" s="13">
        <v>3.0338099999999999</v>
      </c>
      <c r="EF31" s="3">
        <v>3.0537100000000001</v>
      </c>
      <c r="EG31" s="3">
        <v>28.116103539113503</v>
      </c>
      <c r="EH31" s="3" t="s">
        <v>522</v>
      </c>
      <c r="EI31" s="3">
        <v>0</v>
      </c>
      <c r="EJ31" s="3">
        <v>0</v>
      </c>
      <c r="EK31" s="15">
        <v>45470</v>
      </c>
      <c r="EL31" s="16">
        <v>-2.2799999999999998</v>
      </c>
      <c r="EM31" s="16">
        <v>-5.96</v>
      </c>
      <c r="EN31" s="3">
        <v>0.09</v>
      </c>
      <c r="EO31" s="3">
        <v>3.51</v>
      </c>
      <c r="EP31" s="3">
        <v>-1.99</v>
      </c>
    </row>
    <row r="32" spans="1:146" ht="84" x14ac:dyDescent="0.25">
      <c r="A32" s="3"/>
      <c r="B32" s="3"/>
      <c r="C32" s="7" t="str">
        <f>""&amp;CHAR(10)&amp;Basic_Fundamental_Information_Constructure(F32)&amp;CHAR(10)&amp;Basic_Fundamental_Information_Concatenate("")</f>
        <v xml:space="preserve">
市值31.43376亿, 利润525.98万; PE; 平均PE104.73; 平均PEG3.21, PB1.6; ROIC5.525%; ROE3.83%; 股利率0%; 毛利54.1067%; 净利1.5167%; 上一年度营收增-76.54%, 利润增-84.22%; 当季营收增-21.92%, 利润增124.52%; 过往5年营收增32.66%, 利润增11.72%
Income profile:
</v>
      </c>
      <c r="D32" s="5" t="s">
        <v>527</v>
      </c>
      <c r="E32" s="3" t="s">
        <v>528</v>
      </c>
      <c r="F32" s="3">
        <v>9.3699999999999992</v>
      </c>
      <c r="G32" s="3">
        <v>1.63</v>
      </c>
      <c r="H32" s="3" t="s">
        <v>1457</v>
      </c>
      <c r="I32" s="3">
        <v>3143376000</v>
      </c>
      <c r="K32" s="3">
        <v>1.6</v>
      </c>
      <c r="L32" s="3" t="s">
        <v>97</v>
      </c>
      <c r="M32" s="3" t="s">
        <v>557</v>
      </c>
      <c r="N32" s="3" t="s">
        <v>1458</v>
      </c>
      <c r="O32" s="3" t="s">
        <v>849</v>
      </c>
      <c r="P32" s="5">
        <v>60.73</v>
      </c>
      <c r="Q32" s="3" t="s">
        <v>849</v>
      </c>
      <c r="R32" s="3">
        <v>5259774</v>
      </c>
      <c r="S32" s="3">
        <v>1.4930000000000001</v>
      </c>
      <c r="T32" s="3" t="s">
        <v>1459</v>
      </c>
      <c r="U32" s="3">
        <v>123702777</v>
      </c>
      <c r="V32" s="3">
        <v>335472360</v>
      </c>
      <c r="W32" s="3">
        <v>1.05</v>
      </c>
      <c r="X32" s="3">
        <v>0.04</v>
      </c>
      <c r="Y32" s="3">
        <v>5.66</v>
      </c>
      <c r="Z32" s="3" t="s">
        <v>1460</v>
      </c>
      <c r="AA32" s="3" t="s">
        <v>1461</v>
      </c>
      <c r="AB32" s="3" t="s">
        <v>1462</v>
      </c>
      <c r="AC32" s="3" t="s">
        <v>1463</v>
      </c>
      <c r="AD32" s="3" t="s">
        <v>48</v>
      </c>
      <c r="AE32" s="3">
        <v>-1613399</v>
      </c>
      <c r="AF32" s="3" t="s">
        <v>851</v>
      </c>
      <c r="AG32" s="3" t="s">
        <v>1464</v>
      </c>
      <c r="AH32" s="3" t="s">
        <v>852</v>
      </c>
      <c r="AI32" s="3" t="s">
        <v>693</v>
      </c>
      <c r="AJ32" s="3" t="s">
        <v>853</v>
      </c>
      <c r="AK32" s="3" t="s">
        <v>1465</v>
      </c>
      <c r="AL32" s="3" t="s">
        <v>854</v>
      </c>
      <c r="AM32" s="3" t="s">
        <v>48</v>
      </c>
      <c r="AN32" s="3" t="s">
        <v>1466</v>
      </c>
      <c r="AO32" s="3" t="s">
        <v>48</v>
      </c>
      <c r="AP32" s="3" t="s">
        <v>48</v>
      </c>
      <c r="AQ32" s="3" t="s">
        <v>1467</v>
      </c>
      <c r="AR32" s="3" t="s">
        <v>48</v>
      </c>
      <c r="AS32" s="3" t="s">
        <v>1468</v>
      </c>
      <c r="AT32" s="3" t="s">
        <v>48</v>
      </c>
      <c r="AU32" s="3" t="s">
        <v>1469</v>
      </c>
      <c r="AV32" s="3" t="s">
        <v>582</v>
      </c>
      <c r="AW32" s="3" t="s">
        <v>1470</v>
      </c>
      <c r="AX32" s="3" t="s">
        <v>349</v>
      </c>
      <c r="AY32" s="3" t="s">
        <v>529</v>
      </c>
      <c r="AZ32" s="3" t="s">
        <v>449</v>
      </c>
      <c r="BA32" s="3" t="s">
        <v>308</v>
      </c>
      <c r="BB32" s="3" t="s">
        <v>530</v>
      </c>
      <c r="BC32" s="3" t="s">
        <v>855</v>
      </c>
      <c r="BD32" s="3" t="s">
        <v>531</v>
      </c>
      <c r="BE32" s="3" t="s">
        <v>532</v>
      </c>
      <c r="BF32" s="3" t="s">
        <v>533</v>
      </c>
      <c r="BG32" s="3" t="s">
        <v>534</v>
      </c>
      <c r="BH32" s="3" t="s">
        <v>604</v>
      </c>
      <c r="BI32" s="3" t="s">
        <v>124</v>
      </c>
      <c r="BJ32" s="3" t="s">
        <v>349</v>
      </c>
      <c r="BK32" s="3" t="s">
        <v>850</v>
      </c>
      <c r="BL32" s="3" t="s">
        <v>1471</v>
      </c>
      <c r="BM32" s="3" t="s">
        <v>855</v>
      </c>
      <c r="BN32" s="3" t="s">
        <v>48</v>
      </c>
      <c r="BO32" s="3">
        <v>2.84</v>
      </c>
      <c r="BP32" s="3">
        <v>8.2100000000000009</v>
      </c>
      <c r="BQ32" s="3">
        <v>-1.68</v>
      </c>
      <c r="BR32" s="3">
        <v>3.4</v>
      </c>
      <c r="BS32" s="3">
        <v>9.77</v>
      </c>
      <c r="BT32" s="3" t="s">
        <v>439</v>
      </c>
      <c r="BU32" s="3" t="s">
        <v>97</v>
      </c>
      <c r="BV32" s="3">
        <v>47.65</v>
      </c>
      <c r="BW32" s="3">
        <v>56.59</v>
      </c>
      <c r="BX32" s="3">
        <v>58.08</v>
      </c>
      <c r="BY32" s="3">
        <v>-13.45</v>
      </c>
      <c r="BZ32" s="3">
        <v>8.42</v>
      </c>
      <c r="CA32" s="3">
        <v>9.58</v>
      </c>
      <c r="CB32" s="3">
        <v>-6.67</v>
      </c>
      <c r="CC32" s="10">
        <v>-18.940000000000001</v>
      </c>
      <c r="CD32" s="11" t="s">
        <v>1472</v>
      </c>
      <c r="CE32" s="10" t="s">
        <v>1473</v>
      </c>
      <c r="CF32" s="10">
        <v>-0.21921428571428572</v>
      </c>
      <c r="CG32" s="10">
        <v>1.24516747615807</v>
      </c>
      <c r="CH32" s="10">
        <v>-0.7653699517250061</v>
      </c>
      <c r="CI32" s="10">
        <v>-3.4146342426538467E-2</v>
      </c>
      <c r="CJ32" s="11">
        <v>0.72268909215927124</v>
      </c>
      <c r="CK32" s="11">
        <v>0.66433566808700562</v>
      </c>
      <c r="CL32" s="11">
        <v>1.0454812049865723</v>
      </c>
      <c r="CM32" s="11">
        <v>-0.84215849637985229</v>
      </c>
      <c r="CN32" s="11">
        <v>-0.15241532027721405</v>
      </c>
      <c r="CO32" s="3">
        <v>-0.2922484278678894</v>
      </c>
      <c r="CP32" s="3">
        <v>0.75315678119659424</v>
      </c>
      <c r="CQ32" s="3">
        <v>1.1198559999465942</v>
      </c>
      <c r="CR32" s="10">
        <v>104.73177977748963</v>
      </c>
      <c r="CS32" s="11">
        <v>3.2067496087755467</v>
      </c>
      <c r="CT32" s="3">
        <v>0</v>
      </c>
      <c r="CU32" s="3">
        <v>0.32659793421626093</v>
      </c>
      <c r="CV32" s="3">
        <v>0.11723810732364655</v>
      </c>
      <c r="CW32" s="3">
        <v>0.06</v>
      </c>
      <c r="CX32" s="3">
        <v>200.73529119563906</v>
      </c>
      <c r="CY32" s="3">
        <v>6582679.0701798946</v>
      </c>
      <c r="CZ32" s="3">
        <v>0.32659793421626093</v>
      </c>
      <c r="DA32" s="3">
        <v>53.994252305657561</v>
      </c>
      <c r="DB32" s="3">
        <v>24472530.752343521</v>
      </c>
      <c r="DC32" s="3">
        <v>0.31026803750544785</v>
      </c>
      <c r="DD32" s="3">
        <v>20.082574834688089</v>
      </c>
      <c r="DE32" s="3">
        <v>65797140.599601939</v>
      </c>
      <c r="DF32" s="3">
        <v>0.2874061821103096</v>
      </c>
      <c r="DG32" s="3">
        <v>8.549586172019918</v>
      </c>
      <c r="DH32" s="3">
        <v>154554381.16109574</v>
      </c>
      <c r="DI32" s="3">
        <v>0.26127834737300876</v>
      </c>
      <c r="DJ32" s="3">
        <v>1.8993740123751026</v>
      </c>
      <c r="DK32" s="3">
        <v>695690259.73334444</v>
      </c>
      <c r="DL32" s="3">
        <v>0.22861855395138264</v>
      </c>
      <c r="DM32" s="3">
        <v>5259800</v>
      </c>
      <c r="DN32" s="3">
        <v>0.32659793421626093</v>
      </c>
      <c r="DO32" s="3">
        <v>1321375999.9999998</v>
      </c>
      <c r="DP32" s="3">
        <v>989963750</v>
      </c>
      <c r="DQ32" s="12">
        <v>4862</v>
      </c>
      <c r="DR32" s="3">
        <v>-0.54581221993054663</v>
      </c>
      <c r="DS32" s="3">
        <v>1.1279293688344234</v>
      </c>
      <c r="DT32" s="3">
        <v>-7.3333333333333472E-2</v>
      </c>
      <c r="DU32" s="3">
        <v>-0.18333333333333343</v>
      </c>
      <c r="DV32" s="3">
        <v>-0.25666666666666693</v>
      </c>
      <c r="DW32" s="3">
        <v>-9.3521647307286173</v>
      </c>
      <c r="DX32" s="3">
        <v>0.38237009519075227</v>
      </c>
      <c r="DY32" s="3">
        <v>-9.05718102085123</v>
      </c>
      <c r="DZ32" s="3">
        <v>291</v>
      </c>
      <c r="EA32" s="3">
        <v>-9.0539247239690948</v>
      </c>
      <c r="EB32" s="13">
        <v>9</v>
      </c>
      <c r="EC32" s="13">
        <v>2.8819363836710719E-2</v>
      </c>
      <c r="ED32" s="3">
        <v>0.17749182078666631</v>
      </c>
      <c r="EE32" s="3">
        <v>-5.0863100000000001</v>
      </c>
      <c r="EF32" s="3">
        <v>-5.1255100000000002</v>
      </c>
      <c r="EG32" s="3">
        <v>22.162370095190752</v>
      </c>
      <c r="EH32" s="15" t="s">
        <v>1474</v>
      </c>
      <c r="EI32" s="3">
        <v>0</v>
      </c>
      <c r="EJ32" s="3">
        <v>1</v>
      </c>
      <c r="EK32" s="3">
        <v>45470</v>
      </c>
      <c r="EL32" s="3">
        <v>-4.2</v>
      </c>
      <c r="EM32" s="3">
        <v>-6.57</v>
      </c>
      <c r="EN32" s="3">
        <v>-4.55</v>
      </c>
      <c r="EO32" s="3">
        <v>4.1100000000000003</v>
      </c>
      <c r="EP32" s="3">
        <v>-3.92</v>
      </c>
    </row>
    <row r="33" spans="1:146" ht="96" x14ac:dyDescent="0.25">
      <c r="A33" s="3"/>
      <c r="B33" s="3"/>
      <c r="C33" s="7" t="str">
        <f>""&amp;CHAR(10)&amp;Basic_Fundamental_Information_Constructure(F33)&amp;CHAR(10)&amp;Basic_Fundamental_Information_Concatenate("")</f>
        <v xml:space="preserve">
市值117.690348亿, 利润6715.37万; PE37.72; 平均PE75.68; 平均PEG1.18, PB2.03; ROIC6.6033%; ROE9.25%; 股利率.852%; 毛利34.9267%; 净利14.3667%; 上一年度营收增-70.06%, 利润增-71.42%; 当季营收增-48.55%, 利润增-57.76%; 过往5年营收增64.07%, 利润增46.89%
Income profile:
</v>
      </c>
      <c r="D33" s="3" t="s">
        <v>562</v>
      </c>
      <c r="E33" s="3" t="s">
        <v>563</v>
      </c>
      <c r="F33" s="3">
        <v>8.92</v>
      </c>
      <c r="G33" s="3">
        <v>1.02</v>
      </c>
      <c r="H33" s="3" t="s">
        <v>1475</v>
      </c>
      <c r="I33" s="3">
        <v>11769034800</v>
      </c>
      <c r="J33" s="3">
        <v>37.72</v>
      </c>
      <c r="K33" s="3">
        <v>2.0299999999999998</v>
      </c>
      <c r="L33" s="3" t="s">
        <v>97</v>
      </c>
      <c r="M33" s="3" t="s">
        <v>856</v>
      </c>
      <c r="N33" s="3" t="s">
        <v>1476</v>
      </c>
      <c r="O33" s="3" t="s">
        <v>581</v>
      </c>
      <c r="P33" s="5">
        <v>11.33</v>
      </c>
      <c r="Q33" s="3" t="s">
        <v>581</v>
      </c>
      <c r="R33" s="3">
        <v>67153749</v>
      </c>
      <c r="S33" s="3">
        <v>-0.1018</v>
      </c>
      <c r="T33" s="3" t="s">
        <v>1477</v>
      </c>
      <c r="U33" s="3">
        <v>262203380</v>
      </c>
      <c r="V33" s="3">
        <v>1319398520</v>
      </c>
      <c r="W33" s="3">
        <v>1.27</v>
      </c>
      <c r="X33" s="3">
        <v>0.06</v>
      </c>
      <c r="Y33" s="3">
        <v>14.62</v>
      </c>
      <c r="Z33" s="3" t="s">
        <v>180</v>
      </c>
      <c r="AA33" s="3" t="s">
        <v>583</v>
      </c>
      <c r="AB33" s="3" t="s">
        <v>1478</v>
      </c>
      <c r="AC33" s="3" t="s">
        <v>1479</v>
      </c>
      <c r="AD33" s="3" t="s">
        <v>48</v>
      </c>
      <c r="AE33" s="3">
        <v>-5512301</v>
      </c>
      <c r="AF33" s="3" t="s">
        <v>62</v>
      </c>
      <c r="AG33" s="3" t="s">
        <v>1480</v>
      </c>
      <c r="AH33" s="3" t="s">
        <v>859</v>
      </c>
      <c r="AI33" s="3" t="s">
        <v>1481</v>
      </c>
      <c r="AJ33" s="3" t="s">
        <v>860</v>
      </c>
      <c r="AK33" s="3" t="s">
        <v>1482</v>
      </c>
      <c r="AL33" s="3" t="s">
        <v>861</v>
      </c>
      <c r="AM33" s="3" t="s">
        <v>48</v>
      </c>
      <c r="AN33" s="3" t="s">
        <v>1483</v>
      </c>
      <c r="AO33" s="3" t="s">
        <v>1484</v>
      </c>
      <c r="AP33" s="3" t="s">
        <v>1485</v>
      </c>
      <c r="AQ33" s="3" t="s">
        <v>676</v>
      </c>
      <c r="AR33" s="3" t="s">
        <v>48</v>
      </c>
      <c r="AS33" s="3" t="s">
        <v>1486</v>
      </c>
      <c r="AT33" s="3" t="s">
        <v>1487</v>
      </c>
      <c r="AU33" s="3" t="s">
        <v>1488</v>
      </c>
      <c r="AV33" s="3" t="s">
        <v>1489</v>
      </c>
      <c r="AW33" s="3" t="s">
        <v>1490</v>
      </c>
      <c r="AX33" s="3" t="s">
        <v>564</v>
      </c>
      <c r="AY33" s="3" t="s">
        <v>565</v>
      </c>
      <c r="AZ33" s="3" t="s">
        <v>566</v>
      </c>
      <c r="BA33" s="3" t="s">
        <v>348</v>
      </c>
      <c r="BB33" s="3" t="s">
        <v>48</v>
      </c>
      <c r="BC33" s="3" t="s">
        <v>261</v>
      </c>
      <c r="BD33" s="3" t="s">
        <v>250</v>
      </c>
      <c r="BE33" s="3" t="s">
        <v>567</v>
      </c>
      <c r="BF33" s="3" t="s">
        <v>568</v>
      </c>
      <c r="BG33" s="3" t="s">
        <v>48</v>
      </c>
      <c r="BH33" s="3" t="s">
        <v>857</v>
      </c>
      <c r="BI33" s="3" t="s">
        <v>1491</v>
      </c>
      <c r="BJ33" s="3" t="s">
        <v>564</v>
      </c>
      <c r="BK33" s="3" t="s">
        <v>858</v>
      </c>
      <c r="BL33" s="3" t="s">
        <v>1492</v>
      </c>
      <c r="BM33" s="3" t="s">
        <v>261</v>
      </c>
      <c r="BN33" s="3">
        <v>4.95</v>
      </c>
      <c r="BO33" s="3">
        <v>8.77</v>
      </c>
      <c r="BP33" s="3">
        <v>6.09</v>
      </c>
      <c r="BQ33" s="3">
        <v>8.1300000000000008</v>
      </c>
      <c r="BR33" s="3">
        <v>10.37</v>
      </c>
      <c r="BS33" s="3" t="s">
        <v>48</v>
      </c>
      <c r="BT33" s="3" t="s">
        <v>862</v>
      </c>
      <c r="BU33" s="3" t="s">
        <v>97</v>
      </c>
      <c r="BV33" s="3">
        <v>35.06</v>
      </c>
      <c r="BW33" s="3">
        <v>38.270000000000003</v>
      </c>
      <c r="BX33" s="3">
        <v>31.45</v>
      </c>
      <c r="BY33" s="3">
        <v>17.420000000000002</v>
      </c>
      <c r="BZ33" s="3">
        <v>15.46</v>
      </c>
      <c r="CA33" s="3">
        <v>10.220000000000001</v>
      </c>
      <c r="CB33" s="3">
        <v>-2.2999999999999998</v>
      </c>
      <c r="CC33" s="10">
        <v>-6.44</v>
      </c>
      <c r="CD33" s="11" t="s">
        <v>1493</v>
      </c>
      <c r="CE33" s="10" t="s">
        <v>82</v>
      </c>
      <c r="CF33" s="10">
        <v>-0.48549107142857145</v>
      </c>
      <c r="CG33" s="10">
        <v>-0.57764937735849053</v>
      </c>
      <c r="CH33" s="10">
        <v>-0.70064938068389893</v>
      </c>
      <c r="CI33" s="10">
        <v>0.30730050802230835</v>
      </c>
      <c r="CJ33" s="11">
        <v>0.35870820283889771</v>
      </c>
      <c r="CK33" s="11">
        <v>2.5975103378295898</v>
      </c>
      <c r="CL33" s="11" t="s">
        <v>48</v>
      </c>
      <c r="CM33" s="11">
        <v>-0.71423959732055664</v>
      </c>
      <c r="CN33" s="11">
        <v>0.94214874505996704</v>
      </c>
      <c r="CO33" s="3">
        <v>-0.55185186862945557</v>
      </c>
      <c r="CP33" s="3">
        <v>2.1995337009429932</v>
      </c>
      <c r="CQ33" s="3" t="s">
        <v>48</v>
      </c>
      <c r="CR33" s="10">
        <v>75.681120352495881</v>
      </c>
      <c r="CS33" s="11">
        <v>1.1811934301185418</v>
      </c>
      <c r="CT33" s="3">
        <v>0.85201793721973096</v>
      </c>
      <c r="CU33" s="3">
        <v>0.64071741700172424</v>
      </c>
      <c r="CV33" s="3">
        <v>0.468897745013237</v>
      </c>
      <c r="CW33" s="3">
        <v>0.06</v>
      </c>
      <c r="CX33" s="3">
        <v>71.394802882176492</v>
      </c>
      <c r="CY33" s="3">
        <v>103943627.55293271</v>
      </c>
      <c r="CZ33" s="3">
        <v>0.64071741700172424</v>
      </c>
      <c r="DA33" s="3">
        <v>15.104646353776069</v>
      </c>
      <c r="DB33" s="3">
        <v>491308080.05609393</v>
      </c>
      <c r="DC33" s="3">
        <v>0.60868154615163805</v>
      </c>
      <c r="DD33" s="3">
        <v>3.8237510279364471</v>
      </c>
      <c r="DE33" s="3">
        <v>1940773535.1443341</v>
      </c>
      <c r="DF33" s="3">
        <v>0.56383132696151739</v>
      </c>
      <c r="DG33" s="3">
        <v>0.97240671391865452</v>
      </c>
      <c r="DH33" s="3">
        <v>7631616168.1919422</v>
      </c>
      <c r="DI33" s="3">
        <v>0.51257393360137937</v>
      </c>
      <c r="DJ33" s="3">
        <v>5.7603149273878315E-2</v>
      </c>
      <c r="DK33" s="3">
        <v>128830365935.65669</v>
      </c>
      <c r="DL33" s="3">
        <v>0.44850219190120694</v>
      </c>
      <c r="DM33" s="3">
        <v>67153700</v>
      </c>
      <c r="DN33" s="3">
        <v>0.64071741700172424</v>
      </c>
      <c r="DO33" s="3">
        <v>7421034800</v>
      </c>
      <c r="DP33" s="3">
        <v>2047973200</v>
      </c>
      <c r="DQ33" s="12">
        <v>4962</v>
      </c>
      <c r="DR33" s="3">
        <v>-1.1262084884302956</v>
      </c>
      <c r="DS33" s="3">
        <v>-1.0465471223717275</v>
      </c>
      <c r="DT33" s="3">
        <v>-5.4000000000000006E-2</v>
      </c>
      <c r="DU33" s="3">
        <v>5.6000000000000008E-2</v>
      </c>
      <c r="DV33" s="3">
        <v>2.0000000000000018E-3</v>
      </c>
      <c r="DW33" s="3">
        <v>-2.0644</v>
      </c>
      <c r="DX33" s="3">
        <v>0.23730496453900671</v>
      </c>
      <c r="DY33" s="3">
        <v>-2.0049784397163122</v>
      </c>
      <c r="DZ33" s="3">
        <v>423</v>
      </c>
      <c r="EA33" s="3">
        <v>-2.0045663301272709</v>
      </c>
      <c r="EB33" s="13">
        <v>2</v>
      </c>
      <c r="EC33" s="13">
        <v>8.2613401749154613E-3</v>
      </c>
      <c r="ED33" s="3">
        <v>0.10686687749202568</v>
      </c>
      <c r="EE33" s="3">
        <v>9.2909999999999979E-2</v>
      </c>
      <c r="EF33" s="3">
        <v>0.12891000000000002</v>
      </c>
      <c r="EG33" s="3">
        <v>16.077304964539007</v>
      </c>
      <c r="EH33" s="15">
        <v>-1</v>
      </c>
      <c r="EI33" s="3">
        <v>0</v>
      </c>
      <c r="EJ33" s="3">
        <v>1</v>
      </c>
      <c r="EK33" s="3">
        <v>45470</v>
      </c>
      <c r="EL33" s="3">
        <v>-2.97</v>
      </c>
      <c r="EM33" s="3">
        <v>-5.15</v>
      </c>
      <c r="EN33" s="3">
        <v>-2.2000000000000002</v>
      </c>
      <c r="EO33" s="3">
        <v>4.2</v>
      </c>
      <c r="EP33" s="3">
        <v>-3.6</v>
      </c>
    </row>
    <row r="34" spans="1:146" ht="96" x14ac:dyDescent="0.25">
      <c r="A34" s="3"/>
      <c r="B34" s="3"/>
      <c r="C34" s="7" t="str">
        <f>""&amp;CHAR(10)&amp;Basic_Fundamental_Information_Constructure(F34)&amp;CHAR(10)&amp;Basic_Fundamental_Information_Concatenate("")</f>
        <v xml:space="preserve">
市值93.807026亿, 利润758.30万; PE416.3; 平均PE1027.16; 平均PEG35.42, PB3.08; ROIC1.0867%; ROE1.605%; 股利率.1575%; 毛利21.2667%; 净利2.4333%; 上一年度营收增-70.71%, 利润增-27.93%; 当季营收增-43.48%, 利润增-60.12%; 过往5年营收增29%, 利润增99.03%
Income profile:
</v>
      </c>
      <c r="D34" s="3" t="s">
        <v>535</v>
      </c>
      <c r="E34" s="3" t="s">
        <v>611</v>
      </c>
      <c r="F34" s="3">
        <v>6.35</v>
      </c>
      <c r="G34" s="3">
        <v>0.47</v>
      </c>
      <c r="H34" s="3" t="s">
        <v>1494</v>
      </c>
      <c r="I34" s="3">
        <v>9380702600</v>
      </c>
      <c r="J34" s="3">
        <v>416.3</v>
      </c>
      <c r="K34" s="3">
        <v>3.08</v>
      </c>
      <c r="L34" s="3" t="s">
        <v>97</v>
      </c>
      <c r="M34" s="3" t="s">
        <v>863</v>
      </c>
      <c r="N34" s="3" t="s">
        <v>1495</v>
      </c>
      <c r="O34" s="3" t="s">
        <v>590</v>
      </c>
      <c r="P34" s="3">
        <v>14.05</v>
      </c>
      <c r="Q34" s="3" t="s">
        <v>590</v>
      </c>
      <c r="R34" s="3">
        <v>7583040</v>
      </c>
      <c r="S34" s="3">
        <v>7.0549999999999997</v>
      </c>
      <c r="T34" s="3" t="s">
        <v>1496</v>
      </c>
      <c r="U34" s="3">
        <v>281770740</v>
      </c>
      <c r="V34" s="3">
        <v>1477276000</v>
      </c>
      <c r="W34" s="3">
        <v>1.27</v>
      </c>
      <c r="X34" s="3">
        <v>0.06</v>
      </c>
      <c r="Y34" s="3">
        <v>3.73</v>
      </c>
      <c r="Z34" s="3" t="s">
        <v>644</v>
      </c>
      <c r="AA34" s="3" t="s">
        <v>602</v>
      </c>
      <c r="AB34" s="3" t="s">
        <v>1497</v>
      </c>
      <c r="AC34" s="3" t="s">
        <v>1498</v>
      </c>
      <c r="AD34" s="3" t="s">
        <v>48</v>
      </c>
      <c r="AE34" s="3">
        <v>-10693018</v>
      </c>
      <c r="AF34" s="3" t="s">
        <v>866</v>
      </c>
      <c r="AG34" s="3" t="s">
        <v>1499</v>
      </c>
      <c r="AH34" s="3" t="s">
        <v>867</v>
      </c>
      <c r="AI34" s="3" t="s">
        <v>950</v>
      </c>
      <c r="AJ34" s="3" t="s">
        <v>868</v>
      </c>
      <c r="AK34" s="3" t="s">
        <v>1500</v>
      </c>
      <c r="AL34" s="3" t="s">
        <v>869</v>
      </c>
      <c r="AM34" s="3" t="s">
        <v>48</v>
      </c>
      <c r="AN34" s="3" t="s">
        <v>1501</v>
      </c>
      <c r="AO34" s="3" t="s">
        <v>1502</v>
      </c>
      <c r="AP34" s="3" t="s">
        <v>354</v>
      </c>
      <c r="AQ34" s="3" t="s">
        <v>1395</v>
      </c>
      <c r="AR34" s="3" t="s">
        <v>48</v>
      </c>
      <c r="AS34" s="3" t="s">
        <v>1503</v>
      </c>
      <c r="AT34" s="3" t="s">
        <v>1504</v>
      </c>
      <c r="AU34" s="3" t="s">
        <v>1505</v>
      </c>
      <c r="AV34" s="3" t="s">
        <v>1506</v>
      </c>
      <c r="AW34" s="3" t="s">
        <v>1507</v>
      </c>
      <c r="AX34" s="3" t="s">
        <v>469</v>
      </c>
      <c r="AY34" s="3" t="s">
        <v>539</v>
      </c>
      <c r="AZ34" s="3" t="s">
        <v>540</v>
      </c>
      <c r="BA34" s="3" t="s">
        <v>322</v>
      </c>
      <c r="BB34" s="3" t="s">
        <v>541</v>
      </c>
      <c r="BC34" s="3" t="s">
        <v>536</v>
      </c>
      <c r="BD34" s="3" t="s">
        <v>542</v>
      </c>
      <c r="BE34" s="3" t="s">
        <v>543</v>
      </c>
      <c r="BF34" s="3" t="s">
        <v>544</v>
      </c>
      <c r="BG34" s="3" t="s">
        <v>545</v>
      </c>
      <c r="BH34" s="3" t="s">
        <v>864</v>
      </c>
      <c r="BI34" s="3" t="s">
        <v>137</v>
      </c>
      <c r="BJ34" s="3" t="s">
        <v>469</v>
      </c>
      <c r="BK34" s="3" t="s">
        <v>865</v>
      </c>
      <c r="BL34" s="3" t="s">
        <v>1508</v>
      </c>
      <c r="BM34" s="3" t="s">
        <v>536</v>
      </c>
      <c r="BN34" s="3">
        <v>1.28</v>
      </c>
      <c r="BO34" s="3">
        <v>0.11</v>
      </c>
      <c r="BP34" s="3">
        <v>1.87</v>
      </c>
      <c r="BQ34" s="3">
        <v>2.3199999999999998</v>
      </c>
      <c r="BR34" s="3">
        <v>0.89</v>
      </c>
      <c r="BS34" s="3" t="s">
        <v>48</v>
      </c>
      <c r="BT34" s="3" t="s">
        <v>870</v>
      </c>
      <c r="BU34" s="3" t="s">
        <v>97</v>
      </c>
      <c r="BV34" s="3">
        <v>19.95</v>
      </c>
      <c r="BW34" s="3">
        <v>21.66</v>
      </c>
      <c r="BX34" s="3">
        <v>22.19</v>
      </c>
      <c r="BY34" s="3">
        <v>1.63</v>
      </c>
      <c r="BZ34" s="3">
        <v>0.43</v>
      </c>
      <c r="CA34" s="3">
        <v>5.24</v>
      </c>
      <c r="CB34" s="3">
        <v>-5.93</v>
      </c>
      <c r="CC34" s="10">
        <v>-0.63</v>
      </c>
      <c r="CD34" s="11" t="s">
        <v>1509</v>
      </c>
      <c r="CE34" s="10" t="s">
        <v>141</v>
      </c>
      <c r="CF34" s="10">
        <v>-0.43478260869565211</v>
      </c>
      <c r="CG34" s="10">
        <v>-0.60123682715971483</v>
      </c>
      <c r="CH34" s="10">
        <v>-0.70713388919830322</v>
      </c>
      <c r="CI34" s="10">
        <v>0.41166079044342041</v>
      </c>
      <c r="CJ34" s="11">
        <v>0.41499999165534973</v>
      </c>
      <c r="CK34" s="11">
        <v>0.20845921337604523</v>
      </c>
      <c r="CL34" s="11">
        <v>1.1217948198318481</v>
      </c>
      <c r="CM34" s="11">
        <v>-0.27934005856513977</v>
      </c>
      <c r="CN34" s="11">
        <v>-0.6842074990272522</v>
      </c>
      <c r="CO34" s="3">
        <v>0.35055285692214966</v>
      </c>
      <c r="CP34" s="3">
        <v>4.9754428863525391</v>
      </c>
      <c r="CQ34" s="3">
        <v>0.58888137340545654</v>
      </c>
      <c r="CR34" s="10">
        <v>1027.1629504451071</v>
      </c>
      <c r="CS34" s="11">
        <v>35.424764250496644</v>
      </c>
      <c r="CT34" s="3">
        <v>0.15748031496062995</v>
      </c>
      <c r="CU34" s="3">
        <v>0.28995618522167205</v>
      </c>
      <c r="CV34" s="3">
        <v>0.99026591181755064</v>
      </c>
      <c r="CW34" s="3">
        <v>0.06</v>
      </c>
      <c r="CX34" s="3">
        <v>769.79417630040723</v>
      </c>
      <c r="CY34" s="3">
        <v>9228054.4835244715</v>
      </c>
      <c r="CZ34" s="3">
        <v>0.28995618522167205</v>
      </c>
      <c r="DA34" s="3">
        <v>213.23531899384531</v>
      </c>
      <c r="DB34" s="3">
        <v>33313911.754951987</v>
      </c>
      <c r="DC34" s="3">
        <v>0.27545837596058842</v>
      </c>
      <c r="DD34" s="3">
        <v>82.924557891878081</v>
      </c>
      <c r="DE34" s="3">
        <v>85664642.424289137</v>
      </c>
      <c r="DF34" s="3">
        <v>0.25516144299507143</v>
      </c>
      <c r="DG34" s="3">
        <v>37.392725849618117</v>
      </c>
      <c r="DH34" s="3">
        <v>189975521.67148435</v>
      </c>
      <c r="DI34" s="3">
        <v>0.23196494817733765</v>
      </c>
      <c r="DJ34" s="3">
        <v>9.6314444554572844</v>
      </c>
      <c r="DK34" s="3">
        <v>737553191.8241986</v>
      </c>
      <c r="DL34" s="3">
        <v>0.20296932965517042</v>
      </c>
      <c r="DM34" s="3">
        <v>7583000</v>
      </c>
      <c r="DN34" s="3">
        <v>0.28995618522167205</v>
      </c>
      <c r="DO34" s="3">
        <v>7103702600</v>
      </c>
      <c r="DP34" s="3">
        <v>1621542100</v>
      </c>
      <c r="DQ34" s="12">
        <v>4963</v>
      </c>
      <c r="DR34" s="3">
        <v>-0.72473879391732421</v>
      </c>
      <c r="DS34" s="3">
        <v>-1.5915027389772654</v>
      </c>
      <c r="DT34" s="3">
        <v>-0.17333333333333334</v>
      </c>
      <c r="DU34" s="3">
        <v>-0.67333333333333334</v>
      </c>
      <c r="DV34" s="3">
        <v>-0.84666666666666668</v>
      </c>
      <c r="DW34" s="3">
        <v>-4.1062394603709951</v>
      </c>
      <c r="DX34" s="3">
        <v>0.22961831932773044</v>
      </c>
      <c r="DY34" s="3">
        <v>-4.0084586072810238</v>
      </c>
      <c r="DZ34" s="3">
        <v>2184</v>
      </c>
      <c r="EA34" s="3">
        <v>-4.0048434217033808</v>
      </c>
      <c r="EB34" s="13">
        <v>4</v>
      </c>
      <c r="EC34" s="13">
        <v>3.2067738188395395E-2</v>
      </c>
      <c r="ED34" s="3">
        <v>0.40276833848245014</v>
      </c>
      <c r="EE34" s="3">
        <v>1.08091</v>
      </c>
      <c r="EF34" s="3">
        <v>1.1000099999999999</v>
      </c>
      <c r="EG34" s="3">
        <v>15.07961831932773</v>
      </c>
      <c r="EH34" s="15" t="s">
        <v>292</v>
      </c>
      <c r="EI34" s="3">
        <v>0</v>
      </c>
      <c r="EJ34" s="3">
        <v>0</v>
      </c>
      <c r="EK34" s="3">
        <v>45470</v>
      </c>
      <c r="EL34" s="3">
        <v>-2.93</v>
      </c>
      <c r="EM34" s="3">
        <v>-4.59</v>
      </c>
      <c r="EN34" s="3">
        <v>-2.57</v>
      </c>
      <c r="EO34" s="3">
        <v>1.82</v>
      </c>
      <c r="EP34" s="3">
        <v>-1.91</v>
      </c>
    </row>
    <row r="35" spans="1:146" ht="192" x14ac:dyDescent="0.25">
      <c r="A35" s="7" t="s">
        <v>447</v>
      </c>
      <c r="B35" s="7" t="s">
        <v>232</v>
      </c>
      <c r="C35" s="7" t="str">
        <f>"公司一家专注于研发、生产和销售专用有机新材料的高新技术企业，主要产品包括显示材料、医药产品、电子化学品等新材料。
公司的OLED产品主要为OLED升华前材料，销售给OLED终端材料厂商并用于制作OLED终端材料中的发光层、通用层，目前公司产品已实现了对发光层、通用层的全覆盖。2019年，公司在全球OLED升华前材料市场的占有率约为14%。"&amp;CHAR(10)&amp;Basic_Fundamental_Information_Constructure(F35)&amp;CHAR(10)&amp;Basic_Fundamental_Information_Concatenate("液晶 4.81亿 53.63%
OLED 3.25亿 36.28%
医药 6742.58万 7.52%
电子化学品及其他 2313.18万 2.58%")</f>
        <v>公司一家专注于研发、生产和销售专用有机新材料的高新技术企业，主要产品包括显示材料、医药产品、电子化学品等新材料。
公司的OLED产品主要为OLED升华前材料，销售给OLED终端材料厂商并用于制作OLED终端材料中的发光层、通用层，目前公司产品已实现了对发光层、通用层的全覆盖。2019年，公司在全球OLED升华前材料市场的占有率约为14%。
市值39.838741亿, 利润3433.42万; PE25.79; 平均PE25.46; 平均PEG9.13, PB1.36; ROIC5.7133%; ROE6.84%; 股利率1.9737%; 毛利36.41%; 净利14.4933%; 上一年度营收增-77.84%, 利润增-86.1%; 当季营收增-46.75%, 利润增-41.1%; 过往5年营收增-2.79%, 利润增5.72%
Income profile:
液晶 4.81亿 53.63%
OLED 3.25亿 36.28%
医药 6742.58万 7.52%
电子化学品及其他 2313.18万 2.58%</v>
      </c>
      <c r="D35" s="3" t="s">
        <v>224</v>
      </c>
      <c r="E35" s="3" t="s">
        <v>225</v>
      </c>
      <c r="F35" s="3">
        <v>22.8</v>
      </c>
      <c r="G35" s="3">
        <v>1.1100000000000001</v>
      </c>
      <c r="H35" s="3" t="s">
        <v>1510</v>
      </c>
      <c r="I35" s="3">
        <v>3983874100</v>
      </c>
      <c r="J35" s="3">
        <v>25.79</v>
      </c>
      <c r="K35" s="3">
        <v>1.36</v>
      </c>
      <c r="L35" s="3" t="s">
        <v>97</v>
      </c>
      <c r="M35" s="3" t="s">
        <v>298</v>
      </c>
      <c r="N35" s="3" t="s">
        <v>1511</v>
      </c>
      <c r="O35" s="3" t="s">
        <v>703</v>
      </c>
      <c r="P35" s="3">
        <v>19.77</v>
      </c>
      <c r="Q35" s="3" t="s">
        <v>703</v>
      </c>
      <c r="R35" s="3">
        <v>34334210</v>
      </c>
      <c r="S35" s="5">
        <v>1.4419999999999999</v>
      </c>
      <c r="T35" s="3" t="s">
        <v>1512</v>
      </c>
      <c r="U35" s="3">
        <v>174731320</v>
      </c>
      <c r="V35" s="3">
        <v>174731320</v>
      </c>
      <c r="W35" s="3">
        <v>1.1200000000000001</v>
      </c>
      <c r="X35" s="3">
        <v>0.1</v>
      </c>
      <c r="Y35" s="3">
        <v>10.46</v>
      </c>
      <c r="Z35" s="3" t="s">
        <v>361</v>
      </c>
      <c r="AA35" s="3" t="s">
        <v>1513</v>
      </c>
      <c r="AB35" s="3" t="s">
        <v>1514</v>
      </c>
      <c r="AC35" s="3" t="s">
        <v>1515</v>
      </c>
      <c r="AD35" s="3" t="s">
        <v>48</v>
      </c>
      <c r="AE35" s="3">
        <v>-5058909</v>
      </c>
      <c r="AF35" s="3" t="s">
        <v>873</v>
      </c>
      <c r="AG35" s="3" t="s">
        <v>1516</v>
      </c>
      <c r="AH35" s="3" t="s">
        <v>874</v>
      </c>
      <c r="AI35" s="3" t="s">
        <v>539</v>
      </c>
      <c r="AJ35" s="3" t="s">
        <v>875</v>
      </c>
      <c r="AK35" s="3" t="s">
        <v>1517</v>
      </c>
      <c r="AL35" s="3" t="s">
        <v>876</v>
      </c>
      <c r="AM35" s="3" t="s">
        <v>48</v>
      </c>
      <c r="AN35" s="3" t="s">
        <v>549</v>
      </c>
      <c r="AO35" s="3" t="s">
        <v>1518</v>
      </c>
      <c r="AP35" s="3" t="s">
        <v>560</v>
      </c>
      <c r="AQ35" s="3" t="s">
        <v>205</v>
      </c>
      <c r="AR35" s="3" t="s">
        <v>48</v>
      </c>
      <c r="AS35" s="3" t="s">
        <v>538</v>
      </c>
      <c r="AT35" s="3" t="s">
        <v>48</v>
      </c>
      <c r="AU35" s="3" t="s">
        <v>1519</v>
      </c>
      <c r="AV35" s="3" t="s">
        <v>1520</v>
      </c>
      <c r="AW35" s="3" t="s">
        <v>1521</v>
      </c>
      <c r="AX35" s="3" t="s">
        <v>547</v>
      </c>
      <c r="AY35" s="3" t="s">
        <v>279</v>
      </c>
      <c r="AZ35" s="3" t="s">
        <v>127</v>
      </c>
      <c r="BA35" s="3" t="s">
        <v>58</v>
      </c>
      <c r="BB35" s="3" t="s">
        <v>227</v>
      </c>
      <c r="BC35" s="3" t="s">
        <v>548</v>
      </c>
      <c r="BD35" s="3" t="s">
        <v>105</v>
      </c>
      <c r="BE35" s="3" t="s">
        <v>226</v>
      </c>
      <c r="BF35" s="3" t="s">
        <v>94</v>
      </c>
      <c r="BG35" s="3" t="s">
        <v>228</v>
      </c>
      <c r="BH35" s="3" t="s">
        <v>871</v>
      </c>
      <c r="BI35" s="3" t="s">
        <v>1522</v>
      </c>
      <c r="BJ35" s="3" t="s">
        <v>547</v>
      </c>
      <c r="BK35" s="3" t="s">
        <v>341</v>
      </c>
      <c r="BL35" s="3" t="s">
        <v>1523</v>
      </c>
      <c r="BM35" s="3" t="s">
        <v>548</v>
      </c>
      <c r="BN35" s="3">
        <v>2.69</v>
      </c>
      <c r="BO35" s="3">
        <v>7.39</v>
      </c>
      <c r="BP35" s="3">
        <v>7.06</v>
      </c>
      <c r="BQ35" s="3">
        <v>3.32</v>
      </c>
      <c r="BR35" s="3">
        <v>8.5299999999999994</v>
      </c>
      <c r="BS35" s="3">
        <v>8.67</v>
      </c>
      <c r="BT35" s="3" t="s">
        <v>877</v>
      </c>
      <c r="BU35" s="3" t="s">
        <v>97</v>
      </c>
      <c r="BV35" s="3">
        <v>35.18</v>
      </c>
      <c r="BW35" s="3">
        <v>38.72</v>
      </c>
      <c r="BX35" s="3">
        <v>35.33</v>
      </c>
      <c r="BY35" s="3">
        <v>11.11</v>
      </c>
      <c r="BZ35" s="3">
        <v>16.649999999999999</v>
      </c>
      <c r="CA35" s="3">
        <v>15.72</v>
      </c>
      <c r="CB35" s="3">
        <v>-1.68</v>
      </c>
      <c r="CC35" s="3">
        <v>-15.12</v>
      </c>
      <c r="CD35" s="3" t="s">
        <v>1524</v>
      </c>
      <c r="CE35" s="3" t="s">
        <v>1525</v>
      </c>
      <c r="CF35" s="10">
        <v>-0.46753246753246752</v>
      </c>
      <c r="CG35" s="11">
        <v>-0.41099316026123789</v>
      </c>
      <c r="CH35" s="10">
        <v>-0.77837836742401123</v>
      </c>
      <c r="CI35" s="10">
        <v>-3.0144168063998222E-2</v>
      </c>
      <c r="CJ35" s="10">
        <v>0.45333334803581238</v>
      </c>
      <c r="CK35" s="10">
        <v>6.0606062412261963E-2</v>
      </c>
      <c r="CL35" s="10">
        <v>0.1551925390958786</v>
      </c>
      <c r="CM35" s="11">
        <v>-0.86099511384963989</v>
      </c>
      <c r="CN35" s="11">
        <v>2.916666679084301E-2</v>
      </c>
      <c r="CO35" s="11">
        <v>0.37142857909202576</v>
      </c>
      <c r="CP35" s="11">
        <v>0.18243242800235748</v>
      </c>
      <c r="CQ35" s="11">
        <v>0.56378614902496338</v>
      </c>
      <c r="CR35" s="3">
        <v>25.456707054267504</v>
      </c>
      <c r="CS35" s="3">
        <v>9.1314298171055768</v>
      </c>
      <c r="CT35" s="3">
        <v>1.9736842105263157</v>
      </c>
      <c r="CU35" s="10">
        <v>-2.7878117188811301E-2</v>
      </c>
      <c r="CV35" s="11">
        <v>5.7163741812109946E-2</v>
      </c>
      <c r="CW35" s="3">
        <v>0.06</v>
      </c>
      <c r="CX35" s="3">
        <v>41.820520064542059</v>
      </c>
      <c r="CY35" s="3" t="s">
        <v>1526</v>
      </c>
      <c r="CZ35" s="3">
        <v>-2.7878117188811301E-2</v>
      </c>
      <c r="DA35" s="3">
        <v>13.940173354847353</v>
      </c>
      <c r="DB35" s="3" t="s">
        <v>1527</v>
      </c>
      <c r="DC35" s="3">
        <v>-2.6484211329370736E-2</v>
      </c>
      <c r="DD35" s="3">
        <v>6.9700866774236765</v>
      </c>
      <c r="DE35" s="3" t="s">
        <v>1528</v>
      </c>
      <c r="DF35" s="3">
        <v>-2.4532743126153944E-2</v>
      </c>
      <c r="DG35" s="3">
        <v>4.1820520064542057</v>
      </c>
      <c r="DH35" s="3" t="s">
        <v>1529</v>
      </c>
      <c r="DI35" s="3">
        <v>-2.2302493751049042E-2</v>
      </c>
      <c r="DJ35" s="3">
        <v>2.0910260032271029</v>
      </c>
      <c r="DK35" s="3" t="s">
        <v>1530</v>
      </c>
      <c r="DL35" s="3">
        <v>-1.9514682032167909E-2</v>
      </c>
      <c r="DM35" s="3">
        <v>34334200</v>
      </c>
      <c r="DN35" s="3">
        <v>-2.7878117188811301E-2</v>
      </c>
      <c r="DO35" s="3">
        <v>1435874100</v>
      </c>
      <c r="DP35" s="3">
        <v>1505422200</v>
      </c>
      <c r="DQ35" s="3">
        <v>4964</v>
      </c>
      <c r="DR35" s="3">
        <v>-0.43965435034365624</v>
      </c>
      <c r="DS35" s="3">
        <v>-0.46815690207334781</v>
      </c>
      <c r="DT35" s="12">
        <v>-0.54</v>
      </c>
      <c r="DU35" s="3">
        <v>-0.20333333333333339</v>
      </c>
      <c r="DV35" s="3">
        <v>-0.7433333333333334</v>
      </c>
      <c r="DW35" s="3">
        <v>-2.1512000000000002</v>
      </c>
      <c r="DX35" s="3">
        <v>0.30589330057540043</v>
      </c>
      <c r="DY35" s="3">
        <v>-2.0205470670470005</v>
      </c>
      <c r="DZ35" s="3">
        <v>833</v>
      </c>
      <c r="EA35" s="3">
        <v>-2.0171976136516676</v>
      </c>
      <c r="EB35" s="3">
        <v>2</v>
      </c>
      <c r="EC35" s="3">
        <v>4.1278804509689508E-2</v>
      </c>
      <c r="ED35" s="3">
        <v>0.30375893686375172</v>
      </c>
      <c r="EE35" s="13">
        <v>-1.0316000000000001</v>
      </c>
      <c r="EF35" s="3">
        <v>-1.0111000000000001</v>
      </c>
      <c r="EG35" s="3">
        <v>17.1358933005754</v>
      </c>
      <c r="EH35" s="3" t="s">
        <v>443</v>
      </c>
      <c r="EI35" s="3">
        <v>0</v>
      </c>
      <c r="EJ35" s="3">
        <v>1</v>
      </c>
      <c r="EK35" s="15">
        <v>45470</v>
      </c>
      <c r="EL35" s="16">
        <v>-2.71</v>
      </c>
      <c r="EM35" s="16">
        <v>-5.95</v>
      </c>
      <c r="EN35" s="3">
        <v>0.33</v>
      </c>
      <c r="EO35" s="3">
        <v>3.45</v>
      </c>
      <c r="EP35" s="3">
        <v>-2.0499999999999998</v>
      </c>
    </row>
    <row r="36" spans="1:146" ht="96" x14ac:dyDescent="0.25">
      <c r="A36" s="3"/>
      <c r="B36" s="3"/>
      <c r="C36" s="7" t="str">
        <f>""&amp;CHAR(10)&amp;Basic_Fundamental_Information_Constructure(F36)&amp;CHAR(10)&amp;Basic_Fundamental_Information_Concatenate("")</f>
        <v xml:space="preserve">
市值36.9795亿, 利润1917.51万; PE33.51; 平均PE24.97; 平均PEG8.44, PB1.3; ROIC7.6567%; ROE7.87%; 股利率.927%; 毛利30.7133%; 净利13.4233%; 上一年度营收增-86.35%, 利润增-89.41%; 当季营收增-67.81%, 利润增-74.27%; 过往5年营收增-2.96%, 利润增-19.64%
Income profile:
</v>
      </c>
      <c r="D36" s="5" t="s">
        <v>569</v>
      </c>
      <c r="E36" s="3" t="s">
        <v>570</v>
      </c>
      <c r="F36" s="3">
        <v>7.12</v>
      </c>
      <c r="G36" s="3">
        <v>0.99</v>
      </c>
      <c r="H36" s="3" t="s">
        <v>1531</v>
      </c>
      <c r="I36" s="3">
        <v>3697950000</v>
      </c>
      <c r="J36" s="3">
        <v>33.51</v>
      </c>
      <c r="K36" s="3">
        <v>1.3</v>
      </c>
      <c r="L36" s="3" t="s">
        <v>97</v>
      </c>
      <c r="M36" s="3" t="s">
        <v>635</v>
      </c>
      <c r="N36" s="3" t="s">
        <v>1532</v>
      </c>
      <c r="O36" s="3" t="s">
        <v>350</v>
      </c>
      <c r="P36" s="5">
        <v>-23.02</v>
      </c>
      <c r="Q36" s="3" t="s">
        <v>350</v>
      </c>
      <c r="R36" s="3">
        <v>19175137</v>
      </c>
      <c r="S36" s="3">
        <v>-0.1089</v>
      </c>
      <c r="T36" s="3" t="s">
        <v>1533</v>
      </c>
      <c r="U36" s="3">
        <v>91173154</v>
      </c>
      <c r="V36" s="3">
        <v>519375000</v>
      </c>
      <c r="W36" s="3">
        <v>1.17</v>
      </c>
      <c r="X36" s="3">
        <v>0.05</v>
      </c>
      <c r="Y36" s="3">
        <v>11.53</v>
      </c>
      <c r="Z36" s="3" t="s">
        <v>980</v>
      </c>
      <c r="AA36" s="3" t="s">
        <v>557</v>
      </c>
      <c r="AB36" s="3" t="s">
        <v>1534</v>
      </c>
      <c r="AC36" s="3" t="s">
        <v>1535</v>
      </c>
      <c r="AD36" s="3" t="s">
        <v>48</v>
      </c>
      <c r="AE36" s="3">
        <v>-2439794</v>
      </c>
      <c r="AF36" s="3" t="s">
        <v>879</v>
      </c>
      <c r="AG36" s="3" t="s">
        <v>1536</v>
      </c>
      <c r="AH36" s="3" t="s">
        <v>880</v>
      </c>
      <c r="AI36" s="3" t="s">
        <v>1537</v>
      </c>
      <c r="AJ36" s="3" t="s">
        <v>881</v>
      </c>
      <c r="AK36" s="3" t="s">
        <v>1538</v>
      </c>
      <c r="AL36" s="3" t="s">
        <v>882</v>
      </c>
      <c r="AM36" s="3" t="s">
        <v>48</v>
      </c>
      <c r="AN36" s="3" t="s">
        <v>238</v>
      </c>
      <c r="AO36" s="3" t="s">
        <v>1539</v>
      </c>
      <c r="AP36" s="3" t="s">
        <v>1540</v>
      </c>
      <c r="AQ36" s="3" t="s">
        <v>1541</v>
      </c>
      <c r="AR36" s="3" t="s">
        <v>48</v>
      </c>
      <c r="AS36" s="3" t="s">
        <v>1542</v>
      </c>
      <c r="AT36" s="3" t="s">
        <v>1543</v>
      </c>
      <c r="AU36" s="3" t="s">
        <v>1544</v>
      </c>
      <c r="AV36" s="3" t="s">
        <v>1545</v>
      </c>
      <c r="AW36" s="3" t="s">
        <v>1546</v>
      </c>
      <c r="AX36" s="3" t="s">
        <v>571</v>
      </c>
      <c r="AY36" s="3" t="s">
        <v>572</v>
      </c>
      <c r="AZ36" s="3" t="s">
        <v>573</v>
      </c>
      <c r="BA36" s="3" t="s">
        <v>216</v>
      </c>
      <c r="BB36" s="3" t="s">
        <v>574</v>
      </c>
      <c r="BC36" s="3" t="s">
        <v>549</v>
      </c>
      <c r="BD36" s="3" t="s">
        <v>341</v>
      </c>
      <c r="BE36" s="3" t="s">
        <v>575</v>
      </c>
      <c r="BF36" s="3" t="s">
        <v>82</v>
      </c>
      <c r="BG36" s="3" t="s">
        <v>537</v>
      </c>
      <c r="BH36" s="3" t="s">
        <v>878</v>
      </c>
      <c r="BI36" s="3" t="s">
        <v>200</v>
      </c>
      <c r="BJ36" s="3" t="s">
        <v>571</v>
      </c>
      <c r="BK36" s="3" t="s">
        <v>872</v>
      </c>
      <c r="BL36" s="3" t="s">
        <v>1547</v>
      </c>
      <c r="BM36" s="3" t="s">
        <v>549</v>
      </c>
      <c r="BN36" s="3">
        <v>4.4000000000000004</v>
      </c>
      <c r="BO36" s="3">
        <v>9.57</v>
      </c>
      <c r="BP36" s="3">
        <v>9</v>
      </c>
      <c r="BQ36" s="3">
        <v>5.36</v>
      </c>
      <c r="BR36" s="3">
        <v>10.38</v>
      </c>
      <c r="BS36" s="3" t="s">
        <v>48</v>
      </c>
      <c r="BT36" s="3" t="s">
        <v>883</v>
      </c>
      <c r="BU36" s="3" t="s">
        <v>97</v>
      </c>
      <c r="BV36" s="3">
        <v>28.24</v>
      </c>
      <c r="BW36" s="3">
        <v>29.37</v>
      </c>
      <c r="BX36" s="3">
        <v>34.53</v>
      </c>
      <c r="BY36" s="3">
        <v>11.75</v>
      </c>
      <c r="BZ36" s="3">
        <v>14.75</v>
      </c>
      <c r="CA36" s="3">
        <v>13.77</v>
      </c>
      <c r="CB36" s="3">
        <v>-7.17</v>
      </c>
      <c r="CC36" s="10">
        <v>-47.59</v>
      </c>
      <c r="CD36" s="11" t="s">
        <v>1548</v>
      </c>
      <c r="CE36" s="10" t="s">
        <v>716</v>
      </c>
      <c r="CF36" s="10">
        <v>-0.67809523809523808</v>
      </c>
      <c r="CG36" s="10">
        <v>-0.74270264286442711</v>
      </c>
      <c r="CH36" s="10">
        <v>-0.86348950862884521</v>
      </c>
      <c r="CI36" s="10">
        <v>0.23184078931808472</v>
      </c>
      <c r="CJ36" s="11">
        <v>0.59777426719665527</v>
      </c>
      <c r="CK36" s="11">
        <v>-8.442503958940506E-2</v>
      </c>
      <c r="CL36" s="11">
        <v>-2.9661016538739204E-2</v>
      </c>
      <c r="CM36" s="11">
        <v>-0.89406019449234009</v>
      </c>
      <c r="CN36" s="11">
        <v>0.3507462739944458</v>
      </c>
      <c r="CO36" s="3">
        <v>0.4843253493309021</v>
      </c>
      <c r="CP36" s="3">
        <v>-0.35973969101905823</v>
      </c>
      <c r="CQ36" s="3">
        <v>-0.56346750259399414</v>
      </c>
      <c r="CR36" s="10">
        <v>24.97344256604579</v>
      </c>
      <c r="CS36" s="11">
        <v>8.4392257308138703</v>
      </c>
      <c r="CT36" s="3">
        <v>0.9269662921348315</v>
      </c>
      <c r="CU36" s="3">
        <v>-2.9592101648449897E-2</v>
      </c>
      <c r="CV36" s="3">
        <v>-0.19643915295600892</v>
      </c>
      <c r="CW36" s="3">
        <v>0.06</v>
      </c>
      <c r="CX36" s="3">
        <v>70.349046419575387</v>
      </c>
      <c r="CY36" s="3" t="s">
        <v>1549</v>
      </c>
      <c r="CZ36" s="3">
        <v>-2.9592101648449897E-2</v>
      </c>
      <c r="DA36" s="3">
        <v>23.449682139858464</v>
      </c>
      <c r="DB36" s="3" t="s">
        <v>1550</v>
      </c>
      <c r="DC36" s="3">
        <v>-2.8112496566027399E-2</v>
      </c>
      <c r="DD36" s="3">
        <v>11.724841069929232</v>
      </c>
      <c r="DE36" s="3" t="s">
        <v>1551</v>
      </c>
      <c r="DF36" s="3">
        <v>-2.6041049450635911E-2</v>
      </c>
      <c r="DG36" s="3">
        <v>7.0349046419575387</v>
      </c>
      <c r="DH36" s="3" t="s">
        <v>1552</v>
      </c>
      <c r="DI36" s="3">
        <v>-2.367368131875992E-2</v>
      </c>
      <c r="DJ36" s="3">
        <v>3.5174523209787694</v>
      </c>
      <c r="DK36" s="3" t="s">
        <v>1553</v>
      </c>
      <c r="DL36" s="3">
        <v>-2.0714471153914928E-2</v>
      </c>
      <c r="DM36" s="3">
        <v>19175100</v>
      </c>
      <c r="DN36" s="3">
        <v>-2.9592101648449897E-2</v>
      </c>
      <c r="DO36" s="3">
        <v>1348950000</v>
      </c>
      <c r="DP36" s="3">
        <v>1560816500</v>
      </c>
      <c r="DQ36" s="12">
        <v>5008</v>
      </c>
      <c r="DR36" s="3">
        <v>-0.64850313644678814</v>
      </c>
      <c r="DS36" s="3">
        <v>-0.54626348990841822</v>
      </c>
      <c r="DT36" s="3">
        <v>-0.49</v>
      </c>
      <c r="DU36" s="3">
        <v>-0.70666666666666655</v>
      </c>
      <c r="DV36" s="3">
        <v>-1.1966666666666665</v>
      </c>
      <c r="DW36" s="3">
        <v>-9.1506619037612946</v>
      </c>
      <c r="DX36" s="3">
        <v>0.2468435135135148</v>
      </c>
      <c r="DY36" s="3">
        <v>-9.0100707710000396</v>
      </c>
      <c r="DZ36" s="3">
        <v>515</v>
      </c>
      <c r="EA36" s="3">
        <v>-9.0090558107133436</v>
      </c>
      <c r="EB36" s="13">
        <v>9</v>
      </c>
      <c r="EC36" s="13">
        <v>4.7618965102286401E-2</v>
      </c>
      <c r="ED36" s="3">
        <v>0.71239470517448855</v>
      </c>
      <c r="EE36" s="3">
        <v>-5.0148099999999998</v>
      </c>
      <c r="EF36" s="3">
        <v>-5.0595100000000004</v>
      </c>
      <c r="EG36" s="3">
        <v>18.066843513513515</v>
      </c>
      <c r="EH36" s="15" t="s">
        <v>1474</v>
      </c>
      <c r="EI36" s="3">
        <v>0</v>
      </c>
      <c r="EJ36" s="3">
        <v>1</v>
      </c>
      <c r="EK36" s="3">
        <v>45470</v>
      </c>
      <c r="EL36" s="3">
        <v>-3.9</v>
      </c>
      <c r="EM36" s="3">
        <v>-4.17</v>
      </c>
      <c r="EN36" s="3">
        <v>-2.41</v>
      </c>
      <c r="EO36" s="3">
        <v>5.6</v>
      </c>
      <c r="EP36" s="3">
        <v>-4.47</v>
      </c>
    </row>
    <row r="37" spans="1:146" ht="84" x14ac:dyDescent="0.25">
      <c r="A37" s="3"/>
      <c r="B37" s="3"/>
      <c r="C37" s="7" t="str">
        <f>""&amp;CHAR(10)&amp;Basic_Fundamental_Information_Constructure(F37)&amp;CHAR(10)&amp;Basic_Fundamental_Information_Concatenate("")</f>
        <v xml:space="preserve">
市值25.882559亿, 利润1794.05万; PE39.74; 平均PE72.18; 平均PEG14.41, PB2.38; ROIC14.8633%; ROE13.33%; 股利率.7637%; 毛利31.9333%; 净利14.62%; 上一年度营收增-78.59%, 利润增-67.15%; 当季营收增-49.94%, 利润增-31.35%; 过往5年营收增5.01%, 利润增9.74%
Income profile:
</v>
      </c>
      <c r="D37" s="5" t="s">
        <v>551</v>
      </c>
      <c r="E37" s="3" t="s">
        <v>552</v>
      </c>
      <c r="F37" s="3">
        <v>44.52</v>
      </c>
      <c r="G37" s="3">
        <v>-1.83</v>
      </c>
      <c r="H37" s="3" t="s">
        <v>1554</v>
      </c>
      <c r="I37" s="3">
        <v>2588255900</v>
      </c>
      <c r="J37" s="3">
        <v>39.74</v>
      </c>
      <c r="K37" s="3">
        <v>2.38</v>
      </c>
      <c r="L37" s="3" t="s">
        <v>97</v>
      </c>
      <c r="M37" s="3" t="s">
        <v>884</v>
      </c>
      <c r="N37" s="3" t="s">
        <v>1555</v>
      </c>
      <c r="O37" s="3" t="s">
        <v>886</v>
      </c>
      <c r="P37" s="5">
        <v>6.16</v>
      </c>
      <c r="Q37" s="3" t="s">
        <v>886</v>
      </c>
      <c r="R37" s="3">
        <v>17940506</v>
      </c>
      <c r="S37" s="3">
        <v>0.57689999999999997</v>
      </c>
      <c r="T37" s="3" t="s">
        <v>1556</v>
      </c>
      <c r="U37" s="3">
        <v>19897916</v>
      </c>
      <c r="V37" s="3">
        <v>58136926</v>
      </c>
      <c r="W37" s="3">
        <v>1.06</v>
      </c>
      <c r="X37" s="3">
        <v>7.0000000000000007E-2</v>
      </c>
      <c r="Y37" s="3">
        <v>22.4</v>
      </c>
      <c r="Z37" s="3" t="s">
        <v>1557</v>
      </c>
      <c r="AA37" s="3" t="s">
        <v>1558</v>
      </c>
      <c r="AB37" s="3" t="s">
        <v>1559</v>
      </c>
      <c r="AC37" s="3" t="s">
        <v>1560</v>
      </c>
      <c r="AD37" s="3" t="s">
        <v>48</v>
      </c>
      <c r="AE37" s="3">
        <v>-1100789</v>
      </c>
      <c r="AF37" s="3" t="s">
        <v>889</v>
      </c>
      <c r="AG37" s="3" t="s">
        <v>48</v>
      </c>
      <c r="AH37" s="3" t="s">
        <v>890</v>
      </c>
      <c r="AI37" s="3" t="s">
        <v>350</v>
      </c>
      <c r="AJ37" s="3" t="s">
        <v>891</v>
      </c>
      <c r="AK37" s="3" t="s">
        <v>1561</v>
      </c>
      <c r="AL37" s="3" t="s">
        <v>892</v>
      </c>
      <c r="AM37" s="3" t="s">
        <v>48</v>
      </c>
      <c r="AN37" s="3" t="s">
        <v>1562</v>
      </c>
      <c r="AO37" s="3" t="s">
        <v>48</v>
      </c>
      <c r="AP37" s="3" t="s">
        <v>48</v>
      </c>
      <c r="AQ37" s="3" t="s">
        <v>1563</v>
      </c>
      <c r="AR37" s="3" t="s">
        <v>48</v>
      </c>
      <c r="AS37" s="3" t="s">
        <v>1564</v>
      </c>
      <c r="AT37" s="3" t="s">
        <v>48</v>
      </c>
      <c r="AU37" s="3" t="s">
        <v>1565</v>
      </c>
      <c r="AV37" s="3" t="s">
        <v>1566</v>
      </c>
      <c r="AW37" s="3" t="s">
        <v>1567</v>
      </c>
      <c r="AX37" s="3" t="s">
        <v>553</v>
      </c>
      <c r="AY37" s="3" t="s">
        <v>170</v>
      </c>
      <c r="AZ37" s="3" t="s">
        <v>470</v>
      </c>
      <c r="BA37" s="3" t="s">
        <v>320</v>
      </c>
      <c r="BB37" s="3" t="s">
        <v>48</v>
      </c>
      <c r="BC37" s="3" t="s">
        <v>893</v>
      </c>
      <c r="BD37" s="3" t="s">
        <v>554</v>
      </c>
      <c r="BE37" s="3" t="s">
        <v>555</v>
      </c>
      <c r="BF37" s="3" t="s">
        <v>556</v>
      </c>
      <c r="BG37" s="3" t="s">
        <v>48</v>
      </c>
      <c r="BH37" s="3" t="s">
        <v>610</v>
      </c>
      <c r="BI37" s="3" t="s">
        <v>356</v>
      </c>
      <c r="BJ37" s="3" t="s">
        <v>553</v>
      </c>
      <c r="BK37" s="3" t="s">
        <v>887</v>
      </c>
      <c r="BL37" s="3" t="s">
        <v>1568</v>
      </c>
      <c r="BM37" s="3" t="s">
        <v>893</v>
      </c>
      <c r="BN37" s="3">
        <v>5.88</v>
      </c>
      <c r="BO37" s="3">
        <v>18.61</v>
      </c>
      <c r="BP37" s="3">
        <v>20.100000000000001</v>
      </c>
      <c r="BQ37" s="3">
        <v>8.23</v>
      </c>
      <c r="BR37" s="3">
        <v>18.43</v>
      </c>
      <c r="BS37" s="3" t="s">
        <v>48</v>
      </c>
      <c r="BT37" s="3" t="s">
        <v>894</v>
      </c>
      <c r="BU37" s="3" t="s">
        <v>97</v>
      </c>
      <c r="BV37" s="3">
        <v>35.700000000000003</v>
      </c>
      <c r="BW37" s="3">
        <v>31.48</v>
      </c>
      <c r="BX37" s="3">
        <v>28.62</v>
      </c>
      <c r="BY37" s="3">
        <v>17.28</v>
      </c>
      <c r="BZ37" s="3">
        <v>14.6</v>
      </c>
      <c r="CA37" s="3">
        <v>11.98</v>
      </c>
      <c r="CB37" s="3">
        <v>-14.73</v>
      </c>
      <c r="CC37" s="10">
        <v>-10.6</v>
      </c>
      <c r="CD37" s="11" t="s">
        <v>1569</v>
      </c>
      <c r="CE37" s="10" t="s">
        <v>1570</v>
      </c>
      <c r="CF37" s="10">
        <v>-0.49944749999999999</v>
      </c>
      <c r="CG37" s="10">
        <v>-0.31348178137651833</v>
      </c>
      <c r="CH37" s="10">
        <v>-0.78585994243621826</v>
      </c>
      <c r="CI37" s="10">
        <v>-2.6666666381061077E-3</v>
      </c>
      <c r="CJ37" s="11">
        <v>0.45914396643638611</v>
      </c>
      <c r="CK37" s="11">
        <v>0.5297619104385376</v>
      </c>
      <c r="CL37" s="11" t="s">
        <v>48</v>
      </c>
      <c r="CM37" s="11">
        <v>-0.67149162292480469</v>
      </c>
      <c r="CN37" s="11">
        <v>0.21412071585655212</v>
      </c>
      <c r="CO37" s="3">
        <v>0.159891277551651</v>
      </c>
      <c r="CP37" s="3">
        <v>0.68716961145401001</v>
      </c>
      <c r="CQ37" s="3" t="s">
        <v>48</v>
      </c>
      <c r="CR37" s="10">
        <v>72.177247898198871</v>
      </c>
      <c r="CS37" s="11">
        <v>14.408126886664467</v>
      </c>
      <c r="CT37" s="3">
        <v>0.76370170709793339</v>
      </c>
      <c r="CU37" s="3">
        <v>5.0094816950149834E-2</v>
      </c>
      <c r="CV37" s="3">
        <v>9.7422495484352112E-2</v>
      </c>
      <c r="CW37" s="3">
        <v>0.06</v>
      </c>
      <c r="CX37" s="3">
        <v>88.666650337449397</v>
      </c>
      <c r="CY37" s="3">
        <v>17772854.776881285</v>
      </c>
      <c r="CZ37" s="3">
        <v>5.0094816950149834E-2</v>
      </c>
      <c r="DA37" s="3">
        <v>29.975787354843785</v>
      </c>
      <c r="DB37" s="3">
        <v>52571079.496444218</v>
      </c>
      <c r="DC37" s="3">
        <v>4.7590076102642341E-2</v>
      </c>
      <c r="DD37" s="3">
        <v>15.430643614173821</v>
      </c>
      <c r="DE37" s="3">
        <v>102125325.38516371</v>
      </c>
      <c r="DF37" s="3">
        <v>4.4083438916131854E-2</v>
      </c>
      <c r="DG37" s="3">
        <v>9.7356016062634119</v>
      </c>
      <c r="DH37" s="3">
        <v>161865651.83461994</v>
      </c>
      <c r="DI37" s="3">
        <v>4.0075853560119869E-2</v>
      </c>
      <c r="DJ37" s="3">
        <v>5.5861839923744236</v>
      </c>
      <c r="DK37" s="3">
        <v>282099462.20016581</v>
      </c>
      <c r="DL37" s="3">
        <v>3.5066371865104883E-2</v>
      </c>
      <c r="DM37" s="3">
        <v>17940500</v>
      </c>
      <c r="DN37" s="3">
        <v>5.0094816950149834E-2</v>
      </c>
      <c r="DO37" s="3">
        <v>1575859500</v>
      </c>
      <c r="DP37" s="3">
        <v>973092780</v>
      </c>
      <c r="DQ37" s="12">
        <v>5009</v>
      </c>
      <c r="DR37" s="3">
        <v>-0.54954231695014988</v>
      </c>
      <c r="DS37" s="3">
        <v>-0.41090427686087044</v>
      </c>
      <c r="DT37" s="3">
        <v>-0.628</v>
      </c>
      <c r="DU37" s="3">
        <v>-4.3999999999999997E-2</v>
      </c>
      <c r="DV37" s="3">
        <v>-0.67200000000000004</v>
      </c>
      <c r="DW37" s="3">
        <v>-5.7196198234894773</v>
      </c>
      <c r="DX37" s="3">
        <v>0.30702395059068494</v>
      </c>
      <c r="DY37" s="3">
        <v>-5.0842127546681102</v>
      </c>
      <c r="DZ37" s="3">
        <v>444</v>
      </c>
      <c r="EA37" s="3">
        <v>-5.0768956386069277</v>
      </c>
      <c r="EB37" s="13">
        <v>5</v>
      </c>
      <c r="EC37" s="13">
        <v>9.5297436262797935E-2</v>
      </c>
      <c r="ED37" s="3">
        <v>0.81434130177436626</v>
      </c>
      <c r="EE37" s="3">
        <v>3.0034999999999998</v>
      </c>
      <c r="EF37" s="3">
        <v>3.0155099999999999</v>
      </c>
      <c r="EG37" s="3">
        <v>19.117023950590685</v>
      </c>
      <c r="EH37" s="15" t="s">
        <v>522</v>
      </c>
      <c r="EI37" s="3">
        <v>0</v>
      </c>
      <c r="EJ37" s="3">
        <v>1</v>
      </c>
      <c r="EK37" s="3">
        <v>45470</v>
      </c>
      <c r="EL37" s="3">
        <v>1.55</v>
      </c>
      <c r="EM37" s="3">
        <v>-3.68</v>
      </c>
      <c r="EN37" s="3">
        <v>-0.28999999999999998</v>
      </c>
      <c r="EO37" s="3">
        <v>1.42</v>
      </c>
      <c r="EP37" s="3">
        <v>-1.9</v>
      </c>
    </row>
    <row r="38" spans="1:146" x14ac:dyDescent="0.25">
      <c r="S38" s="5"/>
    </row>
    <row r="39" spans="1:146" x14ac:dyDescent="0.25">
      <c r="Q39" s="5"/>
    </row>
    <row r="40" spans="1:146" x14ac:dyDescent="0.25">
      <c r="Q40" s="5"/>
    </row>
    <row r="41" spans="1:146" x14ac:dyDescent="0.25">
      <c r="Q41" s="5"/>
    </row>
    <row r="42" spans="1:146" x14ac:dyDescent="0.25">
      <c r="Q42" s="5"/>
    </row>
    <row r="43" spans="1:146" x14ac:dyDescent="0.25">
      <c r="Q43" s="5"/>
    </row>
    <row r="44" spans="1:146" x14ac:dyDescent="0.25">
      <c r="Q44" s="5"/>
    </row>
    <row r="45" spans="1:146" x14ac:dyDescent="0.25">
      <c r="Q45" s="5"/>
    </row>
    <row r="46" spans="1:146" x14ac:dyDescent="0.25">
      <c r="Q46" s="5"/>
    </row>
    <row r="47" spans="1:146" x14ac:dyDescent="0.25">
      <c r="Q47" s="5"/>
    </row>
    <row r="48" spans="1:146" x14ac:dyDescent="0.25">
      <c r="Q48" s="5"/>
    </row>
    <row r="49" spans="1:17" x14ac:dyDescent="0.25">
      <c r="Q49" s="5"/>
    </row>
    <row r="50" spans="1:17" x14ac:dyDescent="0.25">
      <c r="Q50" s="5"/>
    </row>
    <row r="51" spans="1:17" x14ac:dyDescent="0.25">
      <c r="Q51" s="5"/>
    </row>
    <row r="52" spans="1:17" x14ac:dyDescent="0.25">
      <c r="Q52" s="5"/>
    </row>
    <row r="53" spans="1:17" x14ac:dyDescent="0.25">
      <c r="Q53" s="5"/>
    </row>
    <row r="54" spans="1:17" x14ac:dyDescent="0.25">
      <c r="Q54" s="5"/>
    </row>
    <row r="55" spans="1:17" x14ac:dyDescent="0.25">
      <c r="Q55" s="5"/>
    </row>
    <row r="56" spans="1:17" x14ac:dyDescent="0.25">
      <c r="Q56" s="5"/>
    </row>
    <row r="57" spans="1:17" x14ac:dyDescent="0.25">
      <c r="Q57" s="5"/>
    </row>
    <row r="58" spans="1:17" x14ac:dyDescent="0.25">
      <c r="Q58" s="5"/>
    </row>
    <row r="59" spans="1:17" x14ac:dyDescent="0.25">
      <c r="Q59" s="5"/>
    </row>
    <row r="60" spans="1:17" x14ac:dyDescent="0.25">
      <c r="A60" s="9"/>
      <c r="B60" s="9"/>
      <c r="C60" s="9"/>
      <c r="Q60" s="5"/>
    </row>
    <row r="61" spans="1:17" x14ac:dyDescent="0.25">
      <c r="Q61" s="5"/>
    </row>
    <row r="62" spans="1:17" x14ac:dyDescent="0.25">
      <c r="Q62" s="5"/>
    </row>
    <row r="63" spans="1:17" x14ac:dyDescent="0.25">
      <c r="Q63" s="5"/>
    </row>
    <row r="64" spans="1:17" x14ac:dyDescent="0.25">
      <c r="Q64" s="5"/>
    </row>
    <row r="65" spans="1:17" x14ac:dyDescent="0.25">
      <c r="Q65" s="5"/>
    </row>
    <row r="66" spans="1:17" x14ac:dyDescent="0.25">
      <c r="A66" s="9"/>
      <c r="B66" s="9"/>
      <c r="C66" s="9"/>
      <c r="Q66" s="5"/>
    </row>
    <row r="67" spans="1:17" x14ac:dyDescent="0.25">
      <c r="Q67" s="5"/>
    </row>
    <row r="68" spans="1:17" x14ac:dyDescent="0.25">
      <c r="Q68" s="5"/>
    </row>
    <row r="69" spans="1:17" x14ac:dyDescent="0.25">
      <c r="Q69" s="5"/>
    </row>
    <row r="70" spans="1:17" x14ac:dyDescent="0.25">
      <c r="Q70" s="5"/>
    </row>
    <row r="71" spans="1:17" x14ac:dyDescent="0.25">
      <c r="Q71" s="5"/>
    </row>
    <row r="72" spans="1:17" x14ac:dyDescent="0.25">
      <c r="Q72" s="5"/>
    </row>
    <row r="73" spans="1:17" x14ac:dyDescent="0.25">
      <c r="Q73" s="5"/>
    </row>
    <row r="74" spans="1:17" x14ac:dyDescent="0.25">
      <c r="Q74" s="5"/>
    </row>
    <row r="75" spans="1:17" x14ac:dyDescent="0.25">
      <c r="Q75" s="5"/>
    </row>
    <row r="76" spans="1:17" x14ac:dyDescent="0.25">
      <c r="Q76" s="5"/>
    </row>
    <row r="77" spans="1:17" x14ac:dyDescent="0.25">
      <c r="Q77" s="5"/>
    </row>
    <row r="78" spans="1:17" x14ac:dyDescent="0.25">
      <c r="Q78" s="5"/>
    </row>
    <row r="79" spans="1:17" x14ac:dyDescent="0.25">
      <c r="Q79" s="5"/>
    </row>
    <row r="80" spans="1:17" x14ac:dyDescent="0.25">
      <c r="Q80" s="5"/>
    </row>
    <row r="81" spans="17:17" x14ac:dyDescent="0.25">
      <c r="Q81" s="5"/>
    </row>
    <row r="82" spans="17:17" x14ac:dyDescent="0.25">
      <c r="Q82" s="5"/>
    </row>
    <row r="83" spans="17:17" x14ac:dyDescent="0.25">
      <c r="Q83" s="5"/>
    </row>
    <row r="84" spans="17:17" x14ac:dyDescent="0.25">
      <c r="Q84" s="5"/>
    </row>
    <row r="85" spans="17:17" x14ac:dyDescent="0.25">
      <c r="Q85" s="5"/>
    </row>
    <row r="86" spans="17:17" x14ac:dyDescent="0.25">
      <c r="Q86" s="5"/>
    </row>
    <row r="87" spans="17:17" x14ac:dyDescent="0.25">
      <c r="Q87" s="5"/>
    </row>
    <row r="88" spans="17:17" x14ac:dyDescent="0.25">
      <c r="Q88" s="5"/>
    </row>
    <row r="89" spans="17:17" x14ac:dyDescent="0.25">
      <c r="Q89" s="5"/>
    </row>
    <row r="90" spans="17:17" x14ac:dyDescent="0.25">
      <c r="Q90" s="5"/>
    </row>
    <row r="91" spans="17:17" x14ac:dyDescent="0.25">
      <c r="Q91" s="5"/>
    </row>
    <row r="92" spans="17:17" x14ac:dyDescent="0.25">
      <c r="Q92" s="5"/>
    </row>
    <row r="93" spans="17:17" x14ac:dyDescent="0.25">
      <c r="Q93" s="5"/>
    </row>
    <row r="94" spans="17:17" x14ac:dyDescent="0.25">
      <c r="Q94" s="5"/>
    </row>
    <row r="95" spans="17:17" x14ac:dyDescent="0.25">
      <c r="Q95" s="5"/>
    </row>
    <row r="96" spans="17:17" x14ac:dyDescent="0.25">
      <c r="Q96" s="5"/>
    </row>
    <row r="97" spans="17:17" x14ac:dyDescent="0.25">
      <c r="Q97" s="5"/>
    </row>
    <row r="98" spans="17:17" x14ac:dyDescent="0.25">
      <c r="Q98" s="5"/>
    </row>
    <row r="99" spans="17:17" x14ac:dyDescent="0.25">
      <c r="Q99" s="5"/>
    </row>
    <row r="100" spans="17:17" x14ac:dyDescent="0.25">
      <c r="Q100" s="5"/>
    </row>
    <row r="101" spans="17:17" x14ac:dyDescent="0.25">
      <c r="Q101" s="5"/>
    </row>
    <row r="102" spans="17:17" x14ac:dyDescent="0.25">
      <c r="Q102" s="5"/>
    </row>
    <row r="103" spans="17:17" x14ac:dyDescent="0.25">
      <c r="Q103" s="5"/>
    </row>
    <row r="104" spans="17:17" x14ac:dyDescent="0.25">
      <c r="Q104" s="5"/>
    </row>
    <row r="105" spans="17:17" x14ac:dyDescent="0.25">
      <c r="Q105" s="5"/>
    </row>
    <row r="106" spans="17:17" x14ac:dyDescent="0.25">
      <c r="Q106" s="4"/>
    </row>
    <row r="107" spans="17:17" x14ac:dyDescent="0.25">
      <c r="Q107" s="5"/>
    </row>
    <row r="108" spans="17:17" x14ac:dyDescent="0.25">
      <c r="Q108" s="5"/>
    </row>
    <row r="109" spans="17:17" x14ac:dyDescent="0.25">
      <c r="Q109" s="5"/>
    </row>
    <row r="110" spans="17:17" x14ac:dyDescent="0.25">
      <c r="Q110" s="5"/>
    </row>
    <row r="111" spans="17:17" x14ac:dyDescent="0.25">
      <c r="Q111" s="5"/>
    </row>
    <row r="112" spans="17:17" x14ac:dyDescent="0.25">
      <c r="Q112" s="5"/>
    </row>
    <row r="113" spans="17:17" x14ac:dyDescent="0.25">
      <c r="Q113" s="5"/>
    </row>
    <row r="114" spans="17:17" x14ac:dyDescent="0.25">
      <c r="Q114" s="5"/>
    </row>
    <row r="115" spans="17:17" x14ac:dyDescent="0.25">
      <c r="Q115" s="5"/>
    </row>
    <row r="116" spans="17:17" x14ac:dyDescent="0.25">
      <c r="Q116" s="5"/>
    </row>
    <row r="117" spans="17:17" x14ac:dyDescent="0.25">
      <c r="Q117" s="5"/>
    </row>
    <row r="118" spans="17:17" x14ac:dyDescent="0.25">
      <c r="Q118" s="5"/>
    </row>
    <row r="119" spans="17:17" x14ac:dyDescent="0.25">
      <c r="Q119" s="5"/>
    </row>
    <row r="120" spans="17:17" x14ac:dyDescent="0.25">
      <c r="Q120" s="5"/>
    </row>
    <row r="121" spans="17:17" x14ac:dyDescent="0.25">
      <c r="Q121" s="5"/>
    </row>
    <row r="122" spans="17:17" x14ac:dyDescent="0.25">
      <c r="Q122" s="5"/>
    </row>
    <row r="123" spans="17:17" x14ac:dyDescent="0.25">
      <c r="Q123" s="5"/>
    </row>
    <row r="124" spans="17:17" x14ac:dyDescent="0.25">
      <c r="Q124" s="5"/>
    </row>
  </sheetData>
  <autoFilter ref="BU1:BU126"/>
  <sortState ref="D2:AD92">
    <sortCondition ref="D2:D92"/>
  </sortState>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Basic_Fundamental_Tabel_Update_Buttom &quot;电子化学品&quot;,&quot;&quot;'" altText="更新基本面按钮_x000a_">
                <anchor moveWithCells="1" sizeWithCells="1">
                  <from>
                    <xdr:col>147</xdr:col>
                    <xdr:colOff>533400</xdr:colOff>
                    <xdr:row>0</xdr:row>
                    <xdr:rowOff>76200</xdr:rowOff>
                  </from>
                  <to>
                    <xdr:col>147</xdr:col>
                    <xdr:colOff>1574800</xdr:colOff>
                    <xdr:row>0</xdr:row>
                    <xdr:rowOff>546100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D6"/>
  <sheetViews>
    <sheetView workbookViewId="0">
      <selection activeCell="I58" sqref="I58"/>
    </sheetView>
  </sheetViews>
  <sheetFormatPr defaultRowHeight="14" x14ac:dyDescent="0.25"/>
  <sheetData>
    <row r="1" spans="1:30" x14ac:dyDescent="0.25">
      <c r="A1">
        <v>1</v>
      </c>
      <c r="B1">
        <f>A1+A1*$A$2</f>
        <v>1.1499999999999999</v>
      </c>
      <c r="C1">
        <f t="shared" ref="C1:AD1" si="0">B1+B1*$A$2</f>
        <v>1.3224999999999998</v>
      </c>
      <c r="D1">
        <f t="shared" si="0"/>
        <v>1.5208749999999998</v>
      </c>
      <c r="E1">
        <f t="shared" si="0"/>
        <v>1.7490062499999997</v>
      </c>
      <c r="F1">
        <f t="shared" si="0"/>
        <v>2.0113571874999998</v>
      </c>
      <c r="G1">
        <f t="shared" si="0"/>
        <v>2.313060765625</v>
      </c>
      <c r="H1">
        <f t="shared" si="0"/>
        <v>2.66001988046875</v>
      </c>
      <c r="I1">
        <f t="shared" si="0"/>
        <v>3.0590228625390625</v>
      </c>
      <c r="J1">
        <f t="shared" si="0"/>
        <v>3.5178762919199218</v>
      </c>
      <c r="K1">
        <f t="shared" si="0"/>
        <v>4.0455577357079102</v>
      </c>
      <c r="L1">
        <f t="shared" si="0"/>
        <v>4.6523913960640968</v>
      </c>
      <c r="M1">
        <f t="shared" si="0"/>
        <v>5.3502501054737115</v>
      </c>
      <c r="N1">
        <f t="shared" si="0"/>
        <v>6.1527876212947685</v>
      </c>
      <c r="O1">
        <f t="shared" si="0"/>
        <v>7.0757057644889834</v>
      </c>
      <c r="P1">
        <f t="shared" si="0"/>
        <v>8.1370616291623303</v>
      </c>
      <c r="Q1">
        <f t="shared" si="0"/>
        <v>9.3576208735366802</v>
      </c>
      <c r="R1">
        <f t="shared" si="0"/>
        <v>10.761264004567183</v>
      </c>
      <c r="S1">
        <f t="shared" si="0"/>
        <v>12.375453605252261</v>
      </c>
      <c r="T1">
        <f t="shared" si="0"/>
        <v>14.2317716460401</v>
      </c>
      <c r="U1">
        <f t="shared" si="0"/>
        <v>16.366537392946114</v>
      </c>
      <c r="V1">
        <f t="shared" si="0"/>
        <v>18.82151800188803</v>
      </c>
      <c r="W1">
        <f t="shared" si="0"/>
        <v>21.644745702171235</v>
      </c>
      <c r="X1">
        <f t="shared" si="0"/>
        <v>24.891457557496921</v>
      </c>
      <c r="Y1">
        <f t="shared" si="0"/>
        <v>28.625176191121458</v>
      </c>
      <c r="Z1">
        <f t="shared" si="0"/>
        <v>32.918952619789678</v>
      </c>
      <c r="AA1">
        <f t="shared" si="0"/>
        <v>37.856795512758133</v>
      </c>
      <c r="AB1">
        <f t="shared" si="0"/>
        <v>43.535314839671855</v>
      </c>
      <c r="AC1">
        <f t="shared" si="0"/>
        <v>50.065612065622631</v>
      </c>
      <c r="AD1">
        <f t="shared" si="0"/>
        <v>57.575453875466025</v>
      </c>
    </row>
    <row r="2" spans="1:30" x14ac:dyDescent="0.25">
      <c r="A2">
        <v>0.15</v>
      </c>
      <c r="B2" t="s">
        <v>2</v>
      </c>
    </row>
    <row r="3" spans="1:30" s="2" customFormat="1" x14ac:dyDescent="0.25">
      <c r="A3" s="2">
        <v>1</v>
      </c>
      <c r="B3" s="2">
        <v>2</v>
      </c>
      <c r="C3" s="2">
        <v>3</v>
      </c>
      <c r="D3" s="2">
        <v>4</v>
      </c>
      <c r="E3" s="2">
        <v>5</v>
      </c>
      <c r="F3" s="2">
        <v>6</v>
      </c>
      <c r="G3" s="2">
        <v>7</v>
      </c>
      <c r="H3" s="2">
        <v>8</v>
      </c>
      <c r="I3" s="2">
        <v>9</v>
      </c>
      <c r="J3" s="2">
        <v>10</v>
      </c>
      <c r="K3" s="2">
        <v>11</v>
      </c>
      <c r="L3" s="2">
        <v>12</v>
      </c>
      <c r="M3" s="2">
        <v>13</v>
      </c>
      <c r="N3" s="2">
        <v>14</v>
      </c>
      <c r="O3" s="2">
        <v>15</v>
      </c>
      <c r="P3" s="2">
        <v>16</v>
      </c>
      <c r="Q3" s="2">
        <v>17</v>
      </c>
      <c r="R3" s="2">
        <v>18</v>
      </c>
      <c r="S3" s="2">
        <v>19</v>
      </c>
      <c r="T3" s="2">
        <v>20</v>
      </c>
      <c r="U3" s="2">
        <v>21</v>
      </c>
      <c r="V3" s="2">
        <v>22</v>
      </c>
      <c r="W3" s="2">
        <v>23</v>
      </c>
      <c r="X3" s="2">
        <v>24</v>
      </c>
      <c r="Y3" s="2">
        <v>25</v>
      </c>
      <c r="Z3" s="2">
        <v>26</v>
      </c>
      <c r="AA3" s="2">
        <v>27</v>
      </c>
      <c r="AB3" s="2">
        <v>28</v>
      </c>
      <c r="AC3" s="2">
        <v>29</v>
      </c>
      <c r="AD3" s="2">
        <v>30</v>
      </c>
    </row>
    <row r="4" spans="1:30" x14ac:dyDescent="0.25">
      <c r="A4">
        <v>0.5</v>
      </c>
      <c r="B4" t="s">
        <v>0</v>
      </c>
    </row>
    <row r="5" spans="1:30" x14ac:dyDescent="0.25">
      <c r="A5" s="1">
        <v>1</v>
      </c>
      <c r="B5" s="1">
        <f>A5*$A$4+A5</f>
        <v>1.5</v>
      </c>
      <c r="C5" s="1">
        <f t="shared" ref="C5:AD5" si="1">B5*$A$4+B5</f>
        <v>2.25</v>
      </c>
      <c r="D5" s="1">
        <f t="shared" si="1"/>
        <v>3.375</v>
      </c>
      <c r="E5" s="1">
        <f t="shared" si="1"/>
        <v>5.0625</v>
      </c>
      <c r="F5" s="1">
        <f t="shared" si="1"/>
        <v>7.59375</v>
      </c>
      <c r="G5" s="1">
        <f t="shared" si="1"/>
        <v>11.390625</v>
      </c>
      <c r="H5" s="1">
        <f t="shared" si="1"/>
        <v>17.0859375</v>
      </c>
      <c r="I5" s="1">
        <f t="shared" si="1"/>
        <v>25.62890625</v>
      </c>
      <c r="J5" s="1">
        <f t="shared" si="1"/>
        <v>38.443359375</v>
      </c>
      <c r="K5" s="1">
        <f t="shared" si="1"/>
        <v>57.6650390625</v>
      </c>
      <c r="L5" s="1">
        <f t="shared" si="1"/>
        <v>86.49755859375</v>
      </c>
      <c r="M5" s="1">
        <f t="shared" si="1"/>
        <v>129.746337890625</v>
      </c>
      <c r="N5" s="1">
        <f t="shared" si="1"/>
        <v>194.6195068359375</v>
      </c>
      <c r="O5" s="1">
        <f t="shared" si="1"/>
        <v>291.92926025390625</v>
      </c>
      <c r="P5">
        <f t="shared" si="1"/>
        <v>437.89389038085937</v>
      </c>
      <c r="Q5">
        <f t="shared" si="1"/>
        <v>656.84083557128906</v>
      </c>
      <c r="R5">
        <f t="shared" si="1"/>
        <v>985.26125335693359</v>
      </c>
      <c r="S5" s="1">
        <f t="shared" si="1"/>
        <v>1477.8918800354004</v>
      </c>
      <c r="T5">
        <f t="shared" si="1"/>
        <v>2216.8378200531006</v>
      </c>
      <c r="U5">
        <f t="shared" si="1"/>
        <v>3325.2567300796509</v>
      </c>
      <c r="V5">
        <f t="shared" si="1"/>
        <v>4987.8850951194763</v>
      </c>
      <c r="W5">
        <f t="shared" si="1"/>
        <v>7481.8276426792145</v>
      </c>
      <c r="X5">
        <f t="shared" si="1"/>
        <v>11222.741464018822</v>
      </c>
      <c r="Y5">
        <f t="shared" si="1"/>
        <v>16834.112196028233</v>
      </c>
      <c r="Z5">
        <f t="shared" si="1"/>
        <v>25251.168294042349</v>
      </c>
      <c r="AA5">
        <f t="shared" si="1"/>
        <v>37876.752441063523</v>
      </c>
      <c r="AB5">
        <f t="shared" si="1"/>
        <v>56815.128661595285</v>
      </c>
      <c r="AC5">
        <f t="shared" si="1"/>
        <v>85222.692992392927</v>
      </c>
      <c r="AD5">
        <f t="shared" si="1"/>
        <v>127834.03948858939</v>
      </c>
    </row>
    <row r="6" spans="1:30" x14ac:dyDescent="0.25">
      <c r="A6">
        <v>15</v>
      </c>
      <c r="B6" t="s">
        <v>1</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vt:i4>
      </vt:variant>
    </vt:vector>
  </HeadingPairs>
  <TitlesOfParts>
    <vt:vector size="2" baseType="lpstr">
      <vt:lpstr>电子化学品</vt:lpstr>
      <vt:lpstr>估值-增速与年化收益</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keywords>CTPClassification=CTP_NT</cp:keywords>
  <cp:lastModifiedBy>Admin</cp:lastModifiedBy>
  <dcterms:created xsi:type="dcterms:W3CDTF">2018-08-09T11:49:58Z</dcterms:created>
  <dcterms:modified xsi:type="dcterms:W3CDTF">2024-07-08T15:37:05Z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88baec69-fb1e-4d63-9f3d-bd3ecbe7e71b</vt:lpwstr>
  </property>
  <property fmtid="{D5CDD505-2E9C-101B-9397-08002B2CF9AE}" pid="3" name="CTP_TimeStamp">
    <vt:lpwstr>2019-01-09 01:33:49Z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TPClassification">
    <vt:lpwstr>CTP_NT</vt:lpwstr>
  </property>
</Properties>
</file>