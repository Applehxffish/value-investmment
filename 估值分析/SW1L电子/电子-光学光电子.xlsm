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子\"/>
    </mc:Choice>
  </mc:AlternateContent>
  <bookViews>
    <workbookView xWindow="0" yWindow="0" windowWidth="3800" windowHeight="2950"/>
  </bookViews>
  <sheets>
    <sheet name="光学光电子" sheetId="7" r:id="rId1"/>
    <sheet name="估值-增速与年化收益" sheetId="14" r:id="rId2"/>
  </sheets>
  <functionGroups builtInGroupCount="18"/>
  <definedNames>
    <definedName name="_xlnm._FilterDatabase" localSheetId="0" hidden="1">光学光电子!$BU$1:$BU$134</definedName>
  </definedNames>
  <calcPr calcId="152511"/>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58" i="7"/>
  <c r="C96" i="7"/>
  <c r="C80" i="7"/>
  <c r="C64" i="7"/>
  <c r="C91" i="7"/>
  <c r="C75" i="7"/>
  <c r="C106" i="7"/>
  <c r="C90" i="7"/>
  <c r="C74" i="7"/>
  <c r="C97" i="7"/>
  <c r="C81" i="7"/>
  <c r="C65" i="7"/>
  <c r="C60" i="7"/>
  <c r="C87" i="7"/>
  <c r="C70" i="7"/>
  <c r="C63" i="7"/>
  <c r="C104" i="7"/>
  <c r="C88" i="7"/>
  <c r="C72" i="7"/>
  <c r="C99" i="7"/>
  <c r="C83" i="7"/>
  <c r="C67" i="7"/>
  <c r="C98" i="7"/>
  <c r="C82" i="7"/>
  <c r="C105" i="7"/>
  <c r="C89" i="7"/>
  <c r="C73" i="7"/>
  <c r="C62" i="7"/>
  <c r="C92" i="7"/>
  <c r="C103" i="7"/>
  <c r="C102" i="7"/>
  <c r="C93" i="7"/>
  <c r="C59" i="7"/>
  <c r="C100" i="7"/>
  <c r="C84" i="7"/>
  <c r="C68" i="7"/>
  <c r="C95" i="7"/>
  <c r="C79" i="7"/>
  <c r="C66" i="7"/>
  <c r="C94" i="7"/>
  <c r="C78" i="7"/>
  <c r="C101" i="7"/>
  <c r="C85" i="7"/>
  <c r="C69" i="7"/>
  <c r="C61" i="7"/>
  <c r="C76" i="7"/>
  <c r="C71" i="7"/>
  <c r="C86" i="7"/>
  <c r="C77"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alcChain>
</file>

<file path=xl/sharedStrings.xml><?xml version="1.0" encoding="utf-8"?>
<sst xmlns="http://schemas.openxmlformats.org/spreadsheetml/2006/main" count="6206" uniqueCount="4067">
  <si>
    <t>&lt;-增速</t>
    <phoneticPr fontId="1" type="noConversion"/>
  </si>
  <si>
    <t>&lt;-估值</t>
    <phoneticPr fontId="1" type="noConversion"/>
  </si>
  <si>
    <t>&lt;-折合年化收益</t>
    <phoneticPr fontId="1" type="noConversion"/>
  </si>
  <si>
    <t>市净率</t>
  </si>
  <si>
    <t>--</t>
  </si>
  <si>
    <t>1.80亿</t>
  </si>
  <si>
    <t>1.12亿</t>
  </si>
  <si>
    <t>4.43亿</t>
  </si>
  <si>
    <t>1.24亿</t>
  </si>
  <si>
    <t>总市值</t>
  </si>
  <si>
    <t>TTM市盈率</t>
  </si>
  <si>
    <t>所属行业</t>
  </si>
  <si>
    <t>现价</t>
  </si>
  <si>
    <t>负债合计</t>
  </si>
  <si>
    <t>所有者权益合计</t>
  </si>
  <si>
    <t>净利润增长率</t>
  </si>
  <si>
    <t>总股本</t>
  </si>
  <si>
    <t>财务费用</t>
  </si>
  <si>
    <t>投资收益</t>
  </si>
  <si>
    <t>应收账款</t>
  </si>
  <si>
    <t>1.56亿</t>
  </si>
  <si>
    <t>0亿</t>
  </si>
  <si>
    <t>4.02亿</t>
  </si>
  <si>
    <t>2.57亿</t>
  </si>
  <si>
    <t>1.05亿</t>
  </si>
  <si>
    <t>2.06亿</t>
  </si>
  <si>
    <t>4.12亿</t>
  </si>
  <si>
    <t>1.32亿</t>
  </si>
  <si>
    <t>1.16亿</t>
  </si>
  <si>
    <t>1.23亿</t>
  </si>
  <si>
    <t>5.60亿</t>
  </si>
  <si>
    <t>主营业务收入</t>
  </si>
  <si>
    <t>2.09亿</t>
  </si>
  <si>
    <t>1.29亿</t>
  </si>
  <si>
    <t>1.66亿</t>
  </si>
  <si>
    <t>2.96亿</t>
  </si>
  <si>
    <t>1.77亿</t>
  </si>
  <si>
    <t>1.61亿</t>
  </si>
  <si>
    <t>5.06亿</t>
  </si>
  <si>
    <t>1.55亿</t>
  </si>
  <si>
    <t>2.10亿</t>
  </si>
  <si>
    <t>1.18亿</t>
  </si>
  <si>
    <t>1.22亿</t>
  </si>
  <si>
    <t>2.08亿</t>
  </si>
  <si>
    <t>2.44亿</t>
  </si>
  <si>
    <t>1.34亿</t>
  </si>
  <si>
    <t>1.64亿</t>
  </si>
  <si>
    <t>2.84亿</t>
  </si>
  <si>
    <t>3.26亿</t>
  </si>
  <si>
    <t>3.04亿</t>
  </si>
  <si>
    <t>6.75亿</t>
  </si>
  <si>
    <t>1.45亿</t>
  </si>
  <si>
    <t>1.20亿</t>
  </si>
  <si>
    <t>1.40亿</t>
  </si>
  <si>
    <t>3.44亿</t>
  </si>
  <si>
    <t>12.01亿</t>
  </si>
  <si>
    <t>1.25亿</t>
  </si>
  <si>
    <t>4.85亿</t>
  </si>
  <si>
    <t>8.67亿</t>
  </si>
  <si>
    <t>1.27亿</t>
  </si>
  <si>
    <t>3.77亿</t>
  </si>
  <si>
    <t>1.51亿</t>
  </si>
  <si>
    <t>1.35亿</t>
  </si>
  <si>
    <t>2.67亿</t>
  </si>
  <si>
    <t>9.64亿</t>
  </si>
  <si>
    <t>1.26亿</t>
  </si>
  <si>
    <t>2.85亿</t>
  </si>
  <si>
    <t>4.31亿</t>
  </si>
  <si>
    <t>1.36亿</t>
  </si>
  <si>
    <t>1.79亿</t>
  </si>
  <si>
    <t>1.11亿</t>
  </si>
  <si>
    <t>3.03亿</t>
  </si>
  <si>
    <t>1.49亿</t>
  </si>
  <si>
    <t>3.54亿</t>
  </si>
  <si>
    <t>1.41亿</t>
  </si>
  <si>
    <t>2.54亿</t>
  </si>
  <si>
    <t>1.60亿</t>
  </si>
  <si>
    <t>1.30亿</t>
  </si>
  <si>
    <t>1.83亿</t>
  </si>
  <si>
    <t>1.09亿</t>
  </si>
  <si>
    <t>2.35亿</t>
  </si>
  <si>
    <t>2.00亿</t>
  </si>
  <si>
    <t>1.94亿</t>
  </si>
  <si>
    <t>4.54亿</t>
  </si>
  <si>
    <t>2.17亿</t>
  </si>
  <si>
    <t>1.81亿</t>
  </si>
  <si>
    <t>6.10亿</t>
  </si>
  <si>
    <t>3.78亿</t>
  </si>
  <si>
    <t>1.38亿</t>
  </si>
  <si>
    <t>2.45亿</t>
  </si>
  <si>
    <t>1.69亿</t>
  </si>
  <si>
    <t>2.05亿</t>
  </si>
  <si>
    <t>2.79亿</t>
  </si>
  <si>
    <t>4.58亿</t>
  </si>
  <si>
    <t>3.10亿</t>
  </si>
  <si>
    <t>2.34亿</t>
  </si>
  <si>
    <t>3.95亿</t>
  </si>
  <si>
    <t>1.04亿</t>
  </si>
  <si>
    <t>5.80亿</t>
  </si>
  <si>
    <t>2.02亿</t>
  </si>
  <si>
    <t>4.80亿</t>
  </si>
  <si>
    <t>已知和基本信息</t>
    <phoneticPr fontId="1" type="noConversion"/>
  </si>
  <si>
    <t>预期多</t>
    <phoneticPr fontId="1" type="noConversion"/>
  </si>
  <si>
    <t>预期空</t>
    <phoneticPr fontId="1" type="noConversion"/>
  </si>
  <si>
    <t>1.01亿</t>
  </si>
  <si>
    <t>2.22亿</t>
  </si>
  <si>
    <t>1.59亿</t>
  </si>
  <si>
    <t>5.01亿</t>
  </si>
  <si>
    <t>2.38亿</t>
  </si>
  <si>
    <t>4.07亿</t>
  </si>
  <si>
    <t>5.73亿</t>
  </si>
  <si>
    <t>1.10亿</t>
  </si>
  <si>
    <t>1.00亿</t>
  </si>
  <si>
    <t>8.34亿</t>
  </si>
  <si>
    <t>5.59亿</t>
  </si>
  <si>
    <t>2.32亿</t>
  </si>
  <si>
    <t>3.17亿</t>
  </si>
  <si>
    <t>1.65亿</t>
  </si>
  <si>
    <t>1.19亿</t>
  </si>
  <si>
    <t>2.98亿</t>
  </si>
  <si>
    <t>1.37亿</t>
  </si>
  <si>
    <t>1.03亿</t>
  </si>
  <si>
    <t>2.15亿</t>
  </si>
  <si>
    <t>7.48亿</t>
  </si>
  <si>
    <t>1.21亿</t>
  </si>
  <si>
    <t>1.28亿</t>
  </si>
  <si>
    <t>3.19亿</t>
  </si>
  <si>
    <t>2.89亿</t>
  </si>
  <si>
    <t>2.12亿</t>
  </si>
  <si>
    <t>1.07亿</t>
  </si>
  <si>
    <t>8.18亿</t>
  </si>
  <si>
    <t>2.41亿</t>
  </si>
  <si>
    <t>1.63亿</t>
  </si>
  <si>
    <t>5.26亿</t>
  </si>
  <si>
    <t>2.50亿</t>
  </si>
  <si>
    <t>12.33亿</t>
  </si>
  <si>
    <t>3.69亿</t>
  </si>
  <si>
    <t>1.53亿</t>
  </si>
  <si>
    <t>2.72亿</t>
  </si>
  <si>
    <t>2.25亿</t>
  </si>
  <si>
    <t>1.44亿</t>
  </si>
  <si>
    <t>4.67亿</t>
  </si>
  <si>
    <t>1.14亿</t>
  </si>
  <si>
    <t>1.84亿</t>
  </si>
  <si>
    <t>1.68亿</t>
  </si>
  <si>
    <t>1.73亿</t>
  </si>
  <si>
    <t>3.08亿</t>
  </si>
  <si>
    <t>3.11亿</t>
  </si>
  <si>
    <t>1.33亿</t>
  </si>
  <si>
    <t>2.62亿</t>
  </si>
  <si>
    <t>3.96亿</t>
  </si>
  <si>
    <t>5.61亿</t>
  </si>
  <si>
    <t>-1.53亿</t>
  </si>
  <si>
    <t>2.19亿</t>
  </si>
  <si>
    <t>4.53亿</t>
  </si>
  <si>
    <t>3.38亿</t>
  </si>
  <si>
    <t>1.08亿</t>
  </si>
  <si>
    <t>2.82亿</t>
  </si>
  <si>
    <t>1.39亿</t>
  </si>
  <si>
    <t>4.66亿</t>
  </si>
  <si>
    <t>6.04亿</t>
  </si>
  <si>
    <t>8.45亿</t>
  </si>
  <si>
    <t>1.82亿</t>
  </si>
  <si>
    <t>5.77亿</t>
  </si>
  <si>
    <t>1.58亿</t>
  </si>
  <si>
    <t>6.11亿</t>
  </si>
  <si>
    <t>4.01亿</t>
  </si>
  <si>
    <t>4345.61万</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</si>
  <si>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</si>
  <si>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</si>
  <si>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</si>
  <si>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</si>
  <si>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</si>
  <si>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</si>
  <si>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</si>
  <si>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</si>
  <si>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</si>
  <si>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</si>
  <si>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</si>
  <si>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</si>
  <si>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</si>
  <si>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3.59亿</t>
  </si>
  <si>
    <t>2.47亿</t>
  </si>
  <si>
    <t>2.26亿</t>
  </si>
  <si>
    <t>7.84亿</t>
  </si>
  <si>
    <t>2.04亿</t>
  </si>
  <si>
    <t>2.24亿</t>
  </si>
  <si>
    <t>1.87亿</t>
  </si>
  <si>
    <t>10.96亿</t>
  </si>
  <si>
    <t>4.38亿</t>
  </si>
  <si>
    <t>1.17亿</t>
  </si>
  <si>
    <t>3.36亿</t>
  </si>
  <si>
    <t>9.94亿</t>
  </si>
  <si>
    <t>2.76亿</t>
  </si>
  <si>
    <t>5.88亿</t>
  </si>
  <si>
    <t>1.47亿</t>
  </si>
  <si>
    <t>7.02亿</t>
  </si>
  <si>
    <t>4.95亿</t>
  </si>
  <si>
    <t>5.46亿</t>
  </si>
  <si>
    <t>1.62亿</t>
  </si>
  <si>
    <t>9.10亿</t>
  </si>
  <si>
    <t>8.24亿</t>
  </si>
  <si>
    <t>1.06亿</t>
  </si>
  <si>
    <t>5.52亿</t>
  </si>
  <si>
    <t>4.39亿</t>
  </si>
  <si>
    <t>1.46亿</t>
  </si>
  <si>
    <t>74.60亿</t>
  </si>
  <si>
    <t>3.57亿</t>
  </si>
  <si>
    <t>4.30亿</t>
  </si>
  <si>
    <t>4.08亿</t>
  </si>
  <si>
    <t>2.66亿</t>
  </si>
  <si>
    <t>3.01亿</t>
  </si>
  <si>
    <t>1.95亿</t>
  </si>
  <si>
    <t>3.80亿</t>
  </si>
  <si>
    <t>7.06亿</t>
  </si>
  <si>
    <t>2.69亿</t>
  </si>
  <si>
    <t>1.70亿</t>
  </si>
  <si>
    <t>3.28亿</t>
  </si>
  <si>
    <t>1.91亿</t>
  </si>
  <si>
    <t>5.96亿</t>
  </si>
  <si>
    <t>39.94亿</t>
  </si>
  <si>
    <t>6.37亿</t>
  </si>
  <si>
    <t>7.12亿</t>
  </si>
  <si>
    <t>12.09亿</t>
  </si>
  <si>
    <t>3.22亿</t>
  </si>
  <si>
    <t>5.17亿</t>
  </si>
  <si>
    <t>3.24亿</t>
  </si>
  <si>
    <t>5.32亿</t>
  </si>
  <si>
    <t>3.94亿</t>
  </si>
  <si>
    <t>4.23亿</t>
  </si>
  <si>
    <t>5.24亿</t>
  </si>
  <si>
    <t>1.52亿</t>
  </si>
  <si>
    <t>5.76亿</t>
  </si>
  <si>
    <t>2.81亿</t>
  </si>
  <si>
    <t>7.88亿</t>
  </si>
  <si>
    <t>5.44亿</t>
  </si>
  <si>
    <t>8.85亿</t>
  </si>
  <si>
    <t>6.91亿</t>
  </si>
  <si>
    <t>9.21亿</t>
  </si>
  <si>
    <t>5.66亿</t>
  </si>
  <si>
    <t>6.29亿</t>
  </si>
  <si>
    <t>8.87亿</t>
  </si>
  <si>
    <t>15.13亿</t>
  </si>
  <si>
    <t>8.03亿</t>
  </si>
  <si>
    <t>6.54亿</t>
  </si>
  <si>
    <t>8.00亿</t>
  </si>
  <si>
    <t>5.68亿</t>
  </si>
  <si>
    <t>12.98亿</t>
  </si>
  <si>
    <t>10.16亿</t>
  </si>
  <si>
    <t>12.45亿</t>
  </si>
  <si>
    <t>5.30亿</t>
  </si>
  <si>
    <t>4.26亿</t>
  </si>
  <si>
    <t>1.67亿</t>
  </si>
  <si>
    <t>7.16亿</t>
  </si>
  <si>
    <t>2.58亿</t>
  </si>
  <si>
    <t>8.31亿</t>
  </si>
  <si>
    <t>3.34亿</t>
  </si>
  <si>
    <t>7.34亿</t>
  </si>
  <si>
    <t>6.76亿</t>
  </si>
  <si>
    <t>6.49亿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</si>
  <si>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</si>
  <si>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</si>
  <si>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</si>
  <si>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</si>
  <si>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</si>
  <si>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</si>
  <si>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</si>
  <si>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</si>
  <si>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</si>
  <si>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</si>
  <si>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</si>
  <si>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</si>
  <si>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</si>
  <si>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2.86亿</t>
  </si>
  <si>
    <t>1.43亿</t>
  </si>
  <si>
    <t>3.02亿</t>
  </si>
  <si>
    <t>33.38亿</t>
  </si>
  <si>
    <t>3.16亿</t>
  </si>
  <si>
    <t>9.26亿</t>
  </si>
  <si>
    <t>9.83亿</t>
  </si>
  <si>
    <t>5.31亿</t>
  </si>
  <si>
    <t>5.11亿</t>
  </si>
  <si>
    <t>12.97亿</t>
  </si>
  <si>
    <t>9.66亿</t>
  </si>
  <si>
    <t>12.15亿</t>
  </si>
  <si>
    <t>13.78亿</t>
  </si>
  <si>
    <t>4.15亿</t>
  </si>
  <si>
    <t>12.73亿</t>
  </si>
  <si>
    <t>14.51亿</t>
  </si>
  <si>
    <t>28.30亿</t>
  </si>
  <si>
    <t>7.20亿</t>
  </si>
  <si>
    <t>2.95亿</t>
  </si>
  <si>
    <t>4.92亿</t>
  </si>
  <si>
    <t>19.05亿</t>
  </si>
  <si>
    <t>6.69亿</t>
  </si>
  <si>
    <t>7.04亿</t>
  </si>
  <si>
    <t>17.01亿</t>
  </si>
  <si>
    <t>10.33亿</t>
  </si>
  <si>
    <t>2.61亿</t>
  </si>
  <si>
    <t>15.73亿</t>
  </si>
  <si>
    <t>4.47亿</t>
  </si>
  <si>
    <t>3.53亿</t>
  </si>
  <si>
    <t>11.17亿</t>
  </si>
  <si>
    <t>8.68亿</t>
  </si>
  <si>
    <t>3.14亿</t>
  </si>
  <si>
    <t>8.01亿</t>
  </si>
  <si>
    <t>-3.46亿</t>
  </si>
  <si>
    <t>7.78亿</t>
  </si>
  <si>
    <t>23.26亿</t>
  </si>
  <si>
    <t>14.75亿</t>
  </si>
  <si>
    <t>8.99亿</t>
  </si>
  <si>
    <t>5.97亿</t>
  </si>
  <si>
    <t>15.50亿</t>
  </si>
  <si>
    <t>6.92亿</t>
  </si>
  <si>
    <t>2.59亿</t>
  </si>
  <si>
    <t>30.14亿</t>
  </si>
  <si>
    <t>11.02亿</t>
  </si>
  <si>
    <t>7.00亿</t>
  </si>
  <si>
    <t>13.03亿</t>
  </si>
  <si>
    <t>10.45亿</t>
  </si>
  <si>
    <t>7.27亿</t>
  </si>
  <si>
    <t>1.78亿</t>
  </si>
  <si>
    <t>9.72亿</t>
  </si>
  <si>
    <t>4.50亿</t>
  </si>
  <si>
    <t>9.67亿</t>
  </si>
  <si>
    <t>23.45亿</t>
  </si>
  <si>
    <t>4.88亿</t>
  </si>
  <si>
    <t>7.77亿</t>
  </si>
  <si>
    <t>9.75亿</t>
  </si>
  <si>
    <t>3.05亿</t>
  </si>
  <si>
    <t>1.72亿</t>
  </si>
  <si>
    <t>5.89亿</t>
  </si>
  <si>
    <t>8.29亿</t>
  </si>
  <si>
    <t>销售毛利率%[20201231]</t>
  </si>
  <si>
    <t>销售净利率%[20201231]</t>
  </si>
  <si>
    <t>15.92亿</t>
  </si>
  <si>
    <t>5.10亿</t>
  </si>
  <si>
    <t>4.69亿</t>
  </si>
  <si>
    <t>7.22亿</t>
  </si>
  <si>
    <t>21.81亿</t>
  </si>
  <si>
    <t>10.09亿</t>
  </si>
  <si>
    <t>SZ000020</t>
  </si>
  <si>
    <t>深华发Ａ</t>
  </si>
  <si>
    <t>光学光电子</t>
  </si>
  <si>
    <t>683.02万</t>
  </si>
  <si>
    <t>546.00万</t>
  </si>
  <si>
    <t>329.50万</t>
  </si>
  <si>
    <t>SZ000045</t>
  </si>
  <si>
    <t>深纺织Ａ</t>
  </si>
  <si>
    <t>21.09亿</t>
  </si>
  <si>
    <t>3726.80万</t>
  </si>
  <si>
    <t>7.46亿</t>
  </si>
  <si>
    <t>21.58亿</t>
  </si>
  <si>
    <t>12.72亿</t>
  </si>
  <si>
    <t>1967.99万</t>
  </si>
  <si>
    <t>-2298.06万</t>
  </si>
  <si>
    <t>SZ000050</t>
  </si>
  <si>
    <t>深天马Ａ</t>
  </si>
  <si>
    <t>292.33亿</t>
  </si>
  <si>
    <t>6.09亿</t>
  </si>
  <si>
    <t>302.82亿</t>
  </si>
  <si>
    <t>289.12亿</t>
  </si>
  <si>
    <t>SZ000100</t>
  </si>
  <si>
    <t>TCL科技</t>
  </si>
  <si>
    <t>43.88亿</t>
  </si>
  <si>
    <t>749.33亿</t>
  </si>
  <si>
    <t>1133.60亿</t>
  </si>
  <si>
    <t>26.18亿</t>
  </si>
  <si>
    <t>34.68亿</t>
  </si>
  <si>
    <t>SZ000413</t>
  </si>
  <si>
    <t>东旭光电</t>
  </si>
  <si>
    <t>70.49亿</t>
  </si>
  <si>
    <t>-34.03亿</t>
  </si>
  <si>
    <t>175.29亿</t>
  </si>
  <si>
    <t>282.12亿</t>
  </si>
  <si>
    <t>-15.23亿</t>
  </si>
  <si>
    <t>21.64亿</t>
  </si>
  <si>
    <t>SZ000536</t>
  </si>
  <si>
    <t>华映科技</t>
  </si>
  <si>
    <t>21.94亿</t>
  </si>
  <si>
    <t>8.27亿</t>
  </si>
  <si>
    <t>14.74亿</t>
  </si>
  <si>
    <t>45.18亿</t>
  </si>
  <si>
    <t>-25.87亿</t>
  </si>
  <si>
    <t>-49.66亿</t>
  </si>
  <si>
    <t>SZ000541</t>
  </si>
  <si>
    <t>佛山照明</t>
  </si>
  <si>
    <t>37.45亿</t>
  </si>
  <si>
    <t>38.02亿</t>
  </si>
  <si>
    <t>SZ000725</t>
  </si>
  <si>
    <t>京东方Ａ</t>
  </si>
  <si>
    <t>1355.53亿</t>
  </si>
  <si>
    <t>50.36亿</t>
  </si>
  <si>
    <t>1160.60亿</t>
  </si>
  <si>
    <t>971.09亿</t>
  </si>
  <si>
    <t>19.19亿</t>
  </si>
  <si>
    <t>34.35亿</t>
  </si>
  <si>
    <t>11.35亿</t>
  </si>
  <si>
    <t>SZ000727</t>
  </si>
  <si>
    <t>冠捷科技</t>
  </si>
  <si>
    <t>685.56亿</t>
  </si>
  <si>
    <t>13.92亿</t>
  </si>
  <si>
    <t>653.40亿</t>
  </si>
  <si>
    <t>57.03亿</t>
  </si>
  <si>
    <t>-53.57亿</t>
  </si>
  <si>
    <t>-9.87亿</t>
  </si>
  <si>
    <t>SZ002036</t>
  </si>
  <si>
    <t>联创电子</t>
  </si>
  <si>
    <t>75.32亿</t>
  </si>
  <si>
    <t>60.82亿</t>
  </si>
  <si>
    <t>48.02亿</t>
  </si>
  <si>
    <t>25.07亿</t>
  </si>
  <si>
    <t>10.01亿</t>
  </si>
  <si>
    <t>SZ002076</t>
  </si>
  <si>
    <t>10.26亿</t>
  </si>
  <si>
    <t>-6.01亿</t>
  </si>
  <si>
    <t>-8.34亿</t>
  </si>
  <si>
    <t>SZ002106</t>
  </si>
  <si>
    <t>莱宝高科</t>
  </si>
  <si>
    <t>67.52亿</t>
  </si>
  <si>
    <t>44.16亿</t>
  </si>
  <si>
    <t>SZ002137</t>
  </si>
  <si>
    <t>实益达</t>
  </si>
  <si>
    <t>2811.06万</t>
  </si>
  <si>
    <t>7.63亿</t>
  </si>
  <si>
    <t>10.36亿</t>
  </si>
  <si>
    <t>9366.07万</t>
  </si>
  <si>
    <t>-3.67亿</t>
  </si>
  <si>
    <t>1.50亿</t>
  </si>
  <si>
    <t>SZ002217</t>
  </si>
  <si>
    <t>171.53亿</t>
  </si>
  <si>
    <t>-31.19亿</t>
  </si>
  <si>
    <t>186.30亿</t>
  </si>
  <si>
    <t>169.04亿</t>
  </si>
  <si>
    <t>13.15亿</t>
  </si>
  <si>
    <t>SZ002222</t>
  </si>
  <si>
    <t>福晶科技</t>
  </si>
  <si>
    <t>4.91亿</t>
  </si>
  <si>
    <t>SZ002273</t>
  </si>
  <si>
    <t>水晶光电</t>
  </si>
  <si>
    <t>32.23亿</t>
  </si>
  <si>
    <t>-3.54亿</t>
  </si>
  <si>
    <t>30.00亿</t>
  </si>
  <si>
    <t>4.68亿</t>
  </si>
  <si>
    <t>11.34亿</t>
  </si>
  <si>
    <t>SZ002289</t>
  </si>
  <si>
    <t>-3153.56万</t>
  </si>
  <si>
    <t>1303.30万</t>
  </si>
  <si>
    <t>-1.54亿</t>
  </si>
  <si>
    <t>SZ002387</t>
  </si>
  <si>
    <t>维信诺</t>
  </si>
  <si>
    <t>34.34亿</t>
  </si>
  <si>
    <t>26.90亿</t>
  </si>
  <si>
    <t>17.78亿</t>
  </si>
  <si>
    <t>6403.03万</t>
  </si>
  <si>
    <t>3463.95万</t>
  </si>
  <si>
    <t>SZ002449</t>
  </si>
  <si>
    <t>国星光电</t>
  </si>
  <si>
    <t>32.63亿</t>
  </si>
  <si>
    <t>40.69亿</t>
  </si>
  <si>
    <t>40.66亿</t>
  </si>
  <si>
    <t>SZ002456</t>
  </si>
  <si>
    <t>欧菲光</t>
  </si>
  <si>
    <t>483.50亿</t>
  </si>
  <si>
    <t>-19.45亿</t>
  </si>
  <si>
    <t>519.74亿</t>
  </si>
  <si>
    <t>430.43亿</t>
  </si>
  <si>
    <t>-5.19亿</t>
  </si>
  <si>
    <t>SZ002587</t>
  </si>
  <si>
    <t>奥拓电子</t>
  </si>
  <si>
    <t>8.20亿</t>
  </si>
  <si>
    <t>SZ002654</t>
  </si>
  <si>
    <t>万润科技</t>
  </si>
  <si>
    <t>41.60亿</t>
  </si>
  <si>
    <t>8100.75万</t>
  </si>
  <si>
    <t>41.80亿</t>
  </si>
  <si>
    <t>45.77亿</t>
  </si>
  <si>
    <t>6565.16万</t>
  </si>
  <si>
    <t>-11.34亿</t>
  </si>
  <si>
    <t>10.14亿</t>
  </si>
  <si>
    <t>SZ002723</t>
  </si>
  <si>
    <t>10.89亿</t>
  </si>
  <si>
    <t>2594.93万</t>
  </si>
  <si>
    <t>-1.26亿</t>
  </si>
  <si>
    <t>3906.94万</t>
  </si>
  <si>
    <t>-9031.12万</t>
  </si>
  <si>
    <t>SZ002745</t>
  </si>
  <si>
    <t>木林森</t>
  </si>
  <si>
    <t>173.81亿</t>
  </si>
  <si>
    <t>189.73亿</t>
  </si>
  <si>
    <t>179.52亿</t>
  </si>
  <si>
    <t>SZ002765</t>
  </si>
  <si>
    <t>蓝黛科技</t>
  </si>
  <si>
    <t>11.36亿</t>
  </si>
  <si>
    <t>276.45万</t>
  </si>
  <si>
    <t>SZ002808</t>
  </si>
  <si>
    <t>3465.97万</t>
  </si>
  <si>
    <t>SZ002845</t>
  </si>
  <si>
    <t>同兴达</t>
  </si>
  <si>
    <t>106.01亿</t>
  </si>
  <si>
    <t>61.96亿</t>
  </si>
  <si>
    <t>40.95亿</t>
  </si>
  <si>
    <t>9808.64万</t>
  </si>
  <si>
    <t>SZ002876</t>
  </si>
  <si>
    <t>三利谱</t>
  </si>
  <si>
    <t>8.83亿</t>
  </si>
  <si>
    <t>5125.25万</t>
  </si>
  <si>
    <t>2769.85万</t>
  </si>
  <si>
    <t>SZ002952</t>
  </si>
  <si>
    <t>亚世光电</t>
  </si>
  <si>
    <t>4.64亿</t>
  </si>
  <si>
    <t>8625.89万</t>
  </si>
  <si>
    <t>5.07亿</t>
  </si>
  <si>
    <t>8123.63万</t>
  </si>
  <si>
    <t>9892.41万</t>
  </si>
  <si>
    <t>SZ002955</t>
  </si>
  <si>
    <t>鸿合科技</t>
  </si>
  <si>
    <t>8166.33万</t>
  </si>
  <si>
    <t>48.30亿</t>
  </si>
  <si>
    <t>43.78亿</t>
  </si>
  <si>
    <t>SZ002962</t>
  </si>
  <si>
    <t>五方光电</t>
  </si>
  <si>
    <t>6.24亿</t>
  </si>
  <si>
    <t>SZ002983</t>
  </si>
  <si>
    <t>芯瑞达</t>
  </si>
  <si>
    <t>8738.37万</t>
  </si>
  <si>
    <t>5.23亿</t>
  </si>
  <si>
    <t>9351.27万</t>
  </si>
  <si>
    <t>7349.76万</t>
  </si>
  <si>
    <t>SZ002992</t>
  </si>
  <si>
    <t>宝明科技</t>
  </si>
  <si>
    <t>3088.72万</t>
  </si>
  <si>
    <t>18.37亿</t>
  </si>
  <si>
    <t>7.91亿</t>
  </si>
  <si>
    <t>SZ003015</t>
  </si>
  <si>
    <t>日久光电</t>
  </si>
  <si>
    <t>9908.51万</t>
  </si>
  <si>
    <t>5.51亿</t>
  </si>
  <si>
    <t>8489.92万</t>
  </si>
  <si>
    <t>7723.35万</t>
  </si>
  <si>
    <t>SZ003019</t>
  </si>
  <si>
    <t>宸展光电</t>
  </si>
  <si>
    <t>11.94亿</t>
  </si>
  <si>
    <t>13.22亿</t>
  </si>
  <si>
    <t>12.79亿</t>
  </si>
  <si>
    <t>SZ300076</t>
  </si>
  <si>
    <t>GQY视讯</t>
  </si>
  <si>
    <t>1587.95万</t>
  </si>
  <si>
    <t>-1.50亿</t>
  </si>
  <si>
    <t>8657.36万</t>
  </si>
  <si>
    <t>1519.71万</t>
  </si>
  <si>
    <t>1876.56万</t>
  </si>
  <si>
    <t>-1.05亿</t>
  </si>
  <si>
    <t>SZ300088</t>
  </si>
  <si>
    <t>长信科技</t>
  </si>
  <si>
    <t>68.44亿</t>
  </si>
  <si>
    <t>4.46亿</t>
  </si>
  <si>
    <t>60.24亿</t>
  </si>
  <si>
    <t>96.15亿</t>
  </si>
  <si>
    <t>SZ300102</t>
  </si>
  <si>
    <t>乾照光电</t>
  </si>
  <si>
    <t>13.16亿</t>
  </si>
  <si>
    <t>-2.47亿</t>
  </si>
  <si>
    <t>10.39亿</t>
  </si>
  <si>
    <t>10.30亿</t>
  </si>
  <si>
    <t>-2.80亿</t>
  </si>
  <si>
    <t>SZ300120</t>
  </si>
  <si>
    <t>经纬辉开</t>
  </si>
  <si>
    <t>31.15亿</t>
  </si>
  <si>
    <t>7958.01万</t>
  </si>
  <si>
    <t>23.32亿</t>
  </si>
  <si>
    <t>20.63亿</t>
  </si>
  <si>
    <t>SZ300128</t>
  </si>
  <si>
    <t>锦富技术</t>
  </si>
  <si>
    <t>13.64亿</t>
  </si>
  <si>
    <t>2235.39万</t>
  </si>
  <si>
    <t>15.79亿</t>
  </si>
  <si>
    <t>25.64亿</t>
  </si>
  <si>
    <t>1474.15万</t>
  </si>
  <si>
    <t>-8.23亿</t>
  </si>
  <si>
    <t>SZ300162</t>
  </si>
  <si>
    <t>雷曼光电</t>
  </si>
  <si>
    <t>8.19亿</t>
  </si>
  <si>
    <t>-3.16亿</t>
  </si>
  <si>
    <t>4040.71万</t>
  </si>
  <si>
    <t>-3647.88万</t>
  </si>
  <si>
    <t>SZ300219</t>
  </si>
  <si>
    <t>鸿利智汇</t>
  </si>
  <si>
    <t>31.24亿</t>
  </si>
  <si>
    <t>9279.19万</t>
  </si>
  <si>
    <t>35.94亿</t>
  </si>
  <si>
    <t>40.03亿</t>
  </si>
  <si>
    <t>-8.76亿</t>
  </si>
  <si>
    <t>SZ300232</t>
  </si>
  <si>
    <t>洲明科技</t>
  </si>
  <si>
    <t>49.62亿</t>
  </si>
  <si>
    <t>46.30亿</t>
  </si>
  <si>
    <t>56.04亿</t>
  </si>
  <si>
    <t>45.24亿</t>
  </si>
  <si>
    <t>SZ300241</t>
  </si>
  <si>
    <t>瑞丰光电</t>
  </si>
  <si>
    <t>4815.21万</t>
  </si>
  <si>
    <t>13.72亿</t>
  </si>
  <si>
    <t>15.62亿</t>
  </si>
  <si>
    <t>8622.71万</t>
  </si>
  <si>
    <t>SZ300269</t>
  </si>
  <si>
    <t>40.53亿</t>
  </si>
  <si>
    <t>-13.81亿</t>
  </si>
  <si>
    <t>-28.88亿</t>
  </si>
  <si>
    <t>SZ300296</t>
  </si>
  <si>
    <t>利亚德</t>
  </si>
  <si>
    <t>66.34亿</t>
  </si>
  <si>
    <t>-9.76亿</t>
  </si>
  <si>
    <t>90.47亿</t>
  </si>
  <si>
    <t>77.01亿</t>
  </si>
  <si>
    <t>12.65亿</t>
  </si>
  <si>
    <t>SZ300301</t>
  </si>
  <si>
    <t>-3784.45万</t>
  </si>
  <si>
    <t>16.17亿</t>
  </si>
  <si>
    <t>15.74亿</t>
  </si>
  <si>
    <t>-4.29亿</t>
  </si>
  <si>
    <t>-1.57亿</t>
  </si>
  <si>
    <t>SZ300303</t>
  </si>
  <si>
    <t>聚飞光电</t>
  </si>
  <si>
    <t>23.51亿</t>
  </si>
  <si>
    <t>8.77亿</t>
  </si>
  <si>
    <t>SZ300323</t>
  </si>
  <si>
    <t>华灿光电</t>
  </si>
  <si>
    <t>26.44亿</t>
  </si>
  <si>
    <t>1823.97万</t>
  </si>
  <si>
    <t>27.16亿</t>
  </si>
  <si>
    <t>27.32亿</t>
  </si>
  <si>
    <t>-10.48亿</t>
  </si>
  <si>
    <t>SZ300331</t>
  </si>
  <si>
    <t>苏大维格</t>
  </si>
  <si>
    <t>5281.75万</t>
  </si>
  <si>
    <t>6097.59万</t>
  </si>
  <si>
    <t>3.62亿</t>
  </si>
  <si>
    <t>SZ300389</t>
  </si>
  <si>
    <t>艾比森</t>
  </si>
  <si>
    <t>16.42亿</t>
  </si>
  <si>
    <t>-7114.94万</t>
  </si>
  <si>
    <t>19.87亿</t>
  </si>
  <si>
    <t>SZ300545</t>
  </si>
  <si>
    <t>联得装备</t>
  </si>
  <si>
    <t>7.82亿</t>
  </si>
  <si>
    <t>7429.04万</t>
  </si>
  <si>
    <t>6.89亿</t>
  </si>
  <si>
    <t>6.64亿</t>
  </si>
  <si>
    <t>8086.53万</t>
  </si>
  <si>
    <t>8527.04万</t>
  </si>
  <si>
    <t>SZ300566</t>
  </si>
  <si>
    <t>激智科技</t>
  </si>
  <si>
    <t>9.23亿</t>
  </si>
  <si>
    <t>14.20亿</t>
  </si>
  <si>
    <t>9.08亿</t>
  </si>
  <si>
    <t>6465.85万</t>
  </si>
  <si>
    <t>4263.07万</t>
  </si>
  <si>
    <t>SZ300582</t>
  </si>
  <si>
    <t>英飞特</t>
  </si>
  <si>
    <t>10.53亿</t>
  </si>
  <si>
    <t>9.04亿</t>
  </si>
  <si>
    <t>9.65亿</t>
  </si>
  <si>
    <t>7028.17万</t>
  </si>
  <si>
    <t>3.42亿</t>
  </si>
  <si>
    <t>SZ300625</t>
  </si>
  <si>
    <t>三雄极光</t>
  </si>
  <si>
    <t>23.42亿</t>
  </si>
  <si>
    <t>25.04亿</t>
  </si>
  <si>
    <t>24.33亿</t>
  </si>
  <si>
    <t>SZ300632</t>
  </si>
  <si>
    <t>光莆股份</t>
  </si>
  <si>
    <t>7.75亿</t>
  </si>
  <si>
    <t>SZ300701</t>
  </si>
  <si>
    <t>森霸传感</t>
  </si>
  <si>
    <t>8215.00万</t>
  </si>
  <si>
    <t>7032.07万</t>
  </si>
  <si>
    <t>SZ300708</t>
  </si>
  <si>
    <t>聚灿光电</t>
  </si>
  <si>
    <t>14.07亿</t>
  </si>
  <si>
    <t>2137.49万</t>
  </si>
  <si>
    <t>8.90亿</t>
  </si>
  <si>
    <t>11.43亿</t>
  </si>
  <si>
    <t>814.43万</t>
  </si>
  <si>
    <t>2037.16万</t>
  </si>
  <si>
    <t>SZ300752</t>
  </si>
  <si>
    <t>隆利科技</t>
  </si>
  <si>
    <t>20.12亿</t>
  </si>
  <si>
    <t>8531.39万</t>
  </si>
  <si>
    <t>SZ300808</t>
  </si>
  <si>
    <t>久量股份</t>
  </si>
  <si>
    <t>3833.93万</t>
  </si>
  <si>
    <t>8.80亿</t>
  </si>
  <si>
    <t>8.64亿</t>
  </si>
  <si>
    <t>7913.61万</t>
  </si>
  <si>
    <t>8903.78万</t>
  </si>
  <si>
    <t>SZ300889</t>
  </si>
  <si>
    <t>爱克股份</t>
  </si>
  <si>
    <t>9.24亿</t>
  </si>
  <si>
    <t>9861.89万</t>
  </si>
  <si>
    <t>11.29亿</t>
  </si>
  <si>
    <t>SZ300909</t>
  </si>
  <si>
    <t>汇创达</t>
  </si>
  <si>
    <t>9462.89万</t>
  </si>
  <si>
    <t>7955.44万</t>
  </si>
  <si>
    <t>6125.43万</t>
  </si>
  <si>
    <t>SZ300939</t>
  </si>
  <si>
    <t>秋田微</t>
  </si>
  <si>
    <t>8334.49万</t>
  </si>
  <si>
    <t>8654.68万</t>
  </si>
  <si>
    <t>7222.03万</t>
  </si>
  <si>
    <t>SZ300940</t>
  </si>
  <si>
    <t>南极光</t>
  </si>
  <si>
    <t>10.58亿</t>
  </si>
  <si>
    <t>6966.65万</t>
  </si>
  <si>
    <t>7983.84万</t>
  </si>
  <si>
    <t>5337.85万</t>
  </si>
  <si>
    <t>SZ301002</t>
  </si>
  <si>
    <t>崧盛股份</t>
  </si>
  <si>
    <t>9949.05万</t>
  </si>
  <si>
    <t>8388.95万</t>
  </si>
  <si>
    <t>5006.30万</t>
  </si>
  <si>
    <t>SZ301045</t>
  </si>
  <si>
    <t>天禄科技</t>
  </si>
  <si>
    <t>6.38亿</t>
  </si>
  <si>
    <t>8277.29万</t>
  </si>
  <si>
    <t>4483.69万</t>
  </si>
  <si>
    <t>SH600071</t>
  </si>
  <si>
    <t>凤凰光学</t>
  </si>
  <si>
    <t>11.28亿</t>
  </si>
  <si>
    <t>SH600261</t>
  </si>
  <si>
    <t>阳光照明</t>
  </si>
  <si>
    <t>48.21亿</t>
  </si>
  <si>
    <t>20.09亿</t>
  </si>
  <si>
    <t>53.16亿</t>
  </si>
  <si>
    <t>56.16亿</t>
  </si>
  <si>
    <t>SH600552</t>
  </si>
  <si>
    <t>凯盛科技</t>
  </si>
  <si>
    <t>50.68亿</t>
  </si>
  <si>
    <t>9.11亿</t>
  </si>
  <si>
    <t>30.48亿</t>
  </si>
  <si>
    <t>9651.03万</t>
  </si>
  <si>
    <t>4307.74万</t>
  </si>
  <si>
    <t>SH600651</t>
  </si>
  <si>
    <t>飞乐音响</t>
  </si>
  <si>
    <t>44.33亿</t>
  </si>
  <si>
    <t>57.26亿</t>
  </si>
  <si>
    <t>33.02亿</t>
  </si>
  <si>
    <t>-16.80亿</t>
  </si>
  <si>
    <t>-32.95亿</t>
  </si>
  <si>
    <t>SH600703</t>
  </si>
  <si>
    <t>三安光电</t>
  </si>
  <si>
    <t>84.54亿</t>
  </si>
  <si>
    <t>83.64亿</t>
  </si>
  <si>
    <t>SH600707</t>
  </si>
  <si>
    <t>彩虹股份</t>
  </si>
  <si>
    <t>104.48亿</t>
  </si>
  <si>
    <t>-8.07亿</t>
  </si>
  <si>
    <t>58.60亿</t>
  </si>
  <si>
    <t>19.29亿</t>
  </si>
  <si>
    <t>6489.64万</t>
  </si>
  <si>
    <t>6102.19万</t>
  </si>
  <si>
    <t>11.11亿</t>
  </si>
  <si>
    <t>SH603297</t>
  </si>
  <si>
    <t>永新光学</t>
  </si>
  <si>
    <t>SH603303</t>
  </si>
  <si>
    <t>得邦照明</t>
  </si>
  <si>
    <t>45.08亿</t>
  </si>
  <si>
    <t>11.73亿</t>
  </si>
  <si>
    <t>42.44亿</t>
  </si>
  <si>
    <t>39.95亿</t>
  </si>
  <si>
    <t>8.35亿</t>
  </si>
  <si>
    <t>SH603515</t>
  </si>
  <si>
    <t>欧普照明</t>
  </si>
  <si>
    <t>79.70亿</t>
  </si>
  <si>
    <t>83.55亿</t>
  </si>
  <si>
    <t>80.04亿</t>
  </si>
  <si>
    <t>SH603679</t>
  </si>
  <si>
    <t>华体科技</t>
  </si>
  <si>
    <t>6610.41万</t>
  </si>
  <si>
    <t>9411.44万</t>
  </si>
  <si>
    <t>7054.65万</t>
  </si>
  <si>
    <t>SH603685</t>
  </si>
  <si>
    <t>晨丰科技</t>
  </si>
  <si>
    <t>SH603703</t>
  </si>
  <si>
    <t>524.81万</t>
  </si>
  <si>
    <t>386.66万</t>
  </si>
  <si>
    <t>-8990.94万</t>
  </si>
  <si>
    <t>SH603773</t>
  </si>
  <si>
    <t>沃格光电</t>
  </si>
  <si>
    <t>1411.06万</t>
  </si>
  <si>
    <t>5090.45万</t>
  </si>
  <si>
    <t>SH605218</t>
  </si>
  <si>
    <t>伟时电子</t>
  </si>
  <si>
    <t>8169.12万</t>
  </si>
  <si>
    <t>12.30亿</t>
  </si>
  <si>
    <t>15.58亿</t>
  </si>
  <si>
    <t>SH605365</t>
  </si>
  <si>
    <t>54.18亿</t>
  </si>
  <si>
    <t>50.53亿</t>
  </si>
  <si>
    <t>47.65亿</t>
  </si>
  <si>
    <t>SH605588</t>
  </si>
  <si>
    <t>冠石科技</t>
  </si>
  <si>
    <t>11.05亿</t>
  </si>
  <si>
    <t>9075.07万</t>
  </si>
  <si>
    <t>9228.61万</t>
  </si>
  <si>
    <t>5779.77万</t>
  </si>
  <si>
    <t>SH688010</t>
  </si>
  <si>
    <t>福光股份</t>
  </si>
  <si>
    <t>5102.02万</t>
  </si>
  <si>
    <t>9216.63万</t>
  </si>
  <si>
    <t>9138.64万</t>
  </si>
  <si>
    <t>SH688055</t>
  </si>
  <si>
    <t>龙腾光电</t>
  </si>
  <si>
    <t>43.83亿</t>
  </si>
  <si>
    <t>38.49亿</t>
  </si>
  <si>
    <t>37.25亿</t>
  </si>
  <si>
    <t>SH688079</t>
  </si>
  <si>
    <t>美迪凯</t>
  </si>
  <si>
    <t>7713.92万</t>
  </si>
  <si>
    <t>3471.32万</t>
  </si>
  <si>
    <t>SH688127</t>
  </si>
  <si>
    <t>蓝特光学</t>
  </si>
  <si>
    <t>SH688181</t>
  </si>
  <si>
    <t>SH688195</t>
  </si>
  <si>
    <t>腾景科技</t>
  </si>
  <si>
    <t>7089.13万</t>
  </si>
  <si>
    <t>4563.71万</t>
  </si>
  <si>
    <t>3352.81万</t>
  </si>
  <si>
    <t>SH688299</t>
  </si>
  <si>
    <t>长阳科技</t>
  </si>
  <si>
    <t>8887.54万</t>
  </si>
  <si>
    <t>SH688538</t>
  </si>
  <si>
    <t>和辉光电-U</t>
  </si>
  <si>
    <t>25.02亿</t>
  </si>
  <si>
    <t>-10.36亿</t>
  </si>
  <si>
    <t>-10.06亿</t>
  </si>
  <si>
    <t>-8.47亿</t>
  </si>
  <si>
    <t>1.市场竞争格局方面，中国企业占据绝对优势，利亚德、洲明分列第一、二位，全球市占率分别为12%、10%</t>
    <phoneticPr fontId="1" type="noConversion"/>
  </si>
  <si>
    <t>1.竞争对手：美国达科公司，利亚德光电股份有限公司，深圳市艾比森光电股份有限公司；</t>
    <phoneticPr fontId="1" type="noConversion"/>
  </si>
  <si>
    <t xml:space="preserve">1、光学微结构设计；2、微纳米压印模具开发；3、自动化制造工艺4、自动化视觉技术
</t>
    <phoneticPr fontId="1" type="noConversion"/>
  </si>
  <si>
    <t>国内竞争对手：苏大维格；缺点公司规模小，组织（人力）需要完善</t>
    <phoneticPr fontId="1" type="noConversion"/>
  </si>
  <si>
    <t>1.持续的技术创新是公司长期发展的核心竞争力和重要保障；</t>
    <phoneticPr fontId="1" type="noConversion"/>
  </si>
  <si>
    <t>代码</t>
  </si>
  <si>
    <t>涨幅%</t>
  </si>
  <si>
    <t>流通股本</t>
  </si>
  <si>
    <t>净利润[20201231]</t>
  </si>
  <si>
    <t>投入资本回报率roic%[20201231]</t>
  </si>
  <si>
    <t>净资产收益率%[20201231]</t>
  </si>
  <si>
    <t>7.66亿</t>
  </si>
  <si>
    <t>720.19万</t>
  </si>
  <si>
    <t>2.88亿</t>
  </si>
  <si>
    <t>56.32亿</t>
  </si>
  <si>
    <t>-28.00亿</t>
  </si>
  <si>
    <t>SZ000509</t>
  </si>
  <si>
    <t>-564.51万</t>
  </si>
  <si>
    <t>5008.44万</t>
  </si>
  <si>
    <t>7012.21万</t>
  </si>
  <si>
    <t>755.99万</t>
  </si>
  <si>
    <t>-1.29亿</t>
  </si>
  <si>
    <t>-5372.09万</t>
  </si>
  <si>
    <t>-2.24亿</t>
  </si>
  <si>
    <t>2.33亿</t>
  </si>
  <si>
    <t>8.28亿</t>
  </si>
  <si>
    <t>SZ001308</t>
  </si>
  <si>
    <t>康冠科技</t>
  </si>
  <si>
    <t>118.89亿</t>
  </si>
  <si>
    <t>2.03亿</t>
  </si>
  <si>
    <t>-5.16亿</t>
  </si>
  <si>
    <t>74.14亿</t>
  </si>
  <si>
    <t>70.31亿</t>
  </si>
  <si>
    <t>68.52亿</t>
  </si>
  <si>
    <t>3.97亿</t>
  </si>
  <si>
    <t>105.58亿</t>
  </si>
  <si>
    <t>4.42亿</t>
  </si>
  <si>
    <t>-1.73亿</t>
  </si>
  <si>
    <t>4358.74万</t>
  </si>
  <si>
    <t>76.82亿</t>
  </si>
  <si>
    <t>-9533.04万</t>
  </si>
  <si>
    <t>162.33亿</t>
  </si>
  <si>
    <t>7676.15万</t>
  </si>
  <si>
    <t>1.13亿</t>
  </si>
  <si>
    <t>4.98亿</t>
  </si>
  <si>
    <t>38.09亿</t>
  </si>
  <si>
    <t>-2600.67万</t>
  </si>
  <si>
    <t>23.28亿</t>
  </si>
  <si>
    <t>228.44亿</t>
  </si>
  <si>
    <t>-26.25亿</t>
  </si>
  <si>
    <t>3391.05万</t>
  </si>
  <si>
    <t>44.11亿</t>
  </si>
  <si>
    <t>-3.72亿</t>
  </si>
  <si>
    <t>13.21亿</t>
  </si>
  <si>
    <t>1799.01万</t>
  </si>
  <si>
    <t>2.52亿</t>
  </si>
  <si>
    <t>186.15亿</t>
  </si>
  <si>
    <t>11.59亿</t>
  </si>
  <si>
    <t>31.39亿</t>
  </si>
  <si>
    <t>24.09亿</t>
  </si>
  <si>
    <t>519.36万</t>
  </si>
  <si>
    <t>128.60亿</t>
  </si>
  <si>
    <t>23.04亿</t>
  </si>
  <si>
    <t>4597.71万</t>
  </si>
  <si>
    <t>58.11亿</t>
  </si>
  <si>
    <t>8457.91万</t>
  </si>
  <si>
    <t>8.21亿</t>
  </si>
  <si>
    <t>8267.53万</t>
  </si>
  <si>
    <t>11.15亿</t>
  </si>
  <si>
    <t>2.07亿</t>
  </si>
  <si>
    <t>8236.24万</t>
  </si>
  <si>
    <t>-792.37万</t>
  </si>
  <si>
    <t>70.18亿</t>
  </si>
  <si>
    <t>18.79亿</t>
  </si>
  <si>
    <t>33.06亿</t>
  </si>
  <si>
    <t>4331.06万</t>
  </si>
  <si>
    <t>4745.15万</t>
  </si>
  <si>
    <t>40.75亿</t>
  </si>
  <si>
    <t>72.29亿</t>
  </si>
  <si>
    <t>14.72亿</t>
  </si>
  <si>
    <t>9716.04万</t>
  </si>
  <si>
    <t>10.31亿</t>
  </si>
  <si>
    <t>6116.15万</t>
  </si>
  <si>
    <t>88.52亿</t>
  </si>
  <si>
    <t>23.71亿</t>
  </si>
  <si>
    <t>31.56亿</t>
  </si>
  <si>
    <t>9362.36万</t>
  </si>
  <si>
    <t>17.37亿</t>
  </si>
  <si>
    <t>-3.50亿</t>
  </si>
  <si>
    <t>13.97亿</t>
  </si>
  <si>
    <t>2994.19万</t>
  </si>
  <si>
    <t>2254.35万</t>
  </si>
  <si>
    <t>19.25亿</t>
  </si>
  <si>
    <t>14.16亿</t>
  </si>
  <si>
    <t>27.09亿</t>
  </si>
  <si>
    <t>2635.63万</t>
  </si>
  <si>
    <t>8059.19万</t>
  </si>
  <si>
    <t>4.93亿</t>
  </si>
  <si>
    <t>19.76亿</t>
  </si>
  <si>
    <t>-1.07亿</t>
  </si>
  <si>
    <t>833.30万</t>
  </si>
  <si>
    <t>11.32亿</t>
  </si>
  <si>
    <t>3801.02万</t>
  </si>
  <si>
    <t>9.43亿</t>
  </si>
  <si>
    <t>4203.95万</t>
  </si>
  <si>
    <t>11.01亿</t>
  </si>
  <si>
    <t>9233.74万</t>
  </si>
  <si>
    <t>SZ301106</t>
  </si>
  <si>
    <t>骏成科技</t>
  </si>
  <si>
    <t>5.65亿</t>
  </si>
  <si>
    <t>7856.57万</t>
  </si>
  <si>
    <t>4.51亿</t>
  </si>
  <si>
    <t>6431.19万</t>
  </si>
  <si>
    <t>7989.05万</t>
  </si>
  <si>
    <t>3820.89万</t>
  </si>
  <si>
    <t>1043.59万</t>
  </si>
  <si>
    <t>45.71亿</t>
  </si>
  <si>
    <t>-4.53亿</t>
  </si>
  <si>
    <t>13.13亿</t>
  </si>
  <si>
    <t>7.95亿</t>
  </si>
  <si>
    <t>52.73亿</t>
  </si>
  <si>
    <t>88.47亿</t>
  </si>
  <si>
    <t>9.07亿</t>
  </si>
  <si>
    <t>5.90亿</t>
  </si>
  <si>
    <t>-5481.72万</t>
  </si>
  <si>
    <t>15.48亿</t>
  </si>
  <si>
    <t>10.50亿</t>
  </si>
  <si>
    <t>-2686.29万</t>
  </si>
  <si>
    <t>5239.64万</t>
  </si>
  <si>
    <t>64.77亿</t>
  </si>
  <si>
    <t>7.64亿</t>
  </si>
  <si>
    <t>9865.61万</t>
  </si>
  <si>
    <t>4503.88万</t>
  </si>
  <si>
    <t>57.33亿</t>
  </si>
  <si>
    <t>9992.13万</t>
  </si>
  <si>
    <t>5228.18万</t>
  </si>
  <si>
    <t>40.21亿</t>
  </si>
  <si>
    <t>-9.45亿</t>
  </si>
  <si>
    <t>翰博高新</t>
  </si>
  <si>
    <t>LED</t>
  </si>
  <si>
    <t>29.05亿</t>
  </si>
  <si>
    <t>24.66亿</t>
  </si>
  <si>
    <t>23.80亿</t>
  </si>
  <si>
    <t>27.60亿</t>
  </si>
  <si>
    <t>7627.10万</t>
  </si>
  <si>
    <t>1-0</t>
  </si>
  <si>
    <t xml:space="preserve">    名称</t>
  </si>
  <si>
    <t>净利润?</t>
  </si>
  <si>
    <t>研发费用总额[20220630]</t>
  </si>
  <si>
    <t>扣非净利润</t>
  </si>
  <si>
    <t>营业总收入[20201231]</t>
  </si>
  <si>
    <t>单季营收增速</t>
  </si>
  <si>
    <t>单季利润增速</t>
  </si>
  <si>
    <r>
      <t>1.公司在碳化硅、</t>
    </r>
    <r>
      <rPr>
        <sz val="9"/>
        <color rgb="FFFF0000"/>
        <rFont val="宋体"/>
        <family val="3"/>
        <charset val="134"/>
        <scheme val="minor"/>
      </rPr>
      <t>射频</t>
    </r>
    <r>
      <rPr>
        <sz val="9"/>
        <color theme="1"/>
        <rFont val="宋体"/>
        <family val="3"/>
        <charset val="134"/>
        <scheme val="minor"/>
      </rPr>
      <t>等集成电路领域的重点布局价值逐步展现，公司的</t>
    </r>
    <r>
      <rPr>
        <sz val="9"/>
        <color rgb="FFFF0000"/>
        <rFont val="宋体"/>
        <family val="3"/>
        <charset val="134"/>
        <scheme val="minor"/>
      </rPr>
      <t>碳化硅下游市场已取得多点突破</t>
    </r>
    <r>
      <rPr>
        <sz val="9"/>
        <color theme="1"/>
        <rFont val="宋体"/>
        <family val="3"/>
        <charset val="134"/>
        <scheme val="minor"/>
      </rPr>
      <t xml:space="preserve">，在服务器电源、通信电源、光伏逆变器、充电桩、车载充电机等细分应用市场标杆客户实现稳定供货。2.除了传统的照明应用以外，以 </t>
    </r>
    <r>
      <rPr>
        <b/>
        <sz val="9"/>
        <color rgb="FFFF0000"/>
        <rFont val="宋体"/>
        <family val="3"/>
        <charset val="134"/>
        <scheme val="minor"/>
      </rPr>
      <t>Mini-LED 背光应用为首的新型显示渗透率提升</t>
    </r>
    <r>
      <rPr>
        <sz val="9"/>
        <color theme="1"/>
        <rFont val="宋体"/>
        <family val="3"/>
        <charset val="134"/>
        <scheme val="minor"/>
      </rPr>
      <t>，加上紫外、红外、植物照明等细分领域渗透率的提升，为全球 LED 行业长期增长带来了新的活力。特别是 Mini-LED作为新型显示技术，在产业链多年积累后，Mini-LED 背光显示应用进入加速渗透阶段；3.三安光电</t>
    </r>
    <r>
      <rPr>
        <sz val="9"/>
        <color rgb="FFFF0000"/>
        <rFont val="宋体"/>
        <family val="3"/>
        <charset val="134"/>
        <scheme val="minor"/>
      </rPr>
      <t>覆盖了第二代半导体砷化镓，第三代氮化镓，SiC等从材料、衬底、外延、设计制造到封测实现全面布局</t>
    </r>
    <r>
      <rPr>
        <sz val="9"/>
        <color theme="1"/>
        <rFont val="宋体"/>
        <family val="3"/>
        <charset val="134"/>
        <scheme val="minor"/>
      </rPr>
      <t>；并且向下游产品延伸，射频产品以 2G-5G手机、WIFI 为主，客户累计近100家，客户地区 涵盖国内外，并已成为国内知名射频设计公司主力供应商。</t>
    </r>
    <phoneticPr fontId="1" type="noConversion"/>
  </si>
  <si>
    <t>LY营业总收入[20211231]</t>
  </si>
  <si>
    <t>权益乘数[20220630]</t>
  </si>
  <si>
    <t>总资产周转率[20220630]</t>
  </si>
  <si>
    <t>净利润／营业总收入%[20220630]</t>
  </si>
  <si>
    <t>营业总成本[20220630]</t>
  </si>
  <si>
    <t>营业成本[20220630]</t>
  </si>
  <si>
    <t>管理费用[20220630]</t>
  </si>
  <si>
    <t>投入资本回报率roic%[20211231]</t>
  </si>
  <si>
    <t>净资产收益率%[20211231]</t>
  </si>
  <si>
    <t>细分行业</t>
  </si>
  <si>
    <t>面板</t>
  </si>
  <si>
    <t>1.71亿</t>
  </si>
  <si>
    <t/>
  </si>
  <si>
    <t>亏损</t>
  </si>
  <si>
    <t>扭亏</t>
  </si>
  <si>
    <t>华塑控股</t>
  </si>
  <si>
    <t>4.74亿</t>
  </si>
  <si>
    <t>1.15亿</t>
  </si>
  <si>
    <t>1.98亿</t>
  </si>
  <si>
    <t>光学元件</t>
  </si>
  <si>
    <t>3.71亿</t>
  </si>
  <si>
    <t>小崧股份</t>
  </si>
  <si>
    <t>1.86亿</t>
  </si>
  <si>
    <t>-1-1</t>
  </si>
  <si>
    <t>4.03亿</t>
  </si>
  <si>
    <t>4.06亿</t>
  </si>
  <si>
    <t>3.99亿</t>
  </si>
  <si>
    <t>11.62亿</t>
  </si>
  <si>
    <t>*ST长方</t>
  </si>
  <si>
    <t>SZ301183</t>
  </si>
  <si>
    <t>东田微</t>
  </si>
  <si>
    <t>6914.06万</t>
  </si>
  <si>
    <t>1000.00万</t>
  </si>
  <si>
    <t>6779.07万</t>
  </si>
  <si>
    <t>1985.00万</t>
  </si>
  <si>
    <t>582.19万</t>
  </si>
  <si>
    <t>SZ301321</t>
  </si>
  <si>
    <t>125.72亿</t>
  </si>
  <si>
    <t>8.84亿</t>
  </si>
  <si>
    <t>3.00亿</t>
  </si>
  <si>
    <t>4.86亿</t>
  </si>
  <si>
    <t>5.67亿</t>
  </si>
  <si>
    <t>SH688322</t>
  </si>
  <si>
    <t>奥比中光-UW</t>
  </si>
  <si>
    <t>-3.11亿</t>
  </si>
  <si>
    <t>-6.15亿</t>
  </si>
  <si>
    <t>-1.01亿</t>
  </si>
  <si>
    <t>3.70亿</t>
  </si>
  <si>
    <t>1.85亿</t>
  </si>
  <si>
    <t>1.88亿</t>
  </si>
  <si>
    <t>-2.79亿</t>
  </si>
  <si>
    <t>4.14亿</t>
  </si>
  <si>
    <t>3.93亿</t>
  </si>
  <si>
    <t>16.98亿</t>
  </si>
  <si>
    <t>1.74亿</t>
  </si>
  <si>
    <t>-2.25亿</t>
  </si>
  <si>
    <t>5.87亿</t>
  </si>
  <si>
    <t>3.31亿</t>
  </si>
  <si>
    <t>22.64亿</t>
  </si>
  <si>
    <t>36.36亿</t>
  </si>
  <si>
    <t>10.83亿</t>
  </si>
  <si>
    <t>4.33亿</t>
  </si>
  <si>
    <t>1.48亿</t>
  </si>
  <si>
    <t>6.32亿</t>
  </si>
  <si>
    <t>3.40亿</t>
  </si>
  <si>
    <t>4.96亿</t>
  </si>
  <si>
    <t>9.54亿</t>
  </si>
  <si>
    <t>12.83亿</t>
  </si>
  <si>
    <t>14.02亿</t>
  </si>
  <si>
    <t>13.59亿</t>
  </si>
  <si>
    <t>4.94亿</t>
  </si>
  <si>
    <t>11.08亿</t>
  </si>
  <si>
    <t>SZ301379</t>
  </si>
  <si>
    <t>天山电子</t>
  </si>
  <si>
    <t>9722.71万</t>
  </si>
  <si>
    <t>6.15亿</t>
  </si>
  <si>
    <t>4785.09万</t>
  </si>
  <si>
    <t>3808.41万</t>
  </si>
  <si>
    <t>3492.69万</t>
  </si>
  <si>
    <t>11.53亿</t>
  </si>
  <si>
    <t>9.32亿</t>
  </si>
  <si>
    <t>-1.12亿</t>
  </si>
  <si>
    <t>3.18亿</t>
  </si>
  <si>
    <t>SH688496</t>
  </si>
  <si>
    <t>清越科技</t>
  </si>
  <si>
    <t>6.94亿</t>
  </si>
  <si>
    <t>5908.43万</t>
  </si>
  <si>
    <t>4.36亿</t>
  </si>
  <si>
    <t>5797.43万</t>
  </si>
  <si>
    <t>4679.08万</t>
  </si>
  <si>
    <t>6012.39万</t>
  </si>
  <si>
    <r>
      <t>1.借助于强大的研发及制造平台，公司已在逐步将Mini LED技术</t>
    </r>
    <r>
      <rPr>
        <sz val="9"/>
        <color rgb="FFFF0000"/>
        <rFont val="宋体"/>
        <family val="3"/>
        <charset val="134"/>
        <scheme val="minor"/>
      </rPr>
      <t>应用于车用产品</t>
    </r>
    <r>
      <rPr>
        <sz val="9"/>
        <color theme="1"/>
        <rFont val="宋体"/>
        <family val="3"/>
        <charset val="134"/>
        <scheme val="minor"/>
      </rPr>
      <t>，实现车内外全场景使用，引领车用照明/显示创新发展。2.　在</t>
    </r>
    <r>
      <rPr>
        <b/>
        <sz val="9"/>
        <color theme="1"/>
        <rFont val="宋体"/>
        <family val="3"/>
        <charset val="134"/>
        <scheme val="minor"/>
      </rPr>
      <t>VR领域，公司可提供Mini LED背光模组</t>
    </r>
    <r>
      <rPr>
        <sz val="9"/>
        <color theme="1"/>
        <rFont val="宋体"/>
        <family val="3"/>
        <charset val="134"/>
        <scheme val="minor"/>
      </rPr>
      <t>，可根据客户实际需求定制不同规格及参数的产品；</t>
    </r>
    <phoneticPr fontId="1" type="noConversion"/>
  </si>
  <si>
    <t>成交量[20221209]</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</si>
  <si>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</si>
  <si>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</si>
  <si>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</si>
  <si>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</si>
  <si>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</si>
  <si>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</si>
  <si>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</si>
  <si>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</si>
  <si>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</si>
  <si>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</si>
  <si>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</si>
  <si>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</si>
  <si>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</si>
  <si>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</si>
  <si>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</si>
  <si>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</si>
  <si>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</si>
  <si>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</si>
  <si>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</si>
  <si>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</si>
  <si>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</si>
  <si>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</si>
  <si>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</si>
  <si>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</si>
  <si>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</si>
  <si>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</si>
  <si>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区间涨跌幅:前复权%[20221205-20221209]</t>
  </si>
  <si>
    <t>区间涨跌幅:前复权%[20221031-20221209]</t>
  </si>
  <si>
    <t>区间成交量[20221205-20221209]</t>
  </si>
  <si>
    <t>指数@区间成交量[20221031-20221209]</t>
  </si>
  <si>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</si>
  <si>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</si>
  <si>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</si>
  <si>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</si>
  <si>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</si>
  <si>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</si>
  <si>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</si>
  <si>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</si>
  <si>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</si>
  <si>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</si>
  <si>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</si>
  <si>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</si>
  <si>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</si>
  <si>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</si>
  <si>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</si>
  <si>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</si>
  <si>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</si>
  <si>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</si>
  <si>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</si>
  <si>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</si>
  <si>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</si>
  <si>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</si>
  <si>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</si>
  <si>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</si>
  <si>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</si>
  <si>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</si>
  <si>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</si>
  <si>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</si>
  <si>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</si>
  <si>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</si>
  <si>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</si>
  <si>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</si>
  <si>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</si>
  <si>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</si>
  <si>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</si>
  <si>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</si>
  <si>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</si>
  <si>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</si>
  <si>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</si>
  <si>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</si>
  <si>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</si>
  <si>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</si>
  <si>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不分配不转增</t>
  </si>
  <si>
    <t>10派0.5元(含税)</t>
  </si>
  <si>
    <t>10派1元(含税)</t>
  </si>
  <si>
    <t>10派2元(含税)</t>
  </si>
  <si>
    <t>10派0.3元(含税)</t>
  </si>
  <si>
    <t>10派3元(含税)</t>
  </si>
  <si>
    <t>2.46亿</t>
  </si>
  <si>
    <t>1.02亿</t>
  </si>
  <si>
    <t>2.48亿</t>
  </si>
  <si>
    <t>18.65亿</t>
  </si>
  <si>
    <t>1-1</t>
  </si>
  <si>
    <t>4-0</t>
  </si>
  <si>
    <t>3.64亿</t>
  </si>
  <si>
    <t>3.09亿</t>
  </si>
  <si>
    <t>2.01亿</t>
  </si>
  <si>
    <t>-2-1</t>
  </si>
  <si>
    <t>-1-0</t>
  </si>
  <si>
    <t>2-0</t>
  </si>
  <si>
    <t>SH688502</t>
  </si>
  <si>
    <t>茂莱光学</t>
  </si>
  <si>
    <t>4718.64万</t>
  </si>
  <si>
    <t>4162.76万</t>
  </si>
  <si>
    <r>
      <t>1.公司属于国有企业。公司的最终控制人为广东省人民政府国有资产监督管理委员会。2.公司动植物照明业务主要客户包括牧原、新希望、广西扬翔大型畜牧业企业。未来，公司将积极与更多畜牧企业进行业务洽谈，有望进一步开拓</t>
    </r>
    <r>
      <rPr>
        <b/>
        <sz val="9"/>
        <color rgb="FFFF0000"/>
        <rFont val="宋体"/>
        <family val="3"/>
        <charset val="134"/>
        <scheme val="minor"/>
      </rPr>
      <t>动植物照明领域</t>
    </r>
    <r>
      <rPr>
        <sz val="9"/>
        <color theme="1"/>
        <rFont val="宋体"/>
        <family val="3"/>
        <charset val="134"/>
        <scheme val="minor"/>
      </rPr>
      <t xml:space="preserve">，构建公司新的利润增长点。3.公司按照“守住基本盘，开拓新赛道”的发展思路，向智慧照明、海洋照明、健康照明、动植物照明、智慧路灯等新赛道发力，通过 “内涵式发展”及“外延式扩张”双轮驱动的方式，改善产品结构，提升盈利能力，拓展新的利润增长点。
</t>
    </r>
    <phoneticPr fontId="1" type="noConversion"/>
  </si>
  <si>
    <r>
      <t>1.最近依靠</t>
    </r>
    <r>
      <rPr>
        <sz val="9"/>
        <color rgb="FFFF0000"/>
        <rFont val="宋体"/>
        <family val="3"/>
        <charset val="134"/>
        <scheme val="minor"/>
      </rPr>
      <t>车灯业务</t>
    </r>
    <r>
      <rPr>
        <sz val="9"/>
        <color theme="1"/>
        <rFont val="宋体"/>
        <family val="3"/>
        <charset val="134"/>
        <scheme val="minor"/>
      </rPr>
      <t>（占比18%，增速460%)。</t>
    </r>
    <phoneticPr fontId="1" type="noConversion"/>
  </si>
  <si>
    <t>1012.78万</t>
  </si>
  <si>
    <t>28.38亿</t>
  </si>
  <si>
    <t>7330.92万</t>
  </si>
  <si>
    <t>-2.90亿</t>
  </si>
  <si>
    <t>23.30亿</t>
  </si>
  <si>
    <t>5573.35万</t>
  </si>
  <si>
    <t>10派0.6元(含税)</t>
  </si>
  <si>
    <t>314.47亿</t>
  </si>
  <si>
    <t>337.66亿</t>
  </si>
  <si>
    <t>-3438.95万</t>
  </si>
  <si>
    <t>1636.58亿</t>
  </si>
  <si>
    <t>766.77亿</t>
  </si>
  <si>
    <t>100.64亿</t>
  </si>
  <si>
    <t>58.93亿</t>
  </si>
  <si>
    <t>-16.46亿</t>
  </si>
  <si>
    <t>23.50亿</t>
  </si>
  <si>
    <t>-12.23亿</t>
  </si>
  <si>
    <t>87.60亿</t>
  </si>
  <si>
    <t>2.30亿</t>
  </si>
  <si>
    <t>87.26亿</t>
  </si>
  <si>
    <t>1784.14亿</t>
  </si>
  <si>
    <t>2210.36亿</t>
  </si>
  <si>
    <t>259.61亿</t>
  </si>
  <si>
    <t>618.83亿</t>
  </si>
  <si>
    <t>8669.36万</t>
  </si>
  <si>
    <t>705.74亿</t>
  </si>
  <si>
    <t>7.28亿</t>
  </si>
  <si>
    <t>115.87亿</t>
  </si>
  <si>
    <t>15.16亿</t>
  </si>
  <si>
    <t>SZ001373</t>
  </si>
  <si>
    <t>翔腾新材</t>
  </si>
  <si>
    <t>8.04亿</t>
  </si>
  <si>
    <t>8020.73万</t>
  </si>
  <si>
    <t>7-0</t>
  </si>
  <si>
    <t>109.35亿</t>
  </si>
  <si>
    <t>21.74亿</t>
  </si>
  <si>
    <t>61.53亿</t>
  </si>
  <si>
    <t>3.67亿</t>
  </si>
  <si>
    <t>10.11亿</t>
  </si>
  <si>
    <t>3.23亿</t>
  </si>
  <si>
    <t>119.08亿</t>
  </si>
  <si>
    <t>7.68亿</t>
  </si>
  <si>
    <t>10派2.5元(含税)</t>
  </si>
  <si>
    <t>43.76亿</t>
  </si>
  <si>
    <t>ST宇顺</t>
  </si>
  <si>
    <t>-2-0</t>
  </si>
  <si>
    <t>74.77亿</t>
  </si>
  <si>
    <t>62.14亿</t>
  </si>
  <si>
    <t>-15.20亿</t>
  </si>
  <si>
    <t>35.80亿</t>
  </si>
  <si>
    <t>40.45亿</t>
  </si>
  <si>
    <t>148.27亿</t>
  </si>
  <si>
    <t>-51.82亿</t>
  </si>
  <si>
    <t>SZ002638</t>
  </si>
  <si>
    <t>勤上股份</t>
  </si>
  <si>
    <t>4344.27万</t>
  </si>
  <si>
    <t>9.95亿</t>
  </si>
  <si>
    <t>12.53亿</t>
  </si>
  <si>
    <t>-8.62亿</t>
  </si>
  <si>
    <t>4518.79万</t>
  </si>
  <si>
    <t>-3.73亿</t>
  </si>
  <si>
    <t>-12.49亿</t>
  </si>
  <si>
    <t>37.48亿</t>
  </si>
  <si>
    <t>-1.71亿</t>
  </si>
  <si>
    <t>12.48亿</t>
  </si>
  <si>
    <t>17.24亿</t>
  </si>
  <si>
    <t>165.17亿</t>
  </si>
  <si>
    <t>6.33亿</t>
  </si>
  <si>
    <t>28.73亿</t>
  </si>
  <si>
    <t>3.20亿</t>
  </si>
  <si>
    <t>84.19亿</t>
  </si>
  <si>
    <t>-4018.07万</t>
  </si>
  <si>
    <t>15.11亿</t>
  </si>
  <si>
    <t>2.80亿</t>
  </si>
  <si>
    <t>10派4元(含税)</t>
  </si>
  <si>
    <t>45.49亿</t>
  </si>
  <si>
    <t>4.41亿</t>
  </si>
  <si>
    <t>1.54亿</t>
  </si>
  <si>
    <t>10.29亿</t>
  </si>
  <si>
    <t>9.40亿</t>
  </si>
  <si>
    <t>-2.23亿</t>
  </si>
  <si>
    <t>2.93亿</t>
  </si>
  <si>
    <t>18.12亿</t>
  </si>
  <si>
    <t>5.03亿</t>
  </si>
  <si>
    <t>-1602.90万</t>
  </si>
  <si>
    <t>69.87亿</t>
  </si>
  <si>
    <t>6.80亿</t>
  </si>
  <si>
    <t>-5035.05万</t>
  </si>
  <si>
    <t>1.90亿</t>
  </si>
  <si>
    <t>27.00亿</t>
  </si>
  <si>
    <t>3676.94万</t>
  </si>
  <si>
    <t>4.17亿</t>
  </si>
  <si>
    <t>-2.26亿</t>
  </si>
  <si>
    <t>3.63亿</t>
  </si>
  <si>
    <t>6.95亿</t>
  </si>
  <si>
    <t>6.42亿</t>
  </si>
  <si>
    <t>70.76亿</t>
  </si>
  <si>
    <t>6362.74万</t>
  </si>
  <si>
    <t>3-0</t>
  </si>
  <si>
    <t>13.36亿</t>
  </si>
  <si>
    <t>联建光电</t>
  </si>
  <si>
    <t>81.54亿</t>
  </si>
  <si>
    <t>15.89亿</t>
  </si>
  <si>
    <t>-2.82亿</t>
  </si>
  <si>
    <t>22.62亿</t>
  </si>
  <si>
    <t>23.55亿</t>
  </si>
  <si>
    <t>-1.47亿</t>
  </si>
  <si>
    <t>17.16亿</t>
  </si>
  <si>
    <t>27.96亿</t>
  </si>
  <si>
    <t>19.81亿</t>
  </si>
  <si>
    <t>5678.90万</t>
  </si>
  <si>
    <t>9522.67万</t>
  </si>
  <si>
    <t>10派6元(含税)</t>
  </si>
  <si>
    <t>8.26亿</t>
  </si>
  <si>
    <t>5251.31万</t>
  </si>
  <si>
    <t>4298.05万</t>
  </si>
  <si>
    <t>20.29亿</t>
  </si>
  <si>
    <t>12.52亿</t>
  </si>
  <si>
    <t>-3.30亿</t>
  </si>
  <si>
    <t>-2723.65万</t>
  </si>
  <si>
    <t>9.05亿</t>
  </si>
  <si>
    <t>11.04亿</t>
  </si>
  <si>
    <t>7.44亿</t>
  </si>
  <si>
    <t>7795.43万</t>
  </si>
  <si>
    <t>6.53亿</t>
  </si>
  <si>
    <t>9076.77万</t>
  </si>
  <si>
    <t>3.06亿</t>
  </si>
  <si>
    <t>22.07亿</t>
  </si>
  <si>
    <t>-5435.34万</t>
  </si>
  <si>
    <t>2.40亿</t>
  </si>
  <si>
    <t>3.90亿</t>
  </si>
  <si>
    <t>37.31亿</t>
  </si>
  <si>
    <t>10派1.3元(含税)</t>
  </si>
  <si>
    <t>6.00亿</t>
  </si>
  <si>
    <t>67.48亿</t>
  </si>
  <si>
    <t>33.34亿</t>
  </si>
  <si>
    <t>89.67亿</t>
  </si>
  <si>
    <t>-26.62亿</t>
  </si>
  <si>
    <t>151.86亿</t>
  </si>
  <si>
    <t>26.70亿</t>
  </si>
  <si>
    <t>2.64亿</t>
  </si>
  <si>
    <t>4002.78万</t>
  </si>
  <si>
    <t>46.57亿</t>
  </si>
  <si>
    <t>5.25亿</t>
  </si>
  <si>
    <t>10派3.33元(含税)</t>
  </si>
  <si>
    <t>72.70亿</t>
  </si>
  <si>
    <t>-7622.79万</t>
  </si>
  <si>
    <t>2.16亿</t>
  </si>
  <si>
    <t>1540.69万</t>
  </si>
  <si>
    <t>-3.28亿</t>
  </si>
  <si>
    <t>9614.41万</t>
  </si>
  <si>
    <t>75.57亿</t>
  </si>
  <si>
    <t>8163.30万</t>
  </si>
  <si>
    <t>7.81亿</t>
  </si>
  <si>
    <t>42.07亿</t>
  </si>
  <si>
    <t>2208.91万</t>
  </si>
  <si>
    <t>9606.84万</t>
  </si>
  <si>
    <t>9.34亿</t>
  </si>
  <si>
    <t>3.50亿</t>
  </si>
  <si>
    <t>10.44亿</t>
  </si>
  <si>
    <t>5901.48万</t>
  </si>
  <si>
    <t>4367.54万</t>
  </si>
  <si>
    <t>3064.99万</t>
  </si>
  <si>
    <t>41.91亿</t>
  </si>
  <si>
    <t>-16.02亿</t>
  </si>
  <si>
    <t>800.00万</t>
  </si>
  <si>
    <t>6.79亿</t>
  </si>
  <si>
    <t>2.83亿</t>
  </si>
  <si>
    <t>12.07亿</t>
  </si>
  <si>
    <t>4.21亿</t>
  </si>
  <si>
    <t>2.42亿</t>
  </si>
  <si>
    <t>6.51亿</t>
  </si>
  <si>
    <t>1.97亿</t>
  </si>
  <si>
    <t>1.96亿</t>
  </si>
  <si>
    <t>2.43亿</t>
  </si>
  <si>
    <t>12.93亿</t>
  </si>
  <si>
    <t>8.96亿</t>
  </si>
  <si>
    <t>6110.50万</t>
  </si>
  <si>
    <t>4763.64万</t>
  </si>
  <si>
    <t>2611.50万</t>
  </si>
  <si>
    <t>星光股份</t>
  </si>
  <si>
    <t>2.90亿</t>
  </si>
  <si>
    <t>2.73亿</t>
  </si>
  <si>
    <t>-1.09亿</t>
  </si>
  <si>
    <t>18.54亿</t>
  </si>
  <si>
    <t>4.78亿</t>
  </si>
  <si>
    <t>6.60亿</t>
  </si>
  <si>
    <t>12.69亿</t>
  </si>
  <si>
    <t>ST恒久</t>
  </si>
  <si>
    <t>3.76亿</t>
  </si>
  <si>
    <t>6.07亿</t>
  </si>
  <si>
    <t>4.76亿</t>
  </si>
  <si>
    <t>11.56亿</t>
  </si>
  <si>
    <t>3.91亿</t>
  </si>
  <si>
    <t>4000.00万</t>
  </si>
  <si>
    <t>5.27亿</t>
  </si>
  <si>
    <t>7.05亿</t>
  </si>
  <si>
    <t>5.64亿</t>
  </si>
  <si>
    <t>8.92亿</t>
  </si>
  <si>
    <t>7.41亿</t>
  </si>
  <si>
    <t>14.65亿</t>
  </si>
  <si>
    <t>7.54亿</t>
  </si>
  <si>
    <t>4.28亿</t>
  </si>
  <si>
    <t>2.60亿</t>
  </si>
  <si>
    <t>6.44亿</t>
  </si>
  <si>
    <t>11.24亿</t>
  </si>
  <si>
    <t>SZ301362</t>
  </si>
  <si>
    <t>民爆光电</t>
  </si>
  <si>
    <t>14.97亿</t>
  </si>
  <si>
    <t>10.59亿</t>
  </si>
  <si>
    <t>10.82亿</t>
  </si>
  <si>
    <t>8.73亿</t>
  </si>
  <si>
    <t>4.71亿</t>
  </si>
  <si>
    <t>SZ301421</t>
  </si>
  <si>
    <t>波长光电</t>
  </si>
  <si>
    <t>5443.17万</t>
  </si>
  <si>
    <t>4405.34万</t>
  </si>
  <si>
    <t>1937.28万</t>
  </si>
  <si>
    <t>1854.57万</t>
  </si>
  <si>
    <t>-3-0</t>
  </si>
  <si>
    <t>15.34亿</t>
  </si>
  <si>
    <t>3.82亿</t>
  </si>
  <si>
    <t>132.22亿</t>
  </si>
  <si>
    <t>6.85亿</t>
  </si>
  <si>
    <t>6.52亿</t>
  </si>
  <si>
    <t>5-0</t>
  </si>
  <si>
    <t>24.65亿</t>
  </si>
  <si>
    <t>25.17亿</t>
  </si>
  <si>
    <t>1.面板行业产业转移，加上集中度不断收缩，目前京东方和TCL是全球面板龙头；2.公司12条产线占据全球30%的LCD产能；3.未来5年的CAGR为3%；</t>
    <phoneticPr fontId="1" type="noConversion"/>
  </si>
  <si>
    <t>1.上海市国资委持股58%；</t>
    <phoneticPr fontId="1" type="noConversion"/>
  </si>
  <si>
    <t>1.从2017年有财报开始每年亏损亏损；</t>
    <phoneticPr fontId="1" type="noConversion"/>
  </si>
  <si>
    <t>1.2016年开始利润连年亏损；</t>
    <phoneticPr fontId="1" type="noConversion"/>
  </si>
  <si>
    <t>1.福建省国资委实控人25%；2.华为概念（进入华为供应商体系）；</t>
    <phoneticPr fontId="1" type="noConversion"/>
  </si>
  <si>
    <t>3.66亿</t>
  </si>
  <si>
    <t>3.60亿</t>
  </si>
  <si>
    <t>5.69万</t>
  </si>
  <si>
    <t>8.54亿</t>
  </si>
  <si>
    <t>SZ001326</t>
  </si>
  <si>
    <t>联域股份</t>
  </si>
  <si>
    <t>10.90亿</t>
  </si>
  <si>
    <t>12.25亿</t>
  </si>
  <si>
    <t>5904.60万</t>
  </si>
  <si>
    <t>3579.51万</t>
  </si>
  <si>
    <t>6.41亿</t>
  </si>
  <si>
    <t>n/a</t>
  </si>
  <si>
    <t>12.67亿</t>
  </si>
  <si>
    <t>12.43亿</t>
  </si>
  <si>
    <t>-1.48亿</t>
  </si>
  <si>
    <t>1.93亿</t>
  </si>
  <si>
    <t>-2.78亿</t>
  </si>
  <si>
    <t>26.82亿</t>
  </si>
  <si>
    <t>-1.83亿</t>
  </si>
  <si>
    <t>3.84亿</t>
  </si>
  <si>
    <t>2.97亿</t>
  </si>
  <si>
    <t>3.37亿</t>
  </si>
  <si>
    <t>1.57亿</t>
  </si>
  <si>
    <t>8.79亿</t>
  </si>
  <si>
    <t>3.55亿</t>
  </si>
  <si>
    <t>2.20亿</t>
  </si>
  <si>
    <t>23.52亿</t>
  </si>
  <si>
    <t>9.81亿</t>
  </si>
  <si>
    <t>6.83亿</t>
  </si>
  <si>
    <t>6.08亿</t>
  </si>
  <si>
    <t>5.92亿</t>
  </si>
  <si>
    <t>16.99亿</t>
  </si>
  <si>
    <t>-2.89亿</t>
  </si>
  <si>
    <t>15.78亿</t>
  </si>
  <si>
    <t>4.79亿</t>
  </si>
  <si>
    <t>5.42亿</t>
  </si>
  <si>
    <t>9.74亿</t>
  </si>
  <si>
    <t>2351.26万</t>
  </si>
  <si>
    <t>9.88亿</t>
  </si>
  <si>
    <t>7.14亿</t>
  </si>
  <si>
    <t>-1.56亿</t>
  </si>
  <si>
    <t>18.61亿</t>
  </si>
  <si>
    <t>8.17亿</t>
  </si>
  <si>
    <t>11.61亿</t>
  </si>
  <si>
    <t>23.05亿</t>
  </si>
  <si>
    <t>8.65亿</t>
  </si>
  <si>
    <t>7.83亿</t>
  </si>
  <si>
    <t>10.10亿</t>
  </si>
  <si>
    <t>9.27亿</t>
  </si>
  <si>
    <t>7.61亿</t>
  </si>
  <si>
    <t>-4-0</t>
  </si>
  <si>
    <t>-3-1</t>
  </si>
  <si>
    <t>-6-1</t>
  </si>
  <si>
    <r>
      <t xml:space="preserve">1.原因主要系用于iPhone 15 Pro Max 潜望摄像头的微棱镜于 </t>
    </r>
    <r>
      <rPr>
        <b/>
        <sz val="9"/>
        <color rgb="FFFF0000"/>
        <rFont val="宋体"/>
        <family val="3"/>
        <charset val="134"/>
        <scheme val="minor"/>
      </rPr>
      <t>6 月份进入量产</t>
    </r>
    <r>
      <rPr>
        <sz val="9"/>
        <color theme="1"/>
        <rFont val="宋体"/>
        <family val="3"/>
        <charset val="134"/>
        <scheme val="minor"/>
      </rPr>
      <t>，下半年产能顺利爬坡带来较大收入增量</t>
    </r>
    <phoneticPr fontId="1" type="noConversion"/>
  </si>
  <si>
    <r>
      <t>1.预计年报业绩：净利润1.710亿元至1.860亿元，增长幅度为78.00%至93.61% 。原因：报告期内，公司始终立足于精密光学元器件市场，坚持以客户为导向，坚持研发投入，致力于通过技术创新，不断开发新产品、增强产品竞争力，把握消费电子及汽车智能驾驶等领域的发展机遇，在整体出货量、销售收入等多方面均有较大提升，进一步巩固了公司的市场竞争优势。2.结合公司自有资金，共拟投资 3.46 亿元，以实现新增年产2700 万高精度微棱镜的生产能力，新项目预计于</t>
    </r>
    <r>
      <rPr>
        <sz val="9"/>
        <color rgb="FFFF0000"/>
        <rFont val="宋体"/>
        <family val="3"/>
        <charset val="134"/>
        <scheme val="minor"/>
      </rPr>
      <t>2024 年 7 月投产</t>
    </r>
    <r>
      <rPr>
        <sz val="9"/>
        <color theme="1"/>
        <rFont val="宋体"/>
        <family val="3"/>
        <charset val="134"/>
        <scheme val="minor"/>
      </rPr>
      <t>。</t>
    </r>
    <phoneticPr fontId="1" type="noConversion"/>
  </si>
  <si>
    <t>4.83亿</t>
  </si>
  <si>
    <t>2.14亿</t>
  </si>
  <si>
    <t>5.56亿</t>
  </si>
  <si>
    <t>13.77亿</t>
  </si>
  <si>
    <t>4.25亿</t>
  </si>
  <si>
    <t>1.89亿</t>
  </si>
  <si>
    <t>3.12亿</t>
  </si>
  <si>
    <t>1334.23万</t>
  </si>
  <si>
    <t>123574亿</t>
  </si>
  <si>
    <t>5059706亿</t>
  </si>
  <si>
    <t>114157801亿</t>
  </si>
  <si>
    <t>351547300亿</t>
  </si>
  <si>
    <t>15.38亿</t>
  </si>
  <si>
    <t>30.80亿</t>
  </si>
  <si>
    <t>7926.83万</t>
  </si>
  <si>
    <t>2577322亿</t>
  </si>
  <si>
    <t>16974426亿</t>
  </si>
  <si>
    <t>864314580亿</t>
  </si>
  <si>
    <t>3088441500亿</t>
  </si>
  <si>
    <t>4.09亿</t>
  </si>
  <si>
    <t>-1.61亿</t>
  </si>
  <si>
    <t>10派0.65元(含税)</t>
  </si>
  <si>
    <t>529.83亿</t>
  </si>
  <si>
    <t>77.50亿</t>
  </si>
  <si>
    <t>322.71亿</t>
  </si>
  <si>
    <t>-20.98亿</t>
  </si>
  <si>
    <t>-45770985亿</t>
  </si>
  <si>
    <t>-562776590亿</t>
  </si>
  <si>
    <t>7633966100亿</t>
  </si>
  <si>
    <t>22281248000亿</t>
  </si>
  <si>
    <t>2375.93亿</t>
  </si>
  <si>
    <t>399.08亿</t>
  </si>
  <si>
    <t>1743.67亿</t>
  </si>
  <si>
    <t>22.15亿</t>
  </si>
  <si>
    <t>111069433亿</t>
  </si>
  <si>
    <t>70716493亿</t>
  </si>
  <si>
    <t>23886721000亿</t>
  </si>
  <si>
    <t>111140990000亿</t>
  </si>
  <si>
    <t>67.77万</t>
  </si>
  <si>
    <t>17.92亿</t>
  </si>
  <si>
    <t>1665.53亿</t>
  </si>
  <si>
    <t>10派0.8元(含税)</t>
  </si>
  <si>
    <t>-4-1</t>
  </si>
  <si>
    <t>1261.65万</t>
  </si>
  <si>
    <t>7.52亿</t>
  </si>
  <si>
    <t>-377798亿</t>
  </si>
  <si>
    <t>142973300亿</t>
  </si>
  <si>
    <t>605722070亿</t>
  </si>
  <si>
    <t>-273.28万</t>
  </si>
  <si>
    <t>2.75亿</t>
  </si>
  <si>
    <t>49.02亿</t>
  </si>
  <si>
    <t>14.55亿</t>
  </si>
  <si>
    <t>-16.04亿</t>
  </si>
  <si>
    <t>-4814448亿</t>
  </si>
  <si>
    <t>-269111450亿</t>
  </si>
  <si>
    <t>90041862亿</t>
  </si>
  <si>
    <t>1594299800亿</t>
  </si>
  <si>
    <t>6.98亿</t>
  </si>
  <si>
    <t>17.21亿</t>
  </si>
  <si>
    <t>71.63亿</t>
  </si>
  <si>
    <t>90.57亿</t>
  </si>
  <si>
    <t>8290926亿</t>
  </si>
  <si>
    <t>76725491亿</t>
  </si>
  <si>
    <t>2381690900亿</t>
  </si>
  <si>
    <t>8710597100亿</t>
  </si>
  <si>
    <t>2.53亿</t>
  </si>
  <si>
    <t>10派1.2元(含税)</t>
  </si>
  <si>
    <t>2213.88亿</t>
  </si>
  <si>
    <t>458.88亿</t>
  </si>
  <si>
    <t>1745.43亿</t>
  </si>
  <si>
    <t>25.47亿</t>
  </si>
  <si>
    <t>-205512990亿</t>
  </si>
  <si>
    <t>596689350亿</t>
  </si>
  <si>
    <t>29828289000亿</t>
  </si>
  <si>
    <t>146881640000亿</t>
  </si>
  <si>
    <t>75.41亿</t>
  </si>
  <si>
    <t>245.24亿</t>
  </si>
  <si>
    <t>128.05亿</t>
  </si>
  <si>
    <t>545.97亿</t>
  </si>
  <si>
    <t>2.78亿</t>
  </si>
  <si>
    <t>26.84亿</t>
  </si>
  <si>
    <t>114965797亿</t>
  </si>
  <si>
    <t>-35348972亿</t>
  </si>
  <si>
    <t>8554854200亿</t>
  </si>
  <si>
    <t>5.86亿</t>
  </si>
  <si>
    <t>25400616000亿</t>
  </si>
  <si>
    <t>71.43亿</t>
  </si>
  <si>
    <t>28.35亿</t>
  </si>
  <si>
    <t>134.47亿</t>
  </si>
  <si>
    <t>3.27亿</t>
  </si>
  <si>
    <t>3492098亿</t>
  </si>
  <si>
    <t>134980080亿</t>
  </si>
  <si>
    <t>2792361900亿</t>
  </si>
  <si>
    <t>13273252700亿</t>
  </si>
  <si>
    <t>13.82亿</t>
  </si>
  <si>
    <t>34521182亿</t>
  </si>
  <si>
    <t>348867920亿</t>
  </si>
  <si>
    <t>1504743200亿</t>
  </si>
  <si>
    <t>10派8元(含税)</t>
  </si>
  <si>
    <t>3523.30万</t>
  </si>
  <si>
    <t>6.65亿</t>
  </si>
  <si>
    <t>-4461亿</t>
  </si>
  <si>
    <t>3590190亿</t>
  </si>
  <si>
    <t>307344080亿</t>
  </si>
  <si>
    <t>941069440亿</t>
  </si>
  <si>
    <t>6197.26万</t>
  </si>
  <si>
    <t>5-1</t>
  </si>
  <si>
    <t>117.21亿</t>
  </si>
  <si>
    <t>35.57亿</t>
  </si>
  <si>
    <t>98.48亿</t>
  </si>
  <si>
    <t>-9.92亿</t>
  </si>
  <si>
    <t>3197012亿</t>
  </si>
  <si>
    <t>-87891100亿</t>
  </si>
  <si>
    <t>18.32亿</t>
  </si>
  <si>
    <t>3044367900亿</t>
  </si>
  <si>
    <t>7541811300亿</t>
  </si>
  <si>
    <t>14.32亿</t>
  </si>
  <si>
    <t>9376.41万</t>
  </si>
  <si>
    <t>2.70亿</t>
  </si>
  <si>
    <t>3041.73万</t>
  </si>
  <si>
    <t>-1310.56万</t>
  </si>
  <si>
    <t>2921677亿</t>
  </si>
  <si>
    <t>-3016274亿</t>
  </si>
  <si>
    <t>14154888亿</t>
  </si>
  <si>
    <t>296953060亿</t>
  </si>
  <si>
    <t>65.15万</t>
  </si>
  <si>
    <t>2463.35万</t>
  </si>
  <si>
    <t>4.52亿</t>
  </si>
  <si>
    <t>14.86亿</t>
  </si>
  <si>
    <t>14.68亿</t>
  </si>
  <si>
    <t>55.86亿</t>
  </si>
  <si>
    <t>1914954亿</t>
  </si>
  <si>
    <t>115719851亿</t>
  </si>
  <si>
    <t>1389154800亿</t>
  </si>
  <si>
    <t>6618537300亿</t>
  </si>
  <si>
    <t>9.16亿</t>
  </si>
  <si>
    <t>3.29亿</t>
  </si>
  <si>
    <t>5.94亿</t>
  </si>
  <si>
    <t>1045.87万</t>
  </si>
  <si>
    <t>3372207亿</t>
  </si>
  <si>
    <t>8623371亿</t>
  </si>
  <si>
    <t>171694300亿</t>
  </si>
  <si>
    <t>753043920亿</t>
  </si>
  <si>
    <t>*ST合泰</t>
  </si>
  <si>
    <t>137.38亿</t>
  </si>
  <si>
    <t>-119.91亿</t>
  </si>
  <si>
    <t>5.43亿</t>
  </si>
  <si>
    <t>-3085622亿</t>
  </si>
  <si>
    <t>-391460720亿</t>
  </si>
  <si>
    <t>459918880亿</t>
  </si>
  <si>
    <t>2663103700亿</t>
  </si>
  <si>
    <t>-34.65亿</t>
  </si>
  <si>
    <t>366441亿</t>
  </si>
  <si>
    <t>47122257亿</t>
  </si>
  <si>
    <t>3.15亿</t>
  </si>
  <si>
    <t>306839310亿</t>
  </si>
  <si>
    <t>980829250亿</t>
  </si>
  <si>
    <t>10转1股派1元(含税)</t>
  </si>
  <si>
    <t>22.82亿</t>
  </si>
  <si>
    <t>13.45亿</t>
  </si>
  <si>
    <t>50.76亿</t>
  </si>
  <si>
    <t>4.24亿</t>
  </si>
  <si>
    <t>25634789亿</t>
  </si>
  <si>
    <t>169587810亿</t>
  </si>
  <si>
    <t>1005510180亿</t>
  </si>
  <si>
    <t>4529459200亿</t>
  </si>
  <si>
    <t>5.19亿</t>
  </si>
  <si>
    <t>12.63亿</t>
  </si>
  <si>
    <t>6830.44万</t>
  </si>
  <si>
    <t>2360.42万</t>
  </si>
  <si>
    <t>96.44万</t>
  </si>
  <si>
    <t>-9469325亿</t>
  </si>
  <si>
    <t>18087719亿</t>
  </si>
  <si>
    <t>184983820亿</t>
  </si>
  <si>
    <t>1473.32万</t>
  </si>
  <si>
    <t>-2548.17万</t>
  </si>
  <si>
    <t>282.76亿</t>
  </si>
  <si>
    <t>17.97亿</t>
  </si>
  <si>
    <t>59.26亿</t>
  </si>
  <si>
    <t>-37.26亿</t>
  </si>
  <si>
    <t>-32930864亿</t>
  </si>
  <si>
    <t>-650105870亿</t>
  </si>
  <si>
    <t>3512586900亿</t>
  </si>
  <si>
    <t>15837452000亿</t>
  </si>
  <si>
    <t>-20.66亿</t>
  </si>
  <si>
    <t>27.23亿</t>
  </si>
  <si>
    <t>9.41亿</t>
  </si>
  <si>
    <t>35.42亿</t>
  </si>
  <si>
    <t>8563.53万</t>
  </si>
  <si>
    <t>2173813亿</t>
  </si>
  <si>
    <t>19923271亿</t>
  </si>
  <si>
    <t>624166740亿</t>
  </si>
  <si>
    <t>3912471000亿</t>
  </si>
  <si>
    <t>-3.01亿</t>
  </si>
  <si>
    <t>157.54亿</t>
  </si>
  <si>
    <t>46.46亿</t>
  </si>
  <si>
    <t>168.63亿</t>
  </si>
  <si>
    <t>7690.50万</t>
  </si>
  <si>
    <t>2430230亿</t>
  </si>
  <si>
    <t>-17610804亿</t>
  </si>
  <si>
    <t>5935227800亿</t>
  </si>
  <si>
    <t>12029129600亿</t>
  </si>
  <si>
    <t>6.58亿</t>
  </si>
  <si>
    <t>1377.81万</t>
  </si>
  <si>
    <t>2373485亿</t>
  </si>
  <si>
    <t>-1657530亿</t>
  </si>
  <si>
    <t>510134880亿</t>
  </si>
  <si>
    <t>1632548200亿</t>
  </si>
  <si>
    <t>2100.19万</t>
  </si>
  <si>
    <t>-5907.30万</t>
  </si>
  <si>
    <t>1801526亿</t>
  </si>
  <si>
    <t>-8124696亿</t>
  </si>
  <si>
    <t>311026380亿</t>
  </si>
  <si>
    <t>1579085600亿</t>
  </si>
  <si>
    <t>6.13亿</t>
  </si>
  <si>
    <t>24.86亿</t>
  </si>
  <si>
    <t>42.35亿</t>
  </si>
  <si>
    <t>4524.98万</t>
  </si>
  <si>
    <t>67433亿</t>
  </si>
  <si>
    <t>1470424亿</t>
  </si>
  <si>
    <t>1149404040亿</t>
  </si>
  <si>
    <t>2649503800亿</t>
  </si>
  <si>
    <t>1068.20万</t>
  </si>
  <si>
    <t>15.87亿</t>
  </si>
  <si>
    <t>16.04亿</t>
  </si>
  <si>
    <t>-691.64万</t>
  </si>
  <si>
    <t>-719356亿</t>
  </si>
  <si>
    <t>1825348亿</t>
  </si>
  <si>
    <t>377031390亿</t>
  </si>
  <si>
    <t>1618881500亿</t>
  </si>
  <si>
    <t>1004.56万</t>
  </si>
  <si>
    <t>10派0.19元(含税)</t>
  </si>
  <si>
    <t>105.67亿</t>
  </si>
  <si>
    <t>39.99亿</t>
  </si>
  <si>
    <t>175.36亿</t>
  </si>
  <si>
    <t>3267303亿</t>
  </si>
  <si>
    <t>150983800亿</t>
  </si>
  <si>
    <t>3767730100亿</t>
  </si>
  <si>
    <t>7.50亿</t>
  </si>
  <si>
    <t>13955038000亿</t>
  </si>
  <si>
    <t>15.44亿</t>
  </si>
  <si>
    <t>10派3.38元(含税)</t>
  </si>
  <si>
    <t>28.08亿</t>
  </si>
  <si>
    <t>-3.65亿</t>
  </si>
  <si>
    <t>354527亿</t>
  </si>
  <si>
    <t>20093815亿</t>
  </si>
  <si>
    <t>878996300亿</t>
  </si>
  <si>
    <t>2372876000亿</t>
  </si>
  <si>
    <t>9907.90万</t>
  </si>
  <si>
    <t>3.41亿</t>
  </si>
  <si>
    <t>3348.83万</t>
  </si>
  <si>
    <t>-3260.73万</t>
  </si>
  <si>
    <t>100895亿</t>
  </si>
  <si>
    <t>-5851214亿</t>
  </si>
  <si>
    <t>36871492亿</t>
  </si>
  <si>
    <t>293411030亿</t>
  </si>
  <si>
    <t>-2190.84万</t>
  </si>
  <si>
    <t>10派0.2元(含税)</t>
  </si>
  <si>
    <t>56.18亿</t>
  </si>
  <si>
    <t>85.14亿</t>
  </si>
  <si>
    <t>4800.16万</t>
  </si>
  <si>
    <t>5603285亿</t>
  </si>
  <si>
    <t>9.00亿</t>
  </si>
  <si>
    <t>2627877200亿</t>
  </si>
  <si>
    <t>5270921500亿</t>
  </si>
  <si>
    <t>-2.04亿</t>
  </si>
  <si>
    <t>17.44亿</t>
  </si>
  <si>
    <t>23.43亿</t>
  </si>
  <si>
    <t>20.68亿</t>
  </si>
  <si>
    <t>4280.46万</t>
  </si>
  <si>
    <t>20.05亿</t>
  </si>
  <si>
    <t>-2053321亿</t>
  </si>
  <si>
    <t>36130707亿</t>
  </si>
  <si>
    <t>811131640亿</t>
  </si>
  <si>
    <t>2298008400亿</t>
  </si>
  <si>
    <t>10派0.25元(含税)</t>
  </si>
  <si>
    <t>793.60万</t>
  </si>
  <si>
    <t>2327.42万</t>
  </si>
  <si>
    <t>1639766亿</t>
  </si>
  <si>
    <t>7128140亿</t>
  </si>
  <si>
    <t>125304799亿</t>
  </si>
  <si>
    <t>853157360亿</t>
  </si>
  <si>
    <t>13.46亿</t>
  </si>
  <si>
    <t>39.29亿</t>
  </si>
  <si>
    <t>277694亿</t>
  </si>
  <si>
    <t>19374025亿</t>
  </si>
  <si>
    <t>324111160亿</t>
  </si>
  <si>
    <t>3222066200亿</t>
  </si>
  <si>
    <t>10派4.25元(含税)</t>
  </si>
  <si>
    <t>8.41亿</t>
  </si>
  <si>
    <t>6779.30万</t>
  </si>
  <si>
    <t>-23493亿</t>
  </si>
  <si>
    <t>17940629亿</t>
  </si>
  <si>
    <t>142520990亿</t>
  </si>
  <si>
    <t>1462698800亿</t>
  </si>
  <si>
    <t>8885.63万</t>
  </si>
  <si>
    <t>13.58亿</t>
  </si>
  <si>
    <t>11.76亿</t>
  </si>
  <si>
    <t>2068540亿</t>
  </si>
  <si>
    <t>29514798亿</t>
  </si>
  <si>
    <t>314443660亿</t>
  </si>
  <si>
    <t>1437858500亿</t>
  </si>
  <si>
    <t>16.85亿</t>
  </si>
  <si>
    <t>-1.24亿</t>
  </si>
  <si>
    <t>-422483亿</t>
  </si>
  <si>
    <t>-12455020亿</t>
  </si>
  <si>
    <t>522205600亿</t>
  </si>
  <si>
    <t>1217681230亿</t>
  </si>
  <si>
    <t>-1658.26万</t>
  </si>
  <si>
    <t>3.72亿</t>
  </si>
  <si>
    <t>984793亿</t>
  </si>
  <si>
    <t>4001524亿</t>
  </si>
  <si>
    <t>114422816亿</t>
  </si>
  <si>
    <t>420013020亿</t>
  </si>
  <si>
    <t>3989.29万</t>
  </si>
  <si>
    <t>13.37亿</t>
  </si>
  <si>
    <t>-1208342亿</t>
  </si>
  <si>
    <t>62520535亿</t>
  </si>
  <si>
    <t>4.00亿</t>
  </si>
  <si>
    <t>460805280亿</t>
  </si>
  <si>
    <t>1490227400亿</t>
  </si>
  <si>
    <t>10送0.5股派4.5元(含税)</t>
  </si>
  <si>
    <t>9063.13万</t>
  </si>
  <si>
    <t>3876.68万</t>
  </si>
  <si>
    <t>-2019.15万</t>
  </si>
  <si>
    <t>563862亿</t>
  </si>
  <si>
    <t>-2731378亿</t>
  </si>
  <si>
    <t>106564461亿</t>
  </si>
  <si>
    <t>770947210亿</t>
  </si>
  <si>
    <t>5.69亿</t>
  </si>
  <si>
    <t>54.91亿</t>
  </si>
  <si>
    <t>26.03亿</t>
  </si>
  <si>
    <t>88.89亿</t>
  </si>
  <si>
    <t>11439304亿</t>
  </si>
  <si>
    <t>34868136亿</t>
  </si>
  <si>
    <t>13.56亿</t>
  </si>
  <si>
    <t>2827693100亿</t>
  </si>
  <si>
    <t>6286877400亿</t>
  </si>
  <si>
    <t>8.94亿</t>
  </si>
  <si>
    <t>5.41亿</t>
  </si>
  <si>
    <t>10派0.7元(含税)</t>
  </si>
  <si>
    <t>24.42亿</t>
  </si>
  <si>
    <t>23.87亿</t>
  </si>
  <si>
    <t>3160.73万</t>
  </si>
  <si>
    <t>-1538581亿</t>
  </si>
  <si>
    <t>-10788969亿</t>
  </si>
  <si>
    <t>862143840亿</t>
  </si>
  <si>
    <t>3012111800亿</t>
  </si>
  <si>
    <t>17.41亿</t>
  </si>
  <si>
    <t>29.56亿</t>
  </si>
  <si>
    <t>-848501亿</t>
  </si>
  <si>
    <t>19425300亿</t>
  </si>
  <si>
    <t>690259270亿</t>
  </si>
  <si>
    <t>2798182500亿</t>
  </si>
  <si>
    <t>7.79亿</t>
  </si>
  <si>
    <t>22.99亿</t>
  </si>
  <si>
    <t>3.87亿</t>
  </si>
  <si>
    <t>17.43亿</t>
  </si>
  <si>
    <t>-597661亿</t>
  </si>
  <si>
    <t>-60387687亿</t>
  </si>
  <si>
    <t>511944260亿</t>
  </si>
  <si>
    <t>1939653200亿</t>
  </si>
  <si>
    <t>2-1</t>
  </si>
  <si>
    <t>11.13亿</t>
  </si>
  <si>
    <t>-7647.70万</t>
  </si>
  <si>
    <t>1233497亿</t>
  </si>
  <si>
    <t>-2313687亿</t>
  </si>
  <si>
    <t>239242350亿</t>
  </si>
  <si>
    <t>1281125050亿</t>
  </si>
  <si>
    <t>3157.69万</t>
  </si>
  <si>
    <t>27.77亿</t>
  </si>
  <si>
    <t>8.05亿</t>
  </si>
  <si>
    <t>37.59亿</t>
  </si>
  <si>
    <t>-1206169亿</t>
  </si>
  <si>
    <t>17200037亿</t>
  </si>
  <si>
    <t>1035110830亿</t>
  </si>
  <si>
    <t>2860775700亿</t>
  </si>
  <si>
    <t>5.15亿</t>
  </si>
  <si>
    <t>56.19亿</t>
  </si>
  <si>
    <t>14.92亿</t>
  </si>
  <si>
    <t>74.10亿</t>
  </si>
  <si>
    <t>3.21亿</t>
  </si>
  <si>
    <t>-87245934亿</t>
  </si>
  <si>
    <t>8859229亿</t>
  </si>
  <si>
    <t>21.90亿</t>
  </si>
  <si>
    <t>2014007500亿</t>
  </si>
  <si>
    <t>6536026700亿</t>
  </si>
  <si>
    <t>5.54亿</t>
  </si>
  <si>
    <t>-4593.28万</t>
  </si>
  <si>
    <t>3834464亿</t>
  </si>
  <si>
    <t>5702503亿</t>
  </si>
  <si>
    <t>482821340亿</t>
  </si>
  <si>
    <t>1310389770亿</t>
  </si>
  <si>
    <t>1343.12万</t>
  </si>
  <si>
    <t>845.84万</t>
  </si>
  <si>
    <t>-4403311亿</t>
  </si>
  <si>
    <t>98881395亿</t>
  </si>
  <si>
    <t>615177350亿</t>
  </si>
  <si>
    <t>162.95万</t>
  </si>
  <si>
    <t>-5788.50万</t>
  </si>
  <si>
    <t>65.05亿</t>
  </si>
  <si>
    <t>18.00亿</t>
  </si>
  <si>
    <t>76.15亿</t>
  </si>
  <si>
    <t>5650017亿</t>
  </si>
  <si>
    <t>82782750亿</t>
  </si>
  <si>
    <t>3026884600亿</t>
  </si>
  <si>
    <t>10528913600亿</t>
  </si>
  <si>
    <t>7.67亿</t>
  </si>
  <si>
    <t>-1.42亿</t>
  </si>
  <si>
    <t>-6333937亿</t>
  </si>
  <si>
    <t>138780160亿</t>
  </si>
  <si>
    <t>292139350亿</t>
  </si>
  <si>
    <t>22.75亿</t>
  </si>
  <si>
    <t>25.12亿</t>
  </si>
  <si>
    <t>8885717亿</t>
  </si>
  <si>
    <t>46647808亿</t>
  </si>
  <si>
    <t>903084870亿</t>
  </si>
  <si>
    <t>4.61亿</t>
  </si>
  <si>
    <t>3779480000亿</t>
  </si>
  <si>
    <t>7.35亿</t>
  </si>
  <si>
    <t>38.41亿</t>
  </si>
  <si>
    <t>29.03亿</t>
  </si>
  <si>
    <t>-8.46亿</t>
  </si>
  <si>
    <t>2355338亿</t>
  </si>
  <si>
    <t>-136369540亿</t>
  </si>
  <si>
    <t>867537540亿</t>
  </si>
  <si>
    <t>4353785500亿</t>
  </si>
  <si>
    <t>13.69亿</t>
  </si>
  <si>
    <t>17.23亿</t>
  </si>
  <si>
    <t>-4568.79万</t>
  </si>
  <si>
    <t>-262366亿</t>
  </si>
  <si>
    <t>11391990亿</t>
  </si>
  <si>
    <t>612379690亿</t>
  </si>
  <si>
    <t>526.63万</t>
  </si>
  <si>
    <t>2008797200亿</t>
  </si>
  <si>
    <t>25.10亿</t>
  </si>
  <si>
    <t>40.06亿</t>
  </si>
  <si>
    <t>3078505亿</t>
  </si>
  <si>
    <t>50004763亿</t>
  </si>
  <si>
    <t>817916220亿</t>
  </si>
  <si>
    <t>3.49亿</t>
  </si>
  <si>
    <t>44982584亿</t>
  </si>
  <si>
    <t>731600180亿</t>
  </si>
  <si>
    <t>2196252300亿</t>
  </si>
  <si>
    <t>5286.50万</t>
  </si>
  <si>
    <t>7693.95万</t>
  </si>
  <si>
    <t>10派1.5元(含税)</t>
  </si>
  <si>
    <t>20.95亿</t>
  </si>
  <si>
    <t>5.38亿</t>
  </si>
  <si>
    <t>23.03亿</t>
  </si>
  <si>
    <t>3622981亿</t>
  </si>
  <si>
    <t>36707996亿</t>
  </si>
  <si>
    <t>654437890亿</t>
  </si>
  <si>
    <t>2277174400亿</t>
  </si>
  <si>
    <t>6.36亿</t>
  </si>
  <si>
    <t>26.31亿</t>
  </si>
  <si>
    <t>-412675亿</t>
  </si>
  <si>
    <t>5523756亿</t>
  </si>
  <si>
    <t>517216310亿</t>
  </si>
  <si>
    <t>1918776600亿</t>
  </si>
  <si>
    <t>5.21亿</t>
  </si>
  <si>
    <t>5.70亿</t>
  </si>
  <si>
    <t>11.87亿</t>
  </si>
  <si>
    <t>7020142亿</t>
  </si>
  <si>
    <t>5247321亿</t>
  </si>
  <si>
    <t>510151950亿</t>
  </si>
  <si>
    <t>2241672100亿</t>
  </si>
  <si>
    <t>2.99亿</t>
  </si>
  <si>
    <t>8929.24万</t>
  </si>
  <si>
    <t>2388563亿</t>
  </si>
  <si>
    <t>15719035亿</t>
  </si>
  <si>
    <t>167671980亿</t>
  </si>
  <si>
    <t>1823438000亿</t>
  </si>
  <si>
    <t>18.57亿</t>
  </si>
  <si>
    <t>24.81亿</t>
  </si>
  <si>
    <t>-5268762亿</t>
  </si>
  <si>
    <t>40810762亿</t>
  </si>
  <si>
    <t>437349120亿</t>
  </si>
  <si>
    <t>2994730900亿</t>
  </si>
  <si>
    <t>-6329.70万</t>
  </si>
  <si>
    <t>10派1.6元(含税)</t>
  </si>
  <si>
    <t>4567.40万</t>
  </si>
  <si>
    <t>17126080亿</t>
  </si>
  <si>
    <t>369646390亿</t>
  </si>
  <si>
    <t>1102687320亿</t>
  </si>
  <si>
    <t>5007.49万</t>
  </si>
  <si>
    <t>10.55亿</t>
  </si>
  <si>
    <t>4132.84万</t>
  </si>
  <si>
    <t>124024亿</t>
  </si>
  <si>
    <t>-401995亿</t>
  </si>
  <si>
    <t>233893160亿</t>
  </si>
  <si>
    <t>498992180亿</t>
  </si>
  <si>
    <t>10派1.875元(含税)</t>
  </si>
  <si>
    <t>10.67亿</t>
  </si>
  <si>
    <t>3431.81万</t>
  </si>
  <si>
    <t>7.39亿</t>
  </si>
  <si>
    <t>-2569988亿</t>
  </si>
  <si>
    <t>-34754292亿</t>
  </si>
  <si>
    <t>758600360亿</t>
  </si>
  <si>
    <t>1697147500亿</t>
  </si>
  <si>
    <t>-1.38亿</t>
  </si>
  <si>
    <t>3605.20万</t>
  </si>
  <si>
    <t>7.62亿</t>
  </si>
  <si>
    <t>9376.83万</t>
  </si>
  <si>
    <t>391465亿</t>
  </si>
  <si>
    <t>10112825亿</t>
  </si>
  <si>
    <t>345502190亿</t>
  </si>
  <si>
    <t>1422898700亿</t>
  </si>
  <si>
    <t>13.67亿</t>
  </si>
  <si>
    <t>1046097亿</t>
  </si>
  <si>
    <t>22854380亿</t>
  </si>
  <si>
    <t>207468750亿</t>
  </si>
  <si>
    <t>1368194700亿</t>
  </si>
  <si>
    <t>5086.11万</t>
  </si>
  <si>
    <t>-3.05亿</t>
  </si>
  <si>
    <t>3326763亿</t>
  </si>
  <si>
    <t>-13294975亿</t>
  </si>
  <si>
    <t>138489240亿</t>
  </si>
  <si>
    <t>720082000亿</t>
  </si>
  <si>
    <t>-4547.97万</t>
  </si>
  <si>
    <t>8.15亿</t>
  </si>
  <si>
    <t>2422.99万</t>
  </si>
  <si>
    <t>2285278亿</t>
  </si>
  <si>
    <t>2567631亿</t>
  </si>
  <si>
    <t>234894650亿</t>
  </si>
  <si>
    <t>803932680亿</t>
  </si>
  <si>
    <t>883.72万</t>
  </si>
  <si>
    <t>1303807亿</t>
  </si>
  <si>
    <t>4011927亿</t>
  </si>
  <si>
    <t>182792000亿</t>
  </si>
  <si>
    <t>946754500亿</t>
  </si>
  <si>
    <t>2724.45万</t>
  </si>
  <si>
    <t>7094.20万</t>
  </si>
  <si>
    <t>63993亿</t>
  </si>
  <si>
    <t>21495218亿</t>
  </si>
  <si>
    <t>231581110亿</t>
  </si>
  <si>
    <t>1041548820亿</t>
  </si>
  <si>
    <t>10转4股派4元(含税)</t>
  </si>
  <si>
    <t>7.99亿</t>
  </si>
  <si>
    <t>-3263.96万</t>
  </si>
  <si>
    <t>85742亿</t>
  </si>
  <si>
    <t>7691069亿</t>
  </si>
  <si>
    <t>274728990亿</t>
  </si>
  <si>
    <t>807567640亿</t>
  </si>
  <si>
    <t>2.63亿</t>
  </si>
  <si>
    <t>1762.90万</t>
  </si>
  <si>
    <t>32.41亿</t>
  </si>
  <si>
    <t>14.23亿</t>
  </si>
  <si>
    <t>21.63亿</t>
  </si>
  <si>
    <t>5294.74万</t>
  </si>
  <si>
    <t>21.68亿</t>
  </si>
  <si>
    <t>-1769505亿</t>
  </si>
  <si>
    <t>-16310189亿</t>
  </si>
  <si>
    <t>710939210亿</t>
  </si>
  <si>
    <t>2004490500亿</t>
  </si>
  <si>
    <t>15.29亿</t>
  </si>
  <si>
    <t>8501734亿</t>
  </si>
  <si>
    <t>37185602亿</t>
  </si>
  <si>
    <t>210451590亿</t>
  </si>
  <si>
    <t>2242559600亿</t>
  </si>
  <si>
    <t>4.45亿</t>
  </si>
  <si>
    <t>37397亿</t>
  </si>
  <si>
    <t>18660624亿</t>
  </si>
  <si>
    <t>343400930亿</t>
  </si>
  <si>
    <t>1305391230亿</t>
  </si>
  <si>
    <t>8209.72万</t>
  </si>
  <si>
    <t>5412.64万</t>
  </si>
  <si>
    <t>172530亿</t>
  </si>
  <si>
    <t>10239329亿</t>
  </si>
  <si>
    <t>76360697亿</t>
  </si>
  <si>
    <t>1014462850亿</t>
  </si>
  <si>
    <t>7.17亿</t>
  </si>
  <si>
    <t>6148.18万</t>
  </si>
  <si>
    <t>-7-0</t>
  </si>
  <si>
    <t>14.27亿</t>
  </si>
  <si>
    <t>17.91亿</t>
  </si>
  <si>
    <t>-8447.25万</t>
  </si>
  <si>
    <t>-23647494亿</t>
  </si>
  <si>
    <t>485364630亿</t>
  </si>
  <si>
    <t>982572520亿</t>
  </si>
  <si>
    <t>172.19万</t>
  </si>
  <si>
    <t>17.45亿</t>
  </si>
  <si>
    <t>30.75亿</t>
  </si>
  <si>
    <t>3081054亿</t>
  </si>
  <si>
    <t>59809985亿</t>
  </si>
  <si>
    <t>783994480亿</t>
  </si>
  <si>
    <t>3817321600亿</t>
  </si>
  <si>
    <t>57.34亿</t>
  </si>
  <si>
    <t>50.10亿</t>
  </si>
  <si>
    <t>1218954亿</t>
  </si>
  <si>
    <t>-30742357亿</t>
  </si>
  <si>
    <t>1147108020亿</t>
  </si>
  <si>
    <t>5376982100亿</t>
  </si>
  <si>
    <t>9.76亿</t>
  </si>
  <si>
    <t>47.19亿</t>
  </si>
  <si>
    <t>1.42亿</t>
  </si>
  <si>
    <t>18.22亿</t>
  </si>
  <si>
    <t>4.29亿</t>
  </si>
  <si>
    <t>19.73亿</t>
  </si>
  <si>
    <t>3785.12万</t>
  </si>
  <si>
    <t>12957446亿</t>
  </si>
  <si>
    <t>-11207264亿</t>
  </si>
  <si>
    <t>10.76亿</t>
  </si>
  <si>
    <t>593285300亿</t>
  </si>
  <si>
    <t>2399127000亿</t>
  </si>
  <si>
    <t>193.72亿</t>
  </si>
  <si>
    <t>140.53亿</t>
  </si>
  <si>
    <t>-25647360亿</t>
  </si>
  <si>
    <t>-32272680亿</t>
  </si>
  <si>
    <t>2926260300亿</t>
  </si>
  <si>
    <t>21473022000亿</t>
  </si>
  <si>
    <t>34.31亿</t>
  </si>
  <si>
    <t>184.88亿</t>
  </si>
  <si>
    <t>29.14亿</t>
  </si>
  <si>
    <t>114.65亿</t>
  </si>
  <si>
    <t>6.61亿</t>
  </si>
  <si>
    <t>7054847亿</t>
  </si>
  <si>
    <t>250962820亿</t>
  </si>
  <si>
    <t>1968666300亿</t>
  </si>
  <si>
    <t>9311832300亿</t>
  </si>
  <si>
    <t>3997603亿</t>
  </si>
  <si>
    <t>39741915亿</t>
  </si>
  <si>
    <t>193997010亿</t>
  </si>
  <si>
    <t>1384444500亿</t>
  </si>
  <si>
    <t>10派9.55元(含税)</t>
  </si>
  <si>
    <t>20.48亿</t>
  </si>
  <si>
    <t>10.85亿</t>
  </si>
  <si>
    <t>46.97亿</t>
  </si>
  <si>
    <t>2153330亿</t>
  </si>
  <si>
    <t>70116269亿</t>
  </si>
  <si>
    <t>1105146510亿</t>
  </si>
  <si>
    <t>5386834700亿</t>
  </si>
  <si>
    <t>2000.00万</t>
  </si>
  <si>
    <t>32.15亿</t>
  </si>
  <si>
    <t>15.83亿</t>
  </si>
  <si>
    <t>77.95亿</t>
  </si>
  <si>
    <t>3563972亿</t>
  </si>
  <si>
    <t>103312970亿</t>
  </si>
  <si>
    <t>551030680亿</t>
  </si>
  <si>
    <t>6629654900亿</t>
  </si>
  <si>
    <t>10派8.5元(含税)</t>
  </si>
  <si>
    <t>5953.60万</t>
  </si>
  <si>
    <t>5.71亿</t>
  </si>
  <si>
    <t>-1994145亿</t>
  </si>
  <si>
    <t>-1260010亿</t>
  </si>
  <si>
    <t>389730300亿</t>
  </si>
  <si>
    <t>971063460亿</t>
  </si>
  <si>
    <t>2.91亿</t>
  </si>
  <si>
    <t>10派1.80元(含税)</t>
  </si>
  <si>
    <t>3.98亿</t>
  </si>
  <si>
    <t>21.93亿</t>
  </si>
  <si>
    <t>8386.39万</t>
  </si>
  <si>
    <t>1741967亿</t>
  </si>
  <si>
    <t>952974亿</t>
  </si>
  <si>
    <t>335206080亿</t>
  </si>
  <si>
    <t>1198717100亿</t>
  </si>
  <si>
    <t>2.77亿</t>
  </si>
  <si>
    <t>-4045.11万</t>
  </si>
  <si>
    <t>355.90万</t>
  </si>
  <si>
    <t>2250亿</t>
  </si>
  <si>
    <t>3303992亿</t>
  </si>
  <si>
    <t>214247070亿</t>
  </si>
  <si>
    <t>953429870亿</t>
  </si>
  <si>
    <t>10派0.12元(含税)</t>
  </si>
  <si>
    <t>22.77亿</t>
  </si>
  <si>
    <t>18.14亿</t>
  </si>
  <si>
    <t>-454.06万</t>
  </si>
  <si>
    <t>783102亿</t>
  </si>
  <si>
    <t>-9592190亿</t>
  </si>
  <si>
    <t>912156740亿</t>
  </si>
  <si>
    <t>1950964500亿</t>
  </si>
  <si>
    <t>13.98亿</t>
  </si>
  <si>
    <t>3.46亿</t>
  </si>
  <si>
    <t>10转3股派0.6元(含税)</t>
  </si>
  <si>
    <t>15.68亿</t>
  </si>
  <si>
    <t>-107265亿</t>
  </si>
  <si>
    <t>8584344亿</t>
  </si>
  <si>
    <t>421672840亿</t>
  </si>
  <si>
    <t>1228579270亿</t>
  </si>
  <si>
    <t>10派1.36元(含税)</t>
  </si>
  <si>
    <t>24.89亿</t>
  </si>
  <si>
    <t>14.14亿</t>
  </si>
  <si>
    <t>66.81亿</t>
  </si>
  <si>
    <t>14664867亿</t>
  </si>
  <si>
    <t>63842440亿</t>
  </si>
  <si>
    <t>1066882240亿</t>
  </si>
  <si>
    <t>3646542500亿</t>
  </si>
  <si>
    <t>4753.80万</t>
  </si>
  <si>
    <t>6.88亿</t>
  </si>
  <si>
    <t>10派3.2元(含税)</t>
  </si>
  <si>
    <t>5221.60万</t>
  </si>
  <si>
    <t>35982亿</t>
  </si>
  <si>
    <t>8862062亿</t>
  </si>
  <si>
    <t>271283220亿</t>
  </si>
  <si>
    <t>1249685800亿</t>
  </si>
  <si>
    <t>50.00万</t>
  </si>
  <si>
    <t>10派0.72元(含税)</t>
  </si>
  <si>
    <t>9872.58万</t>
  </si>
  <si>
    <t>-6827.45万</t>
  </si>
  <si>
    <t>1221889亿</t>
  </si>
  <si>
    <t>-24642542亿</t>
  </si>
  <si>
    <t>266496440亿</t>
  </si>
  <si>
    <t>1094269890亿</t>
  </si>
  <si>
    <t>5.08亿</t>
  </si>
  <si>
    <t>2928.86万</t>
  </si>
  <si>
    <t>28.75亿</t>
  </si>
  <si>
    <t>37.83亿</t>
  </si>
  <si>
    <t>205374亿</t>
  </si>
  <si>
    <t>-61084798亿</t>
  </si>
  <si>
    <t>551913060亿</t>
  </si>
  <si>
    <t>3579111900亿</t>
  </si>
  <si>
    <t>7.74亿</t>
  </si>
  <si>
    <t>-8445.09万</t>
  </si>
  <si>
    <t>-362760亿</t>
  </si>
  <si>
    <t>3.98万</t>
  </si>
  <si>
    <t>-18088277亿</t>
  </si>
  <si>
    <t>53651473亿</t>
  </si>
  <si>
    <t>303598060亿</t>
  </si>
  <si>
    <t>4.37亿</t>
  </si>
  <si>
    <t>2873705亿</t>
  </si>
  <si>
    <t>26433773亿</t>
  </si>
  <si>
    <t>158335050亿</t>
  </si>
  <si>
    <t>853792850亿</t>
  </si>
  <si>
    <t>391419亿</t>
  </si>
  <si>
    <t>18378046亿</t>
  </si>
  <si>
    <t>190658120亿</t>
  </si>
  <si>
    <t>1150627140亿</t>
  </si>
  <si>
    <t>10派0.81元(含税)</t>
  </si>
  <si>
    <t>9388.67万</t>
  </si>
  <si>
    <t>4165.59万</t>
  </si>
  <si>
    <t>71536亿</t>
  </si>
  <si>
    <t>9633472亿</t>
  </si>
  <si>
    <t>150024130亿</t>
  </si>
  <si>
    <t>585990610亿</t>
  </si>
  <si>
    <t>5843.71万</t>
  </si>
  <si>
    <t>9542.03万</t>
  </si>
  <si>
    <t>78335亿</t>
  </si>
  <si>
    <t>6327723亿</t>
  </si>
  <si>
    <t>3.47亿</t>
  </si>
  <si>
    <t>536369200亿</t>
  </si>
  <si>
    <t>1346372800亿</t>
  </si>
  <si>
    <t>3.74亿</t>
  </si>
  <si>
    <t>9291.15万</t>
  </si>
  <si>
    <t>-2.76亿</t>
  </si>
  <si>
    <t>6219592亿</t>
  </si>
  <si>
    <t>-41139243亿</t>
  </si>
  <si>
    <t>66892785亿</t>
  </si>
  <si>
    <t>1899432700亿</t>
  </si>
  <si>
    <t>-1.60亿</t>
  </si>
  <si>
    <t>7.59亿</t>
  </si>
  <si>
    <t>-1.18亿</t>
  </si>
  <si>
    <t>-7306708亿</t>
  </si>
  <si>
    <t>-10613252亿</t>
  </si>
  <si>
    <t>163409980亿</t>
  </si>
  <si>
    <t>1220180970亿</t>
  </si>
  <si>
    <t>5588.71万</t>
  </si>
  <si>
    <t>6-1</t>
  </si>
  <si>
    <t>4672.38万</t>
  </si>
  <si>
    <t>2111140亿</t>
  </si>
  <si>
    <t>2389181亿</t>
  </si>
  <si>
    <t>111966257亿</t>
  </si>
  <si>
    <t>805079260亿</t>
  </si>
  <si>
    <t>10派6.5元(含税)</t>
  </si>
  <si>
    <t>158.80亿</t>
  </si>
  <si>
    <t>30.38亿</t>
  </si>
  <si>
    <t>-32.44亿</t>
  </si>
  <si>
    <t>1984120亿</t>
  </si>
  <si>
    <t>-654627700亿</t>
  </si>
  <si>
    <t>379381220亿</t>
  </si>
  <si>
    <t>3294469900亿</t>
  </si>
  <si>
    <t>210.34万</t>
  </si>
  <si>
    <t>538.53万</t>
  </si>
  <si>
    <t>2.13亿</t>
  </si>
  <si>
    <t>472.18万</t>
  </si>
  <si>
    <t>1087.98万</t>
  </si>
  <si>
    <t>10.37万</t>
  </si>
  <si>
    <t>1790.68万</t>
  </si>
  <si>
    <t>4165.40万</t>
  </si>
  <si>
    <t>101.63万</t>
  </si>
  <si>
    <t>2.18亿</t>
  </si>
  <si>
    <t>153.29万</t>
  </si>
  <si>
    <t>-90.69万</t>
  </si>
  <si>
    <t>787.73万</t>
  </si>
  <si>
    <t>988.40万</t>
  </si>
  <si>
    <t>7693.92万</t>
  </si>
  <si>
    <t>05385300</t>
  </si>
  <si>
    <t>016155900</t>
  </si>
  <si>
    <t>032311800</t>
  </si>
  <si>
    <t>053853000</t>
  </si>
  <si>
    <t>0107706000</t>
  </si>
  <si>
    <t>243.47万</t>
  </si>
  <si>
    <t>41.43亿</t>
  </si>
  <si>
    <t>2077.74万</t>
  </si>
  <si>
    <t>7.13亿</t>
  </si>
  <si>
    <t>966.53万</t>
  </si>
  <si>
    <t>2830.27万</t>
  </si>
  <si>
    <t>13.92万</t>
  </si>
  <si>
    <t>3552.29万</t>
  </si>
  <si>
    <t>3282.77万</t>
  </si>
  <si>
    <t>605.04万</t>
  </si>
  <si>
    <t>8.98亿</t>
  </si>
  <si>
    <t>4.81亿</t>
  </si>
  <si>
    <t>3163.82万</t>
  </si>
  <si>
    <t>4693.99万</t>
  </si>
  <si>
    <t>-3422.86万</t>
  </si>
  <si>
    <t>14.90亿</t>
  </si>
  <si>
    <t>3630.72万</t>
  </si>
  <si>
    <t>1297.58万</t>
  </si>
  <si>
    <t>1344.78万</t>
  </si>
  <si>
    <t>289.49亿</t>
  </si>
  <si>
    <t>81.86亿</t>
  </si>
  <si>
    <t>68.84亿</t>
  </si>
  <si>
    <t>8868.45万</t>
  </si>
  <si>
    <t>165.87万</t>
  </si>
  <si>
    <t>92.20亿</t>
  </si>
  <si>
    <t>43.28亿</t>
  </si>
  <si>
    <t>71.01亿</t>
  </si>
  <si>
    <t>217.84亿</t>
  </si>
  <si>
    <t>230.94亿</t>
  </si>
  <si>
    <t>16.16亿</t>
  </si>
  <si>
    <t>-13.58亿</t>
  </si>
  <si>
    <t>160.02亿</t>
  </si>
  <si>
    <t>-14.24亿</t>
  </si>
  <si>
    <t>6341.43万</t>
  </si>
  <si>
    <t>1453.45亿</t>
  </si>
  <si>
    <t>403.67亿</t>
  </si>
  <si>
    <t>353.07亿</t>
  </si>
  <si>
    <t>5.63亿</t>
  </si>
  <si>
    <t>9.84亿</t>
  </si>
  <si>
    <t>2352.85万</t>
  </si>
  <si>
    <t>249.44亿</t>
  </si>
  <si>
    <t>194.33亿</t>
  </si>
  <si>
    <t>106.86亿</t>
  </si>
  <si>
    <t>67.56亿</t>
  </si>
  <si>
    <t>293.28亿</t>
  </si>
  <si>
    <t>1040.92亿</t>
  </si>
  <si>
    <t>1216.01亿</t>
  </si>
  <si>
    <t>65.97亿</t>
  </si>
  <si>
    <t>-89.65亿</t>
  </si>
  <si>
    <t>851.49亿</t>
  </si>
  <si>
    <t>10.70亿</t>
  </si>
  <si>
    <t>68.72亿</t>
  </si>
  <si>
    <t>355.75亿</t>
  </si>
  <si>
    <t>215.93亿</t>
  </si>
  <si>
    <t>10.13亿</t>
  </si>
  <si>
    <t>-2.97亿</t>
  </si>
  <si>
    <t>2747.20万</t>
  </si>
  <si>
    <t>2.31亿</t>
  </si>
  <si>
    <t>-17614008亿</t>
  </si>
  <si>
    <t>757.05万</t>
  </si>
  <si>
    <t>-311931770亿</t>
  </si>
  <si>
    <t>85.60亿</t>
  </si>
  <si>
    <t>8014094900亿</t>
  </si>
  <si>
    <t>1413.30万</t>
  </si>
  <si>
    <t>31587399000亿</t>
  </si>
  <si>
    <t>45.64亿</t>
  </si>
  <si>
    <t>77.10亿</t>
  </si>
  <si>
    <t>65.06亿</t>
  </si>
  <si>
    <t>349.05亿</t>
  </si>
  <si>
    <t>-2.16亿</t>
  </si>
  <si>
    <t>23.38亿</t>
  </si>
  <si>
    <t>584.48万</t>
  </si>
  <si>
    <t>2.29亿</t>
  </si>
  <si>
    <t>30.72万</t>
  </si>
  <si>
    <t>86.60万</t>
  </si>
  <si>
    <t>656.99万</t>
  </si>
  <si>
    <t>9165.54万</t>
  </si>
  <si>
    <t>21.11万</t>
  </si>
  <si>
    <t>7928.06万</t>
  </si>
  <si>
    <t>78.05万</t>
  </si>
  <si>
    <t>-376.08万</t>
  </si>
  <si>
    <t>-2258.83万</t>
  </si>
  <si>
    <t>3416.56万</t>
  </si>
  <si>
    <t>2868.26万</t>
  </si>
  <si>
    <t>2313.90万</t>
  </si>
  <si>
    <t>-2.57亿</t>
  </si>
  <si>
    <t>6.48亿</t>
  </si>
  <si>
    <t>339.67万</t>
  </si>
  <si>
    <t>3569.42万</t>
  </si>
  <si>
    <t>749.46万</t>
  </si>
  <si>
    <t>10.38亿</t>
  </si>
  <si>
    <t>9981.27万</t>
  </si>
  <si>
    <t>38.22亿</t>
  </si>
  <si>
    <t>5.98亿</t>
  </si>
  <si>
    <t>4700.14万</t>
  </si>
  <si>
    <t>-2434.35万</t>
  </si>
  <si>
    <t>4312.88万</t>
  </si>
  <si>
    <t>-7.27亿</t>
  </si>
  <si>
    <t>855.55万</t>
  </si>
  <si>
    <t>98.76亿</t>
  </si>
  <si>
    <t>8371.42万</t>
  </si>
  <si>
    <t>20.57亿</t>
  </si>
  <si>
    <t>8327.83万</t>
  </si>
  <si>
    <t>21.76万</t>
  </si>
  <si>
    <t>28.33亿</t>
  </si>
  <si>
    <t>12.10亿</t>
  </si>
  <si>
    <t>21.31亿</t>
  </si>
  <si>
    <t>27.92亿</t>
  </si>
  <si>
    <t>19.36万</t>
  </si>
  <si>
    <t>62.99亿</t>
  </si>
  <si>
    <t>7733.77万</t>
  </si>
  <si>
    <t>5765.71万</t>
  </si>
  <si>
    <t>45.66亿</t>
  </si>
  <si>
    <t>4687.19万</t>
  </si>
  <si>
    <t>1983.49亿</t>
  </si>
  <si>
    <t>448.97亿</t>
  </si>
  <si>
    <t>392.41亿</t>
  </si>
  <si>
    <t>9.96亿</t>
  </si>
  <si>
    <t>14.57亿</t>
  </si>
  <si>
    <t>5310.92万</t>
  </si>
  <si>
    <t>822.02亿</t>
  </si>
  <si>
    <t>227.26亿</t>
  </si>
  <si>
    <t>343.38亿</t>
  </si>
  <si>
    <t>7932.13万</t>
  </si>
  <si>
    <t>868.27亿</t>
  </si>
  <si>
    <t>1222.33亿</t>
  </si>
  <si>
    <t>162.31亿</t>
  </si>
  <si>
    <t>-94.03亿</t>
  </si>
  <si>
    <t>-36.54亿</t>
  </si>
  <si>
    <t>801.78亿</t>
  </si>
  <si>
    <t>7.36亿</t>
  </si>
  <si>
    <t>94.07亿</t>
  </si>
  <si>
    <t>3355.26万</t>
  </si>
  <si>
    <t>94.92亿</t>
  </si>
  <si>
    <t>537.74万</t>
  </si>
  <si>
    <t>127.83亿</t>
  </si>
  <si>
    <t>113.93亿</t>
  </si>
  <si>
    <t>449.58万</t>
  </si>
  <si>
    <t>48.51亿</t>
  </si>
  <si>
    <t>7.96亿</t>
  </si>
  <si>
    <t>7289.51万</t>
  </si>
  <si>
    <t>29.41亿</t>
  </si>
  <si>
    <t>96.44亿</t>
  </si>
  <si>
    <t>918.15万</t>
  </si>
  <si>
    <t>242.96亿</t>
  </si>
  <si>
    <t>-2.17亿</t>
  </si>
  <si>
    <t>250.40亿</t>
  </si>
  <si>
    <t>4404.55万</t>
  </si>
  <si>
    <t>96.28万</t>
  </si>
  <si>
    <t>27.50亿</t>
  </si>
  <si>
    <t>24.77亿</t>
  </si>
  <si>
    <t>8854.41万</t>
  </si>
  <si>
    <t>7636.05万</t>
  </si>
  <si>
    <t>1010.17万</t>
  </si>
  <si>
    <t>6210.65万</t>
  </si>
  <si>
    <t>54.79亿</t>
  </si>
  <si>
    <t>84.16亿</t>
  </si>
  <si>
    <t>-2.62亿</t>
  </si>
  <si>
    <t>-7607.50万</t>
  </si>
  <si>
    <t>9.48亿</t>
  </si>
  <si>
    <t>49.72亿</t>
  </si>
  <si>
    <t>606.89万</t>
  </si>
  <si>
    <t>5139.46万</t>
  </si>
  <si>
    <t>0185000000</t>
  </si>
  <si>
    <t>0555000000</t>
  </si>
  <si>
    <t>01110000000</t>
  </si>
  <si>
    <t>01850000000</t>
  </si>
  <si>
    <t>03700000000</t>
  </si>
  <si>
    <t>65.46万</t>
  </si>
  <si>
    <t>4023.72万</t>
  </si>
  <si>
    <t>3.25亿</t>
  </si>
  <si>
    <t>1362.29万</t>
  </si>
  <si>
    <t>1642.74万</t>
  </si>
  <si>
    <t>7.03万</t>
  </si>
  <si>
    <t>1200.00万</t>
  </si>
  <si>
    <t>532.84万</t>
  </si>
  <si>
    <t>5.29亿</t>
  </si>
  <si>
    <t>-2131.93万</t>
  </si>
  <si>
    <t>-3803.32万</t>
  </si>
  <si>
    <t>-1647.90万</t>
  </si>
  <si>
    <t>7444.86万</t>
  </si>
  <si>
    <t>279.15万</t>
  </si>
  <si>
    <t>3051.32万</t>
  </si>
  <si>
    <t>87.48万</t>
  </si>
  <si>
    <t>9.51亿</t>
  </si>
  <si>
    <t>358.80万</t>
  </si>
  <si>
    <t>498.95万</t>
  </si>
  <si>
    <t>639.83万</t>
  </si>
  <si>
    <t>6593.40万</t>
  </si>
  <si>
    <t>942.57万</t>
  </si>
  <si>
    <t>2026.56万</t>
  </si>
  <si>
    <t>-163.60万</t>
  </si>
  <si>
    <t>2489.74万</t>
  </si>
  <si>
    <t>384.42万</t>
  </si>
  <si>
    <t>3614.54万</t>
  </si>
  <si>
    <t>1162.57万</t>
  </si>
  <si>
    <t>34.64亿</t>
  </si>
  <si>
    <t>-6896.10万</t>
  </si>
  <si>
    <t>26.20亿</t>
  </si>
  <si>
    <t>22.89亿</t>
  </si>
  <si>
    <t>944.09万</t>
  </si>
  <si>
    <t>14.05亿</t>
  </si>
  <si>
    <t>37.20亿</t>
  </si>
  <si>
    <t>13.02亿</t>
  </si>
  <si>
    <t>86.02亿</t>
  </si>
  <si>
    <t>170.57万</t>
  </si>
  <si>
    <t>-3.80亿</t>
  </si>
  <si>
    <t>8103.86万</t>
  </si>
  <si>
    <t>42.00亿</t>
  </si>
  <si>
    <t>7515.41万</t>
  </si>
  <si>
    <t>1333.71万</t>
  </si>
  <si>
    <t>56.70万</t>
  </si>
  <si>
    <t>3514.61万</t>
  </si>
  <si>
    <t>1793.47万</t>
  </si>
  <si>
    <t>370.95万</t>
  </si>
  <si>
    <t>1003.98万</t>
  </si>
  <si>
    <t>85.21万</t>
  </si>
  <si>
    <t>926.25万</t>
  </si>
  <si>
    <t>3136.76万</t>
  </si>
  <si>
    <t>-31.13万</t>
  </si>
  <si>
    <t>3625.78万</t>
  </si>
  <si>
    <t>-107.84万</t>
  </si>
  <si>
    <t>5898.89万</t>
  </si>
  <si>
    <t>-391.43万</t>
  </si>
  <si>
    <t>7959.38万</t>
  </si>
  <si>
    <t>0567000</t>
  </si>
  <si>
    <t>01701000</t>
  </si>
  <si>
    <t>03402000</t>
  </si>
  <si>
    <t>05670000</t>
  </si>
  <si>
    <t>011340000</t>
  </si>
  <si>
    <t>1588.65万</t>
  </si>
  <si>
    <t>56.38亿</t>
  </si>
  <si>
    <t>13.31亿</t>
  </si>
  <si>
    <t>12.26亿</t>
  </si>
  <si>
    <t>750.56万</t>
  </si>
  <si>
    <t>5483.18万</t>
  </si>
  <si>
    <t>42.64万</t>
  </si>
  <si>
    <t>45.57亿</t>
  </si>
  <si>
    <t>6639.13万</t>
  </si>
  <si>
    <t>1521.04万</t>
  </si>
  <si>
    <t>11.69亿</t>
  </si>
  <si>
    <t>5722.05万</t>
  </si>
  <si>
    <t>-3022.99万</t>
  </si>
  <si>
    <t>15.00亿</t>
  </si>
  <si>
    <t>27.56亿</t>
  </si>
  <si>
    <t>0117000000</t>
  </si>
  <si>
    <t>0351000000</t>
  </si>
  <si>
    <t>0702000000</t>
  </si>
  <si>
    <t>01170000000</t>
  </si>
  <si>
    <t>02340000000</t>
  </si>
  <si>
    <t>941.95万</t>
  </si>
  <si>
    <t>1112.86万</t>
  </si>
  <si>
    <t>380.66万</t>
  </si>
  <si>
    <t>815.26万</t>
  </si>
  <si>
    <t>470.14万</t>
  </si>
  <si>
    <t>300.33万</t>
  </si>
  <si>
    <t>9265.25万</t>
  </si>
  <si>
    <t>286.34万</t>
  </si>
  <si>
    <t>1481.40万</t>
  </si>
  <si>
    <t>4097.52万</t>
  </si>
  <si>
    <t>1115.68万</t>
  </si>
  <si>
    <t>2324.76万</t>
  </si>
  <si>
    <t>4549.05万</t>
  </si>
  <si>
    <t>011128600</t>
  </si>
  <si>
    <t>033385800</t>
  </si>
  <si>
    <t>066771600</t>
  </si>
  <si>
    <t>0111286000</t>
  </si>
  <si>
    <t>0222572000</t>
  </si>
  <si>
    <t>4312.71万</t>
  </si>
  <si>
    <t>-64.95亿</t>
  </si>
  <si>
    <t>-3.86亿</t>
  </si>
  <si>
    <t>1406.63万</t>
  </si>
  <si>
    <t>7779.90万</t>
  </si>
  <si>
    <t>4.35万</t>
  </si>
  <si>
    <t>5.02亿</t>
  </si>
  <si>
    <t>409.04万</t>
  </si>
  <si>
    <t>45.33亿</t>
  </si>
  <si>
    <t>1167.02万</t>
  </si>
  <si>
    <t>120.40亿</t>
  </si>
  <si>
    <t>-177.41万</t>
  </si>
  <si>
    <t>-1559.53万</t>
  </si>
  <si>
    <t>-8208.56万</t>
  </si>
  <si>
    <t>33.25亿</t>
  </si>
  <si>
    <t>-23.52亿</t>
  </si>
  <si>
    <t>25.11亿</t>
  </si>
  <si>
    <t>733.47万</t>
  </si>
  <si>
    <t>16.19亿</t>
  </si>
  <si>
    <t>4829.02万</t>
  </si>
  <si>
    <t>9888.80万</t>
  </si>
  <si>
    <t>449.16万</t>
  </si>
  <si>
    <t>2380.99万</t>
  </si>
  <si>
    <t>9610.35万</t>
  </si>
  <si>
    <t>3936.98万</t>
  </si>
  <si>
    <t>5208.45万</t>
  </si>
  <si>
    <t>1643.44万</t>
  </si>
  <si>
    <t>-7356.94万</t>
  </si>
  <si>
    <t>-447.18万</t>
  </si>
  <si>
    <t>3.89亿</t>
  </si>
  <si>
    <t>3908.31万</t>
  </si>
  <si>
    <t>048290200</t>
  </si>
  <si>
    <t>0144870600</t>
  </si>
  <si>
    <t>0289741200</t>
  </si>
  <si>
    <t>0482902000</t>
  </si>
  <si>
    <t>0965804000</t>
  </si>
  <si>
    <t>8-1</t>
  </si>
  <si>
    <t>3124.17万</t>
  </si>
  <si>
    <t>91.60亿</t>
  </si>
  <si>
    <t>10.22亿</t>
  </si>
  <si>
    <t>1628.79万</t>
  </si>
  <si>
    <t>7327.68万</t>
  </si>
  <si>
    <t>85.50万</t>
  </si>
  <si>
    <t>25.78亿</t>
  </si>
  <si>
    <t>3652.08万</t>
  </si>
  <si>
    <t>6.03亿</t>
  </si>
  <si>
    <t>4.65亿</t>
  </si>
  <si>
    <t>9.60亿</t>
  </si>
  <si>
    <t>9.63万</t>
  </si>
  <si>
    <t>16.68亿</t>
  </si>
  <si>
    <t>-4.52亿</t>
  </si>
  <si>
    <t>-604.80万</t>
  </si>
  <si>
    <t>2.11亿</t>
  </si>
  <si>
    <t>191.94万</t>
  </si>
  <si>
    <t>2.39亿</t>
  </si>
  <si>
    <t>-901.81万</t>
  </si>
  <si>
    <t>3368.97万</t>
  </si>
  <si>
    <t>2204.16万</t>
  </si>
  <si>
    <t>126.46万</t>
  </si>
  <si>
    <t>892.81万</t>
  </si>
  <si>
    <t>3153.53万</t>
  </si>
  <si>
    <t>6584.89万</t>
  </si>
  <si>
    <t>1764.37万</t>
  </si>
  <si>
    <t>35.02万</t>
  </si>
  <si>
    <t>7005.02万</t>
  </si>
  <si>
    <t>-6137.35万</t>
  </si>
  <si>
    <t>323.27万</t>
  </si>
  <si>
    <t>-183.45万</t>
  </si>
  <si>
    <t>8062.53万</t>
  </si>
  <si>
    <t>447.53万</t>
  </si>
  <si>
    <t>1402.85万</t>
  </si>
  <si>
    <t>8630.25万</t>
  </si>
  <si>
    <t>803.80万</t>
  </si>
  <si>
    <t>95.75亿</t>
  </si>
  <si>
    <t>-6.30亿</t>
  </si>
  <si>
    <t>20.22亿</t>
  </si>
  <si>
    <t>2027.08万</t>
  </si>
  <si>
    <t>9967.41万</t>
  </si>
  <si>
    <t>177.73万</t>
  </si>
  <si>
    <t>103.71亿</t>
  </si>
  <si>
    <t>3579.31万</t>
  </si>
  <si>
    <t>63.21亿</t>
  </si>
  <si>
    <t>75.42亿</t>
  </si>
  <si>
    <t>10.11万</t>
  </si>
  <si>
    <t>252.66亿</t>
  </si>
  <si>
    <t>58.19亿</t>
  </si>
  <si>
    <t>9.52亿</t>
  </si>
  <si>
    <t>26.93亿</t>
  </si>
  <si>
    <t>-16.34亿</t>
  </si>
  <si>
    <t>4239.38万</t>
  </si>
  <si>
    <t>571.01万</t>
  </si>
  <si>
    <t>38.32亿</t>
  </si>
  <si>
    <t>2794.34万</t>
  </si>
  <si>
    <t>9.18亿</t>
  </si>
  <si>
    <t>8.30亿</t>
  </si>
  <si>
    <t>1164.98万</t>
  </si>
  <si>
    <t>3350.63万</t>
  </si>
  <si>
    <t>12.01万</t>
  </si>
  <si>
    <t>14.38亿</t>
  </si>
  <si>
    <t>222.65万</t>
  </si>
  <si>
    <t>8.61亿</t>
  </si>
  <si>
    <t>7.92亿</t>
  </si>
  <si>
    <t>21.62亿</t>
  </si>
  <si>
    <t>2304.97万</t>
  </si>
  <si>
    <t>-2214.77万</t>
  </si>
  <si>
    <t>9546.71万</t>
  </si>
  <si>
    <t>17.59亿</t>
  </si>
  <si>
    <t>5380.66万</t>
  </si>
  <si>
    <t>3600.41万</t>
  </si>
  <si>
    <t>027943400</t>
  </si>
  <si>
    <t>083830200</t>
  </si>
  <si>
    <t>0167660400</t>
  </si>
  <si>
    <t>0279434000</t>
  </si>
  <si>
    <t>0558868000</t>
  </si>
  <si>
    <t>4746.91万</t>
  </si>
  <si>
    <t>42.01亿</t>
  </si>
  <si>
    <t>1591.04万</t>
  </si>
  <si>
    <t>47.25亿</t>
  </si>
  <si>
    <t>41.59亿</t>
  </si>
  <si>
    <t>3797.09万</t>
  </si>
  <si>
    <t>12.56万</t>
  </si>
  <si>
    <t>16.47亿</t>
  </si>
  <si>
    <t>8.44亿</t>
  </si>
  <si>
    <t>28.61亿</t>
  </si>
  <si>
    <t>63.17亿</t>
  </si>
  <si>
    <t>1020.16万</t>
  </si>
  <si>
    <t>135.03亿</t>
  </si>
  <si>
    <t>-3.29亿</t>
  </si>
  <si>
    <t>8552.55万</t>
  </si>
  <si>
    <t>63.15亿</t>
  </si>
  <si>
    <t>25.53亿</t>
  </si>
  <si>
    <t>015910400</t>
  </si>
  <si>
    <t>047731200</t>
  </si>
  <si>
    <t>095462400</t>
  </si>
  <si>
    <t>0159104000</t>
  </si>
  <si>
    <t>0318208000</t>
  </si>
  <si>
    <t>1857.49万</t>
  </si>
  <si>
    <t>60.73万</t>
  </si>
  <si>
    <t>3097.57万</t>
  </si>
  <si>
    <t>1743.25万</t>
  </si>
  <si>
    <t>338.88万</t>
  </si>
  <si>
    <t>136.04万</t>
  </si>
  <si>
    <t>1351.87万</t>
  </si>
  <si>
    <t>5.50亿</t>
  </si>
  <si>
    <t>-6270.24万</t>
  </si>
  <si>
    <t>-1638.62万</t>
  </si>
  <si>
    <t>-222.14万</t>
  </si>
  <si>
    <t>1830.22万</t>
  </si>
  <si>
    <t>4.57亿</t>
  </si>
  <si>
    <t>0607300</t>
  </si>
  <si>
    <t>01821900</t>
  </si>
  <si>
    <t>03643800</t>
  </si>
  <si>
    <t>06073000</t>
  </si>
  <si>
    <t>012146000</t>
  </si>
  <si>
    <t>1173.59万</t>
  </si>
  <si>
    <t>25.13亿</t>
  </si>
  <si>
    <t>-563.82万</t>
  </si>
  <si>
    <t>1058.69万</t>
  </si>
  <si>
    <t>1469.18万</t>
  </si>
  <si>
    <t>3.21万</t>
  </si>
  <si>
    <t>228.08万</t>
  </si>
  <si>
    <t>8513.65万</t>
  </si>
  <si>
    <t>-933.20万</t>
  </si>
  <si>
    <t>-2.03亿</t>
  </si>
  <si>
    <t>-15.05万</t>
  </si>
  <si>
    <t>8672.94万</t>
  </si>
  <si>
    <t>5775.40万</t>
  </si>
  <si>
    <t>账面净赚</t>
  </si>
  <si>
    <t>-8-0</t>
  </si>
  <si>
    <t>3821.13万</t>
  </si>
  <si>
    <t>15.30亿</t>
  </si>
  <si>
    <t>1162.14万</t>
  </si>
  <si>
    <t>2003.46万</t>
  </si>
  <si>
    <t>4275.44万</t>
  </si>
  <si>
    <t>794.11万</t>
  </si>
  <si>
    <t>5.36亿</t>
  </si>
  <si>
    <t>20.62亿</t>
  </si>
  <si>
    <t>5625.60万</t>
  </si>
  <si>
    <t>-7517.05万</t>
  </si>
  <si>
    <t>-669.53万</t>
  </si>
  <si>
    <t>3186.58万</t>
  </si>
  <si>
    <t>21.84亿</t>
  </si>
  <si>
    <t>-678.47万</t>
  </si>
  <si>
    <t>25.38亿</t>
  </si>
  <si>
    <t>011621400</t>
  </si>
  <si>
    <t>034864200</t>
  </si>
  <si>
    <t>069728400</t>
  </si>
  <si>
    <t>0116214000</t>
  </si>
  <si>
    <t>0232428000</t>
  </si>
  <si>
    <t>3-1</t>
  </si>
  <si>
    <t>690.66万</t>
  </si>
  <si>
    <t>196.88万</t>
  </si>
  <si>
    <t>1527.95万</t>
  </si>
  <si>
    <t>2156.98万</t>
  </si>
  <si>
    <t>11.22万</t>
  </si>
  <si>
    <t>194.29万</t>
  </si>
  <si>
    <t>9146.17万</t>
  </si>
  <si>
    <t>4031.06万</t>
  </si>
  <si>
    <t>-2959.36万</t>
  </si>
  <si>
    <t>-2895.35万</t>
  </si>
  <si>
    <t>8.72亿</t>
  </si>
  <si>
    <t>3020.29万</t>
  </si>
  <si>
    <t>2639.29万</t>
  </si>
  <si>
    <t>-8-1</t>
  </si>
  <si>
    <t>951.96万</t>
  </si>
  <si>
    <t>138.83亿</t>
  </si>
  <si>
    <t>37.64亿</t>
  </si>
  <si>
    <t>27.88亿</t>
  </si>
  <si>
    <t>338.41万</t>
  </si>
  <si>
    <t>45.34亿</t>
  </si>
  <si>
    <t>11.79亿</t>
  </si>
  <si>
    <t>9609.38万</t>
  </si>
  <si>
    <t>3285.80万</t>
  </si>
  <si>
    <t>23.64亿</t>
  </si>
  <si>
    <t>45.67亿</t>
  </si>
  <si>
    <t>91.93亿</t>
  </si>
  <si>
    <t>83.15亿</t>
  </si>
  <si>
    <t>4862.92万</t>
  </si>
  <si>
    <t>0181000000</t>
  </si>
  <si>
    <t>0543000000</t>
  </si>
  <si>
    <t>01086000000</t>
  </si>
  <si>
    <t>01810000000</t>
  </si>
  <si>
    <t>03620000000</t>
  </si>
  <si>
    <t>481.49万</t>
  </si>
  <si>
    <t>24.31亿</t>
  </si>
  <si>
    <t>3574.60万</t>
  </si>
  <si>
    <t>6.70亿</t>
  </si>
  <si>
    <t>1066.53万</t>
  </si>
  <si>
    <t>2321.11万</t>
  </si>
  <si>
    <t>4.89亿</t>
  </si>
  <si>
    <t>-7717.19万</t>
  </si>
  <si>
    <t>-7253.72万</t>
  </si>
  <si>
    <t>1801.90万</t>
  </si>
  <si>
    <t>5153.56万</t>
  </si>
  <si>
    <t>2821.05万</t>
  </si>
  <si>
    <t>385.99万</t>
  </si>
  <si>
    <t>-571.87万</t>
  </si>
  <si>
    <t>3886.09万</t>
  </si>
  <si>
    <t>2997.29万</t>
  </si>
  <si>
    <t>410.41万</t>
  </si>
  <si>
    <t>2110.24万</t>
  </si>
  <si>
    <t>4705.19万</t>
  </si>
  <si>
    <t>9829.86万</t>
  </si>
  <si>
    <t>149.16万</t>
  </si>
  <si>
    <t>-183.46万</t>
  </si>
  <si>
    <t>-1.49亿</t>
  </si>
  <si>
    <t>183.73万</t>
  </si>
  <si>
    <t>1131.44万</t>
  </si>
  <si>
    <t>6777.89万</t>
  </si>
  <si>
    <t>-398.66万</t>
  </si>
  <si>
    <t>2835.10万</t>
  </si>
  <si>
    <t>517.86万</t>
  </si>
  <si>
    <t>27.19亿</t>
  </si>
  <si>
    <t>747.05万</t>
  </si>
  <si>
    <t>21.30亿</t>
  </si>
  <si>
    <t>1426.41万</t>
  </si>
  <si>
    <t>5628.90万</t>
  </si>
  <si>
    <t>8.43亿</t>
  </si>
  <si>
    <t>526.56万</t>
  </si>
  <si>
    <t>20.17亿</t>
  </si>
  <si>
    <t>19.80亿</t>
  </si>
  <si>
    <t>47.63亿</t>
  </si>
  <si>
    <t>2.49亿</t>
  </si>
  <si>
    <t>-5610.18万</t>
  </si>
  <si>
    <t>-4.19亿</t>
  </si>
  <si>
    <t>36.61亿</t>
  </si>
  <si>
    <t>1029.70万</t>
  </si>
  <si>
    <t>2621.27万</t>
  </si>
  <si>
    <t>322.76万</t>
  </si>
  <si>
    <t>23.63亿</t>
  </si>
  <si>
    <t>3074.64万</t>
  </si>
  <si>
    <t>4.49亿</t>
  </si>
  <si>
    <t>367.96万</t>
  </si>
  <si>
    <t>2130.43万</t>
  </si>
  <si>
    <t>4.62亿</t>
  </si>
  <si>
    <t>19.74亿</t>
  </si>
  <si>
    <t>-1.85亿</t>
  </si>
  <si>
    <t>2394.64万</t>
  </si>
  <si>
    <t>1383.45万</t>
  </si>
  <si>
    <t>187.29万</t>
  </si>
  <si>
    <t>775.05万</t>
  </si>
  <si>
    <t>251.50万</t>
  </si>
  <si>
    <t>532.54万</t>
  </si>
  <si>
    <t>9068.51万</t>
  </si>
  <si>
    <t>726.42万</t>
  </si>
  <si>
    <t>27.04万</t>
  </si>
  <si>
    <t>-44.68万</t>
  </si>
  <si>
    <t>2073.94万</t>
  </si>
  <si>
    <t>-2174.56万</t>
  </si>
  <si>
    <t>4223.50万</t>
  </si>
  <si>
    <t>908.50万</t>
  </si>
  <si>
    <t>9305.67万</t>
  </si>
  <si>
    <t>07750500</t>
  </si>
  <si>
    <t>023251500</t>
  </si>
  <si>
    <t>046503000</t>
  </si>
  <si>
    <t>077505000</t>
  </si>
  <si>
    <t>0155010000</t>
  </si>
  <si>
    <t>255.31万</t>
  </si>
  <si>
    <t>34.86亿</t>
  </si>
  <si>
    <t>2508.22万</t>
  </si>
  <si>
    <t>7657.67万</t>
  </si>
  <si>
    <t>5185.86万</t>
  </si>
  <si>
    <t>67.60万</t>
  </si>
  <si>
    <t>82.27万</t>
  </si>
  <si>
    <t>5479.97万</t>
  </si>
  <si>
    <t>3852.62万</t>
  </si>
  <si>
    <t>612.89万</t>
  </si>
  <si>
    <t>5080.94万</t>
  </si>
  <si>
    <t>-1404.10万</t>
  </si>
  <si>
    <t>16.21亿</t>
  </si>
  <si>
    <t>1135.47万</t>
  </si>
  <si>
    <t>7332.33万</t>
  </si>
  <si>
    <t>025082200</t>
  </si>
  <si>
    <t>075246600</t>
  </si>
  <si>
    <t>0150493200</t>
  </si>
  <si>
    <t>0250822000</t>
  </si>
  <si>
    <t>0501644000</t>
  </si>
  <si>
    <t>881.90万</t>
  </si>
  <si>
    <t>2138.05万</t>
  </si>
  <si>
    <t>160.97万</t>
  </si>
  <si>
    <t>1196.86万</t>
  </si>
  <si>
    <t>9.48万</t>
  </si>
  <si>
    <t>11.63亿</t>
  </si>
  <si>
    <t>5841.18万</t>
  </si>
  <si>
    <t>8549.46万</t>
  </si>
  <si>
    <t>3080.78万</t>
  </si>
  <si>
    <t>8278.76万</t>
  </si>
  <si>
    <t>211.54万</t>
  </si>
  <si>
    <t>-807.74万</t>
  </si>
  <si>
    <t>-2095.51万</t>
  </si>
  <si>
    <t>3731.17万</t>
  </si>
  <si>
    <t>3316.80万</t>
  </si>
  <si>
    <t>5832.20万</t>
  </si>
  <si>
    <t>6.47亿</t>
  </si>
  <si>
    <t>021380500</t>
  </si>
  <si>
    <t>064141500</t>
  </si>
  <si>
    <t>0128283000</t>
  </si>
  <si>
    <t>0213805000</t>
  </si>
  <si>
    <t>0427610000</t>
  </si>
  <si>
    <t>170.19万</t>
  </si>
  <si>
    <t>14.00亿</t>
  </si>
  <si>
    <t>3495.69万</t>
  </si>
  <si>
    <t>184.56万</t>
  </si>
  <si>
    <t>741.79万</t>
  </si>
  <si>
    <t>1.20万</t>
  </si>
  <si>
    <t>5454.92万</t>
  </si>
  <si>
    <t>6242.84万</t>
  </si>
  <si>
    <t>478.03万</t>
  </si>
  <si>
    <t>80.39万</t>
  </si>
  <si>
    <t>-4970.99万</t>
  </si>
  <si>
    <t>4372.90万</t>
  </si>
  <si>
    <t>358.77万</t>
  </si>
  <si>
    <t>6.27亿</t>
  </si>
  <si>
    <t>8749.49万</t>
  </si>
  <si>
    <t>10转1.996250股派3.493438元(含税)</t>
  </si>
  <si>
    <t>1108.65万</t>
  </si>
  <si>
    <t>7330.74万</t>
  </si>
  <si>
    <t>034956900</t>
  </si>
  <si>
    <t>0104870700</t>
  </si>
  <si>
    <t>0209741400</t>
  </si>
  <si>
    <t>0349569000</t>
  </si>
  <si>
    <t>0699138000</t>
  </si>
  <si>
    <t>150.32万</t>
  </si>
  <si>
    <t>-979.21万</t>
  </si>
  <si>
    <t>865.23万</t>
  </si>
  <si>
    <t>1503.59万</t>
  </si>
  <si>
    <t>5.35万</t>
  </si>
  <si>
    <t>23.11万</t>
  </si>
  <si>
    <t>-1869.92万</t>
  </si>
  <si>
    <t>-7192.65万</t>
  </si>
  <si>
    <t>747.45万</t>
  </si>
  <si>
    <t>-5958.11万</t>
  </si>
  <si>
    <t>918.61万</t>
  </si>
  <si>
    <t>6254.44万</t>
  </si>
  <si>
    <t>454.68万</t>
  </si>
  <si>
    <t>628.28万</t>
  </si>
  <si>
    <t>9240.37万</t>
  </si>
  <si>
    <t>480.87万</t>
  </si>
  <si>
    <t>620.30万</t>
  </si>
  <si>
    <t>5.22万</t>
  </si>
  <si>
    <t>2848.23万</t>
  </si>
  <si>
    <t>641.02万</t>
  </si>
  <si>
    <t>7557.69万</t>
  </si>
  <si>
    <t>5363.63万</t>
  </si>
  <si>
    <t>2431.21万</t>
  </si>
  <si>
    <t>-136.04万</t>
  </si>
  <si>
    <t>-5608.52万</t>
  </si>
  <si>
    <t>183.28万</t>
  </si>
  <si>
    <t>2522.96万</t>
  </si>
  <si>
    <t>06282800</t>
  </si>
  <si>
    <t>018848400</t>
  </si>
  <si>
    <t>037696800</t>
  </si>
  <si>
    <t>062828000</t>
  </si>
  <si>
    <t>0125656000</t>
  </si>
  <si>
    <t>411.04万</t>
  </si>
  <si>
    <t>6528.49万</t>
  </si>
  <si>
    <t>1956.59万</t>
  </si>
  <si>
    <t>2788.37万</t>
  </si>
  <si>
    <t>3.71万</t>
  </si>
  <si>
    <t>3.33亿</t>
  </si>
  <si>
    <t>7588.94万</t>
  </si>
  <si>
    <t>342.41万</t>
  </si>
  <si>
    <t>7.70亿</t>
  </si>
  <si>
    <t>3629.90万</t>
  </si>
  <si>
    <t>-675.08万</t>
  </si>
  <si>
    <t>-6115.46万</t>
  </si>
  <si>
    <t>-57.22万</t>
  </si>
  <si>
    <t>6.78亿</t>
  </si>
  <si>
    <t>8121.14万</t>
  </si>
  <si>
    <t>1518.77万</t>
  </si>
  <si>
    <t>065284900</t>
  </si>
  <si>
    <t>0195854700</t>
  </si>
  <si>
    <t>0391709400</t>
  </si>
  <si>
    <t>0652849000</t>
  </si>
  <si>
    <t>01305698000</t>
  </si>
  <si>
    <t>1437.82万</t>
  </si>
  <si>
    <t>-9.51万</t>
  </si>
  <si>
    <t>4192.31万</t>
  </si>
  <si>
    <t>2963.44万</t>
  </si>
  <si>
    <t>568.51万</t>
  </si>
  <si>
    <t>545.18万</t>
  </si>
  <si>
    <t>6360.49万</t>
  </si>
  <si>
    <t>465.60万</t>
  </si>
  <si>
    <t>4459.65万</t>
  </si>
  <si>
    <t>223.96万</t>
  </si>
  <si>
    <t>7457.17万</t>
  </si>
  <si>
    <t>-2292.84万</t>
  </si>
  <si>
    <t>-5.38万</t>
  </si>
  <si>
    <t>32.52万</t>
  </si>
  <si>
    <t>7673.55万</t>
  </si>
  <si>
    <t>-36.79万</t>
  </si>
  <si>
    <t>5700.19万</t>
  </si>
  <si>
    <t>2085.86万</t>
  </si>
  <si>
    <t>88.61亿</t>
  </si>
  <si>
    <t>4947.64万</t>
  </si>
  <si>
    <t>25.81亿</t>
  </si>
  <si>
    <t>24.07亿</t>
  </si>
  <si>
    <t>1739.79万</t>
  </si>
  <si>
    <t>4750.37万</t>
  </si>
  <si>
    <t>94.29万</t>
  </si>
  <si>
    <t>14.22亿</t>
  </si>
  <si>
    <t>12.04亿</t>
  </si>
  <si>
    <t>17.52亿</t>
  </si>
  <si>
    <t>16.79亿</t>
  </si>
  <si>
    <t>53.36亿</t>
  </si>
  <si>
    <t>-8663.80万</t>
  </si>
  <si>
    <t>-1.45亿</t>
  </si>
  <si>
    <t>33.74亿</t>
  </si>
  <si>
    <t>049476400</t>
  </si>
  <si>
    <t>0148429200</t>
  </si>
  <si>
    <t>0296858400</t>
  </si>
  <si>
    <t>0494764000</t>
  </si>
  <si>
    <t>0989528000</t>
  </si>
  <si>
    <t>1065.83万</t>
  </si>
  <si>
    <t>41.63亿</t>
  </si>
  <si>
    <t>-564.60万</t>
  </si>
  <si>
    <t>530.34万</t>
  </si>
  <si>
    <t>3138.01万</t>
  </si>
  <si>
    <t>153.87万</t>
  </si>
  <si>
    <t>1128.39万</t>
  </si>
  <si>
    <t>15.77亿</t>
  </si>
  <si>
    <t>-3737.11万</t>
  </si>
  <si>
    <t>250.78万</t>
  </si>
  <si>
    <t>-1.08亿</t>
  </si>
  <si>
    <t>5399.01万</t>
  </si>
  <si>
    <t>29.77亿</t>
  </si>
  <si>
    <t>3149.31万</t>
  </si>
  <si>
    <t>7.58亿</t>
  </si>
  <si>
    <t>2069.45万</t>
  </si>
  <si>
    <t>3775.34万</t>
  </si>
  <si>
    <t>10.49亿</t>
  </si>
  <si>
    <t>1900.75万</t>
  </si>
  <si>
    <t>949.05万</t>
  </si>
  <si>
    <t>34.70万</t>
  </si>
  <si>
    <t>931.10万</t>
  </si>
  <si>
    <t>-1553.96万</t>
  </si>
  <si>
    <t>16.20亿</t>
  </si>
  <si>
    <t>4493.78万</t>
  </si>
  <si>
    <t>031493100</t>
  </si>
  <si>
    <t>094479300</t>
  </si>
  <si>
    <t>0188958600</t>
  </si>
  <si>
    <t>0314931000</t>
  </si>
  <si>
    <t>0629862000</t>
  </si>
  <si>
    <t>704.80万</t>
  </si>
  <si>
    <t>15.21亿</t>
  </si>
  <si>
    <t>-5854.84万</t>
  </si>
  <si>
    <t>4.75亿</t>
  </si>
  <si>
    <t>1717.54万</t>
  </si>
  <si>
    <t>6369.67万</t>
  </si>
  <si>
    <t>874.86万</t>
  </si>
  <si>
    <t>6338.20万</t>
  </si>
  <si>
    <t>7436.84万</t>
  </si>
  <si>
    <t>22.73万</t>
  </si>
  <si>
    <t>19.38亿</t>
  </si>
  <si>
    <t>-1.04亿</t>
  </si>
  <si>
    <t>6094.67万</t>
  </si>
  <si>
    <t>-4774.35万</t>
  </si>
  <si>
    <t>5885.10万</t>
  </si>
  <si>
    <t>1847.24万</t>
  </si>
  <si>
    <t>201.33万</t>
  </si>
  <si>
    <t>3464.53万</t>
  </si>
  <si>
    <t>2096.68万</t>
  </si>
  <si>
    <t>5.18万</t>
  </si>
  <si>
    <t>658.56万</t>
  </si>
  <si>
    <t>3508.18万</t>
  </si>
  <si>
    <t>9500.00万</t>
  </si>
  <si>
    <t>6.82亿</t>
  </si>
  <si>
    <t>640.51万</t>
  </si>
  <si>
    <t>3318.73万</t>
  </si>
  <si>
    <t>-9640.19万</t>
  </si>
  <si>
    <t>-683.20万</t>
  </si>
  <si>
    <t>13.24亿</t>
  </si>
  <si>
    <t>02013300</t>
  </si>
  <si>
    <t>06039900</t>
  </si>
  <si>
    <t>012079800</t>
  </si>
  <si>
    <t>020133000</t>
  </si>
  <si>
    <t>040266000</t>
  </si>
  <si>
    <t>607.54万</t>
  </si>
  <si>
    <t>26.01亿</t>
  </si>
  <si>
    <t>2418.66万</t>
  </si>
  <si>
    <t>2749.10万</t>
  </si>
  <si>
    <t>4130.57万</t>
  </si>
  <si>
    <t>119.90万</t>
  </si>
  <si>
    <t>206.56万</t>
  </si>
  <si>
    <t>8095.87万</t>
  </si>
  <si>
    <t>3.73亿</t>
  </si>
  <si>
    <t>441.32万</t>
  </si>
  <si>
    <t>19.36亿</t>
  </si>
  <si>
    <t>5242.48万</t>
  </si>
  <si>
    <t>-1.35亿</t>
  </si>
  <si>
    <t>2517.54万</t>
  </si>
  <si>
    <t>16.96亿</t>
  </si>
  <si>
    <t>3285.00万</t>
  </si>
  <si>
    <t>024186600</t>
  </si>
  <si>
    <t>072559800</t>
  </si>
  <si>
    <t>0145119600</t>
  </si>
  <si>
    <t>0241866000</t>
  </si>
  <si>
    <t>0483732000</t>
  </si>
  <si>
    <t>1042.06万</t>
  </si>
  <si>
    <t>47.01亿</t>
  </si>
  <si>
    <t>1942.67万</t>
  </si>
  <si>
    <t>7370.21万</t>
  </si>
  <si>
    <t>-3.63万</t>
  </si>
  <si>
    <t>18.60亿</t>
  </si>
  <si>
    <t>4921.57万</t>
  </si>
  <si>
    <t>3.32亿</t>
  </si>
  <si>
    <t>17.70亿</t>
  </si>
  <si>
    <t>50.86亿</t>
  </si>
  <si>
    <t>-5332.12万</t>
  </si>
  <si>
    <t>-1.58亿</t>
  </si>
  <si>
    <t>-7603.28万</t>
  </si>
  <si>
    <t>32.99亿</t>
  </si>
  <si>
    <t>2.21亿</t>
  </si>
  <si>
    <t>10派0.500690元(含税)</t>
  </si>
  <si>
    <t>6270.26万</t>
  </si>
  <si>
    <t>5.81亿</t>
  </si>
  <si>
    <t>019426700</t>
  </si>
  <si>
    <t>058280100</t>
  </si>
  <si>
    <t>0116560200</t>
  </si>
  <si>
    <t>0194267000</t>
  </si>
  <si>
    <t>0388534000</t>
  </si>
  <si>
    <t>2862.07万</t>
  </si>
  <si>
    <t>21.00亿</t>
  </si>
  <si>
    <t>754.02万</t>
  </si>
  <si>
    <t>1452.58万</t>
  </si>
  <si>
    <t>2454.55万</t>
  </si>
  <si>
    <t>17.59万</t>
  </si>
  <si>
    <t>9332.62万</t>
  </si>
  <si>
    <t>7809.08万</t>
  </si>
  <si>
    <t>1541.64万</t>
  </si>
  <si>
    <t>9.77亿</t>
  </si>
  <si>
    <t>3082.13万</t>
  </si>
  <si>
    <t>-330.54万</t>
  </si>
  <si>
    <t>-1.67亿</t>
  </si>
  <si>
    <t>-1033.80万</t>
  </si>
  <si>
    <t>07540200</t>
  </si>
  <si>
    <t>022620600</t>
  </si>
  <si>
    <t>045241200</t>
  </si>
  <si>
    <t>075402000</t>
  </si>
  <si>
    <t>0150804000</t>
  </si>
  <si>
    <t>2523.53万</t>
  </si>
  <si>
    <t>8081.25万</t>
  </si>
  <si>
    <t>-227.43万</t>
  </si>
  <si>
    <t>2229.64万</t>
  </si>
  <si>
    <t>936.69万</t>
  </si>
  <si>
    <t>74.50万</t>
  </si>
  <si>
    <t>541.40万</t>
  </si>
  <si>
    <t>2.37亿</t>
  </si>
  <si>
    <t>8467.81万</t>
  </si>
  <si>
    <t>9.29万</t>
  </si>
  <si>
    <t>8.55亿</t>
  </si>
  <si>
    <t>1782.18万</t>
  </si>
  <si>
    <t>-72.51万</t>
  </si>
  <si>
    <t>1381.39万</t>
  </si>
  <si>
    <t>2694.28万</t>
  </si>
  <si>
    <t>9752.97万</t>
  </si>
  <si>
    <t>2085.89万</t>
  </si>
  <si>
    <t>86.30亿</t>
  </si>
  <si>
    <t>17.12亿</t>
  </si>
  <si>
    <t>12.76亿</t>
  </si>
  <si>
    <t>141.78万</t>
  </si>
  <si>
    <t>6.18亿</t>
  </si>
  <si>
    <t>7036.44万</t>
  </si>
  <si>
    <t>17.63亿</t>
  </si>
  <si>
    <t>48.28亿</t>
  </si>
  <si>
    <t>-2981.72万</t>
  </si>
  <si>
    <t>-1.23亿</t>
  </si>
  <si>
    <t>40.18亿</t>
  </si>
  <si>
    <t>9320.90万</t>
  </si>
  <si>
    <t>6.19亿</t>
  </si>
  <si>
    <t>0101000000</t>
  </si>
  <si>
    <t>0303000000</t>
  </si>
  <si>
    <t>0606000000</t>
  </si>
  <si>
    <t>01010000000</t>
  </si>
  <si>
    <t>02020000000</t>
  </si>
  <si>
    <t>419.18万</t>
  </si>
  <si>
    <t>4913.09万</t>
  </si>
  <si>
    <t>-327.52万</t>
  </si>
  <si>
    <t>9670.31万</t>
  </si>
  <si>
    <t>765.68万</t>
  </si>
  <si>
    <t>1537.10万</t>
  </si>
  <si>
    <t>3634.38万</t>
  </si>
  <si>
    <t>3.42万</t>
  </si>
  <si>
    <t>7.19亿</t>
  </si>
  <si>
    <t>-1443.40万</t>
  </si>
  <si>
    <t>1268.54万</t>
  </si>
  <si>
    <t>765.73万</t>
  </si>
  <si>
    <t>-5237.86万</t>
  </si>
  <si>
    <t>3487.72万</t>
  </si>
  <si>
    <t>1569.76万</t>
  </si>
  <si>
    <t>31.46亿</t>
  </si>
  <si>
    <t>7300.04万</t>
  </si>
  <si>
    <t>5.78亿</t>
  </si>
  <si>
    <t>1487.86万</t>
  </si>
  <si>
    <t>3400.65万</t>
  </si>
  <si>
    <t>32.62万</t>
  </si>
  <si>
    <t>6.67亿</t>
  </si>
  <si>
    <t>7.49亿</t>
  </si>
  <si>
    <t>6.97亿</t>
  </si>
  <si>
    <t>-7274.18万</t>
  </si>
  <si>
    <t>-114.12万</t>
  </si>
  <si>
    <t>11.57亿</t>
  </si>
  <si>
    <t>9151.83万</t>
  </si>
  <si>
    <t>073000400</t>
  </si>
  <si>
    <t>0219001200</t>
  </si>
  <si>
    <t>0438002400</t>
  </si>
  <si>
    <t>0730004000</t>
  </si>
  <si>
    <t>01460008000</t>
  </si>
  <si>
    <t>943.52万</t>
  </si>
  <si>
    <t>74.24亿</t>
  </si>
  <si>
    <t>9.87亿</t>
  </si>
  <si>
    <t>8.63亿</t>
  </si>
  <si>
    <t>694.06万</t>
  </si>
  <si>
    <t>4510.70万</t>
  </si>
  <si>
    <t>58.13万</t>
  </si>
  <si>
    <t>13.05亿</t>
  </si>
  <si>
    <t>5.13亿</t>
  </si>
  <si>
    <t>11.33亿</t>
  </si>
  <si>
    <t>27.30亿</t>
  </si>
  <si>
    <t>-2.32亿</t>
  </si>
  <si>
    <t>-4.30亿</t>
  </si>
  <si>
    <t>-3.64亿</t>
  </si>
  <si>
    <t>5409.74万</t>
  </si>
  <si>
    <t>334.03万</t>
  </si>
  <si>
    <t>1635.98万</t>
  </si>
  <si>
    <t>895.02万</t>
  </si>
  <si>
    <t>2543.14万</t>
  </si>
  <si>
    <t>4106.92万</t>
  </si>
  <si>
    <t>7555.25万</t>
  </si>
  <si>
    <t>12.31亿</t>
  </si>
  <si>
    <t>-667.22万</t>
  </si>
  <si>
    <t>-6366.21万</t>
  </si>
  <si>
    <t>1217.69万</t>
  </si>
  <si>
    <t>1682.28万</t>
  </si>
  <si>
    <t>016359800</t>
  </si>
  <si>
    <t>049079400</t>
  </si>
  <si>
    <t>098158800</t>
  </si>
  <si>
    <t>0163598000</t>
  </si>
  <si>
    <t>0327196000</t>
  </si>
  <si>
    <t>259.60万</t>
  </si>
  <si>
    <t>7096.50万</t>
  </si>
  <si>
    <t>8.23亿</t>
  </si>
  <si>
    <t>6.02亿</t>
  </si>
  <si>
    <t>5132.08万</t>
  </si>
  <si>
    <t>13.31万</t>
  </si>
  <si>
    <t>693.94万</t>
  </si>
  <si>
    <t>2844609900亿</t>
  </si>
  <si>
    <t>165.19万</t>
  </si>
  <si>
    <t>10.92亿</t>
  </si>
  <si>
    <t>-2276.38万</t>
  </si>
  <si>
    <t>-6347.40万</t>
  </si>
  <si>
    <t>-8565.54万</t>
  </si>
  <si>
    <t>1686.94万</t>
  </si>
  <si>
    <t>070965000</t>
  </si>
  <si>
    <t>0212895000</t>
  </si>
  <si>
    <t>0425790000</t>
  </si>
  <si>
    <t>0709650000</t>
  </si>
  <si>
    <t>01419300000</t>
  </si>
  <si>
    <t>SZ300489</t>
  </si>
  <si>
    <t>光智科技</t>
  </si>
  <si>
    <t>360.61万</t>
  </si>
  <si>
    <t>32.73亿</t>
  </si>
  <si>
    <t>2293.73万</t>
  </si>
  <si>
    <t>-4155.18万</t>
  </si>
  <si>
    <t>719.71万</t>
  </si>
  <si>
    <t>2338.53万</t>
  </si>
  <si>
    <t>9.32万</t>
  </si>
  <si>
    <t>-47139336亿</t>
  </si>
  <si>
    <t>6419.55万</t>
  </si>
  <si>
    <t>257973350亿</t>
  </si>
  <si>
    <t>2075.62万</t>
  </si>
  <si>
    <t>1227658570亿</t>
  </si>
  <si>
    <t>1852.70万</t>
  </si>
  <si>
    <t>3.86亿</t>
  </si>
  <si>
    <t>19.08亿</t>
  </si>
  <si>
    <t>-1.96亿</t>
  </si>
  <si>
    <t>-6637.93万</t>
  </si>
  <si>
    <t>2.56亿</t>
  </si>
  <si>
    <t>9.36亿</t>
  </si>
  <si>
    <t>7.24亿</t>
  </si>
  <si>
    <t>-1.14亿</t>
  </si>
  <si>
    <t>422.55万</t>
  </si>
  <si>
    <t>2381.03万</t>
  </si>
  <si>
    <t>119.89万</t>
  </si>
  <si>
    <t>-2.41亿</t>
  </si>
  <si>
    <t>1953.40万</t>
  </si>
  <si>
    <t>397.37万</t>
  </si>
  <si>
    <t>4573.34万</t>
  </si>
  <si>
    <t>1075.92万</t>
  </si>
  <si>
    <t>1308.06万</t>
  </si>
  <si>
    <t>18.00万</t>
  </si>
  <si>
    <t>277.82万</t>
  </si>
  <si>
    <t>-9248.19万</t>
  </si>
  <si>
    <t>-1230.68万</t>
  </si>
  <si>
    <t>4614.55万</t>
  </si>
  <si>
    <t>5.47亿</t>
  </si>
  <si>
    <t>7776.01万</t>
  </si>
  <si>
    <t>1774.87万</t>
  </si>
  <si>
    <t>045733400</t>
  </si>
  <si>
    <t>0137200200</t>
  </si>
  <si>
    <t>0274400400</t>
  </si>
  <si>
    <t>0457334000</t>
  </si>
  <si>
    <t>0914668000</t>
  </si>
  <si>
    <t>285.53万</t>
  </si>
  <si>
    <t>19.02亿</t>
  </si>
  <si>
    <t>4918.25万</t>
  </si>
  <si>
    <t>4.22亿</t>
  </si>
  <si>
    <t>753.55万</t>
  </si>
  <si>
    <t>2197.06万</t>
  </si>
  <si>
    <t>8.76万</t>
  </si>
  <si>
    <t>-612.87万</t>
  </si>
  <si>
    <t>-1.32亿</t>
  </si>
  <si>
    <t>4997.68万</t>
  </si>
  <si>
    <t>1967.31万</t>
  </si>
  <si>
    <t>334.00万</t>
  </si>
  <si>
    <t>14.59亿</t>
  </si>
  <si>
    <t>184.00万</t>
  </si>
  <si>
    <t>7575.59万</t>
  </si>
  <si>
    <t>4913.63万</t>
  </si>
  <si>
    <t>6878.83万</t>
  </si>
  <si>
    <t>1950.28万</t>
  </si>
  <si>
    <t>630.14万</t>
  </si>
  <si>
    <t>3698.13万</t>
  </si>
  <si>
    <t>-1165.24万</t>
  </si>
  <si>
    <t>95.82万</t>
  </si>
  <si>
    <t>-6423.07万</t>
  </si>
  <si>
    <t>1729.72万</t>
  </si>
  <si>
    <t>01840000</t>
  </si>
  <si>
    <t>05520000</t>
  </si>
  <si>
    <t>011040000</t>
  </si>
  <si>
    <t>018400000</t>
  </si>
  <si>
    <t>036800000</t>
  </si>
  <si>
    <t>132.17万</t>
  </si>
  <si>
    <t>22.16亿</t>
  </si>
  <si>
    <t>1419.53万</t>
  </si>
  <si>
    <t>7525.94万</t>
  </si>
  <si>
    <t>3666.31万</t>
  </si>
  <si>
    <t>67.48万</t>
  </si>
  <si>
    <t>3094.10万</t>
  </si>
  <si>
    <t>5050.00万</t>
  </si>
  <si>
    <t>9.68亿</t>
  </si>
  <si>
    <t>-7678.10万</t>
  </si>
  <si>
    <t>1381.97万</t>
  </si>
  <si>
    <t>10.07亿</t>
  </si>
  <si>
    <t>7719.40万</t>
  </si>
  <si>
    <t>640.57万</t>
  </si>
  <si>
    <t>5570.74万</t>
  </si>
  <si>
    <t>014195300</t>
  </si>
  <si>
    <t>042585900</t>
  </si>
  <si>
    <t>085171800</t>
  </si>
  <si>
    <t>0141953000</t>
  </si>
  <si>
    <t>0283906000</t>
  </si>
  <si>
    <t>131.72万</t>
  </si>
  <si>
    <t>18.97亿</t>
  </si>
  <si>
    <t>2332.83万</t>
  </si>
  <si>
    <t>2191.99万</t>
  </si>
  <si>
    <t>1240.43万</t>
  </si>
  <si>
    <t>10.69万</t>
  </si>
  <si>
    <t>1271.56万</t>
  </si>
  <si>
    <t>1387.26万</t>
  </si>
  <si>
    <t>6536.50万</t>
  </si>
  <si>
    <t>8830.51万</t>
  </si>
  <si>
    <t>48.16万</t>
  </si>
  <si>
    <t>-5156.81万</t>
  </si>
  <si>
    <t>-5091.58万</t>
  </si>
  <si>
    <t>8127.00万</t>
  </si>
  <si>
    <t>10派2.031651元(含税)</t>
  </si>
  <si>
    <t>1097.87万</t>
  </si>
  <si>
    <t>023328300</t>
  </si>
  <si>
    <t>069984900</t>
  </si>
  <si>
    <t>0139969800</t>
  </si>
  <si>
    <t>0233283000</t>
  </si>
  <si>
    <t>0466566000</t>
  </si>
  <si>
    <t>653.38万</t>
  </si>
  <si>
    <t>3.51亿</t>
  </si>
  <si>
    <t>9453.85万</t>
  </si>
  <si>
    <t>1229.03万</t>
  </si>
  <si>
    <t>8719.77万</t>
  </si>
  <si>
    <t>6157.71万</t>
  </si>
  <si>
    <t>893.67万</t>
  </si>
  <si>
    <t>879.25万</t>
  </si>
  <si>
    <t>435409亿</t>
  </si>
  <si>
    <t>8.69万</t>
  </si>
  <si>
    <t>7084515亿</t>
  </si>
  <si>
    <t>80279654亿</t>
  </si>
  <si>
    <t>1446.65万</t>
  </si>
  <si>
    <t>608968840亿</t>
  </si>
  <si>
    <t>4806.93万</t>
  </si>
  <si>
    <t>3652.30万</t>
  </si>
  <si>
    <t>4389.14万</t>
  </si>
  <si>
    <t>221.35万</t>
  </si>
  <si>
    <t>523.02万</t>
  </si>
  <si>
    <t>-710.83万</t>
  </si>
  <si>
    <t>3422.48万</t>
  </si>
  <si>
    <t>5644.41万</t>
  </si>
  <si>
    <t>10派0.50元(含税)</t>
  </si>
  <si>
    <t>3717.72万</t>
  </si>
  <si>
    <t>012290300</t>
  </si>
  <si>
    <t>036870900</t>
  </si>
  <si>
    <t>073741800</t>
  </si>
  <si>
    <t>0122903000</t>
  </si>
  <si>
    <t>0245806000</t>
  </si>
  <si>
    <t>759.23万</t>
  </si>
  <si>
    <t>25.70亿</t>
  </si>
  <si>
    <t>4810.76万</t>
  </si>
  <si>
    <t>460.57万</t>
  </si>
  <si>
    <t>957.40万</t>
  </si>
  <si>
    <t>1.59万</t>
  </si>
  <si>
    <t>19.42亿</t>
  </si>
  <si>
    <t>2436.34万</t>
  </si>
  <si>
    <t>7.40亿</t>
  </si>
  <si>
    <t>2299.59万</t>
  </si>
  <si>
    <t>1.99亿</t>
  </si>
  <si>
    <t>11.99亿</t>
  </si>
  <si>
    <t>2507.25万</t>
  </si>
  <si>
    <t>3898.95万</t>
  </si>
  <si>
    <t>539.91万</t>
  </si>
  <si>
    <t>11.00亿</t>
  </si>
  <si>
    <t>2015.37万</t>
  </si>
  <si>
    <t>515.26万</t>
  </si>
  <si>
    <t>1110.50万</t>
  </si>
  <si>
    <t>4.40亿</t>
  </si>
  <si>
    <t>3849.29万</t>
  </si>
  <si>
    <t>9664.93万</t>
  </si>
  <si>
    <t>33.91万</t>
  </si>
  <si>
    <t>-6698.62万</t>
  </si>
  <si>
    <t>-2580.85万</t>
  </si>
  <si>
    <t>-1167.05万</t>
  </si>
  <si>
    <t>2614.94万</t>
  </si>
  <si>
    <t>020153700</t>
  </si>
  <si>
    <t>060461100</t>
  </si>
  <si>
    <t>0120922200</t>
  </si>
  <si>
    <t>0201537000</t>
  </si>
  <si>
    <t>0403074000</t>
  </si>
  <si>
    <t>121.31万</t>
  </si>
  <si>
    <t>-21.35万</t>
  </si>
  <si>
    <t>8705.37万</t>
  </si>
  <si>
    <t>404.61万</t>
  </si>
  <si>
    <t>505.68万</t>
  </si>
  <si>
    <t>8908.80万</t>
  </si>
  <si>
    <t>4789.47万</t>
  </si>
  <si>
    <t>751.41万</t>
  </si>
  <si>
    <t>-2268.81万</t>
  </si>
  <si>
    <t>743.09万</t>
  </si>
  <si>
    <t>-574.49万</t>
  </si>
  <si>
    <t>817.73万</t>
  </si>
  <si>
    <t>5672.32万</t>
  </si>
  <si>
    <t>369.81万</t>
  </si>
  <si>
    <t>16.02亿</t>
  </si>
  <si>
    <t>-3504.08万</t>
  </si>
  <si>
    <t>4155.69万</t>
  </si>
  <si>
    <t>2299.89万</t>
  </si>
  <si>
    <t>4.11万</t>
  </si>
  <si>
    <t>745.00万</t>
  </si>
  <si>
    <t>6685.16万</t>
  </si>
  <si>
    <t>2281.67万</t>
  </si>
  <si>
    <t>-7252.37万</t>
  </si>
  <si>
    <t>-1915.00万</t>
  </si>
  <si>
    <t>-1830.86万</t>
  </si>
  <si>
    <t>4.11亿</t>
  </si>
  <si>
    <t>-1304.44万</t>
  </si>
  <si>
    <t>3373.37万</t>
  </si>
  <si>
    <t>175.47万</t>
  </si>
  <si>
    <t>19.45亿</t>
  </si>
  <si>
    <t>1281.59万</t>
  </si>
  <si>
    <t>534.29万</t>
  </si>
  <si>
    <t>3180.45万</t>
  </si>
  <si>
    <t>4.78万</t>
  </si>
  <si>
    <t>5.16亿</t>
  </si>
  <si>
    <t>6991.64万</t>
  </si>
  <si>
    <t>3200.00万</t>
  </si>
  <si>
    <t>1335.90万</t>
  </si>
  <si>
    <t>-2269.73万</t>
  </si>
  <si>
    <t>2403.51万</t>
  </si>
  <si>
    <t>989.82万</t>
  </si>
  <si>
    <t>259.84万</t>
  </si>
  <si>
    <t>13.60亿</t>
  </si>
  <si>
    <t>2408.11万</t>
  </si>
  <si>
    <t>813.19万</t>
  </si>
  <si>
    <t>1393.47万</t>
  </si>
  <si>
    <t>1.00万</t>
  </si>
  <si>
    <t>392.91万</t>
  </si>
  <si>
    <t>2671.99万</t>
  </si>
  <si>
    <t>3555.16万</t>
  </si>
  <si>
    <t>-36.45万</t>
  </si>
  <si>
    <t>-7086.99万</t>
  </si>
  <si>
    <t>6935.58万</t>
  </si>
  <si>
    <t>1436.06万</t>
  </si>
  <si>
    <t>8774.50万</t>
  </si>
  <si>
    <t>024081100</t>
  </si>
  <si>
    <t>072243300</t>
  </si>
  <si>
    <t>0144486600</t>
  </si>
  <si>
    <t>0240811000</t>
  </si>
  <si>
    <t>0481622000</t>
  </si>
  <si>
    <t>140.12万</t>
  </si>
  <si>
    <t>10.48亿</t>
  </si>
  <si>
    <t>-1113.42万</t>
  </si>
  <si>
    <t>6684.85万</t>
  </si>
  <si>
    <t>5228.33万</t>
  </si>
  <si>
    <t>255.45万</t>
  </si>
  <si>
    <t>790.50万</t>
  </si>
  <si>
    <t>9172.95万</t>
  </si>
  <si>
    <t>3002.29万</t>
  </si>
  <si>
    <t>6908.24万</t>
  </si>
  <si>
    <t>-3599.67万</t>
  </si>
  <si>
    <t>-1207.97万</t>
  </si>
  <si>
    <t>-251.51万</t>
  </si>
  <si>
    <t>-7870.21万</t>
  </si>
  <si>
    <t>855.23万</t>
  </si>
  <si>
    <t>6552.28万</t>
  </si>
  <si>
    <t>309.59万</t>
  </si>
  <si>
    <t>597.00万</t>
  </si>
  <si>
    <t>1143.73万</t>
  </si>
  <si>
    <t>1317.90万</t>
  </si>
  <si>
    <t>16.00万</t>
  </si>
  <si>
    <t>9756.32万</t>
  </si>
  <si>
    <t>5001.02万</t>
  </si>
  <si>
    <t>221.54万</t>
  </si>
  <si>
    <t>3101.66万</t>
  </si>
  <si>
    <t>5652.24万</t>
  </si>
  <si>
    <t>371.95万</t>
  </si>
  <si>
    <t>3507.79万</t>
  </si>
  <si>
    <t>-1369.64万</t>
  </si>
  <si>
    <t>1322.60万</t>
  </si>
  <si>
    <t>2311.55万</t>
  </si>
  <si>
    <t>111.79万</t>
  </si>
  <si>
    <t>10.77亿</t>
  </si>
  <si>
    <t>515.01万</t>
  </si>
  <si>
    <t>648.42万</t>
  </si>
  <si>
    <t>901.80万</t>
  </si>
  <si>
    <t>2061.42万</t>
  </si>
  <si>
    <t>-14.89万</t>
  </si>
  <si>
    <t>2228.77万</t>
  </si>
  <si>
    <t>8753.69万</t>
  </si>
  <si>
    <t>718.60万</t>
  </si>
  <si>
    <t>656.07万</t>
  </si>
  <si>
    <t>7433.74万</t>
  </si>
  <si>
    <t>05150100</t>
  </si>
  <si>
    <t>015450300</t>
  </si>
  <si>
    <t>030900600</t>
  </si>
  <si>
    <t>051501000</t>
  </si>
  <si>
    <t>0103002000</t>
  </si>
  <si>
    <t>201.44万</t>
  </si>
  <si>
    <t>11.77亿</t>
  </si>
  <si>
    <t>2155.52万</t>
  </si>
  <si>
    <t>395.27万</t>
  </si>
  <si>
    <t>661.81万</t>
  </si>
  <si>
    <t>3648.87万</t>
  </si>
  <si>
    <t>1245.31万</t>
  </si>
  <si>
    <t>889.84万</t>
  </si>
  <si>
    <t>-887.80万</t>
  </si>
  <si>
    <t>-2925.85万</t>
  </si>
  <si>
    <t>-200.64万</t>
  </si>
  <si>
    <t>3911.86万</t>
  </si>
  <si>
    <t>899.75万</t>
  </si>
  <si>
    <t>021555200</t>
  </si>
  <si>
    <t>064665600</t>
  </si>
  <si>
    <t>0129331200</t>
  </si>
  <si>
    <t>0215552000</t>
  </si>
  <si>
    <t>0431104000</t>
  </si>
  <si>
    <t>364.49万</t>
  </si>
  <si>
    <t>8.07亿</t>
  </si>
  <si>
    <t>786.84万</t>
  </si>
  <si>
    <t>9976.64万</t>
  </si>
  <si>
    <t>109.45万</t>
  </si>
  <si>
    <t>566.24万</t>
  </si>
  <si>
    <t>3.90万</t>
  </si>
  <si>
    <t>477.99万</t>
  </si>
  <si>
    <t>4845.30万</t>
  </si>
  <si>
    <t>3550.62万</t>
  </si>
  <si>
    <t>8455.63万</t>
  </si>
  <si>
    <t>-64.24万</t>
  </si>
  <si>
    <t>-2167.02万</t>
  </si>
  <si>
    <t>1186.76万</t>
  </si>
  <si>
    <t>-805.78万</t>
  </si>
  <si>
    <t>2533.90万</t>
  </si>
  <si>
    <t>209.22万</t>
  </si>
  <si>
    <t>-1504.49万</t>
  </si>
  <si>
    <t>4.97亿</t>
  </si>
  <si>
    <t>4.10亿</t>
  </si>
  <si>
    <t>465.38万</t>
  </si>
  <si>
    <t>4334.95万</t>
  </si>
  <si>
    <t>22.68万</t>
  </si>
  <si>
    <t>623.98万</t>
  </si>
  <si>
    <t>8.50亿</t>
  </si>
  <si>
    <t>7.89亿</t>
  </si>
  <si>
    <t>17.94亿</t>
  </si>
  <si>
    <t>12.29亿</t>
  </si>
  <si>
    <t>-1.34亿</t>
  </si>
  <si>
    <t>6379.09万</t>
  </si>
  <si>
    <t>8067.38万</t>
  </si>
  <si>
    <t>7895.95万</t>
  </si>
  <si>
    <t>1157.25万</t>
  </si>
  <si>
    <t>55.50万</t>
  </si>
  <si>
    <t>25.89亿</t>
  </si>
  <si>
    <t>2259.56万</t>
  </si>
  <si>
    <t>1476.75万</t>
  </si>
  <si>
    <t>87.90万</t>
  </si>
  <si>
    <t>10.23亿</t>
  </si>
  <si>
    <t>5660.63万</t>
  </si>
  <si>
    <t>4833.61万</t>
  </si>
  <si>
    <t>4113.95万</t>
  </si>
  <si>
    <t>-8724.46万</t>
  </si>
  <si>
    <t>-2906.66万</t>
  </si>
  <si>
    <t>10派19.263897元(含税)</t>
  </si>
  <si>
    <t>227.86万</t>
  </si>
  <si>
    <t>2756.51万</t>
  </si>
  <si>
    <t>050904500</t>
  </si>
  <si>
    <t>0152713500</t>
  </si>
  <si>
    <t>0305427000</t>
  </si>
  <si>
    <t>0509045000</t>
  </si>
  <si>
    <t>01018090000</t>
  </si>
  <si>
    <t>245.86万</t>
  </si>
  <si>
    <t>2527.09万</t>
  </si>
  <si>
    <t>1141.02万</t>
  </si>
  <si>
    <t>1059.43万</t>
  </si>
  <si>
    <t>2780.61万</t>
  </si>
  <si>
    <t>5000.76万</t>
  </si>
  <si>
    <t>8700.00万</t>
  </si>
  <si>
    <t>-2219.02万</t>
  </si>
  <si>
    <t>1475.10万</t>
  </si>
  <si>
    <t>-2601.37万</t>
  </si>
  <si>
    <t>6.31亿</t>
  </si>
  <si>
    <t>6177.27万</t>
  </si>
  <si>
    <t>1741.38万</t>
  </si>
  <si>
    <t>221.47万</t>
  </si>
  <si>
    <t>1077.25万</t>
  </si>
  <si>
    <t>6895.71万</t>
  </si>
  <si>
    <t>5287.81万</t>
  </si>
  <si>
    <t>535.63万</t>
  </si>
  <si>
    <t>910.66万</t>
  </si>
  <si>
    <t>2.73万</t>
  </si>
  <si>
    <t>635.77万</t>
  </si>
  <si>
    <t>1441.85万</t>
  </si>
  <si>
    <t>600.00万</t>
  </si>
  <si>
    <t>166.48万</t>
  </si>
  <si>
    <t>-6989.03万</t>
  </si>
  <si>
    <t>-515.35万</t>
  </si>
  <si>
    <t>3455.93万</t>
  </si>
  <si>
    <t>1245.03万</t>
  </si>
  <si>
    <t>010772500</t>
  </si>
  <si>
    <t>032317500</t>
  </si>
  <si>
    <t>064635000</t>
  </si>
  <si>
    <t>0107725000</t>
  </si>
  <si>
    <t>0215450000</t>
  </si>
  <si>
    <t>131.52万</t>
  </si>
  <si>
    <t>-2242.13万</t>
  </si>
  <si>
    <t>52.39万</t>
  </si>
  <si>
    <t>1090.98万</t>
  </si>
  <si>
    <t>2435.92万</t>
  </si>
  <si>
    <t>-1771.39万</t>
  </si>
  <si>
    <t>-4427.20万</t>
  </si>
  <si>
    <t>8.37亿</t>
  </si>
  <si>
    <t>-1988.45万</t>
  </si>
  <si>
    <t>8592.45万</t>
  </si>
  <si>
    <t>-9-0</t>
  </si>
  <si>
    <t>397.20万</t>
  </si>
  <si>
    <t>36.38亿</t>
  </si>
  <si>
    <t>5178.77万</t>
  </si>
  <si>
    <t>254.63万</t>
  </si>
  <si>
    <t>14.95亿</t>
  </si>
  <si>
    <t>296.67万</t>
  </si>
  <si>
    <t>83.71万</t>
  </si>
  <si>
    <t>-832.55万</t>
  </si>
  <si>
    <t>-2.08亿</t>
  </si>
  <si>
    <t>2316.24万</t>
  </si>
  <si>
    <t>051787700</t>
  </si>
  <si>
    <t>0155363100</t>
  </si>
  <si>
    <t>0310726200</t>
  </si>
  <si>
    <t>0517877000</t>
  </si>
  <si>
    <t>01035754000</t>
  </si>
  <si>
    <t>755.82万</t>
  </si>
  <si>
    <t>1378.36万</t>
  </si>
  <si>
    <t>12.81亿</t>
  </si>
  <si>
    <t>2769.08万</t>
  </si>
  <si>
    <t>6741.17万</t>
  </si>
  <si>
    <t>48.61万</t>
  </si>
  <si>
    <t>4113.64万</t>
  </si>
  <si>
    <t>13.40亿</t>
  </si>
  <si>
    <t>11.97亿</t>
  </si>
  <si>
    <t>-2952.48万</t>
  </si>
  <si>
    <t>27.06亿</t>
  </si>
  <si>
    <t>7406.22万</t>
  </si>
  <si>
    <t>3942.61万</t>
  </si>
  <si>
    <t>013783600</t>
  </si>
  <si>
    <t>041350800</t>
  </si>
  <si>
    <t>082701600</t>
  </si>
  <si>
    <t>0137836000</t>
  </si>
  <si>
    <t>0275672000</t>
  </si>
  <si>
    <t>741.83万</t>
  </si>
  <si>
    <t>25.08亿</t>
  </si>
  <si>
    <t>1137.52万</t>
  </si>
  <si>
    <t>513.66万</t>
  </si>
  <si>
    <t>4170.86万</t>
  </si>
  <si>
    <t>10.18亿</t>
  </si>
  <si>
    <t>6154.60万</t>
  </si>
  <si>
    <t>1314.79万</t>
  </si>
  <si>
    <t>4237.46万</t>
  </si>
  <si>
    <t>343.34万</t>
  </si>
  <si>
    <t>-3960.60万</t>
  </si>
  <si>
    <t>-1342.53万</t>
  </si>
  <si>
    <t>-1643.24万</t>
  </si>
  <si>
    <t>696.04万</t>
  </si>
  <si>
    <t>4304.62万</t>
  </si>
  <si>
    <t>011375200</t>
  </si>
  <si>
    <t>034125600</t>
  </si>
  <si>
    <t>068251200</t>
  </si>
  <si>
    <t>0113752000</t>
  </si>
  <si>
    <t>0227504000</t>
  </si>
  <si>
    <t>1576.38万</t>
  </si>
  <si>
    <t>372.76亿</t>
  </si>
  <si>
    <t>34.48亿</t>
  </si>
  <si>
    <t>30.29亿</t>
  </si>
  <si>
    <t>5515.98万</t>
  </si>
  <si>
    <t>48.02万</t>
  </si>
  <si>
    <t>92.84亿</t>
  </si>
  <si>
    <t>25.30亿</t>
  </si>
  <si>
    <t>44.71亿</t>
  </si>
  <si>
    <t>45.88亿</t>
  </si>
  <si>
    <t>24.15亿</t>
  </si>
  <si>
    <t>117.46亿</t>
  </si>
  <si>
    <t>31.65亿</t>
  </si>
  <si>
    <t>-4.78亿</t>
  </si>
  <si>
    <t>64.69亿</t>
  </si>
  <si>
    <t>9028.20万</t>
  </si>
  <si>
    <t>8.10亿</t>
  </si>
  <si>
    <t>0119000000</t>
  </si>
  <si>
    <t>0357000000</t>
  </si>
  <si>
    <t>0714000000</t>
  </si>
  <si>
    <t>01190000000</t>
  </si>
  <si>
    <t>02380000000</t>
  </si>
  <si>
    <t>1316.09万</t>
  </si>
  <si>
    <t>207.32亿</t>
  </si>
  <si>
    <t>26.65亿</t>
  </si>
  <si>
    <t>3647.76万</t>
  </si>
  <si>
    <t>9207.27万</t>
  </si>
  <si>
    <t>29.74万</t>
  </si>
  <si>
    <t>54.94亿</t>
  </si>
  <si>
    <t>27.42亿</t>
  </si>
  <si>
    <t>5381.40万</t>
  </si>
  <si>
    <t>31.31亿</t>
  </si>
  <si>
    <t>245.31万</t>
  </si>
  <si>
    <t>106.31亿</t>
  </si>
  <si>
    <t>71.21亿</t>
  </si>
  <si>
    <t>-6.84亿</t>
  </si>
  <si>
    <t>52.39亿</t>
  </si>
  <si>
    <t>-2.70亿</t>
  </si>
  <si>
    <t>8608.95万</t>
  </si>
  <si>
    <t>113.65万</t>
  </si>
  <si>
    <t>18.63亿</t>
  </si>
  <si>
    <t>4555.97万</t>
  </si>
  <si>
    <t>927.07万</t>
  </si>
  <si>
    <t>912.32万</t>
  </si>
  <si>
    <t>7.90亿</t>
  </si>
  <si>
    <t>2139.09万</t>
  </si>
  <si>
    <t>-486.02万</t>
  </si>
  <si>
    <t>-2790.84万</t>
  </si>
  <si>
    <t>34.72万</t>
  </si>
  <si>
    <t>605.53万</t>
  </si>
  <si>
    <t>2435.17万</t>
  </si>
  <si>
    <t>045559700</t>
  </si>
  <si>
    <t>0136679100</t>
  </si>
  <si>
    <t>0273358200</t>
  </si>
  <si>
    <t>0455597000</t>
  </si>
  <si>
    <t>0911194000</t>
  </si>
  <si>
    <t>-5-1</t>
  </si>
  <si>
    <t>74.43万</t>
  </si>
  <si>
    <t>36.26亿</t>
  </si>
  <si>
    <t>7462.88万</t>
  </si>
  <si>
    <t>9.89亿</t>
  </si>
  <si>
    <t>8.60亿</t>
  </si>
  <si>
    <t>4055.19万</t>
  </si>
  <si>
    <t>5372.24万</t>
  </si>
  <si>
    <t>678.99万</t>
  </si>
  <si>
    <t>35.50亿</t>
  </si>
  <si>
    <t>152.36万</t>
  </si>
  <si>
    <t>16.63亿</t>
  </si>
  <si>
    <t>-2828.92万</t>
  </si>
  <si>
    <t>24.55亿</t>
  </si>
  <si>
    <t>495.75万</t>
  </si>
  <si>
    <t>4696.49万</t>
  </si>
  <si>
    <t>074628800</t>
  </si>
  <si>
    <t>0223886400</t>
  </si>
  <si>
    <t>0447772800</t>
  </si>
  <si>
    <t>0746288000</t>
  </si>
  <si>
    <t>01492576000</t>
  </si>
  <si>
    <t>205.85万</t>
  </si>
  <si>
    <t>66.29亿</t>
  </si>
  <si>
    <t>14.41亿</t>
  </si>
  <si>
    <t>7805.55万</t>
  </si>
  <si>
    <t>239.32万</t>
  </si>
  <si>
    <t>50.05亿</t>
  </si>
  <si>
    <t>527.40万</t>
  </si>
  <si>
    <t>1774.41万</t>
  </si>
  <si>
    <t>-1.72亿</t>
  </si>
  <si>
    <t>35.44亿</t>
  </si>
  <si>
    <t>1050.72万</t>
  </si>
  <si>
    <t>4959.78万</t>
  </si>
  <si>
    <t>0121000000</t>
  </si>
  <si>
    <t>0363000000</t>
  </si>
  <si>
    <t>0726000000</t>
  </si>
  <si>
    <t>01210000000</t>
  </si>
  <si>
    <t>02420000000</t>
  </si>
  <si>
    <t>1370.83万</t>
  </si>
  <si>
    <t>326.61万</t>
  </si>
  <si>
    <t>9502.82万</t>
  </si>
  <si>
    <t>828.40万</t>
  </si>
  <si>
    <t>1132.17万</t>
  </si>
  <si>
    <t>96.68万</t>
  </si>
  <si>
    <t>1051.17万</t>
  </si>
  <si>
    <t>5820.57万</t>
  </si>
  <si>
    <t>3012.19万</t>
  </si>
  <si>
    <t>158.60万</t>
  </si>
  <si>
    <t>-650.99万</t>
  </si>
  <si>
    <t>-262.00万</t>
  </si>
  <si>
    <t>-314.33万</t>
  </si>
  <si>
    <t>2322.75万</t>
  </si>
  <si>
    <t>8158.85万</t>
  </si>
  <si>
    <t>03266100</t>
  </si>
  <si>
    <t>09798300</t>
  </si>
  <si>
    <t>019596600</t>
  </si>
  <si>
    <t>032661000</t>
  </si>
  <si>
    <t>065322000</t>
  </si>
  <si>
    <t>160.85万</t>
  </si>
  <si>
    <t>320.97万</t>
  </si>
  <si>
    <t>299.08万</t>
  </si>
  <si>
    <t>1785.40万</t>
  </si>
  <si>
    <t>1.50万</t>
  </si>
  <si>
    <t>317.30万</t>
  </si>
  <si>
    <t>5648.18万</t>
  </si>
  <si>
    <t>-7236.28万</t>
  </si>
  <si>
    <t>7545.88万</t>
  </si>
  <si>
    <t>5.75亿</t>
  </si>
  <si>
    <t>1134.21万</t>
  </si>
  <si>
    <t>1386.13万</t>
  </si>
  <si>
    <t>03209700</t>
  </si>
  <si>
    <t>09629100</t>
  </si>
  <si>
    <t>019258200</t>
  </si>
  <si>
    <t>032097000</t>
  </si>
  <si>
    <t>064194000</t>
  </si>
  <si>
    <t>XD盛洋科</t>
  </si>
  <si>
    <t>155.06万</t>
  </si>
  <si>
    <t>370.99万</t>
  </si>
  <si>
    <t>410.86万</t>
  </si>
  <si>
    <t>2804.33万</t>
  </si>
  <si>
    <t>45.04万</t>
  </si>
  <si>
    <t>3.83亿</t>
  </si>
  <si>
    <t>1022.40万</t>
  </si>
  <si>
    <t>246.39万</t>
  </si>
  <si>
    <t>1237.81万</t>
  </si>
  <si>
    <t>1312.69万</t>
  </si>
  <si>
    <t>-2829.15万</t>
  </si>
  <si>
    <t>-1384.44万</t>
  </si>
  <si>
    <t>7351.12万</t>
  </si>
  <si>
    <t>3.52亿</t>
  </si>
  <si>
    <t>1013.44万</t>
  </si>
  <si>
    <t>1401.88万</t>
  </si>
  <si>
    <t>03709900</t>
  </si>
  <si>
    <t>011129700</t>
  </si>
  <si>
    <t>022259400</t>
  </si>
  <si>
    <t>037099000</t>
  </si>
  <si>
    <t>074198000</t>
  </si>
  <si>
    <t>404.90万</t>
  </si>
  <si>
    <t>15.46亿</t>
  </si>
  <si>
    <t>-542.02万</t>
  </si>
  <si>
    <t>5.22亿</t>
  </si>
  <si>
    <t>1139.04万</t>
  </si>
  <si>
    <t>3851.88万</t>
  </si>
  <si>
    <t>91.69万</t>
  </si>
  <si>
    <t>7.03亿</t>
  </si>
  <si>
    <t>6281.76万</t>
  </si>
  <si>
    <t>3.43亿</t>
  </si>
  <si>
    <t>7592.86万</t>
  </si>
  <si>
    <t>7810.50万</t>
  </si>
  <si>
    <t>-1131.83万</t>
  </si>
  <si>
    <t>2562.19万</t>
  </si>
  <si>
    <t>3.45亿</t>
  </si>
  <si>
    <t>196.18万</t>
  </si>
  <si>
    <t>1117.06万</t>
  </si>
  <si>
    <t>517.91万</t>
  </si>
  <si>
    <t>1742.16万</t>
  </si>
  <si>
    <t>235.47万</t>
  </si>
  <si>
    <t>6985.85万</t>
  </si>
  <si>
    <t>5.48亿</t>
  </si>
  <si>
    <t>132.85万</t>
  </si>
  <si>
    <t>1471.43万</t>
  </si>
  <si>
    <t>-4099.34万</t>
  </si>
  <si>
    <t>-283.70万</t>
  </si>
  <si>
    <t>3651.61万</t>
  </si>
  <si>
    <t>1140.04万</t>
  </si>
  <si>
    <t>9742.68万</t>
  </si>
  <si>
    <t>011170600</t>
  </si>
  <si>
    <t>033511800</t>
  </si>
  <si>
    <t>067023600</t>
  </si>
  <si>
    <t>0111706000</t>
  </si>
  <si>
    <t>0223412000</t>
  </si>
  <si>
    <t>XD立达信</t>
  </si>
  <si>
    <t>35.66亿</t>
  </si>
  <si>
    <t>6885.08万</t>
  </si>
  <si>
    <t>9.93亿</t>
  </si>
  <si>
    <t>53.81万</t>
  </si>
  <si>
    <t>724.47万</t>
  </si>
  <si>
    <t>19.26亿</t>
  </si>
  <si>
    <t>-1146.28万</t>
  </si>
  <si>
    <t>-2.27亿</t>
  </si>
  <si>
    <t>195.56万</t>
  </si>
  <si>
    <t>30.67亿</t>
  </si>
  <si>
    <t>678.42万</t>
  </si>
  <si>
    <t>5187.59万</t>
  </si>
  <si>
    <t>068850800</t>
  </si>
  <si>
    <t>0206552400</t>
  </si>
  <si>
    <t>0413104800</t>
  </si>
  <si>
    <t>0688508000</t>
  </si>
  <si>
    <t>01377016000</t>
  </si>
  <si>
    <t>154.66万</t>
  </si>
  <si>
    <t>10.66亿</t>
  </si>
  <si>
    <t>1045.71万</t>
  </si>
  <si>
    <t>359.92万</t>
  </si>
  <si>
    <t>910.79万</t>
  </si>
  <si>
    <t>4.70亿</t>
  </si>
  <si>
    <t>662.92万</t>
  </si>
  <si>
    <t>7089.14万</t>
  </si>
  <si>
    <t>4039.67万</t>
  </si>
  <si>
    <t>-2.66亿</t>
  </si>
  <si>
    <t>2926.86万</t>
  </si>
  <si>
    <t>1065.55万</t>
  </si>
  <si>
    <t>62.60万</t>
  </si>
  <si>
    <t>-2006.01万</t>
  </si>
  <si>
    <t>7990.21万</t>
  </si>
  <si>
    <t>247.91万</t>
  </si>
  <si>
    <t>1972.99万</t>
  </si>
  <si>
    <t>1711.75万</t>
  </si>
  <si>
    <t>256.54万</t>
  </si>
  <si>
    <t>208.47万</t>
  </si>
  <si>
    <t>16.28万</t>
  </si>
  <si>
    <t>1807.05万</t>
  </si>
  <si>
    <t>-767.38万</t>
  </si>
  <si>
    <t>-3688.50万</t>
  </si>
  <si>
    <t>-374.22万</t>
  </si>
  <si>
    <t>293.61万</t>
  </si>
  <si>
    <t>2533.44万</t>
  </si>
  <si>
    <t>544.12万</t>
  </si>
  <si>
    <t>44.36亿</t>
  </si>
  <si>
    <t>-5877.98万</t>
  </si>
  <si>
    <t>9.56亿</t>
  </si>
  <si>
    <t>8.62亿</t>
  </si>
  <si>
    <t>1232.99万</t>
  </si>
  <si>
    <t>2645.02万</t>
  </si>
  <si>
    <t>254.06万</t>
  </si>
  <si>
    <t>20.86亿</t>
  </si>
  <si>
    <t>490.86万</t>
  </si>
  <si>
    <t>5963.33万</t>
  </si>
  <si>
    <t>26.34亿</t>
  </si>
  <si>
    <t>-1000.06万</t>
  </si>
  <si>
    <t>-4306.52万</t>
  </si>
  <si>
    <t>3602.64万</t>
  </si>
  <si>
    <t>17.57亿</t>
  </si>
  <si>
    <t>-1.89亿</t>
  </si>
  <si>
    <t>3166.30万</t>
  </si>
  <si>
    <t>324.91万</t>
  </si>
  <si>
    <t>14.79亿</t>
  </si>
  <si>
    <t>-2355.90万</t>
  </si>
  <si>
    <t>8735.40万</t>
  </si>
  <si>
    <t>146.59万</t>
  </si>
  <si>
    <t>1082.24万</t>
  </si>
  <si>
    <t>2.21万</t>
  </si>
  <si>
    <t>9202.31万</t>
  </si>
  <si>
    <t>57.54万</t>
  </si>
  <si>
    <t>6.12亿</t>
  </si>
  <si>
    <t>1130.70万</t>
  </si>
  <si>
    <t>2492.99万</t>
  </si>
  <si>
    <t>-3104.61万</t>
  </si>
  <si>
    <t>2161.92万</t>
  </si>
  <si>
    <t>311.03万</t>
  </si>
  <si>
    <t>16.74亿</t>
  </si>
  <si>
    <t>2929.06万</t>
  </si>
  <si>
    <t>274.73万</t>
  </si>
  <si>
    <t>1093.09万</t>
  </si>
  <si>
    <t>247.47万</t>
  </si>
  <si>
    <t>9867.11万</t>
  </si>
  <si>
    <t>4774.01万</t>
  </si>
  <si>
    <t>491.19万</t>
  </si>
  <si>
    <t>-1797.85万</t>
  </si>
  <si>
    <t>2212.05万</t>
  </si>
  <si>
    <t>2148.89万</t>
  </si>
  <si>
    <t>029290600</t>
  </si>
  <si>
    <t>087871800</t>
  </si>
  <si>
    <t>0175743600</t>
  </si>
  <si>
    <t>0292906000</t>
  </si>
  <si>
    <t>0585812000</t>
  </si>
  <si>
    <t>XD八亿时</t>
  </si>
  <si>
    <t>166.04万</t>
  </si>
  <si>
    <t>21.04亿</t>
  </si>
  <si>
    <t>1919.58万</t>
  </si>
  <si>
    <t>1861.41万</t>
  </si>
  <si>
    <t>1047.48万</t>
  </si>
  <si>
    <t>457.67万</t>
  </si>
  <si>
    <t>5.58亿</t>
  </si>
  <si>
    <t>1720.09万</t>
  </si>
  <si>
    <t>-1.03亿</t>
  </si>
  <si>
    <t>5369.78万</t>
  </si>
  <si>
    <t>1131.58万</t>
  </si>
  <si>
    <t>8516.79万</t>
  </si>
  <si>
    <t>236.25万</t>
  </si>
  <si>
    <t>1125.47万</t>
  </si>
  <si>
    <t>8553.16万</t>
  </si>
  <si>
    <t>6374.48万</t>
  </si>
  <si>
    <t>326.17万</t>
  </si>
  <si>
    <t>773.57万</t>
  </si>
  <si>
    <t>3.08万</t>
  </si>
  <si>
    <t>1821.17万</t>
  </si>
  <si>
    <t>1334.05万</t>
  </si>
  <si>
    <t>3999.00万</t>
  </si>
  <si>
    <t>4190.36万</t>
  </si>
  <si>
    <t>60.47万</t>
  </si>
  <si>
    <t>2255.88万</t>
  </si>
  <si>
    <t>-212.11万</t>
  </si>
  <si>
    <t>-7533.13万</t>
  </si>
  <si>
    <t>6690.39万</t>
  </si>
  <si>
    <t>2039.09万</t>
  </si>
  <si>
    <t>10派1.003元(含税)</t>
  </si>
  <si>
    <t>1413.91万</t>
  </si>
  <si>
    <t>154.35万</t>
  </si>
  <si>
    <t>21.39亿</t>
  </si>
  <si>
    <t>823.28万</t>
  </si>
  <si>
    <t>956.58万</t>
  </si>
  <si>
    <t>2664.37万</t>
  </si>
  <si>
    <t>29.60万</t>
  </si>
  <si>
    <t>3953.84万</t>
  </si>
  <si>
    <t>2.94亿</t>
  </si>
  <si>
    <t>5.05亿</t>
  </si>
  <si>
    <t>-5935.49万</t>
  </si>
  <si>
    <t>-6966.91万</t>
  </si>
  <si>
    <t>718.11万</t>
  </si>
  <si>
    <t>6073.91万</t>
  </si>
  <si>
    <t>1857.95万</t>
  </si>
  <si>
    <t>08232800</t>
  </si>
  <si>
    <t>024698400</t>
  </si>
  <si>
    <t>049396800</t>
  </si>
  <si>
    <t>082328000</t>
  </si>
  <si>
    <t>0164656000</t>
  </si>
  <si>
    <t>236.70万</t>
  </si>
  <si>
    <t>-2878.07万</t>
  </si>
  <si>
    <t>5809.06万</t>
  </si>
  <si>
    <t>1539.08万</t>
  </si>
  <si>
    <t>2709.07万</t>
  </si>
  <si>
    <t>13.19亿</t>
  </si>
  <si>
    <t>1005.53万</t>
  </si>
  <si>
    <t>1323.31万</t>
  </si>
  <si>
    <t>560.93万</t>
  </si>
  <si>
    <t>5884.93万</t>
  </si>
  <si>
    <t>-3363.02万</t>
  </si>
  <si>
    <t>-8024.15万</t>
  </si>
  <si>
    <t>3233.04万</t>
  </si>
  <si>
    <t>-1.40亿</t>
  </si>
  <si>
    <t>1263.99万</t>
  </si>
  <si>
    <t>208.08万</t>
  </si>
  <si>
    <t>12.49亿</t>
  </si>
  <si>
    <t>-800.29万</t>
  </si>
  <si>
    <t>366.84万</t>
  </si>
  <si>
    <t>697.38万</t>
  </si>
  <si>
    <t>23.53万</t>
  </si>
  <si>
    <t>6155.72万</t>
  </si>
  <si>
    <t>3319.78万</t>
  </si>
  <si>
    <t>42.02万</t>
  </si>
  <si>
    <t>-5261.55万</t>
  </si>
  <si>
    <t>5230.36万</t>
  </si>
  <si>
    <t>-1478.82万</t>
  </si>
  <si>
    <t>1307.01万</t>
  </si>
  <si>
    <t>8415.12万</t>
  </si>
  <si>
    <t>69.61万</t>
  </si>
  <si>
    <t>428.08万</t>
  </si>
  <si>
    <t>5602.82万</t>
  </si>
  <si>
    <t>612.04万</t>
  </si>
  <si>
    <t>2471.81万</t>
  </si>
  <si>
    <t>18.09万</t>
  </si>
  <si>
    <t>8.59万</t>
  </si>
  <si>
    <t>6700.99万</t>
  </si>
  <si>
    <t>7060.24万</t>
  </si>
  <si>
    <t>-3308.39万</t>
  </si>
  <si>
    <t>4356.41万</t>
  </si>
  <si>
    <t>2859.97万</t>
  </si>
  <si>
    <t>315.53万</t>
  </si>
  <si>
    <t>2991.01万</t>
  </si>
  <si>
    <t>2190.12万</t>
  </si>
  <si>
    <t>119.20亿</t>
  </si>
  <si>
    <t>-6.42亿</t>
  </si>
  <si>
    <t>16.66亿</t>
  </si>
  <si>
    <t>14.56亿</t>
  </si>
  <si>
    <t>831.09万</t>
  </si>
  <si>
    <t>2585.55万</t>
  </si>
  <si>
    <t>83.92万</t>
  </si>
  <si>
    <t>9.57亿</t>
  </si>
  <si>
    <t>67.10亿</t>
  </si>
  <si>
    <t>11.46亿</t>
  </si>
  <si>
    <t>32.71亿</t>
  </si>
  <si>
    <t>126.74亿</t>
  </si>
  <si>
    <t>-2.21亿</t>
  </si>
  <si>
    <t>13.73亿</t>
  </si>
  <si>
    <t>-12.96亿</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</si>
</sst>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11"/>
      <name val="宋体"/>
      <family val="2"/>
      <charset val="134"/>
      <scheme val="minor"/>
    </font>
    <font>
      <sz val="9"/>
      <color rgb="FFFF0000"/>
      <name val="宋体"/>
      <family val="3"/>
      <charset val="134"/>
      <scheme val="minor"/>
    </font>
    <font>
      <b/>
      <sz val="9"/>
      <color rgb="FFFF0000"/>
      <name val="宋体"/>
      <family val="3"/>
      <charset val="134"/>
      <scheme val="minor"/>
    </font>
    <font>
      <sz val="11"/>
      <color rgb="FF000000"/>
      <name val="宋体"/>
      <family val="3"/>
      <charset val="134"/>
    </font>
    <font>
      <b/>
      <sz val="9"/>
      <color theme="1"/>
      <name val="宋体"/>
      <family val="3"/>
      <charset val="134"/>
      <scheme val="minor"/>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2" fillId="0" borderId="0" xfId="0" applyFont="1">
      <alignment vertical="center"/>
    </xf>
    <xf numFmtId="0" fontId="16" fillId="0" borderId="0" xfId="0" applyFont="1">
      <alignment vertical="center"/>
    </xf>
    <xf numFmtId="0" fontId="22"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476250</xdr:colOff>
          <xdr:row>0</xdr:row>
          <xdr:rowOff>95250</xdr:rowOff>
        </xdr:from>
        <xdr:to>
          <xdr:col>147</xdr:col>
          <xdr:colOff>1663700</xdr:colOff>
          <xdr:row>0</xdr:row>
          <xdr:rowOff>698500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34"/>
  <sheetViews>
    <sheetView tabSelected="1" zoomScale="85" zoomScaleNormal="85" workbookViewId="0">
      <pane xSplit="5" ySplit="1" topLeftCell="F101" activePane="bottomRight" state="frozen"/>
      <selection pane="topRight" activeCell="F1" sqref="F1"/>
      <selection pane="bottomLeft" activeCell="A2" sqref="A2"/>
      <selection pane="bottomRight" activeCell="C50" sqref="C50"/>
    </sheetView>
  </sheetViews>
  <sheetFormatPr defaultColWidth="8.81640625" defaultRowHeight="14" x14ac:dyDescent="0.25"/>
  <cols>
    <col min="1" max="1" width="38.1796875" style="7" customWidth="1"/>
    <col min="2" max="2" width="37.7265625" style="7" customWidth="1"/>
    <col min="3" max="3" width="47.54296875" style="7"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32" style="3" customWidth="1"/>
    <col min="149" max="16384" width="8.81640625" style="3"/>
  </cols>
  <sheetData>
    <row r="1" spans="1:146" ht="63.5" customHeight="1" x14ac:dyDescent="0.25">
      <c r="A1" s="6" t="s">
        <v>102</v>
      </c>
      <c r="B1" s="8" t="s">
        <v>103</v>
      </c>
      <c r="C1" s="6" t="s">
        <v>101</v>
      </c>
      <c r="D1" s="3" t="s">
        <v>843</v>
      </c>
      <c r="E1" s="3" t="s">
        <v>984</v>
      </c>
      <c r="F1" s="3" t="s">
        <v>12</v>
      </c>
      <c r="G1" s="3" t="s">
        <v>844</v>
      </c>
      <c r="H1" s="3" t="s">
        <v>1084</v>
      </c>
      <c r="I1" s="3" t="s">
        <v>9</v>
      </c>
      <c r="J1" s="3" t="s">
        <v>10</v>
      </c>
      <c r="K1" s="3" t="s">
        <v>3</v>
      </c>
      <c r="L1" s="3" t="s">
        <v>11</v>
      </c>
      <c r="M1" s="3" t="s">
        <v>13</v>
      </c>
      <c r="N1" s="3" t="s">
        <v>14</v>
      </c>
      <c r="O1" s="3" t="s">
        <v>31</v>
      </c>
      <c r="P1" s="3" t="s">
        <v>1085</v>
      </c>
      <c r="Q1" s="3" t="s">
        <v>992</v>
      </c>
      <c r="R1" s="3" t="s">
        <v>985</v>
      </c>
      <c r="S1" s="3" t="s">
        <v>15</v>
      </c>
      <c r="T1" s="3" t="s">
        <v>1086</v>
      </c>
      <c r="U1" s="3" t="s">
        <v>845</v>
      </c>
      <c r="V1" s="3" t="s">
        <v>16</v>
      </c>
      <c r="W1" s="3" t="s">
        <v>993</v>
      </c>
      <c r="X1" s="3" t="s">
        <v>994</v>
      </c>
      <c r="Y1" s="3" t="s">
        <v>995</v>
      </c>
      <c r="Z1" s="3" t="s">
        <v>996</v>
      </c>
      <c r="AA1" s="3" t="s">
        <v>997</v>
      </c>
      <c r="AB1" s="3" t="s">
        <v>1087</v>
      </c>
      <c r="AC1" s="3" t="s">
        <v>998</v>
      </c>
      <c r="AD1" s="3" t="s">
        <v>986</v>
      </c>
      <c r="AE1" s="3" t="s">
        <v>17</v>
      </c>
      <c r="AF1" s="3" t="s">
        <v>18</v>
      </c>
      <c r="AG1" s="3" t="s">
        <v>1088</v>
      </c>
      <c r="AH1" s="3" t="s">
        <v>987</v>
      </c>
      <c r="AI1" s="3" t="s">
        <v>1089</v>
      </c>
      <c r="AJ1" s="3" t="s">
        <v>19</v>
      </c>
      <c r="AK1" s="3" t="s">
        <v>1090</v>
      </c>
      <c r="AL1" s="3" t="s">
        <v>168</v>
      </c>
      <c r="AM1" s="3" t="s">
        <v>1091</v>
      </c>
      <c r="AN1" s="3" t="s">
        <v>1092</v>
      </c>
      <c r="AO1" s="3" t="s">
        <v>1093</v>
      </c>
      <c r="AP1" s="3" t="s">
        <v>1094</v>
      </c>
      <c r="AQ1" s="3" t="s">
        <v>1095</v>
      </c>
      <c r="AR1" s="3" t="s">
        <v>1096</v>
      </c>
      <c r="AS1" s="3" t="s">
        <v>1097</v>
      </c>
      <c r="AT1" s="3" t="s">
        <v>1098</v>
      </c>
      <c r="AU1" s="3" t="s">
        <v>1099</v>
      </c>
      <c r="AV1" s="3" t="s">
        <v>1100</v>
      </c>
      <c r="AW1" s="3" t="s">
        <v>1101</v>
      </c>
      <c r="AX1" s="3" t="s">
        <v>988</v>
      </c>
      <c r="AY1" s="3" t="s">
        <v>169</v>
      </c>
      <c r="AZ1" s="3" t="s">
        <v>170</v>
      </c>
      <c r="BA1" s="3" t="s">
        <v>171</v>
      </c>
      <c r="BB1" s="3" t="s">
        <v>172</v>
      </c>
      <c r="BC1" s="3" t="s">
        <v>846</v>
      </c>
      <c r="BD1" s="3" t="s">
        <v>173</v>
      </c>
      <c r="BE1" s="3" t="s">
        <v>174</v>
      </c>
      <c r="BF1" s="3" t="s">
        <v>175</v>
      </c>
      <c r="BG1" s="3" t="s">
        <v>176</v>
      </c>
      <c r="BH1" s="3" t="s">
        <v>1102</v>
      </c>
      <c r="BI1" s="3" t="s">
        <v>1103</v>
      </c>
      <c r="BJ1" s="3" t="s">
        <v>1104</v>
      </c>
      <c r="BK1" s="3" t="s">
        <v>1105</v>
      </c>
      <c r="BL1" s="3" t="s">
        <v>1106</v>
      </c>
      <c r="BM1" s="3" t="s">
        <v>1107</v>
      </c>
      <c r="BN1" s="3" t="s">
        <v>999</v>
      </c>
      <c r="BO1" s="3" t="s">
        <v>847</v>
      </c>
      <c r="BP1" s="3" t="s">
        <v>177</v>
      </c>
      <c r="BQ1" s="3" t="s">
        <v>1000</v>
      </c>
      <c r="BR1" s="3" t="s">
        <v>848</v>
      </c>
      <c r="BS1" s="3" t="s">
        <v>178</v>
      </c>
      <c r="BT1" s="3" t="s">
        <v>1108</v>
      </c>
      <c r="BU1" s="3" t="s">
        <v>1001</v>
      </c>
      <c r="BV1" s="3" t="s">
        <v>1109</v>
      </c>
      <c r="BW1" s="3" t="s">
        <v>333</v>
      </c>
      <c r="BX1" s="3" t="s">
        <v>179</v>
      </c>
      <c r="BY1" s="3" t="s">
        <v>1110</v>
      </c>
      <c r="BZ1" s="3" t="s">
        <v>334</v>
      </c>
      <c r="CA1" s="3" t="s">
        <v>180</v>
      </c>
      <c r="CB1" s="3" t="s">
        <v>1111</v>
      </c>
      <c r="CC1" s="3" t="s">
        <v>1112</v>
      </c>
      <c r="CD1" s="3" t="s">
        <v>1113</v>
      </c>
      <c r="CE1" s="3" t="s">
        <v>1114</v>
      </c>
      <c r="CF1" s="1" t="s">
        <v>989</v>
      </c>
      <c r="CG1" s="1" t="s">
        <v>990</v>
      </c>
      <c r="CH1" s="1" t="s">
        <v>260</v>
      </c>
      <c r="CI1" s="1" t="s">
        <v>261</v>
      </c>
      <c r="CJ1" s="1" t="s">
        <v>262</v>
      </c>
      <c r="CK1" s="1" t="s">
        <v>263</v>
      </c>
      <c r="CL1" s="1" t="s">
        <v>264</v>
      </c>
      <c r="CM1" s="1" t="s">
        <v>265</v>
      </c>
      <c r="CN1" s="1" t="s">
        <v>266</v>
      </c>
      <c r="CO1" s="1" t="s">
        <v>267</v>
      </c>
      <c r="CP1" s="1" t="s">
        <v>268</v>
      </c>
      <c r="CQ1" s="1" t="s">
        <v>269</v>
      </c>
      <c r="CR1" s="1" t="s">
        <v>1115</v>
      </c>
      <c r="CS1" s="1" t="s">
        <v>1116</v>
      </c>
      <c r="CT1" s="1" t="s">
        <v>1117</v>
      </c>
      <c r="CU1" s="1" t="s">
        <v>1118</v>
      </c>
      <c r="CV1" s="1" t="s">
        <v>1119</v>
      </c>
      <c r="CW1" s="1" t="s">
        <v>1120</v>
      </c>
      <c r="CX1" s="3">
        <v>1</v>
      </c>
      <c r="CY1" s="3" t="s">
        <v>1121</v>
      </c>
      <c r="CZ1" s="3" t="s">
        <v>1122</v>
      </c>
      <c r="DA1" s="3">
        <v>3</v>
      </c>
      <c r="DB1" s="3" t="s">
        <v>1123</v>
      </c>
      <c r="DC1" s="3" t="s">
        <v>1124</v>
      </c>
      <c r="DD1" s="3">
        <v>6</v>
      </c>
      <c r="DE1" s="3" t="s">
        <v>1125</v>
      </c>
      <c r="DF1" s="3" t="s">
        <v>1126</v>
      </c>
      <c r="DG1" s="3">
        <v>10</v>
      </c>
      <c r="DH1" s="3" t="s">
        <v>1127</v>
      </c>
      <c r="DI1" s="3" t="s">
        <v>1128</v>
      </c>
      <c r="DJ1" s="3">
        <v>20</v>
      </c>
      <c r="DK1" s="3" t="s">
        <v>1129</v>
      </c>
      <c r="DL1" s="3" t="s">
        <v>270</v>
      </c>
      <c r="DM1" s="3" t="s">
        <v>271</v>
      </c>
      <c r="DN1" s="2" t="s">
        <v>272</v>
      </c>
      <c r="DO1" s="3" t="s">
        <v>1130</v>
      </c>
      <c r="DP1" s="3" t="s">
        <v>1131</v>
      </c>
      <c r="DQ1" s="14" t="s">
        <v>1132</v>
      </c>
      <c r="DR1" s="1" t="s">
        <v>1133</v>
      </c>
      <c r="DS1" s="1" t="s">
        <v>1134</v>
      </c>
      <c r="DT1" s="3" t="s">
        <v>1135</v>
      </c>
      <c r="DU1" s="3" t="s">
        <v>1136</v>
      </c>
      <c r="DV1" s="3" t="s">
        <v>1137</v>
      </c>
      <c r="DW1" s="3" t="s">
        <v>1138</v>
      </c>
      <c r="DX1" s="3" t="s">
        <v>1139</v>
      </c>
      <c r="DY1" s="3" t="s">
        <v>1140</v>
      </c>
      <c r="DZ1" s="3" t="s">
        <v>1141</v>
      </c>
      <c r="EA1" s="3" t="s">
        <v>1142</v>
      </c>
      <c r="EB1" s="3" t="s">
        <v>1143</v>
      </c>
      <c r="EC1" s="3" t="s">
        <v>1144</v>
      </c>
      <c r="ED1" s="3" t="s">
        <v>1145</v>
      </c>
      <c r="EE1" s="3" t="s">
        <v>1146</v>
      </c>
      <c r="EF1" s="3" t="s">
        <v>1147</v>
      </c>
      <c r="EG1" s="3" t="s">
        <v>1148</v>
      </c>
      <c r="EH1" s="3" t="s">
        <v>1149</v>
      </c>
      <c r="EI1" s="3" t="s">
        <v>1150</v>
      </c>
      <c r="EK1" s="15" t="s">
        <v>1151</v>
      </c>
      <c r="EL1" s="3" t="s">
        <v>1152</v>
      </c>
      <c r="EM1" s="3" t="s">
        <v>1153</v>
      </c>
      <c r="EN1" s="3" t="s">
        <v>1154</v>
      </c>
      <c r="EO1" s="3" t="s">
        <v>1155</v>
      </c>
      <c r="EP1" s="3" t="s">
        <v>1156</v>
      </c>
    </row>
    <row r="2" spans="1:146" ht="96" x14ac:dyDescent="0.25">
      <c r="C2" s="7" t="str">
        <f>""&amp;CHAR(10)&amp;Basic_Fundamental_Information_Constructure(F2)&amp;CHAR(10)&amp;Basic_Fundamental_Information_Concatenate("")</f>
        <v xml:space="preserve">
市值27.183478亿, 利润538.53万; PE221.1; 平均PE425.85; 平均PEG35.22, PB7.3; ROIC3.01%; ROE2.83%; 股利率0%; 毛利10.5433%; 净利1.4333%; 上一年度营收增-67.02%, 利润增-46.83%; 当季营收增-41.91%, 利润增-31.63%; 过往5年营收增-12.09%, 利润增18.01%
Income profile:
</v>
      </c>
      <c r="D2" s="3" t="s">
        <v>341</v>
      </c>
      <c r="E2" s="3" t="s">
        <v>342</v>
      </c>
      <c r="F2" s="3">
        <v>9.6</v>
      </c>
      <c r="G2" s="3">
        <v>1.27</v>
      </c>
      <c r="H2" s="3" t="s">
        <v>2239</v>
      </c>
      <c r="I2" s="3">
        <v>2718347800</v>
      </c>
      <c r="J2" s="3">
        <v>221.1</v>
      </c>
      <c r="K2" s="3">
        <v>7.3</v>
      </c>
      <c r="L2" s="3" t="s">
        <v>343</v>
      </c>
      <c r="M2" s="3" t="s">
        <v>185</v>
      </c>
      <c r="N2" s="3" t="s">
        <v>1778</v>
      </c>
      <c r="O2" s="3" t="s">
        <v>153</v>
      </c>
      <c r="P2" s="3">
        <v>24.7</v>
      </c>
      <c r="Q2" s="3" t="s">
        <v>153</v>
      </c>
      <c r="R2" s="3">
        <v>5385325</v>
      </c>
      <c r="S2" s="5">
        <v>-0.1628</v>
      </c>
      <c r="T2" s="3" t="s">
        <v>2240</v>
      </c>
      <c r="U2" s="3">
        <v>181165390</v>
      </c>
      <c r="V2" s="3">
        <v>283161230</v>
      </c>
      <c r="W2" s="3">
        <v>1.59</v>
      </c>
      <c r="X2" s="3">
        <v>0.38</v>
      </c>
      <c r="Y2" s="3">
        <v>2.46</v>
      </c>
      <c r="Z2" s="3" t="s">
        <v>2241</v>
      </c>
      <c r="AA2" s="3" t="s">
        <v>212</v>
      </c>
      <c r="AB2" s="3" t="s">
        <v>2242</v>
      </c>
      <c r="AC2" s="3" t="s">
        <v>2243</v>
      </c>
      <c r="AD2" s="3" t="s">
        <v>4</v>
      </c>
      <c r="AE2" s="3">
        <v>-498363</v>
      </c>
      <c r="AF2" s="3" t="s">
        <v>1477</v>
      </c>
      <c r="AG2" s="3" t="s">
        <v>2244</v>
      </c>
      <c r="AH2" s="3" t="s">
        <v>1478</v>
      </c>
      <c r="AI2" s="3" t="s">
        <v>28</v>
      </c>
      <c r="AJ2" s="3" t="s">
        <v>1479</v>
      </c>
      <c r="AK2" s="3" t="s">
        <v>2245</v>
      </c>
      <c r="AL2" s="3" t="s">
        <v>1480</v>
      </c>
      <c r="AM2" s="3" t="s">
        <v>4</v>
      </c>
      <c r="AN2" s="3">
        <v>0</v>
      </c>
      <c r="AO2" s="3" t="s">
        <v>4</v>
      </c>
      <c r="AP2" s="3" t="s">
        <v>2246</v>
      </c>
      <c r="AQ2" s="3" t="s">
        <v>202</v>
      </c>
      <c r="AR2" s="3" t="s">
        <v>2247</v>
      </c>
      <c r="AS2" s="3" t="s">
        <v>2248</v>
      </c>
      <c r="AT2" s="3" t="s">
        <v>4</v>
      </c>
      <c r="AU2" s="3" t="s">
        <v>2249</v>
      </c>
      <c r="AV2" s="3" t="s">
        <v>2250</v>
      </c>
      <c r="AW2" s="3">
        <v>0</v>
      </c>
      <c r="AX2" s="3" t="s">
        <v>648</v>
      </c>
      <c r="AY2" s="3" t="s">
        <v>849</v>
      </c>
      <c r="AZ2" s="3" t="s">
        <v>313</v>
      </c>
      <c r="BA2" s="3" t="s">
        <v>338</v>
      </c>
      <c r="BB2" s="3" t="s">
        <v>221</v>
      </c>
      <c r="BC2" s="3" t="s">
        <v>1181</v>
      </c>
      <c r="BD2" s="3" t="s">
        <v>850</v>
      </c>
      <c r="BE2" s="3" t="s">
        <v>344</v>
      </c>
      <c r="BF2" s="3" t="s">
        <v>345</v>
      </c>
      <c r="BG2" s="3" t="s">
        <v>346</v>
      </c>
      <c r="BH2" s="3" t="s">
        <v>320</v>
      </c>
      <c r="BI2" s="3" t="s">
        <v>60</v>
      </c>
      <c r="BJ2" s="3" t="s">
        <v>648</v>
      </c>
      <c r="BK2" s="3" t="s">
        <v>1476</v>
      </c>
      <c r="BL2" s="3" t="s">
        <v>2251</v>
      </c>
      <c r="BM2" s="3" t="s">
        <v>1181</v>
      </c>
      <c r="BN2" s="3">
        <v>3.07</v>
      </c>
      <c r="BO2" s="3">
        <v>3.19</v>
      </c>
      <c r="BP2" s="3">
        <v>2.77</v>
      </c>
      <c r="BQ2" s="3">
        <v>3.46</v>
      </c>
      <c r="BR2" s="3">
        <v>2.91</v>
      </c>
      <c r="BS2" s="3">
        <v>2.12</v>
      </c>
      <c r="BT2" s="3" t="s">
        <v>1157</v>
      </c>
      <c r="BU2" s="3" t="s">
        <v>1002</v>
      </c>
      <c r="BV2" s="3">
        <v>10.34</v>
      </c>
      <c r="BW2" s="3">
        <v>10.48</v>
      </c>
      <c r="BX2" s="3">
        <v>10.81</v>
      </c>
      <c r="BY2" s="3">
        <v>1.84</v>
      </c>
      <c r="BZ2" s="3">
        <v>1.52</v>
      </c>
      <c r="CA2" s="3">
        <v>0.94</v>
      </c>
      <c r="CB2" s="3">
        <v>-3.03</v>
      </c>
      <c r="CC2" s="3">
        <v>-17.95</v>
      </c>
      <c r="CD2" s="3" t="s">
        <v>2252</v>
      </c>
      <c r="CE2" s="3" t="s">
        <v>2253</v>
      </c>
      <c r="CF2" s="10">
        <v>-0.41909814323607425</v>
      </c>
      <c r="CG2" s="11">
        <v>-0.31634887588386884</v>
      </c>
      <c r="CH2" s="10">
        <v>-0.67018073797225952</v>
      </c>
      <c r="CI2" s="10">
        <v>-0.13315926492214203</v>
      </c>
      <c r="CJ2" s="10">
        <v>0.10693641752004623</v>
      </c>
      <c r="CK2" s="10">
        <v>-4.1551247239112854E-2</v>
      </c>
      <c r="CL2" s="10">
        <v>0.13343799114227295</v>
      </c>
      <c r="CM2" s="11">
        <v>-0.46826556324958801</v>
      </c>
      <c r="CN2" s="11">
        <v>0.40626779198646545</v>
      </c>
      <c r="CO2" s="11">
        <v>5.4420076310634613E-2</v>
      </c>
      <c r="CP2" s="11">
        <v>0.25095239281654358</v>
      </c>
      <c r="CQ2" s="11">
        <v>0.65705615282058716</v>
      </c>
      <c r="CR2" s="3">
        <v>425.84860653469173</v>
      </c>
      <c r="CS2" s="3">
        <v>35.222228507175764</v>
      </c>
      <c r="CT2" s="3">
        <v>0</v>
      </c>
      <c r="CU2" s="10">
        <v>-0.12090336829423905</v>
      </c>
      <c r="CV2" s="11">
        <v>0.18008617013692857</v>
      </c>
      <c r="CW2" s="3">
        <v>0.06</v>
      </c>
      <c r="CX2" s="3">
        <v>473.57580821866935</v>
      </c>
      <c r="CY2" s="3" t="s">
        <v>2254</v>
      </c>
      <c r="CZ2" s="3">
        <v>-0.12090336829423905</v>
      </c>
      <c r="DA2" s="3">
        <v>157.85860273955646</v>
      </c>
      <c r="DB2" s="3" t="s">
        <v>2255</v>
      </c>
      <c r="DC2" s="3">
        <v>-0.11485819987952708</v>
      </c>
      <c r="DD2" s="3">
        <v>78.92930136977823</v>
      </c>
      <c r="DE2" s="3" t="s">
        <v>2256</v>
      </c>
      <c r="DF2" s="3">
        <v>-0.10639496409893036</v>
      </c>
      <c r="DG2" s="3">
        <v>47.357580821866932</v>
      </c>
      <c r="DH2" s="3" t="s">
        <v>2257</v>
      </c>
      <c r="DI2" s="3">
        <v>-9.6722694635391238E-2</v>
      </c>
      <c r="DJ2" s="3">
        <v>23.678790410933466</v>
      </c>
      <c r="DK2" s="3" t="s">
        <v>2258</v>
      </c>
      <c r="DL2" s="3">
        <v>-8.4632357805967326E-2</v>
      </c>
      <c r="DM2" s="3">
        <v>5385300</v>
      </c>
      <c r="DN2" s="3">
        <v>-0.12090336829423905</v>
      </c>
      <c r="DO2" s="3">
        <v>2550347800</v>
      </c>
      <c r="DP2" s="3">
        <v>133547299.99999997</v>
      </c>
      <c r="DQ2" s="3">
        <v>15</v>
      </c>
      <c r="DR2" s="3">
        <v>-0.29819477494183522</v>
      </c>
      <c r="DS2" s="3">
        <v>-0.49643504602079741</v>
      </c>
      <c r="DT2" s="12">
        <v>-0.77333333333333332</v>
      </c>
      <c r="DU2" s="3">
        <v>7.999999999999996E-2</v>
      </c>
      <c r="DV2" s="3">
        <v>-0.69333333333333336</v>
      </c>
      <c r="DW2" s="3">
        <v>-8.1688022284122557</v>
      </c>
      <c r="DX2" s="3">
        <v>0.39846507372054818</v>
      </c>
      <c r="DY2" s="3">
        <v>-8.0216851907171733</v>
      </c>
      <c r="DZ2" s="3">
        <v>1776</v>
      </c>
      <c r="EA2" s="3">
        <v>-8.014148419931713</v>
      </c>
      <c r="EB2" s="3">
        <v>8</v>
      </c>
      <c r="EC2" s="3">
        <v>3.4905908552523242E-2</v>
      </c>
      <c r="ED2" s="3">
        <v>0.27171516383086769</v>
      </c>
      <c r="EE2" s="13">
        <v>1.0536099999999999</v>
      </c>
      <c r="EF2" s="3">
        <v>1.07541</v>
      </c>
      <c r="EG2" s="3">
        <v>27.128465073720548</v>
      </c>
      <c r="EH2" s="3" t="s">
        <v>1167</v>
      </c>
      <c r="EI2" s="3">
        <v>0</v>
      </c>
      <c r="EJ2" s="3">
        <v>0</v>
      </c>
      <c r="EK2" s="15">
        <v>45470</v>
      </c>
      <c r="EL2" s="16">
        <v>-0.1</v>
      </c>
      <c r="EM2" s="16">
        <v>-5.94</v>
      </c>
      <c r="EN2" s="16">
        <v>0.84</v>
      </c>
      <c r="EO2" s="16">
        <v>5.32</v>
      </c>
      <c r="EP2" s="16">
        <v>-2.1800000000000002</v>
      </c>
    </row>
    <row r="3" spans="1:146" ht="96" x14ac:dyDescent="0.25">
      <c r="C3" s="7" t="str">
        <f>""&amp;CHAR(10)&amp;Basic_Fundamental_Information_Constructure(F3)&amp;CHAR(10)&amp;Basic_Fundamental_Information_Concatenate("")</f>
        <v xml:space="preserve">
市值38.900878亿, 利润2077.74万; PE44.75; 平均PE127; 平均PEG23.98, PB1.34; ROIC2.5233%; ROE2.3667%; 股利率.8464%; 毛利17.3367%; 净利3.78%; 上一年度营收增-73.19%, 利润增-71.66%; 当季营收增-48.93%, 利润增-42.77%; 过往5年营收增5.3%, 利润增56.89%
Income profile:
</v>
      </c>
      <c r="D3" s="3" t="s">
        <v>347</v>
      </c>
      <c r="E3" s="3" t="s">
        <v>348</v>
      </c>
      <c r="F3" s="3">
        <v>7.68</v>
      </c>
      <c r="G3" s="3">
        <v>0.39</v>
      </c>
      <c r="H3" s="3" t="s">
        <v>2259</v>
      </c>
      <c r="I3" s="3">
        <v>3890087800</v>
      </c>
      <c r="J3" s="3">
        <v>44.75</v>
      </c>
      <c r="K3" s="3">
        <v>1.34</v>
      </c>
      <c r="L3" s="3" t="s">
        <v>343</v>
      </c>
      <c r="M3" s="3" t="s">
        <v>1481</v>
      </c>
      <c r="N3" s="3" t="s">
        <v>2260</v>
      </c>
      <c r="O3" s="3" t="s">
        <v>1463</v>
      </c>
      <c r="P3" s="3">
        <v>12.08</v>
      </c>
      <c r="Q3" s="3" t="s">
        <v>1463</v>
      </c>
      <c r="R3" s="3">
        <v>20777353</v>
      </c>
      <c r="S3" s="5">
        <v>0.58499999999999996</v>
      </c>
      <c r="T3" s="3" t="s">
        <v>2261</v>
      </c>
      <c r="U3" s="3">
        <v>457021850</v>
      </c>
      <c r="V3" s="3">
        <v>506521850</v>
      </c>
      <c r="W3" s="3">
        <v>1.37</v>
      </c>
      <c r="X3" s="3">
        <v>0.13</v>
      </c>
      <c r="Y3" s="3">
        <v>4.0999999999999996</v>
      </c>
      <c r="Z3" s="3" t="s">
        <v>2262</v>
      </c>
      <c r="AA3" s="3" t="s">
        <v>648</v>
      </c>
      <c r="AB3" s="3" t="s">
        <v>2263</v>
      </c>
      <c r="AC3" s="3" t="s">
        <v>2264</v>
      </c>
      <c r="AD3" s="3" t="s">
        <v>4</v>
      </c>
      <c r="AE3" s="3">
        <v>-10707185</v>
      </c>
      <c r="AF3" s="3" t="s">
        <v>1484</v>
      </c>
      <c r="AG3" s="3" t="s">
        <v>2265</v>
      </c>
      <c r="AH3" s="3" t="s">
        <v>1485</v>
      </c>
      <c r="AI3" s="3" t="s">
        <v>281</v>
      </c>
      <c r="AJ3" s="3" t="s">
        <v>1486</v>
      </c>
      <c r="AK3" s="3" t="s">
        <v>2266</v>
      </c>
      <c r="AL3" s="3" t="s">
        <v>1487</v>
      </c>
      <c r="AM3" s="3" t="s">
        <v>4</v>
      </c>
      <c r="AN3" s="3" t="s">
        <v>2267</v>
      </c>
      <c r="AO3" s="3" t="s">
        <v>1346</v>
      </c>
      <c r="AP3" s="3" t="s">
        <v>4</v>
      </c>
      <c r="AQ3" s="3" t="s">
        <v>100</v>
      </c>
      <c r="AR3" s="3" t="s">
        <v>2268</v>
      </c>
      <c r="AS3" s="3" t="s">
        <v>2269</v>
      </c>
      <c r="AT3" s="3" t="s">
        <v>2270</v>
      </c>
      <c r="AU3" s="3" t="s">
        <v>2271</v>
      </c>
      <c r="AV3" s="3" t="s">
        <v>2272</v>
      </c>
      <c r="AW3" s="3" t="s">
        <v>2273</v>
      </c>
      <c r="AX3" s="3" t="s">
        <v>1182</v>
      </c>
      <c r="AY3" s="3" t="s">
        <v>1185</v>
      </c>
      <c r="AZ3" s="3" t="s">
        <v>349</v>
      </c>
      <c r="BA3" s="3" t="s">
        <v>352</v>
      </c>
      <c r="BB3" s="3" t="s">
        <v>353</v>
      </c>
      <c r="BC3" s="3" t="s">
        <v>1183</v>
      </c>
      <c r="BD3" s="3" t="s">
        <v>1186</v>
      </c>
      <c r="BE3" s="3" t="s">
        <v>350</v>
      </c>
      <c r="BF3" s="3" t="s">
        <v>354</v>
      </c>
      <c r="BG3" s="3" t="s">
        <v>355</v>
      </c>
      <c r="BH3" s="3" t="s">
        <v>1482</v>
      </c>
      <c r="BI3" s="3" t="s">
        <v>2274</v>
      </c>
      <c r="BJ3" s="3" t="s">
        <v>1182</v>
      </c>
      <c r="BK3" s="3" t="s">
        <v>1483</v>
      </c>
      <c r="BL3" s="3" t="s">
        <v>2275</v>
      </c>
      <c r="BM3" s="3" t="s">
        <v>1183</v>
      </c>
      <c r="BN3" s="3">
        <v>2.02</v>
      </c>
      <c r="BO3" s="3">
        <v>3.59</v>
      </c>
      <c r="BP3" s="3">
        <v>1.96</v>
      </c>
      <c r="BQ3" s="3">
        <v>2.3199999999999998</v>
      </c>
      <c r="BR3" s="3">
        <v>2.59</v>
      </c>
      <c r="BS3" s="3">
        <v>2.19</v>
      </c>
      <c r="BT3" s="3" t="s">
        <v>1490</v>
      </c>
      <c r="BU3" s="3" t="s">
        <v>1002</v>
      </c>
      <c r="BV3" s="3">
        <v>16.82</v>
      </c>
      <c r="BW3" s="3">
        <v>16.350000000000001</v>
      </c>
      <c r="BX3" s="3">
        <v>18.84</v>
      </c>
      <c r="BY3" s="3">
        <v>4.13</v>
      </c>
      <c r="BZ3" s="3">
        <v>3.94</v>
      </c>
      <c r="CA3" s="3">
        <v>3.27</v>
      </c>
      <c r="CB3" s="3">
        <v>-4.24</v>
      </c>
      <c r="CC3" s="3">
        <v>-12.48</v>
      </c>
      <c r="CD3" s="3" t="s">
        <v>2276</v>
      </c>
      <c r="CE3" s="3" t="s">
        <v>28</v>
      </c>
      <c r="CF3" s="10">
        <v>-0.48926174496644298</v>
      </c>
      <c r="CG3" s="11">
        <v>-0.42773463665609024</v>
      </c>
      <c r="CH3" s="10">
        <v>-0.7318534255027771</v>
      </c>
      <c r="CI3" s="10">
        <v>0.21802587807178497</v>
      </c>
      <c r="CJ3" s="10">
        <v>0.10478897392749786</v>
      </c>
      <c r="CK3" s="10">
        <v>-2.2706296294927597E-2</v>
      </c>
      <c r="CL3" s="10">
        <v>0.6965409517288208</v>
      </c>
      <c r="CM3" s="11">
        <v>-0.71657854318618774</v>
      </c>
      <c r="CN3" s="11">
        <v>0.31535252928733826</v>
      </c>
      <c r="CO3" s="11">
        <v>0.49547868967056274</v>
      </c>
      <c r="CP3" s="11">
        <v>0.89370882511138916</v>
      </c>
      <c r="CQ3" s="11">
        <v>1.856370210647583</v>
      </c>
      <c r="CR3" s="3">
        <v>126.99742637416929</v>
      </c>
      <c r="CS3" s="3">
        <v>23.980231400770929</v>
      </c>
      <c r="CT3" s="3">
        <v>0.84635416666666674</v>
      </c>
      <c r="CU3" s="10">
        <v>5.295921638607979E-2</v>
      </c>
      <c r="CV3" s="11">
        <v>0.56886634230613708</v>
      </c>
      <c r="CW3" s="3">
        <v>0.06</v>
      </c>
      <c r="CX3" s="3">
        <v>62.26384192753477</v>
      </c>
      <c r="CY3" s="3">
        <v>20639391.342018988</v>
      </c>
      <c r="CZ3" s="3">
        <v>5.295921638607979E-2</v>
      </c>
      <c r="DA3" s="3">
        <v>20.998285229430564</v>
      </c>
      <c r="DB3" s="3">
        <v>61199654.446014456</v>
      </c>
      <c r="DC3" s="3">
        <v>5.0311255566775799E-2</v>
      </c>
      <c r="DD3" s="3">
        <v>10.775065330146795</v>
      </c>
      <c r="DE3" s="3">
        <v>119264965.97700837</v>
      </c>
      <c r="DF3" s="3">
        <v>4.6604110419750218E-2</v>
      </c>
      <c r="DG3" s="3">
        <v>6.7749398034710344</v>
      </c>
      <c r="DH3" s="3">
        <v>189682541.4362509</v>
      </c>
      <c r="DI3" s="3">
        <v>4.2367373108863834E-2</v>
      </c>
      <c r="DJ3" s="3">
        <v>3.8599776720793493</v>
      </c>
      <c r="DK3" s="3">
        <v>332926226.30838436</v>
      </c>
      <c r="DL3" s="3">
        <v>3.7071451470255853E-2</v>
      </c>
      <c r="DM3" s="3">
        <v>20777399.999999996</v>
      </c>
      <c r="DN3" s="3">
        <v>5.295921638607979E-2</v>
      </c>
      <c r="DO3" s="3">
        <v>1285087800</v>
      </c>
      <c r="DP3" s="3">
        <v>2190441500</v>
      </c>
      <c r="DQ3" s="3">
        <v>33</v>
      </c>
      <c r="DR3" s="3">
        <v>-0.54222096135252273</v>
      </c>
      <c r="DS3" s="3">
        <v>-0.99660097896222732</v>
      </c>
      <c r="DT3" s="12">
        <v>-0.42333333333333334</v>
      </c>
      <c r="DU3" s="3">
        <v>0.48166666666666669</v>
      </c>
      <c r="DV3" s="3">
        <v>5.8333333333333348E-2</v>
      </c>
      <c r="DW3" s="3">
        <v>-8.3397435897435894</v>
      </c>
      <c r="DX3" s="3">
        <v>0.34186034482758698</v>
      </c>
      <c r="DY3" s="3">
        <v>-8.03800383510168</v>
      </c>
      <c r="DZ3" s="3">
        <v>123</v>
      </c>
      <c r="EA3" s="3">
        <v>-8.037089065685338</v>
      </c>
      <c r="EB3" s="3">
        <v>8</v>
      </c>
      <c r="EC3" s="3">
        <v>2.5617453620214014E-2</v>
      </c>
      <c r="ED3" s="3">
        <v>0.22901282540920986</v>
      </c>
      <c r="EE3" s="13">
        <v>-3.0562999999999998</v>
      </c>
      <c r="EF3" s="3">
        <v>-3.0289000000000001</v>
      </c>
      <c r="EG3" s="3">
        <v>23.111860344827587</v>
      </c>
      <c r="EH3" s="3" t="s">
        <v>1400</v>
      </c>
      <c r="EI3" s="3">
        <v>0</v>
      </c>
      <c r="EJ3" s="3">
        <v>1</v>
      </c>
      <c r="EK3" s="15">
        <v>45470</v>
      </c>
      <c r="EL3" s="16">
        <v>-0.49</v>
      </c>
      <c r="EM3" s="16">
        <v>-5</v>
      </c>
      <c r="EN3" s="16">
        <v>-1.8</v>
      </c>
      <c r="EO3" s="16">
        <v>4.97</v>
      </c>
      <c r="EP3" s="16">
        <v>-2.74</v>
      </c>
    </row>
    <row r="4" spans="1:146" ht="96" x14ac:dyDescent="0.25">
      <c r="C4" s="7" t="str">
        <f>""&amp;CHAR(10)&amp;Basic_Fundamental_Information_Constructure(F4)&amp;CHAR(10)&amp;Basic_Fundamental_Information_Concatenate("")</f>
        <v xml:space="preserve">
市值168.60149亿, 利润-3.01亿; PE; 平均PE33.65; 平均PEG2.57, PB.61; ROIC2.205%; ROE-.42%; 股利率0%; 毛利12.6733%; 净利-.45%; 上一年度营收增-75.36%, 利润增-368.75%; 当季营收增-51.57%, 利润增78.88%; 过往5年营收增-13.09%, 利润增4.41%
Income profile:
</v>
      </c>
      <c r="D4" s="3" t="s">
        <v>356</v>
      </c>
      <c r="E4" s="3" t="s">
        <v>357</v>
      </c>
      <c r="F4" s="3">
        <v>6.86</v>
      </c>
      <c r="G4" s="3">
        <v>-1.29</v>
      </c>
      <c r="H4" s="3" t="s">
        <v>2277</v>
      </c>
      <c r="I4" s="3">
        <v>16860149000</v>
      </c>
      <c r="K4" s="3">
        <v>0.61</v>
      </c>
      <c r="L4" s="3" t="s">
        <v>343</v>
      </c>
      <c r="M4" s="3" t="s">
        <v>1491</v>
      </c>
      <c r="N4" s="3" t="s">
        <v>2278</v>
      </c>
      <c r="O4" s="3" t="s">
        <v>1492</v>
      </c>
      <c r="P4" s="3">
        <v>0.54</v>
      </c>
      <c r="Q4" s="3" t="s">
        <v>1492</v>
      </c>
      <c r="R4" s="3">
        <v>-300747170</v>
      </c>
      <c r="S4" s="5">
        <v>0.54590000000000005</v>
      </c>
      <c r="T4" s="3" t="s">
        <v>1662</v>
      </c>
      <c r="U4" s="3">
        <v>2375794200</v>
      </c>
      <c r="V4" s="3">
        <v>2457747700</v>
      </c>
      <c r="W4" s="3">
        <v>2.84</v>
      </c>
      <c r="X4" s="3">
        <v>0.09</v>
      </c>
      <c r="Y4" s="3">
        <v>-3.92</v>
      </c>
      <c r="Z4" s="3" t="s">
        <v>2279</v>
      </c>
      <c r="AA4" s="3" t="s">
        <v>2280</v>
      </c>
      <c r="AB4" s="3" t="s">
        <v>2281</v>
      </c>
      <c r="AC4" s="3" t="s">
        <v>185</v>
      </c>
      <c r="AD4" s="3" t="s">
        <v>4</v>
      </c>
      <c r="AE4" s="3">
        <v>211343420</v>
      </c>
      <c r="AF4" s="3" t="s">
        <v>1495</v>
      </c>
      <c r="AG4" s="3" t="s">
        <v>2282</v>
      </c>
      <c r="AH4" s="3" t="s">
        <v>1496</v>
      </c>
      <c r="AI4" s="3" t="s">
        <v>2283</v>
      </c>
      <c r="AJ4" s="3" t="s">
        <v>1497</v>
      </c>
      <c r="AK4" s="3" t="s">
        <v>4</v>
      </c>
      <c r="AL4" s="3" t="s">
        <v>1498</v>
      </c>
      <c r="AM4" s="3" t="s">
        <v>4</v>
      </c>
      <c r="AN4" s="3" t="s">
        <v>2284</v>
      </c>
      <c r="AO4" s="3" t="s">
        <v>4</v>
      </c>
      <c r="AP4" s="3" t="s">
        <v>1739</v>
      </c>
      <c r="AQ4" s="3" t="s">
        <v>2285</v>
      </c>
      <c r="AR4" s="3" t="s">
        <v>4</v>
      </c>
      <c r="AS4" s="3" t="s">
        <v>2286</v>
      </c>
      <c r="AT4" s="3" t="s">
        <v>2287</v>
      </c>
      <c r="AU4" s="3" t="s">
        <v>2288</v>
      </c>
      <c r="AV4" s="3" t="s">
        <v>2289</v>
      </c>
      <c r="AW4" s="3" t="s">
        <v>258</v>
      </c>
      <c r="AX4" s="3" t="s">
        <v>1188</v>
      </c>
      <c r="AY4" s="3" t="s">
        <v>1189</v>
      </c>
      <c r="AZ4" s="3" t="s">
        <v>358</v>
      </c>
      <c r="BA4" s="3" t="s">
        <v>360</v>
      </c>
      <c r="BB4" s="3" t="s">
        <v>361</v>
      </c>
      <c r="BC4" s="3" t="s">
        <v>6</v>
      </c>
      <c r="BD4" s="3" t="s">
        <v>1190</v>
      </c>
      <c r="BE4" s="3" t="s">
        <v>309</v>
      </c>
      <c r="BF4" s="3" t="s">
        <v>332</v>
      </c>
      <c r="BG4" s="3" t="s">
        <v>278</v>
      </c>
      <c r="BH4" s="3" t="s">
        <v>1493</v>
      </c>
      <c r="BI4" s="3" t="s">
        <v>2290</v>
      </c>
      <c r="BJ4" s="3" t="s">
        <v>1188</v>
      </c>
      <c r="BK4" s="3" t="s">
        <v>1494</v>
      </c>
      <c r="BL4" s="3" t="s">
        <v>2291</v>
      </c>
      <c r="BM4" s="3" t="s">
        <v>6</v>
      </c>
      <c r="BN4" s="3" t="s">
        <v>4</v>
      </c>
      <c r="BO4" s="3">
        <v>0.96</v>
      </c>
      <c r="BP4" s="3">
        <v>3.45</v>
      </c>
      <c r="BQ4" s="3">
        <v>-6.14</v>
      </c>
      <c r="BR4" s="3">
        <v>0.37</v>
      </c>
      <c r="BS4" s="3">
        <v>4.51</v>
      </c>
      <c r="BT4" s="3" t="s">
        <v>1157</v>
      </c>
      <c r="BU4" s="3" t="s">
        <v>1002</v>
      </c>
      <c r="BV4" s="3">
        <v>6.78</v>
      </c>
      <c r="BW4" s="3">
        <v>12.9</v>
      </c>
      <c r="BX4" s="3">
        <v>18.34</v>
      </c>
      <c r="BY4" s="3">
        <v>-6.54</v>
      </c>
      <c r="BZ4" s="3">
        <v>0.34</v>
      </c>
      <c r="CA4" s="3">
        <v>4.8499999999999996</v>
      </c>
      <c r="CB4" s="3">
        <v>-5.77</v>
      </c>
      <c r="CC4" s="3">
        <v>-10.33</v>
      </c>
      <c r="CD4" s="3" t="s">
        <v>2292</v>
      </c>
      <c r="CE4" s="3" t="s">
        <v>1350</v>
      </c>
      <c r="CF4" s="10">
        <v>-0.51568553930758665</v>
      </c>
      <c r="CG4" s="11">
        <v>0.78880114466292139</v>
      </c>
      <c r="CH4" s="10">
        <v>-0.75355356931686401</v>
      </c>
      <c r="CI4" s="10">
        <v>-6.8678595125675201E-2</v>
      </c>
      <c r="CJ4" s="10">
        <v>0.15506449341773987</v>
      </c>
      <c r="CK4" s="10">
        <v>-3.4641038626432419E-2</v>
      </c>
      <c r="CL4" s="10">
        <v>4.7385144978761673E-2</v>
      </c>
      <c r="CM4" s="11">
        <v>-3.6875</v>
      </c>
      <c r="CN4" s="11">
        <v>4.2568082809448242</v>
      </c>
      <c r="CO4" s="11">
        <v>-1.0233149528503418</v>
      </c>
      <c r="CP4" s="11">
        <v>0.77925217151641846</v>
      </c>
      <c r="CQ4" s="11">
        <v>-0.10475161671638489</v>
      </c>
      <c r="CR4" s="3">
        <v>33.646158689328068</v>
      </c>
      <c r="CS4" s="3">
        <v>2.5706713897265834</v>
      </c>
      <c r="CT4" s="3">
        <v>0</v>
      </c>
      <c r="CU4" s="10">
        <v>-0.13088471293449402</v>
      </c>
      <c r="CV4" s="11">
        <v>4.4098776578903195E-2</v>
      </c>
      <c r="CW4" s="3">
        <v>0.06</v>
      </c>
      <c r="CX4" s="3" t="e">
        <v>#VALUE!</v>
      </c>
      <c r="CY4" s="3" t="s">
        <v>1005</v>
      </c>
      <c r="CZ4" s="3">
        <v>-0.13088471293449402</v>
      </c>
      <c r="DA4" s="3" t="e">
        <v>#VALUE!</v>
      </c>
      <c r="DB4" s="3" t="s">
        <v>1006</v>
      </c>
      <c r="DC4" s="3">
        <v>-0.12434047728776931</v>
      </c>
      <c r="DD4" s="3" t="e">
        <v>#VALUE!</v>
      </c>
      <c r="DE4" s="3" t="s">
        <v>1006</v>
      </c>
      <c r="DF4" s="3">
        <v>-0.11517854738235474</v>
      </c>
      <c r="DG4" s="3" t="e">
        <v>#VALUE!</v>
      </c>
      <c r="DH4" s="3" t="s">
        <v>1006</v>
      </c>
      <c r="DI4" s="3">
        <v>-0.10470777034759522</v>
      </c>
      <c r="DJ4" s="3" t="e">
        <v>#VALUE!</v>
      </c>
      <c r="DK4" s="3" t="s">
        <v>1006</v>
      </c>
      <c r="DL4" s="3">
        <v>-9.1619299054145814E-2</v>
      </c>
      <c r="DM4" s="3">
        <v>-301000000</v>
      </c>
      <c r="DN4" s="3">
        <v>-0.13088471293449402</v>
      </c>
      <c r="DO4" s="3">
        <v>40894149000</v>
      </c>
      <c r="DP4" s="3">
        <v>497248000</v>
      </c>
      <c r="DQ4" s="3">
        <v>36</v>
      </c>
      <c r="DR4" s="3">
        <v>-0.38480082637309265</v>
      </c>
      <c r="DS4" s="3">
        <v>0.74470236808401824</v>
      </c>
      <c r="DT4" s="12">
        <v>-0.64</v>
      </c>
      <c r="DU4" s="3">
        <v>-1.3833333333333335</v>
      </c>
      <c r="DV4" s="3">
        <v>-2.0233333333333334</v>
      </c>
      <c r="DW4" s="3">
        <v>-8.5585672797676668</v>
      </c>
      <c r="DX4" s="3">
        <v>0.41062779097387136</v>
      </c>
      <c r="DY4" s="3">
        <v>-8.0841357554616877</v>
      </c>
      <c r="DZ4" s="3">
        <v>4481</v>
      </c>
      <c r="EA4" s="3">
        <v>-8.0103564364354991</v>
      </c>
      <c r="EB4" s="3">
        <v>8</v>
      </c>
      <c r="EC4" s="3">
        <v>2.5801794057217508E-2</v>
      </c>
      <c r="ED4" s="3">
        <v>0.17129504383220459</v>
      </c>
      <c r="EE4" s="13">
        <v>-1.0921099999999999</v>
      </c>
      <c r="EF4" s="3">
        <v>-1.10321</v>
      </c>
      <c r="EG4" s="3">
        <v>26.150627790973871</v>
      </c>
      <c r="EH4" s="3" t="s">
        <v>1015</v>
      </c>
      <c r="EI4" s="3">
        <v>0</v>
      </c>
      <c r="EJ4" s="3">
        <v>0</v>
      </c>
      <c r="EK4" s="15">
        <v>45470</v>
      </c>
      <c r="EL4" s="16">
        <v>-0.8</v>
      </c>
      <c r="EM4" s="16">
        <v>-2.0099999999999998</v>
      </c>
      <c r="EN4" s="16">
        <v>-4.2300000000000004</v>
      </c>
      <c r="EO4" s="16">
        <v>2.56</v>
      </c>
      <c r="EP4" s="16">
        <v>-1.1100000000000001</v>
      </c>
    </row>
    <row r="5" spans="1:146" ht="165.5" customHeight="1" x14ac:dyDescent="0.25">
      <c r="C5" s="7" t="str">
        <f>"公司主要业务架构为半导体显示业务、半导体光伏及半导体材料业务、产业金融及投资平台和其他业务，主要产品为半导体显示器件、半导体光伏及半导体材料、电子产品分销。TV面板出货面积全球第二，55吋电视面板市占率全球第一，65吋电视面板市占率居全球第二位；t3产线LTPS手机面板出货量全球前三"&amp;CHAR(10)&amp;Basic_Fundamental_Information_Constructure(F5)&amp;CHAR(10)&amp;Basic_Fundamental_Information_Concatenate("半导体显示器件 355.28亿 41.73% 16.89% 5.17%
新能源光伏及半导体材料 348.98亿 40.98% 74.44% 23.21%
电子产品分销 138.13亿 16.22% 4.77% 3.76%")</f>
        <v>公司主要业务架构为半导体显示业务、半导体光伏及半导体材料业务、产业金融及投资平台和其他业务，主要产品为半导体显示器件、半导体光伏及半导体材料、电子产品分销。TV面板出货面积全球第二，55吋电视面板市占率全球第一，65吋电视面板市占率居全球第二位；t3产线LTPS手机面板出货量全球前三
市值792.47721亿, 利润2.40亿; PE26.38; 平均PE22.6; 平均PEG14.87, PB1.48; ROIC4.5333%; ROE10.0367%; 股利率1.8957%; 毛利14.44%; 净利4.32%; 上一年度营收增-76.04%, 利润增-8.05%; 当季营收增-53.13%, 利润增-29.42%; 过往5年营收增1.52%, 利润增13.4%
Income profile:
半导体显示器件 355.28亿 41.73% 16.89% 5.17%
新能源光伏及半导体材料 348.98亿 40.98% 74.44% 23.21%
电子产品分销 138.13亿 16.22% 4.77% 3.76%</v>
      </c>
      <c r="D5" s="3" t="s">
        <v>362</v>
      </c>
      <c r="E5" s="3" t="s">
        <v>363</v>
      </c>
      <c r="F5" s="3">
        <v>4.22</v>
      </c>
      <c r="G5" s="3">
        <v>0</v>
      </c>
      <c r="H5" s="3" t="s">
        <v>69</v>
      </c>
      <c r="I5" s="3">
        <v>79247721000</v>
      </c>
      <c r="J5" s="3">
        <v>26.38</v>
      </c>
      <c r="K5" s="3">
        <v>1.48</v>
      </c>
      <c r="L5" s="3" t="s">
        <v>343</v>
      </c>
      <c r="M5" s="3" t="s">
        <v>1499</v>
      </c>
      <c r="N5" s="3" t="s">
        <v>2293</v>
      </c>
      <c r="O5" s="3" t="s">
        <v>1500</v>
      </c>
      <c r="P5" s="3">
        <v>1.18</v>
      </c>
      <c r="Q5" s="3" t="s">
        <v>1500</v>
      </c>
      <c r="R5" s="3">
        <v>239970390</v>
      </c>
      <c r="S5" s="5">
        <v>1.4370000000000001</v>
      </c>
      <c r="T5" s="3" t="s">
        <v>1310</v>
      </c>
      <c r="U5" s="3">
        <v>18101148000</v>
      </c>
      <c r="V5" s="3">
        <v>18779081000</v>
      </c>
      <c r="W5" s="3">
        <v>2.7</v>
      </c>
      <c r="X5" s="3">
        <v>0.1</v>
      </c>
      <c r="Y5" s="3">
        <v>-0.84</v>
      </c>
      <c r="Z5" s="3" t="s">
        <v>2294</v>
      </c>
      <c r="AA5" s="3" t="s">
        <v>2295</v>
      </c>
      <c r="AB5" s="3" t="s">
        <v>2296</v>
      </c>
      <c r="AC5" s="3" t="s">
        <v>2297</v>
      </c>
      <c r="AD5" s="3" t="s">
        <v>4</v>
      </c>
      <c r="AE5" s="3">
        <v>1100573390</v>
      </c>
      <c r="AF5" s="3" t="s">
        <v>1503</v>
      </c>
      <c r="AG5" s="3" t="s">
        <v>2298</v>
      </c>
      <c r="AH5" s="3" t="s">
        <v>1504</v>
      </c>
      <c r="AI5" s="3" t="s">
        <v>2299</v>
      </c>
      <c r="AJ5" s="3" t="s">
        <v>1505</v>
      </c>
      <c r="AK5" s="3" t="s">
        <v>136</v>
      </c>
      <c r="AL5" s="3" t="s">
        <v>1506</v>
      </c>
      <c r="AM5" s="3" t="s">
        <v>4</v>
      </c>
      <c r="AN5" s="3" t="s">
        <v>2300</v>
      </c>
      <c r="AO5" s="3" t="s">
        <v>2301</v>
      </c>
      <c r="AP5" s="3" t="s">
        <v>2302</v>
      </c>
      <c r="AQ5" s="3" t="s">
        <v>2303</v>
      </c>
      <c r="AR5" s="3" t="s">
        <v>1507</v>
      </c>
      <c r="AS5" s="3" t="s">
        <v>2304</v>
      </c>
      <c r="AT5" s="3" t="s">
        <v>2305</v>
      </c>
      <c r="AU5" s="3" t="s">
        <v>2306</v>
      </c>
      <c r="AV5" s="3" t="s">
        <v>2307</v>
      </c>
      <c r="AW5" s="3" t="s">
        <v>746</v>
      </c>
      <c r="AX5" s="3" t="s">
        <v>1509</v>
      </c>
      <c r="AY5" s="3" t="s">
        <v>1191</v>
      </c>
      <c r="AZ5" s="3" t="s">
        <v>1192</v>
      </c>
      <c r="BA5" s="3" t="s">
        <v>365</v>
      </c>
      <c r="BB5" s="3" t="s">
        <v>366</v>
      </c>
      <c r="BC5" s="3" t="s">
        <v>298</v>
      </c>
      <c r="BD5" s="3" t="s">
        <v>1193</v>
      </c>
      <c r="BE5" s="3" t="s">
        <v>364</v>
      </c>
      <c r="BF5" s="3" t="s">
        <v>367</v>
      </c>
      <c r="BG5" s="3" t="s">
        <v>368</v>
      </c>
      <c r="BH5" s="3" t="s">
        <v>1501</v>
      </c>
      <c r="BI5" s="3" t="s">
        <v>2308</v>
      </c>
      <c r="BJ5" s="3" t="s">
        <v>1509</v>
      </c>
      <c r="BK5" s="3" t="s">
        <v>1502</v>
      </c>
      <c r="BL5" s="3" t="s">
        <v>1056</v>
      </c>
      <c r="BM5" s="3" t="s">
        <v>298</v>
      </c>
      <c r="BN5" s="3">
        <v>2.67</v>
      </c>
      <c r="BO5" s="3">
        <v>3.05</v>
      </c>
      <c r="BP5" s="3">
        <v>7.88</v>
      </c>
      <c r="BQ5" s="3">
        <v>3.13</v>
      </c>
      <c r="BR5" s="3">
        <v>0.52</v>
      </c>
      <c r="BS5" s="3">
        <v>26.46</v>
      </c>
      <c r="BT5" s="3" t="s">
        <v>1510</v>
      </c>
      <c r="BU5" s="3" t="s">
        <v>1002</v>
      </c>
      <c r="BV5" s="3">
        <v>14.68</v>
      </c>
      <c r="BW5" s="3">
        <v>8.7799999999999994</v>
      </c>
      <c r="BX5" s="3">
        <v>19.86</v>
      </c>
      <c r="BY5" s="3">
        <v>2.74</v>
      </c>
      <c r="BZ5" s="3">
        <v>1.07</v>
      </c>
      <c r="CA5" s="3">
        <v>9.15</v>
      </c>
      <c r="CB5" s="3">
        <v>-2.31</v>
      </c>
      <c r="CC5" s="3">
        <v>-4.74</v>
      </c>
      <c r="CD5" s="3" t="s">
        <v>2309</v>
      </c>
      <c r="CE5" s="3" t="s">
        <v>2310</v>
      </c>
      <c r="CF5" s="10">
        <v>-0.53131569366639653</v>
      </c>
      <c r="CG5" s="11">
        <v>-0.29420473529411767</v>
      </c>
      <c r="CH5" s="10">
        <v>-0.76038855314254761</v>
      </c>
      <c r="CI5" s="10">
        <v>1.768924854695797E-2</v>
      </c>
      <c r="CJ5" s="10">
        <v>1.1343820095062256</v>
      </c>
      <c r="CK5" s="10">
        <v>2.3274056613445282E-2</v>
      </c>
      <c r="CL5" s="10">
        <v>-0.33898201584815979</v>
      </c>
      <c r="CM5" s="11">
        <v>-8.0459773540496826E-2</v>
      </c>
      <c r="CN5" s="11">
        <v>-0.97406595945358276</v>
      </c>
      <c r="CO5" s="11">
        <v>1.2935279607772827</v>
      </c>
      <c r="CP5" s="11">
        <v>0.67608863115310669</v>
      </c>
      <c r="CQ5" s="11">
        <v>-0.24509806931018829</v>
      </c>
      <c r="CR5" s="3">
        <v>22.600234136603451</v>
      </c>
      <c r="CS5" s="3">
        <v>14.873517466585024</v>
      </c>
      <c r="CT5" s="3">
        <v>1.8957345971563984</v>
      </c>
      <c r="CU5" s="10">
        <v>1.5194949135184288E-2</v>
      </c>
      <c r="CV5" s="11">
        <v>0.1339985579252243</v>
      </c>
      <c r="CW5" s="3">
        <v>0.06</v>
      </c>
      <c r="CX5" s="3">
        <v>746.10244570454938</v>
      </c>
      <c r="CY5" s="3">
        <v>229855460.18155119</v>
      </c>
      <c r="CZ5" s="3">
        <v>1.5194949135184288E-2</v>
      </c>
      <c r="DA5" s="3">
        <v>259.89892531415683</v>
      </c>
      <c r="DB5" s="3">
        <v>659855444.92999315</v>
      </c>
      <c r="DC5" s="3">
        <v>1.4435201678425073E-2</v>
      </c>
      <c r="DD5" s="3">
        <v>138.99203503787666</v>
      </c>
      <c r="DE5" s="3">
        <v>1233852867.5637116</v>
      </c>
      <c r="DF5" s="3">
        <v>1.3371555238962173E-2</v>
      </c>
      <c r="DG5" s="3">
        <v>91.316392608736095</v>
      </c>
      <c r="DH5" s="3">
        <v>1878038719.015202</v>
      </c>
      <c r="DI5" s="3">
        <v>1.2155959308147432E-2</v>
      </c>
      <c r="DJ5" s="3">
        <v>56.777916047077369</v>
      </c>
      <c r="DK5" s="3">
        <v>3020465225.5606642</v>
      </c>
      <c r="DL5" s="3">
        <v>1.0636464394629001E-2</v>
      </c>
      <c r="DM5" s="3">
        <v>240000000</v>
      </c>
      <c r="DN5" s="3">
        <v>1.5194949135184288E-2</v>
      </c>
      <c r="DO5" s="3">
        <v>171495721000</v>
      </c>
      <c r="DP5" s="3">
        <v>7048990000</v>
      </c>
      <c r="DQ5" s="3">
        <v>56</v>
      </c>
      <c r="DR5" s="3">
        <v>-0.54651064280158079</v>
      </c>
      <c r="DS5" s="3">
        <v>-0.42820329321934197</v>
      </c>
      <c r="DT5" s="12">
        <v>-0.60666666666666669</v>
      </c>
      <c r="DU5" s="3">
        <v>-0.12000000000000004</v>
      </c>
      <c r="DV5" s="3">
        <v>-0.72666666666666668</v>
      </c>
      <c r="DW5" s="3">
        <v>-1.0474000000000001</v>
      </c>
      <c r="DX5" s="3">
        <v>0.35570430733410846</v>
      </c>
      <c r="DY5" s="3">
        <v>-1.0073803841676368</v>
      </c>
      <c r="DZ5" s="3">
        <v>617</v>
      </c>
      <c r="EA5" s="3">
        <v>-1.0064892497192157</v>
      </c>
      <c r="EB5" s="3">
        <v>1</v>
      </c>
      <c r="EC5" s="3">
        <v>5.6978294092240186E-2</v>
      </c>
      <c r="ED5" s="3">
        <v>0.36593910000175195</v>
      </c>
      <c r="EE5" s="13">
        <v>1.038</v>
      </c>
      <c r="EF5" s="3">
        <v>1.0286999999999999</v>
      </c>
      <c r="EG5" s="3">
        <v>20.155704307334108</v>
      </c>
      <c r="EH5" s="3" t="s">
        <v>983</v>
      </c>
      <c r="EI5" s="3">
        <v>0</v>
      </c>
      <c r="EJ5" s="3">
        <v>1</v>
      </c>
      <c r="EK5" s="15">
        <v>45470</v>
      </c>
      <c r="EL5" s="16">
        <v>0.95</v>
      </c>
      <c r="EM5" s="16">
        <v>-0.24</v>
      </c>
      <c r="EN5" s="16">
        <v>-0.47</v>
      </c>
      <c r="EO5" s="16">
        <v>1.9</v>
      </c>
      <c r="EP5" s="16">
        <v>-0.93</v>
      </c>
    </row>
    <row r="6" spans="1:146" ht="96" x14ac:dyDescent="0.25">
      <c r="C6" s="7" t="str">
        <f>""&amp;CHAR(10)&amp;Basic_Fundamental_Information_Constructure(F6)&amp;CHAR(10)&amp;Basic_Fundamental_Information_Concatenate("")</f>
        <v xml:space="preserve">
市值80.548324亿, 利润-2.97亿; PE; 平均PE-6.44; 平均PEG-.16, PB.389; ROIC0%; ROE-6.4%; 股利率0%; 毛利15.3967%; 净利-39.3033%; 上一年度营收增-82.81%, 利润增81.96%; 当季营收增-56.67%, 利润增-.08%; 过往5年营收增-39.19%, 利润增-30.59%
Income profile:
</v>
      </c>
      <c r="D6" s="3" t="s">
        <v>369</v>
      </c>
      <c r="E6" s="3" t="s">
        <v>370</v>
      </c>
      <c r="F6" s="3" t="s">
        <v>4</v>
      </c>
      <c r="G6" s="3" t="s">
        <v>4</v>
      </c>
      <c r="H6" s="3" t="s">
        <v>4</v>
      </c>
      <c r="I6" s="3">
        <v>8054832400</v>
      </c>
      <c r="K6" s="3">
        <v>0.38900000000000001</v>
      </c>
      <c r="L6" s="3" t="s">
        <v>343</v>
      </c>
      <c r="M6" s="3" t="s">
        <v>2311</v>
      </c>
      <c r="N6" s="3" t="s">
        <v>2312</v>
      </c>
      <c r="O6" s="3" t="s">
        <v>2313</v>
      </c>
      <c r="P6" s="3">
        <v>-11.19</v>
      </c>
      <c r="Q6" s="3" t="s">
        <v>2313</v>
      </c>
      <c r="R6" s="3">
        <v>-297239380</v>
      </c>
      <c r="S6" s="5">
        <v>-0.31969999999999998</v>
      </c>
      <c r="T6" s="3" t="s">
        <v>2314</v>
      </c>
      <c r="U6" s="3">
        <v>5029350200</v>
      </c>
      <c r="V6" s="3">
        <v>5632749900</v>
      </c>
      <c r="W6" s="3">
        <v>2.68</v>
      </c>
      <c r="X6" s="3">
        <v>0.02</v>
      </c>
      <c r="Y6" s="3">
        <v>-30.02</v>
      </c>
      <c r="Z6" s="3" t="s">
        <v>561</v>
      </c>
      <c r="AA6" s="3" t="s">
        <v>324</v>
      </c>
      <c r="AB6" s="3" t="s">
        <v>2315</v>
      </c>
      <c r="AC6" s="3" t="s">
        <v>2316</v>
      </c>
      <c r="AD6" s="3" t="s">
        <v>4</v>
      </c>
      <c r="AE6" s="3">
        <v>52820110</v>
      </c>
      <c r="AF6" s="3" t="s">
        <v>2317</v>
      </c>
      <c r="AG6" s="3" t="s">
        <v>2318</v>
      </c>
      <c r="AH6" s="3" t="s">
        <v>2319</v>
      </c>
      <c r="AI6" s="3" t="s">
        <v>2320</v>
      </c>
      <c r="AJ6" s="3" t="s">
        <v>2321</v>
      </c>
      <c r="AK6" s="3" t="s">
        <v>2322</v>
      </c>
      <c r="AL6" s="3" t="s">
        <v>2323</v>
      </c>
      <c r="AM6" s="3" t="s">
        <v>4</v>
      </c>
      <c r="AN6" s="3" t="s">
        <v>2324</v>
      </c>
      <c r="AO6" s="3" t="s">
        <v>2325</v>
      </c>
      <c r="AP6" s="3" t="s">
        <v>4</v>
      </c>
      <c r="AQ6" s="3" t="s">
        <v>2326</v>
      </c>
      <c r="AR6" s="3" t="s">
        <v>228</v>
      </c>
      <c r="AS6" s="3" t="s">
        <v>2327</v>
      </c>
      <c r="AT6" s="3" t="s">
        <v>2172</v>
      </c>
      <c r="AU6" s="3" t="s">
        <v>881</v>
      </c>
      <c r="AV6" s="3" t="s">
        <v>2328</v>
      </c>
      <c r="AW6" s="3" t="s">
        <v>205</v>
      </c>
      <c r="AX6" s="3" t="s">
        <v>1194</v>
      </c>
      <c r="AY6" s="3" t="s">
        <v>852</v>
      </c>
      <c r="AZ6" s="3" t="s">
        <v>371</v>
      </c>
      <c r="BA6" s="3" t="s">
        <v>373</v>
      </c>
      <c r="BB6" s="3" t="s">
        <v>374</v>
      </c>
      <c r="BC6" s="3" t="s">
        <v>1195</v>
      </c>
      <c r="BD6" s="3" t="s">
        <v>853</v>
      </c>
      <c r="BE6" s="3" t="s">
        <v>372</v>
      </c>
      <c r="BF6" s="3" t="s">
        <v>375</v>
      </c>
      <c r="BG6" s="3" t="s">
        <v>376</v>
      </c>
      <c r="BH6" s="3" t="s">
        <v>2324</v>
      </c>
      <c r="BI6" s="3" t="s">
        <v>2329</v>
      </c>
      <c r="BJ6" s="3" t="s">
        <v>1194</v>
      </c>
      <c r="BK6" s="3" t="s">
        <v>1521</v>
      </c>
      <c r="BL6" s="3" t="s">
        <v>2314</v>
      </c>
      <c r="BM6" s="3" t="s">
        <v>1195</v>
      </c>
      <c r="BN6" s="3" t="s">
        <v>4</v>
      </c>
      <c r="BO6" s="3" t="s">
        <v>4</v>
      </c>
      <c r="BP6" s="3" t="s">
        <v>4</v>
      </c>
      <c r="BQ6" s="3">
        <v>-1.59</v>
      </c>
      <c r="BR6" s="3">
        <v>-6.96</v>
      </c>
      <c r="BS6" s="3">
        <v>-10.65</v>
      </c>
      <c r="BT6" s="3" t="s">
        <v>1157</v>
      </c>
      <c r="BU6" s="3" t="s">
        <v>1002</v>
      </c>
      <c r="BV6" s="3">
        <v>22.32</v>
      </c>
      <c r="BW6" s="3">
        <v>13.96</v>
      </c>
      <c r="BX6" s="3">
        <v>9.91</v>
      </c>
      <c r="BY6" s="3">
        <v>-36.619999999999997</v>
      </c>
      <c r="BZ6" s="3">
        <v>-30.47</v>
      </c>
      <c r="CA6" s="3">
        <v>-50.82</v>
      </c>
      <c r="CB6" s="3">
        <v>0</v>
      </c>
      <c r="CC6" s="3">
        <v>0</v>
      </c>
      <c r="CD6" s="3" t="s">
        <v>4</v>
      </c>
      <c r="CE6" s="3" t="s">
        <v>4</v>
      </c>
      <c r="CF6" s="10">
        <v>-0.56672369546621049</v>
      </c>
      <c r="CG6" s="11">
        <v>-8.0599326599326601E-4</v>
      </c>
      <c r="CH6" s="10">
        <v>-0.82810109853744507</v>
      </c>
      <c r="CI6" s="10">
        <v>4.6342365443706512E-2</v>
      </c>
      <c r="CJ6" s="10">
        <v>-0.20102141797542572</v>
      </c>
      <c r="CK6" s="10">
        <v>-0.59786641597747803</v>
      </c>
      <c r="CL6" s="10">
        <v>-0.37866866588592529</v>
      </c>
      <c r="CM6" s="11">
        <v>0.81956255435943604</v>
      </c>
      <c r="CN6" s="11">
        <v>0.41214284300804138</v>
      </c>
      <c r="CO6" s="11">
        <v>0.17719660699367523</v>
      </c>
      <c r="CP6" s="11">
        <v>-1.2344057559967041</v>
      </c>
      <c r="CQ6" s="11">
        <v>-1.7037893533706665</v>
      </c>
      <c r="CR6" s="3">
        <v>-6.4395728714190543</v>
      </c>
      <c r="CS6" s="3">
        <v>-0.1643322310565806</v>
      </c>
      <c r="CT6" s="3">
        <v>0</v>
      </c>
      <c r="CU6" s="10">
        <v>-0.3918630465865135</v>
      </c>
      <c r="CV6" s="11">
        <v>-0.30585862100124361</v>
      </c>
      <c r="CW6" s="3">
        <v>0.06</v>
      </c>
      <c r="CX6" s="3" t="e">
        <v>#VALUE!</v>
      </c>
      <c r="CY6" s="3" t="s">
        <v>1005</v>
      </c>
      <c r="CZ6" s="3">
        <v>-0.3918630465865135</v>
      </c>
      <c r="DA6" s="3" t="e">
        <v>#VALUE!</v>
      </c>
      <c r="DB6" s="3" t="s">
        <v>1006</v>
      </c>
      <c r="DC6" s="3">
        <v>-0.37226989425718782</v>
      </c>
      <c r="DD6" s="3" t="e">
        <v>#VALUE!</v>
      </c>
      <c r="DE6" s="3" t="s">
        <v>1006</v>
      </c>
      <c r="DF6" s="3">
        <v>-0.34483948099613188</v>
      </c>
      <c r="DG6" s="3" t="e">
        <v>#VALUE!</v>
      </c>
      <c r="DH6" s="3" t="s">
        <v>1006</v>
      </c>
      <c r="DI6" s="3">
        <v>-0.31349043726921083</v>
      </c>
      <c r="DJ6" s="3" t="e">
        <v>#VALUE!</v>
      </c>
      <c r="DK6" s="3" t="s">
        <v>1006</v>
      </c>
      <c r="DL6" s="3">
        <v>-0.27430413261055941</v>
      </c>
      <c r="DM6" s="3">
        <v>-297000000</v>
      </c>
      <c r="DN6" s="3">
        <v>-0.3918630465865135</v>
      </c>
      <c r="DO6" s="3">
        <v>22036832400</v>
      </c>
      <c r="DP6" s="3">
        <v>-3317601000</v>
      </c>
      <c r="DQ6" s="3">
        <v>78</v>
      </c>
      <c r="DR6" s="3">
        <v>-0.17486064887969699</v>
      </c>
      <c r="DS6" s="3">
        <v>0.30505262773525033</v>
      </c>
      <c r="DT6" s="12">
        <v>-1.1233333333333333</v>
      </c>
      <c r="DU6" s="3">
        <v>-2.5783333333333331</v>
      </c>
      <c r="DV6" s="3">
        <v>-3.7016666666666662</v>
      </c>
      <c r="DW6" s="3">
        <v>0</v>
      </c>
      <c r="DX6" s="3" t="e">
        <v>#VALUE!</v>
      </c>
      <c r="DY6" s="3" t="e">
        <v>#VALUE!</v>
      </c>
      <c r="DZ6" s="3" t="s">
        <v>1425</v>
      </c>
      <c r="EA6" s="3" t="e">
        <v>#VALUE!</v>
      </c>
      <c r="EB6" s="3" t="e">
        <v>#VALUE!</v>
      </c>
      <c r="EC6" s="3">
        <v>0</v>
      </c>
      <c r="ED6" s="3">
        <v>0</v>
      </c>
      <c r="EE6" s="13">
        <v>-4.14541</v>
      </c>
      <c r="EF6" s="3">
        <v>-4.14541</v>
      </c>
      <c r="EG6" s="3" t="e">
        <v>#VALUE!</v>
      </c>
      <c r="EH6" s="3" t="s">
        <v>1511</v>
      </c>
      <c r="EI6" s="3" t="e">
        <v>#VALUE!</v>
      </c>
      <c r="EJ6" s="3">
        <v>0</v>
      </c>
      <c r="EK6" s="15">
        <v>45470</v>
      </c>
      <c r="EL6" s="16">
        <v>0</v>
      </c>
      <c r="EM6" s="16">
        <v>0</v>
      </c>
      <c r="EN6" s="16">
        <v>0</v>
      </c>
      <c r="EO6" s="16">
        <v>0</v>
      </c>
      <c r="EP6" s="16">
        <v>0</v>
      </c>
    </row>
    <row r="7" spans="1:146" ht="96" x14ac:dyDescent="0.25">
      <c r="C7" s="7" t="str">
        <f>""&amp;CHAR(10)&amp;Basic_Fundamental_Information_Constructure(F7)&amp;CHAR(10)&amp;Basic_Fundamental_Information_Concatenate("")</f>
        <v xml:space="preserve">
市值27.15014亿, 利润30.72万; PE160.5; 平均PE-88.9; 平均PEG-.9, PB18.29; ROIC4.7733%; ROE4.6967%; 股利率0%; 毛利11.06%; 净利.97%; 上一年度营收增-73.98%, 利润增111.24%; 当季营收增-21.5%, 利润增-99.1%; 过往5年营收增98.38%, 利润增-9.22%
Income profile:
</v>
      </c>
      <c r="D7" s="3" t="s">
        <v>854</v>
      </c>
      <c r="E7" s="3" t="s">
        <v>1007</v>
      </c>
      <c r="F7" s="3">
        <v>2.5299999999999998</v>
      </c>
      <c r="G7" s="3">
        <v>2.02</v>
      </c>
      <c r="H7" s="3" t="s">
        <v>2330</v>
      </c>
      <c r="I7" s="3">
        <v>2715014000</v>
      </c>
      <c r="J7" s="3">
        <v>160.5</v>
      </c>
      <c r="K7" s="3">
        <v>18.29</v>
      </c>
      <c r="L7" s="3" t="s">
        <v>343</v>
      </c>
      <c r="M7" s="3" t="s">
        <v>133</v>
      </c>
      <c r="N7" s="3" t="s">
        <v>2331</v>
      </c>
      <c r="O7" s="3" t="s">
        <v>1199</v>
      </c>
      <c r="P7" s="3">
        <v>70.53</v>
      </c>
      <c r="Q7" s="3" t="s">
        <v>1199</v>
      </c>
      <c r="R7" s="3">
        <v>307173</v>
      </c>
      <c r="S7" s="5">
        <v>1.077</v>
      </c>
      <c r="T7" s="3" t="s">
        <v>2332</v>
      </c>
      <c r="U7" s="3">
        <v>1073124810</v>
      </c>
      <c r="V7" s="3">
        <v>1073128050</v>
      </c>
      <c r="W7" s="3">
        <v>3.53</v>
      </c>
      <c r="X7" s="3">
        <v>0.28999999999999998</v>
      </c>
      <c r="Y7" s="3">
        <v>0.98</v>
      </c>
      <c r="Z7" s="3" t="s">
        <v>1199</v>
      </c>
      <c r="AA7" s="3" t="s">
        <v>2248</v>
      </c>
      <c r="AB7" s="3" t="s">
        <v>2333</v>
      </c>
      <c r="AC7" s="3" t="s">
        <v>2334</v>
      </c>
      <c r="AD7" s="3" t="s">
        <v>4</v>
      </c>
      <c r="AE7" s="3">
        <v>341461</v>
      </c>
      <c r="AF7" s="3" t="s">
        <v>21</v>
      </c>
      <c r="AG7" s="3" t="s">
        <v>4</v>
      </c>
      <c r="AH7" s="3" t="s">
        <v>1514</v>
      </c>
      <c r="AI7" s="3" t="s">
        <v>2335</v>
      </c>
      <c r="AJ7" s="3" t="s">
        <v>1515</v>
      </c>
      <c r="AK7" s="3" t="s">
        <v>4</v>
      </c>
      <c r="AL7" s="3" t="s">
        <v>1516</v>
      </c>
      <c r="AM7" s="3" t="s">
        <v>4</v>
      </c>
      <c r="AN7" s="3" t="s">
        <v>2336</v>
      </c>
      <c r="AO7" s="3" t="s">
        <v>39</v>
      </c>
      <c r="AP7" s="3" t="s">
        <v>2337</v>
      </c>
      <c r="AQ7" s="3" t="s">
        <v>321</v>
      </c>
      <c r="AR7" s="3" t="s">
        <v>1416</v>
      </c>
      <c r="AS7" s="3" t="s">
        <v>1033</v>
      </c>
      <c r="AT7" s="3" t="s">
        <v>4</v>
      </c>
      <c r="AU7" s="3" t="s">
        <v>2338</v>
      </c>
      <c r="AV7" s="3" t="s">
        <v>2339</v>
      </c>
      <c r="AW7" s="3" t="s">
        <v>2340</v>
      </c>
      <c r="AX7" s="3" t="s">
        <v>1030</v>
      </c>
      <c r="AY7" s="3" t="s">
        <v>291</v>
      </c>
      <c r="AZ7" s="3" t="s">
        <v>856</v>
      </c>
      <c r="BA7" s="3" t="s">
        <v>857</v>
      </c>
      <c r="BB7" s="3" t="s">
        <v>223</v>
      </c>
      <c r="BC7" s="3" t="s">
        <v>1517</v>
      </c>
      <c r="BD7" s="3" t="s">
        <v>855</v>
      </c>
      <c r="BE7" s="3" t="s">
        <v>858</v>
      </c>
      <c r="BF7" s="3" t="s">
        <v>859</v>
      </c>
      <c r="BG7" s="3" t="s">
        <v>860</v>
      </c>
      <c r="BH7" s="3" t="s">
        <v>1380</v>
      </c>
      <c r="BI7" s="3" t="s">
        <v>1262</v>
      </c>
      <c r="BJ7" s="3" t="s">
        <v>1030</v>
      </c>
      <c r="BK7" s="3" t="s">
        <v>1512</v>
      </c>
      <c r="BL7" s="3" t="s">
        <v>2341</v>
      </c>
      <c r="BM7" s="3" t="s">
        <v>1517</v>
      </c>
      <c r="BN7" s="3">
        <v>11.88</v>
      </c>
      <c r="BO7" s="3">
        <v>3.58</v>
      </c>
      <c r="BP7" s="3">
        <v>-1.1399999999999999</v>
      </c>
      <c r="BQ7" s="3">
        <v>20</v>
      </c>
      <c r="BR7" s="3">
        <v>-2.02</v>
      </c>
      <c r="BS7" s="3">
        <v>-3.89</v>
      </c>
      <c r="BT7" s="3" t="s">
        <v>1157</v>
      </c>
      <c r="BU7" s="3" t="s">
        <v>1002</v>
      </c>
      <c r="BV7" s="3">
        <v>8.56</v>
      </c>
      <c r="BW7" s="3">
        <v>9.1</v>
      </c>
      <c r="BX7" s="3">
        <v>15.52</v>
      </c>
      <c r="BY7" s="3">
        <v>2.72</v>
      </c>
      <c r="BZ7" s="3">
        <v>0.75</v>
      </c>
      <c r="CA7" s="3">
        <v>-0.56000000000000005</v>
      </c>
      <c r="CB7" s="3">
        <v>-1.56</v>
      </c>
      <c r="CC7" s="3">
        <v>-19.43</v>
      </c>
      <c r="CD7" s="3" t="s">
        <v>2342</v>
      </c>
      <c r="CE7" s="3" t="s">
        <v>218</v>
      </c>
      <c r="CF7" s="10">
        <v>-0.21501706484641647</v>
      </c>
      <c r="CG7" s="11">
        <v>-0.99100929004612826</v>
      </c>
      <c r="CH7" s="10">
        <v>-0.7398189902305603</v>
      </c>
      <c r="CI7" s="10">
        <v>1.996610164642334</v>
      </c>
      <c r="CJ7" s="10">
        <v>4.8900575637817383</v>
      </c>
      <c r="CK7" s="10">
        <v>-0.28575438261032104</v>
      </c>
      <c r="CL7" s="10">
        <v>-0.94199991226196289</v>
      </c>
      <c r="CM7" s="11">
        <v>1.1124122142791748</v>
      </c>
      <c r="CN7" s="11">
        <v>0.51589876413345337</v>
      </c>
      <c r="CO7" s="11">
        <v>-1.7467162609100342</v>
      </c>
      <c r="CP7" s="11">
        <v>1.0586038827896118</v>
      </c>
      <c r="CQ7" s="11">
        <v>-1.4013000726699829</v>
      </c>
      <c r="CR7" s="3">
        <v>-88.904288941269442</v>
      </c>
      <c r="CS7" s="3">
        <v>-0.90366519656861766</v>
      </c>
      <c r="CT7" s="3">
        <v>0</v>
      </c>
      <c r="CU7" s="10">
        <v>0.98381888866424561</v>
      </c>
      <c r="CV7" s="11">
        <v>-9.2220294475555423E-2</v>
      </c>
      <c r="CW7" s="3">
        <v>0.06</v>
      </c>
      <c r="CX7" s="3">
        <v>5238.8940929429009</v>
      </c>
      <c r="CY7" s="3">
        <v>574933.17226193985</v>
      </c>
      <c r="CZ7" s="3">
        <v>0.98381888866424561</v>
      </c>
      <c r="DA7" s="3">
        <v>872.63460424314053</v>
      </c>
      <c r="DB7" s="3">
        <v>3451632.5451159491</v>
      </c>
      <c r="DC7" s="3">
        <v>0.93462794423103324</v>
      </c>
      <c r="DD7" s="3">
        <v>147.34695316452044</v>
      </c>
      <c r="DE7" s="3">
        <v>20441644.264180552</v>
      </c>
      <c r="DF7" s="3">
        <v>0.86576062202453619</v>
      </c>
      <c r="DG7" s="3">
        <v>21.621808815938213</v>
      </c>
      <c r="DH7" s="3">
        <v>139304441.43876326</v>
      </c>
      <c r="DI7" s="3">
        <v>0.78705511093139657</v>
      </c>
      <c r="DJ7" s="3">
        <v>0.32927538592812472</v>
      </c>
      <c r="DK7" s="3">
        <v>9147401016.6598721</v>
      </c>
      <c r="DL7" s="3">
        <v>0.68867322206497184</v>
      </c>
      <c r="DM7" s="3">
        <v>307200</v>
      </c>
      <c r="DN7" s="3">
        <v>0.98381888866424561</v>
      </c>
      <c r="DO7" s="3">
        <v>3012014000</v>
      </c>
      <c r="DP7" s="3">
        <v>38722070</v>
      </c>
      <c r="DQ7" s="3">
        <v>99</v>
      </c>
      <c r="DR7" s="3">
        <v>-1.1988359535106621</v>
      </c>
      <c r="DS7" s="3">
        <v>-0.89878899557057279</v>
      </c>
      <c r="DT7" s="12">
        <v>-0.41000000000000009</v>
      </c>
      <c r="DU7" s="3">
        <v>-1.4400000000000002</v>
      </c>
      <c r="DV7" s="3">
        <v>-1.8500000000000003</v>
      </c>
      <c r="DW7" s="3">
        <v>-3.0387916666666666</v>
      </c>
      <c r="DX7" s="3">
        <v>0.40017068062827121</v>
      </c>
      <c r="DY7" s="3">
        <v>-3.0058253709860385</v>
      </c>
      <c r="DZ7" s="3">
        <v>3345</v>
      </c>
      <c r="EA7" s="3">
        <v>-3.0020120899785439</v>
      </c>
      <c r="EB7" s="3">
        <v>3</v>
      </c>
      <c r="EC7" s="3">
        <v>2.6728031198140802E-2</v>
      </c>
      <c r="ED7" s="3">
        <v>0.17798435144808675</v>
      </c>
      <c r="EE7" s="13">
        <v>-1.0561100000000001</v>
      </c>
      <c r="EF7" s="3">
        <v>-1.07911</v>
      </c>
      <c r="EG7" s="3">
        <v>25.150170680628271</v>
      </c>
      <c r="EH7" s="3" t="s">
        <v>1015</v>
      </c>
      <c r="EI7" s="3">
        <v>0</v>
      </c>
      <c r="EJ7" s="3">
        <v>0</v>
      </c>
      <c r="EK7" s="15">
        <v>45470</v>
      </c>
      <c r="EL7" s="16">
        <v>-0.38</v>
      </c>
      <c r="EM7" s="16">
        <v>-4.5999999999999996</v>
      </c>
      <c r="EN7" s="16">
        <v>0.8</v>
      </c>
      <c r="EO7" s="16">
        <v>3.98</v>
      </c>
      <c r="EP7" s="16">
        <v>-2.2999999999999998</v>
      </c>
    </row>
    <row r="8" spans="1:146" ht="144" x14ac:dyDescent="0.25">
      <c r="A8" s="7" t="s">
        <v>1413</v>
      </c>
      <c r="B8" s="7" t="s">
        <v>1412</v>
      </c>
      <c r="C8" s="7" t="str">
        <f>"公司的主营业务是显示面板、显示模组的研发、生产及销售。模组业务主要产品包括电视、电脑显示器等大尺寸模组产品和智能手机、平板电脑、笔记本电脑、POS机、工业控制屏等中小尺寸模组产品。"&amp;CHAR(10)&amp;Basic_Fundamental_Information_Constructure(F8)&amp;CHAR(10)&amp;Basic_Fundamental_Information_Concatenate("面板相关业务 4.14亿 81.01% 97.52% -76.78%
模组相关业务 9148.15万 17.90% 2.51% -8.95%")</f>
        <v>公司的主营业务是显示面板、显示模组的研发、生产及销售。模组业务主要产品包括电视、电脑显示器等大尺寸模组产品和智能手机、平板电脑、笔记本电脑、POS机、工业控制屏等中小尺寸模组产品。
市值55.044053亿, 利润-2.57亿; PE; 平均PE-3.82; 平均PEG-.22, PB2.54; ROIC0%; ROE-20.6367%; 股利率0%; 毛利-19.39%; 净利-56.42%; 上一年度营收增-82%, 利润增78.99%; 当季营收增-17.22%, 利润增64.7%; 过往5年营收增-17.04%, 利润增-66.43%
Income profile:
面板相关业务 4.14亿 81.01% 97.52% -76.78%
模组相关业务 9148.15万 17.90% 2.51% -8.95%</v>
      </c>
      <c r="D8" s="3" t="s">
        <v>377</v>
      </c>
      <c r="E8" s="3" t="s">
        <v>378</v>
      </c>
      <c r="F8" s="3">
        <v>1.99</v>
      </c>
      <c r="G8" s="3">
        <v>1.02</v>
      </c>
      <c r="H8" s="3" t="s">
        <v>2343</v>
      </c>
      <c r="I8" s="3">
        <v>5504405300</v>
      </c>
      <c r="K8" s="3">
        <v>2.54</v>
      </c>
      <c r="L8" s="3" t="s">
        <v>343</v>
      </c>
      <c r="M8" s="3" t="s">
        <v>1519</v>
      </c>
      <c r="N8" s="3" t="s">
        <v>1853</v>
      </c>
      <c r="O8" s="3" t="s">
        <v>229</v>
      </c>
      <c r="P8" s="3">
        <v>72.52</v>
      </c>
      <c r="Q8" s="3" t="s">
        <v>229</v>
      </c>
      <c r="R8" s="3">
        <v>-256641700</v>
      </c>
      <c r="S8" s="5">
        <v>0.2792</v>
      </c>
      <c r="T8" s="3" t="s">
        <v>2344</v>
      </c>
      <c r="U8" s="3">
        <v>2763082500</v>
      </c>
      <c r="V8" s="3">
        <v>2766032800</v>
      </c>
      <c r="W8" s="3">
        <v>3.31</v>
      </c>
      <c r="X8" s="3">
        <v>0.06</v>
      </c>
      <c r="Y8" s="3">
        <v>-60.73</v>
      </c>
      <c r="Z8" s="3" t="s">
        <v>2345</v>
      </c>
      <c r="AA8" s="3" t="s">
        <v>1846</v>
      </c>
      <c r="AB8" s="3" t="s">
        <v>2346</v>
      </c>
      <c r="AC8" s="3" t="s">
        <v>2347</v>
      </c>
      <c r="AD8" s="3" t="s">
        <v>4</v>
      </c>
      <c r="AE8" s="3">
        <v>48444471</v>
      </c>
      <c r="AF8" s="3" t="s">
        <v>1522</v>
      </c>
      <c r="AG8" s="3" t="s">
        <v>2348</v>
      </c>
      <c r="AH8" s="3" t="s">
        <v>1523</v>
      </c>
      <c r="AI8" s="3" t="s">
        <v>2349</v>
      </c>
      <c r="AJ8" s="3" t="s">
        <v>1524</v>
      </c>
      <c r="AK8" s="3" t="s">
        <v>4</v>
      </c>
      <c r="AL8" s="3" t="s">
        <v>1525</v>
      </c>
      <c r="AM8" s="3" t="s">
        <v>4</v>
      </c>
      <c r="AN8" s="3" t="s">
        <v>2350</v>
      </c>
      <c r="AO8" s="3" t="s">
        <v>1582</v>
      </c>
      <c r="AP8" s="3" t="s">
        <v>61</v>
      </c>
      <c r="AQ8" s="3" t="s">
        <v>228</v>
      </c>
      <c r="AR8" s="3" t="s">
        <v>4</v>
      </c>
      <c r="AS8" s="3" t="s">
        <v>2351</v>
      </c>
      <c r="AT8" s="3" t="s">
        <v>2352</v>
      </c>
      <c r="AU8" s="3" t="s">
        <v>2353</v>
      </c>
      <c r="AV8" s="3" t="s">
        <v>2354</v>
      </c>
      <c r="AW8" s="3" t="s">
        <v>2355</v>
      </c>
      <c r="AX8" s="3" t="s">
        <v>1196</v>
      </c>
      <c r="AY8" s="3" t="s">
        <v>315</v>
      </c>
      <c r="AZ8" s="3" t="s">
        <v>379</v>
      </c>
      <c r="BA8" s="3" t="s">
        <v>381</v>
      </c>
      <c r="BB8" s="3" t="s">
        <v>382</v>
      </c>
      <c r="BC8" s="3" t="s">
        <v>1197</v>
      </c>
      <c r="BD8" s="3" t="s">
        <v>861</v>
      </c>
      <c r="BE8" s="3" t="s">
        <v>165</v>
      </c>
      <c r="BF8" s="3" t="s">
        <v>383</v>
      </c>
      <c r="BG8" s="3" t="s">
        <v>384</v>
      </c>
      <c r="BH8" s="3" t="s">
        <v>1520</v>
      </c>
      <c r="BI8" s="3" t="s">
        <v>281</v>
      </c>
      <c r="BJ8" s="3" t="s">
        <v>1196</v>
      </c>
      <c r="BK8" s="3" t="s">
        <v>1521</v>
      </c>
      <c r="BL8" s="3" t="s">
        <v>2356</v>
      </c>
      <c r="BM8" s="3" t="s">
        <v>1197</v>
      </c>
      <c r="BN8" s="3" t="s">
        <v>4</v>
      </c>
      <c r="BO8" s="3" t="s">
        <v>4</v>
      </c>
      <c r="BP8" s="3" t="s">
        <v>4</v>
      </c>
      <c r="BQ8" s="3">
        <v>-31.42</v>
      </c>
      <c r="BR8" s="3">
        <v>-26.32</v>
      </c>
      <c r="BS8" s="3">
        <v>-4.17</v>
      </c>
      <c r="BT8" s="3" t="s">
        <v>1157</v>
      </c>
      <c r="BU8" s="3" t="s">
        <v>1002</v>
      </c>
      <c r="BV8" s="3">
        <v>-54.64</v>
      </c>
      <c r="BW8" s="3">
        <v>-15.85</v>
      </c>
      <c r="BX8" s="3">
        <v>12.32</v>
      </c>
      <c r="BY8" s="3">
        <v>-110.41</v>
      </c>
      <c r="BZ8" s="3">
        <v>-52.06</v>
      </c>
      <c r="CA8" s="3">
        <v>-6.79</v>
      </c>
      <c r="CB8" s="3">
        <v>-1.49</v>
      </c>
      <c r="CC8" s="3">
        <v>-16.739999999999998</v>
      </c>
      <c r="CD8" s="3" t="s">
        <v>124</v>
      </c>
      <c r="CE8" s="3" t="s">
        <v>1452</v>
      </c>
      <c r="CF8" s="10">
        <v>-0.17221135029354206</v>
      </c>
      <c r="CG8" s="11">
        <v>0.64698528198074279</v>
      </c>
      <c r="CH8" s="10">
        <v>-0.81999999284744263</v>
      </c>
      <c r="CI8" s="10">
        <v>-0.22030523419380188</v>
      </c>
      <c r="CJ8" s="10">
        <v>0.37374672293663025</v>
      </c>
      <c r="CK8" s="10">
        <v>0.48846668004989624</v>
      </c>
      <c r="CL8" s="10">
        <v>-0.67374950647354126</v>
      </c>
      <c r="CM8" s="11">
        <v>0.78986102342605591</v>
      </c>
      <c r="CN8" s="11">
        <v>-4.4598217010498047</v>
      </c>
      <c r="CO8" s="11">
        <v>-1.3666120767593384</v>
      </c>
      <c r="CP8" s="11">
        <v>1.2361809015274048</v>
      </c>
      <c r="CQ8" s="11">
        <v>0.47905758023262024</v>
      </c>
      <c r="CR8" s="3">
        <v>-3.8198510062456625</v>
      </c>
      <c r="CS8" s="3">
        <v>-0.22421141528063843</v>
      </c>
      <c r="CT8" s="3">
        <v>0</v>
      </c>
      <c r="CU8" s="10">
        <v>-0.17036826610565187</v>
      </c>
      <c r="CV8" s="11">
        <v>-0.66426685452461243</v>
      </c>
      <c r="CW8" s="3">
        <v>0.06</v>
      </c>
      <c r="CX8" s="3" t="e">
        <v>#VALUE!</v>
      </c>
      <c r="CY8" s="3" t="s">
        <v>1005</v>
      </c>
      <c r="CZ8" s="3">
        <v>-0.17036826610565187</v>
      </c>
      <c r="DA8" s="3" t="e">
        <v>#VALUE!</v>
      </c>
      <c r="DB8" s="3" t="s">
        <v>1006</v>
      </c>
      <c r="DC8" s="3">
        <v>-0.16184985280036926</v>
      </c>
      <c r="DD8" s="3" t="e">
        <v>#VALUE!</v>
      </c>
      <c r="DE8" s="3" t="s">
        <v>1006</v>
      </c>
      <c r="DF8" s="3">
        <v>-0.14992407417297365</v>
      </c>
      <c r="DG8" s="3" t="e">
        <v>#VALUE!</v>
      </c>
      <c r="DH8" s="3" t="s">
        <v>1006</v>
      </c>
      <c r="DI8" s="3">
        <v>-0.13629461288452149</v>
      </c>
      <c r="DJ8" s="3" t="e">
        <v>#VALUE!</v>
      </c>
      <c r="DK8" s="3" t="s">
        <v>1006</v>
      </c>
      <c r="DL8" s="3">
        <v>-0.11925778627395629</v>
      </c>
      <c r="DM8" s="3">
        <v>-256999999.99999997</v>
      </c>
      <c r="DN8" s="3">
        <v>-0.17036826610565187</v>
      </c>
      <c r="DO8" s="3">
        <v>8216405300</v>
      </c>
      <c r="DP8" s="3">
        <v>-2227700200</v>
      </c>
      <c r="DQ8" s="3">
        <v>120</v>
      </c>
      <c r="DR8" s="3">
        <v>-1.8430841878901982E-3</v>
      </c>
      <c r="DS8" s="3">
        <v>1.3112521365053551</v>
      </c>
      <c r="DT8" s="12">
        <v>-0.87333333333333341</v>
      </c>
      <c r="DU8" s="3">
        <v>-2.4650000000000003</v>
      </c>
      <c r="DV8" s="3">
        <v>-3.3383333333333338</v>
      </c>
      <c r="DW8" s="3">
        <v>-3.0083690476190474</v>
      </c>
      <c r="DX8" s="3">
        <v>0.35246963562753164</v>
      </c>
      <c r="DY8" s="3">
        <v>-3.0010249542124541</v>
      </c>
      <c r="DZ8" s="3">
        <v>4909</v>
      </c>
      <c r="EA8" s="3">
        <v>-3.0000403162028775</v>
      </c>
      <c r="EB8" s="3">
        <v>3</v>
      </c>
      <c r="EC8" s="3">
        <v>4.3744962098786394E-2</v>
      </c>
      <c r="ED8" s="3">
        <v>0.35719026903802448</v>
      </c>
      <c r="EE8" s="13">
        <v>3.0375000000000001</v>
      </c>
      <c r="EF8" s="3">
        <v>3.0226000000000002</v>
      </c>
      <c r="EG8" s="3">
        <v>23.122469635627532</v>
      </c>
      <c r="EH8" s="3" t="s">
        <v>1279</v>
      </c>
      <c r="EI8" s="3">
        <v>0</v>
      </c>
      <c r="EJ8" s="3">
        <v>0</v>
      </c>
      <c r="EK8" s="15">
        <v>45470</v>
      </c>
      <c r="EL8" s="16">
        <v>-0.49</v>
      </c>
      <c r="EM8" s="16">
        <v>-4.88</v>
      </c>
      <c r="EN8" s="16">
        <v>-1.03</v>
      </c>
      <c r="EO8" s="16">
        <v>4.1500000000000004</v>
      </c>
      <c r="EP8" s="16">
        <v>-1.49</v>
      </c>
    </row>
    <row r="9" spans="1:146" ht="180" x14ac:dyDescent="0.25">
      <c r="A9" s="7" t="s">
        <v>1179</v>
      </c>
      <c r="B9" s="7" t="s">
        <v>1180</v>
      </c>
      <c r="C9" s="7" t="str">
        <f>"公司主营业务是研发、生产、销售高品质的绿色节能照明产品和机动车车灯产品、电工产品，并为客户提供整套的照明、电工解决方案和机动车车灯设计方案。主要产品是LED照明、传统照明、机动车灯具、开关、插座。"&amp;CHAR(10)&amp;Basic_Fundamental_Information_Constructure(F9)&amp;CHAR(10)&amp;Basic_Fundamental_Information_Concatenate("通用照明产品 17.94亿 41.27% 47.57% 20.15%
LED封装及组件产品 12.86亿 29.57% 29.75% 17.59%
车灯产品 7.88亿 18.13% 17.59% 16.97%
贸易及其他产品 4.23亿 9.72% 5.60% 10.08%
外延及芯片产品 5748.33万 1.32% -0.52% -6.84%")</f>
        <v>公司主营业务是研发、生产、销售高品质的绿色节能照明产品和机动车车灯产品、电工产品，并为客户提供整套的照明、电工解决方案和机动车车灯设计方案。主要产品是LED照明、传统照明、机动车灯具、开关、插座。
市值74.496233亿, 利润8371.42万; PE24.2; 平均PE27.85; 平均PEG2.24, PB1.17; ROIC3.15%; ROE4.3167%; 股利率2.4948%; 毛利17.77%; 净利4.62%; 上一年度营收增-71.27%, 利润增-63.6%; 当季营收增-44.88%, 利润增-50.46%; 过往5年营收增12.42%, 利润增-21.38%
Income profile:
通用照明产品 17.94亿 41.27% 47.57% 20.15%
LED封装及组件产品 12.86亿 29.57% 29.75% 17.59%
车灯产品 7.88亿 18.13% 17.59% 16.97%
贸易及其他产品 4.23亿 9.72% 5.60% 10.08%
外延及芯片产品 5748.33万 1.32% -0.52% -6.84%</v>
      </c>
      <c r="D9" s="3" t="s">
        <v>385</v>
      </c>
      <c r="E9" s="3" t="s">
        <v>386</v>
      </c>
      <c r="F9" s="3">
        <v>4.8099999999999996</v>
      </c>
      <c r="G9" s="3">
        <v>0.21</v>
      </c>
      <c r="H9" s="3" t="s">
        <v>2357</v>
      </c>
      <c r="I9" s="3">
        <v>7449623300</v>
      </c>
      <c r="J9" s="3">
        <v>24.2</v>
      </c>
      <c r="K9" s="3">
        <v>1.17</v>
      </c>
      <c r="L9" s="3" t="s">
        <v>343</v>
      </c>
      <c r="M9" s="3" t="s">
        <v>1528</v>
      </c>
      <c r="N9" s="3" t="s">
        <v>2358</v>
      </c>
      <c r="O9" s="3" t="s">
        <v>1408</v>
      </c>
      <c r="P9" s="3">
        <v>14.75</v>
      </c>
      <c r="Q9" s="3" t="s">
        <v>1408</v>
      </c>
      <c r="R9" s="3">
        <v>83714221</v>
      </c>
      <c r="S9" s="5">
        <v>0.26419999999999999</v>
      </c>
      <c r="T9" s="3" t="s">
        <v>2359</v>
      </c>
      <c r="U9" s="3">
        <v>1196576450</v>
      </c>
      <c r="V9" s="3">
        <v>1548778200</v>
      </c>
      <c r="W9" s="3">
        <v>1.7</v>
      </c>
      <c r="X9" s="3">
        <v>0.15</v>
      </c>
      <c r="Y9" s="3">
        <v>4.57</v>
      </c>
      <c r="Z9" s="3" t="s">
        <v>1811</v>
      </c>
      <c r="AA9" s="3" t="s">
        <v>2360</v>
      </c>
      <c r="AB9" s="3" t="s">
        <v>2361</v>
      </c>
      <c r="AC9" s="3" t="s">
        <v>881</v>
      </c>
      <c r="AD9" s="3" t="s">
        <v>4</v>
      </c>
      <c r="AE9" s="3">
        <v>-14291427</v>
      </c>
      <c r="AF9" s="3" t="s">
        <v>1530</v>
      </c>
      <c r="AG9" s="3" t="s">
        <v>2362</v>
      </c>
      <c r="AH9" s="3" t="s">
        <v>1531</v>
      </c>
      <c r="AI9" s="3" t="s">
        <v>2363</v>
      </c>
      <c r="AJ9" s="3" t="s">
        <v>1532</v>
      </c>
      <c r="AK9" s="3" t="s">
        <v>1955</v>
      </c>
      <c r="AL9" s="3" t="s">
        <v>1533</v>
      </c>
      <c r="AM9" s="3" t="s">
        <v>4</v>
      </c>
      <c r="AN9" s="3" t="s">
        <v>2364</v>
      </c>
      <c r="AO9" s="3" t="s">
        <v>1009</v>
      </c>
      <c r="AP9" s="3" t="s">
        <v>2365</v>
      </c>
      <c r="AQ9" s="3" t="s">
        <v>2366</v>
      </c>
      <c r="AR9" s="3" t="s">
        <v>2367</v>
      </c>
      <c r="AS9" s="3" t="s">
        <v>2368</v>
      </c>
      <c r="AT9" s="3" t="s">
        <v>329</v>
      </c>
      <c r="AU9" s="3" t="s">
        <v>2369</v>
      </c>
      <c r="AV9" s="3" t="s">
        <v>837</v>
      </c>
      <c r="AW9" s="3" t="s">
        <v>2370</v>
      </c>
      <c r="AX9" s="3" t="s">
        <v>1198</v>
      </c>
      <c r="AY9" s="3" t="s">
        <v>1200</v>
      </c>
      <c r="AZ9" s="3" t="s">
        <v>387</v>
      </c>
      <c r="BA9" s="3" t="s">
        <v>276</v>
      </c>
      <c r="BB9" s="3" t="s">
        <v>388</v>
      </c>
      <c r="BC9" s="3" t="s">
        <v>1199</v>
      </c>
      <c r="BD9" s="3" t="s">
        <v>1031</v>
      </c>
      <c r="BE9" s="3" t="s">
        <v>116</v>
      </c>
      <c r="BF9" s="3" t="s">
        <v>35</v>
      </c>
      <c r="BG9" s="3" t="s">
        <v>87</v>
      </c>
      <c r="BH9" s="3" t="s">
        <v>1529</v>
      </c>
      <c r="BI9" s="3" t="s">
        <v>2371</v>
      </c>
      <c r="BJ9" s="3" t="s">
        <v>1198</v>
      </c>
      <c r="BK9" s="3" t="s">
        <v>1362</v>
      </c>
      <c r="BL9" s="3" t="s">
        <v>90</v>
      </c>
      <c r="BM9" s="3" t="s">
        <v>1199</v>
      </c>
      <c r="BN9" s="3">
        <v>3.06</v>
      </c>
      <c r="BO9" s="3">
        <v>3.38</v>
      </c>
      <c r="BP9" s="3">
        <v>3.01</v>
      </c>
      <c r="BQ9" s="3">
        <v>4.59</v>
      </c>
      <c r="BR9" s="3">
        <v>4.13</v>
      </c>
      <c r="BS9" s="3">
        <v>4.2300000000000004</v>
      </c>
      <c r="BT9" s="3" t="s">
        <v>1535</v>
      </c>
      <c r="BU9" s="3" t="s">
        <v>977</v>
      </c>
      <c r="BV9" s="3">
        <v>18.8</v>
      </c>
      <c r="BW9" s="3">
        <v>17.53</v>
      </c>
      <c r="BX9" s="3">
        <v>16.98</v>
      </c>
      <c r="BY9" s="3">
        <v>4.25</v>
      </c>
      <c r="BZ9" s="3">
        <v>4.01</v>
      </c>
      <c r="CA9" s="3">
        <v>5.6</v>
      </c>
      <c r="CB9" s="3">
        <v>-1.23</v>
      </c>
      <c r="CC9" s="3">
        <v>-13.49</v>
      </c>
      <c r="CD9" s="3" t="s">
        <v>2372</v>
      </c>
      <c r="CE9" s="3" t="s">
        <v>1402</v>
      </c>
      <c r="CF9" s="10">
        <v>-0.4487516425755585</v>
      </c>
      <c r="CG9" s="11">
        <v>-0.50464957988165682</v>
      </c>
      <c r="CH9" s="10">
        <v>-0.71267122030258179</v>
      </c>
      <c r="CI9" s="10">
        <v>3.89650440774858E-3</v>
      </c>
      <c r="CJ9" s="10">
        <v>1.3300399780273437</v>
      </c>
      <c r="CK9" s="10">
        <v>0.12192923575639725</v>
      </c>
      <c r="CL9" s="10">
        <v>-0.12204102426767349</v>
      </c>
      <c r="CM9" s="11">
        <v>-0.63602519035339355</v>
      </c>
      <c r="CN9" s="11">
        <v>-0.23333333432674408</v>
      </c>
      <c r="CO9" s="11">
        <v>-5.3627759218215942E-2</v>
      </c>
      <c r="CP9" s="11">
        <v>7.0945948362350464E-2</v>
      </c>
      <c r="CQ9" s="11">
        <v>-0.21693122386932373</v>
      </c>
      <c r="CR9" s="3">
        <v>27.854018989798931</v>
      </c>
      <c r="CS9" s="3">
        <v>2.2421205203453227</v>
      </c>
      <c r="CT9" s="3">
        <v>2.4948024948024949</v>
      </c>
      <c r="CU9" s="10">
        <v>0.12423069472424686</v>
      </c>
      <c r="CV9" s="11">
        <v>-0.21379431188106537</v>
      </c>
      <c r="CW9" s="3">
        <v>0.06</v>
      </c>
      <c r="CX9" s="3">
        <v>53.348245655405997</v>
      </c>
      <c r="CY9" s="3">
        <v>88786861.532343909</v>
      </c>
      <c r="CZ9" s="3">
        <v>0.12423069472424686</v>
      </c>
      <c r="DA9" s="3">
        <v>16.937554106423306</v>
      </c>
      <c r="DB9" s="3">
        <v>279652142.82053328</v>
      </c>
      <c r="DC9" s="3">
        <v>0.11801915998803451</v>
      </c>
      <c r="DD9" s="3">
        <v>8.0181958570733158</v>
      </c>
      <c r="DE9" s="3">
        <v>590734297.89340329</v>
      </c>
      <c r="DF9" s="3">
        <v>0.10932301135733724</v>
      </c>
      <c r="DG9" s="3">
        <v>4.6041280075224327</v>
      </c>
      <c r="DH9" s="3">
        <v>1028777499.7265694</v>
      </c>
      <c r="DI9" s="3">
        <v>9.938455577939749E-2</v>
      </c>
      <c r="DJ9" s="3">
        <v>2.1505879305583697</v>
      </c>
      <c r="DK9" s="3">
        <v>2202478323.5764756</v>
      </c>
      <c r="DL9" s="3">
        <v>8.6961486306972799E-2</v>
      </c>
      <c r="DM9" s="3">
        <v>83714200</v>
      </c>
      <c r="DN9" s="3">
        <v>0.12423069472424686</v>
      </c>
      <c r="DO9" s="3">
        <v>4736623300</v>
      </c>
      <c r="DP9" s="3">
        <v>2411597100</v>
      </c>
      <c r="DQ9" s="3">
        <v>124</v>
      </c>
      <c r="DR9" s="3">
        <v>-0.5729823372998053</v>
      </c>
      <c r="DS9" s="3">
        <v>-0.29085526800059147</v>
      </c>
      <c r="DT9" s="12">
        <v>-0.50666666666666671</v>
      </c>
      <c r="DU9" s="3">
        <v>-0.80333333333333334</v>
      </c>
      <c r="DV9" s="3">
        <v>-1.31</v>
      </c>
      <c r="DW9" s="3">
        <v>-2.1349</v>
      </c>
      <c r="DX9" s="3">
        <v>0.34270130890052397</v>
      </c>
      <c r="DY9" s="3">
        <v>-2.0165524065706806</v>
      </c>
      <c r="DZ9" s="3">
        <v>1794</v>
      </c>
      <c r="EA9" s="3">
        <v>-2.010741248569154</v>
      </c>
      <c r="EB9" s="3">
        <v>2</v>
      </c>
      <c r="EC9" s="3">
        <v>3.0263791161316701E-2</v>
      </c>
      <c r="ED9" s="3">
        <v>0.24664603362831425</v>
      </c>
      <c r="EE9" s="13">
        <v>-3.0329999999999999</v>
      </c>
      <c r="EF9" s="3">
        <v>-3.0207000000000002</v>
      </c>
      <c r="EG9" s="3">
        <v>22.122701308900524</v>
      </c>
      <c r="EH9" s="3" t="s">
        <v>1400</v>
      </c>
      <c r="EI9" s="3">
        <v>0</v>
      </c>
      <c r="EJ9" s="3">
        <v>0</v>
      </c>
      <c r="EK9" s="15">
        <v>45470</v>
      </c>
      <c r="EL9" s="16">
        <v>0.63</v>
      </c>
      <c r="EM9" s="16">
        <v>-2.0699999999999998</v>
      </c>
      <c r="EN9" s="16">
        <v>0.42</v>
      </c>
      <c r="EO9" s="16">
        <v>2.74</v>
      </c>
      <c r="EP9" s="16">
        <v>-1.23</v>
      </c>
    </row>
    <row r="10" spans="1:146" ht="168" customHeight="1" x14ac:dyDescent="0.25">
      <c r="B10" s="7" t="s">
        <v>1409</v>
      </c>
      <c r="C10" s="7" t="str">
        <f>"公司（BOE）创立于1993年4月，是全球领先的半导体显示技术、产品与服务提供商。产品广泛应用于手机、平板电脑、笔记本电脑、显示器、电视、车载、数字信息显示等各类显示领域。"&amp;CHAR(10)&amp;Basic_Fundamental_Information_Constructure(F10)&amp;CHAR(10)&amp;Basic_Fundamental_Information_Concatenate("显示器件业务 678.76亿 84.66% 56.32% 6.01%
物联网创新业务 174.17亿 21.72% 20.70% 8.61%
智慧医工业务 13.54亿 1.69% 3.71% 19.86%
MLED业务 4.58亿 0.57% -0.55% -8.65%
传感业务 1.83亿 0.23% 0.48% 18.80%")</f>
        <v>公司（BOE）创立于1993年4月，是全球领先的半导体显示技术、产品与服务提供商。产品广泛应用于手机、平板电脑、笔记本电脑、显示器、电视、车载、数字信息显示等各类显示领域。
市值1528.5892亿, 利润9.84亿; PE46.55; 平均PE20.44; 平均PEG17.59, PB1.19; ROIC-5.355%; ROE10%; 股利率.7389%; 毛利17.7067%; 净利4.3733%; 上一年度营收增-74.28%, 利润增-86.95%; 当季营收增-42.77%, 利润增33.67%; 过往5年营收增1.16%, 利润增75.18%
Income profile:
显示器件业务 678.76亿 84.66% 56.32% 6.01%
物联网创新业务 174.17亿 21.72% 20.70% 8.61%
智慧医工业务 13.54亿 1.69% 3.71% 19.86%
MLED业务 4.58亿 0.57% -0.55% -8.65%
传感业务 1.83亿 0.23% 0.48% 18.80%</v>
      </c>
      <c r="D10" s="3" t="s">
        <v>389</v>
      </c>
      <c r="E10" s="3" t="s">
        <v>390</v>
      </c>
      <c r="F10" s="3">
        <v>4.0599999999999996</v>
      </c>
      <c r="G10" s="3">
        <v>-0.73</v>
      </c>
      <c r="H10" s="3" t="s">
        <v>233</v>
      </c>
      <c r="I10" s="3">
        <v>152858920000</v>
      </c>
      <c r="J10" s="3">
        <v>46.55</v>
      </c>
      <c r="K10" s="3">
        <v>1.19</v>
      </c>
      <c r="L10" s="3" t="s">
        <v>343</v>
      </c>
      <c r="M10" s="3" t="s">
        <v>1536</v>
      </c>
      <c r="N10" s="3" t="s">
        <v>2373</v>
      </c>
      <c r="O10" s="3" t="s">
        <v>1537</v>
      </c>
      <c r="P10" s="3">
        <v>20.84</v>
      </c>
      <c r="Q10" s="3" t="s">
        <v>1537</v>
      </c>
      <c r="R10" s="3">
        <v>983812690</v>
      </c>
      <c r="S10" s="5">
        <v>2.9780000000000002</v>
      </c>
      <c r="T10" s="3" t="s">
        <v>2297</v>
      </c>
      <c r="U10" s="3">
        <v>36852706000</v>
      </c>
      <c r="V10" s="3">
        <v>37649981000</v>
      </c>
      <c r="W10" s="3">
        <v>2.1</v>
      </c>
      <c r="X10" s="3">
        <v>0.11</v>
      </c>
      <c r="Y10" s="3">
        <v>1.05</v>
      </c>
      <c r="Z10" s="3" t="s">
        <v>2374</v>
      </c>
      <c r="AA10" s="3" t="s">
        <v>2375</v>
      </c>
      <c r="AB10" s="3" t="s">
        <v>2376</v>
      </c>
      <c r="AC10" s="3" t="s">
        <v>2377</v>
      </c>
      <c r="AD10" s="3" t="s">
        <v>4</v>
      </c>
      <c r="AE10" s="3">
        <v>190454620</v>
      </c>
      <c r="AF10" s="3" t="s">
        <v>1540</v>
      </c>
      <c r="AG10" s="3" t="s">
        <v>2378</v>
      </c>
      <c r="AH10" s="3" t="s">
        <v>1541</v>
      </c>
      <c r="AI10" s="3" t="s">
        <v>2379</v>
      </c>
      <c r="AJ10" s="3" t="s">
        <v>1542</v>
      </c>
      <c r="AK10" s="3" t="s">
        <v>2210</v>
      </c>
      <c r="AL10" s="3" t="s">
        <v>1543</v>
      </c>
      <c r="AM10" s="3" t="s">
        <v>4</v>
      </c>
      <c r="AN10" s="3" t="s">
        <v>2380</v>
      </c>
      <c r="AO10" s="3" t="s">
        <v>1882</v>
      </c>
      <c r="AP10" s="3" t="s">
        <v>1707</v>
      </c>
      <c r="AQ10" s="3" t="s">
        <v>2381</v>
      </c>
      <c r="AR10" s="3" t="s">
        <v>2382</v>
      </c>
      <c r="AS10" s="3" t="s">
        <v>2383</v>
      </c>
      <c r="AT10" s="3" t="s">
        <v>2384</v>
      </c>
      <c r="AU10" s="3" t="s">
        <v>2385</v>
      </c>
      <c r="AV10" s="3" t="s">
        <v>2386</v>
      </c>
      <c r="AW10" s="3" t="s">
        <v>2387</v>
      </c>
      <c r="AX10" s="3" t="s">
        <v>1201</v>
      </c>
      <c r="AY10" s="3" t="s">
        <v>1202</v>
      </c>
      <c r="AZ10" s="3" t="s">
        <v>391</v>
      </c>
      <c r="BA10" s="3" t="s">
        <v>393</v>
      </c>
      <c r="BB10" s="3" t="s">
        <v>394</v>
      </c>
      <c r="BC10" s="3" t="s">
        <v>1544</v>
      </c>
      <c r="BD10" s="3" t="s">
        <v>1203</v>
      </c>
      <c r="BE10" s="3" t="s">
        <v>392</v>
      </c>
      <c r="BF10" s="3" t="s">
        <v>395</v>
      </c>
      <c r="BG10" s="3" t="s">
        <v>396</v>
      </c>
      <c r="BH10" s="3" t="s">
        <v>1538</v>
      </c>
      <c r="BI10" s="3" t="s">
        <v>2388</v>
      </c>
      <c r="BJ10" s="3" t="s">
        <v>1201</v>
      </c>
      <c r="BK10" s="3" t="s">
        <v>1539</v>
      </c>
      <c r="BL10" s="3" t="s">
        <v>2389</v>
      </c>
      <c r="BM10" s="3" t="s">
        <v>1544</v>
      </c>
      <c r="BN10" s="3" t="s">
        <v>4</v>
      </c>
      <c r="BO10" s="3">
        <v>-20.27</v>
      </c>
      <c r="BP10" s="3">
        <v>9.56</v>
      </c>
      <c r="BQ10" s="3">
        <v>0.71</v>
      </c>
      <c r="BR10" s="3">
        <v>5.45</v>
      </c>
      <c r="BS10" s="3">
        <v>23.84</v>
      </c>
      <c r="BT10" s="3" t="s">
        <v>1161</v>
      </c>
      <c r="BU10" s="3" t="s">
        <v>1002</v>
      </c>
      <c r="BV10" s="3">
        <v>12.55</v>
      </c>
      <c r="BW10" s="3">
        <v>11.7</v>
      </c>
      <c r="BX10" s="3">
        <v>28.87</v>
      </c>
      <c r="BY10" s="3">
        <v>0.21</v>
      </c>
      <c r="BZ10" s="3">
        <v>-0.97</v>
      </c>
      <c r="CA10" s="3">
        <v>13.88</v>
      </c>
      <c r="CB10" s="3">
        <v>-0.73</v>
      </c>
      <c r="CC10" s="3">
        <v>-4.0199999999999996</v>
      </c>
      <c r="CD10" s="3" t="s">
        <v>1457</v>
      </c>
      <c r="CE10" s="3" t="s">
        <v>2390</v>
      </c>
      <c r="CF10" s="10">
        <v>-0.42767342662575769</v>
      </c>
      <c r="CG10" s="11">
        <v>0.33670202445652175</v>
      </c>
      <c r="CH10" s="10">
        <v>-0.74280047416687012</v>
      </c>
      <c r="CI10" s="10">
        <v>-0.19282835721969604</v>
      </c>
      <c r="CJ10" s="10">
        <v>0.63062423467636108</v>
      </c>
      <c r="CK10" s="10">
        <v>0.16795626282691956</v>
      </c>
      <c r="CL10" s="10">
        <v>0.19515179097652435</v>
      </c>
      <c r="CM10" s="11">
        <v>-0.86951333284378052</v>
      </c>
      <c r="CN10" s="11">
        <v>-0.70952582359313965</v>
      </c>
      <c r="CO10" s="11">
        <v>4.1550836563110352</v>
      </c>
      <c r="CP10" s="11">
        <v>1.6242835521697998</v>
      </c>
      <c r="CQ10" s="11">
        <v>-0.44133913516998291</v>
      </c>
      <c r="CR10" s="3">
        <v>20.437506016579018</v>
      </c>
      <c r="CS10" s="3">
        <v>17.58716868067151</v>
      </c>
      <c r="CT10" s="3">
        <v>0.73891625615763556</v>
      </c>
      <c r="CU10" s="10">
        <v>1.1620691418647766E-2</v>
      </c>
      <c r="CV10" s="11">
        <v>0.75179778337478642</v>
      </c>
      <c r="CW10" s="3">
        <v>0.06</v>
      </c>
      <c r="CX10" s="3">
        <v>187.30689606753157</v>
      </c>
      <c r="CY10" s="3">
        <v>939089396.5622164</v>
      </c>
      <c r="CZ10" s="3">
        <v>1.1620691418647766E-2</v>
      </c>
      <c r="DA10" s="3">
        <v>65.447945791080457</v>
      </c>
      <c r="DB10" s="3">
        <v>2687600319.2138715</v>
      </c>
      <c r="DC10" s="3">
        <v>1.1039656847715377E-2</v>
      </c>
      <c r="DD10" s="3">
        <v>35.136275889905939</v>
      </c>
      <c r="DE10" s="3">
        <v>5006162877.1116438</v>
      </c>
      <c r="DF10" s="3">
        <v>1.0226208448410035E-2</v>
      </c>
      <c r="DG10" s="3">
        <v>23.176571710156129</v>
      </c>
      <c r="DH10" s="3">
        <v>7589471048.5986309</v>
      </c>
      <c r="DI10" s="3">
        <v>9.2965531349182128E-3</v>
      </c>
      <c r="DJ10" s="3">
        <v>14.520524441279791</v>
      </c>
      <c r="DK10" s="3">
        <v>12113744287.358324</v>
      </c>
      <c r="DL10" s="3">
        <v>8.134483993053436E-3</v>
      </c>
      <c r="DM10" s="3">
        <v>984000000</v>
      </c>
      <c r="DN10" s="3">
        <v>1.1620691418647766E-2</v>
      </c>
      <c r="DO10" s="3">
        <v>175897920000</v>
      </c>
      <c r="DP10" s="3">
        <v>60054640000</v>
      </c>
      <c r="DQ10" s="3">
        <v>248</v>
      </c>
      <c r="DR10" s="3">
        <v>-0.43929411804440543</v>
      </c>
      <c r="DS10" s="3">
        <v>-0.41509575891826467</v>
      </c>
      <c r="DT10" s="12">
        <v>-0.44</v>
      </c>
      <c r="DU10" s="3">
        <v>5.6666666666666643E-2</v>
      </c>
      <c r="DV10" s="3">
        <v>-0.38333333333333336</v>
      </c>
      <c r="DW10" s="3">
        <v>-1.0402</v>
      </c>
      <c r="DX10" s="3">
        <v>0.43341872980669777</v>
      </c>
      <c r="DY10" s="3">
        <v>-1.0049614329382293</v>
      </c>
      <c r="DZ10" s="3">
        <v>1321</v>
      </c>
      <c r="EA10" s="3">
        <v>-1.0036788394134932</v>
      </c>
      <c r="EB10" s="3">
        <v>1</v>
      </c>
      <c r="EC10" s="3">
        <v>3.0836668948119789E-2</v>
      </c>
      <c r="ED10" s="3">
        <v>0.24985404375104467</v>
      </c>
      <c r="EE10" s="13">
        <v>3.1610000000000006E-2</v>
      </c>
      <c r="EF10" s="3">
        <v>1.9110000000000002E-2</v>
      </c>
      <c r="EG10" s="3">
        <v>31.123418729806698</v>
      </c>
      <c r="EH10" s="3">
        <v>-1</v>
      </c>
      <c r="EI10" s="3">
        <v>0</v>
      </c>
      <c r="EJ10" s="3">
        <v>1</v>
      </c>
      <c r="EK10" s="15">
        <v>45470</v>
      </c>
      <c r="EL10" s="16">
        <v>0.5</v>
      </c>
      <c r="EM10" s="16">
        <v>-2.2200000000000002</v>
      </c>
      <c r="EN10" s="16">
        <v>-1.26</v>
      </c>
      <c r="EO10" s="16">
        <v>2.0499999999999998</v>
      </c>
      <c r="EP10" s="16">
        <v>1.25</v>
      </c>
    </row>
    <row r="11" spans="1:146" ht="96" x14ac:dyDescent="0.25">
      <c r="C11" s="7" t="str">
        <f>""&amp;CHAR(10)&amp;Basic_Fundamental_Information_Constructure(F11)&amp;CHAR(10)&amp;Basic_Fundamental_Information_Concatenate("")</f>
        <v xml:space="preserve">
市值91.95021亿, 利润537.74万; PE28.98; 平均PE-11.09; 平均PEG-.06, PB3.02; ROIC5.0633%; ROE12.1433%; 股利率0%; 毛利11.1033%; 净利1.1267%; 上一年度营收增-79.31%, 利润增-93.8%; 当季营收增-48.86%, 利润增-87.79%; 过往5年营收增192.39%, 利润增-107%
Income profile:
</v>
      </c>
      <c r="D11" s="3" t="s">
        <v>398</v>
      </c>
      <c r="E11" s="3" t="s">
        <v>399</v>
      </c>
      <c r="F11" s="3">
        <v>2.0299999999999998</v>
      </c>
      <c r="G11" s="3">
        <v>1</v>
      </c>
      <c r="H11" s="3" t="s">
        <v>2391</v>
      </c>
      <c r="I11" s="3">
        <v>9195021000</v>
      </c>
      <c r="J11" s="3">
        <v>28.98</v>
      </c>
      <c r="K11" s="3">
        <v>3.02</v>
      </c>
      <c r="L11" s="3" t="s">
        <v>343</v>
      </c>
      <c r="M11" s="3" t="s">
        <v>1545</v>
      </c>
      <c r="N11" s="3" t="s">
        <v>2392</v>
      </c>
      <c r="O11" s="3" t="s">
        <v>1546</v>
      </c>
      <c r="P11" s="3">
        <v>6.93</v>
      </c>
      <c r="Q11" s="3" t="s">
        <v>1546</v>
      </c>
      <c r="R11" s="3">
        <v>5377437</v>
      </c>
      <c r="S11" s="5">
        <v>1.157</v>
      </c>
      <c r="T11" s="3" t="s">
        <v>2393</v>
      </c>
      <c r="U11" s="3">
        <v>4529567000</v>
      </c>
      <c r="V11" s="3">
        <v>4529567000</v>
      </c>
      <c r="W11" s="3">
        <v>3.69</v>
      </c>
      <c r="X11" s="3">
        <v>0.37</v>
      </c>
      <c r="Y11" s="3">
        <v>0.38</v>
      </c>
      <c r="Z11" s="3" t="s">
        <v>2394</v>
      </c>
      <c r="AA11" s="3" t="s">
        <v>2395</v>
      </c>
      <c r="AB11" s="3" t="s">
        <v>2084</v>
      </c>
      <c r="AC11" s="3" t="s">
        <v>851</v>
      </c>
      <c r="AD11" s="3" t="s">
        <v>4</v>
      </c>
      <c r="AE11" s="3">
        <v>94620082</v>
      </c>
      <c r="AF11" s="3" t="s">
        <v>1550</v>
      </c>
      <c r="AG11" s="3" t="s">
        <v>2396</v>
      </c>
      <c r="AH11" s="3" t="s">
        <v>1551</v>
      </c>
      <c r="AI11" s="3" t="s">
        <v>2397</v>
      </c>
      <c r="AJ11" s="3" t="s">
        <v>1552</v>
      </c>
      <c r="AK11" s="3" t="s">
        <v>2398</v>
      </c>
      <c r="AL11" s="3" t="s">
        <v>1554</v>
      </c>
      <c r="AM11" s="3" t="s">
        <v>4</v>
      </c>
      <c r="AN11" s="3" t="s">
        <v>2399</v>
      </c>
      <c r="AO11" s="3" t="s">
        <v>2400</v>
      </c>
      <c r="AP11" s="3" t="s">
        <v>1072</v>
      </c>
      <c r="AQ11" s="3" t="s">
        <v>2401</v>
      </c>
      <c r="AR11" s="3" t="s">
        <v>2402</v>
      </c>
      <c r="AS11" s="3" t="s">
        <v>2403</v>
      </c>
      <c r="AT11" s="3" t="s">
        <v>4</v>
      </c>
      <c r="AU11" s="3" t="s">
        <v>80</v>
      </c>
      <c r="AV11" s="3" t="s">
        <v>2404</v>
      </c>
      <c r="AW11" s="3" t="s">
        <v>1275</v>
      </c>
      <c r="AX11" s="3" t="s">
        <v>1204</v>
      </c>
      <c r="AY11" s="3" t="s">
        <v>1206</v>
      </c>
      <c r="AZ11" s="3" t="s">
        <v>400</v>
      </c>
      <c r="BA11" s="3" t="s">
        <v>402</v>
      </c>
      <c r="BB11" s="3" t="s">
        <v>403</v>
      </c>
      <c r="BC11" s="3" t="s">
        <v>1205</v>
      </c>
      <c r="BD11" s="3" t="s">
        <v>227</v>
      </c>
      <c r="BE11" s="3" t="s">
        <v>351</v>
      </c>
      <c r="BF11" s="3" t="s">
        <v>404</v>
      </c>
      <c r="BG11" s="3" t="s">
        <v>405</v>
      </c>
      <c r="BH11" s="3" t="s">
        <v>1547</v>
      </c>
      <c r="BI11" s="3" t="s">
        <v>2405</v>
      </c>
      <c r="BJ11" s="3" t="s">
        <v>1204</v>
      </c>
      <c r="BK11" s="3" t="s">
        <v>1548</v>
      </c>
      <c r="BL11" s="3" t="s">
        <v>2406</v>
      </c>
      <c r="BM11" s="3" t="s">
        <v>1205</v>
      </c>
      <c r="BN11" s="3">
        <v>2.59</v>
      </c>
      <c r="BO11" s="3">
        <v>1.98</v>
      </c>
      <c r="BP11" s="3">
        <v>10.62</v>
      </c>
      <c r="BQ11" s="3">
        <v>2.63</v>
      </c>
      <c r="BR11" s="3">
        <v>3.67</v>
      </c>
      <c r="BS11" s="3">
        <v>30.13</v>
      </c>
      <c r="BT11" s="3" t="s">
        <v>1157</v>
      </c>
      <c r="BU11" s="3" t="s">
        <v>1002</v>
      </c>
      <c r="BV11" s="3">
        <v>13.13</v>
      </c>
      <c r="BW11" s="3">
        <v>10.02</v>
      </c>
      <c r="BX11" s="3">
        <v>10.16</v>
      </c>
      <c r="BY11" s="3">
        <v>1.1499999999999999</v>
      </c>
      <c r="BZ11" s="3">
        <v>0.37</v>
      </c>
      <c r="CA11" s="3">
        <v>1.86</v>
      </c>
      <c r="CB11" s="3">
        <v>-1.46</v>
      </c>
      <c r="CC11" s="3">
        <v>-8.14</v>
      </c>
      <c r="CD11" s="3" t="s">
        <v>252</v>
      </c>
      <c r="CE11" s="3" t="s">
        <v>284</v>
      </c>
      <c r="CF11" s="10">
        <v>-0.48861821086261975</v>
      </c>
      <c r="CG11" s="11">
        <v>-0.87791177305286583</v>
      </c>
      <c r="CH11" s="10">
        <v>-0.79307723045349121</v>
      </c>
      <c r="CI11" s="10">
        <v>-0.12314733117818832</v>
      </c>
      <c r="CJ11" s="10">
        <v>2.9435742646455765E-2</v>
      </c>
      <c r="CK11" s="10">
        <v>4.9219515174627304E-2</v>
      </c>
      <c r="CL11" s="10">
        <v>10.457127571105957</v>
      </c>
      <c r="CM11" s="11">
        <v>-0.93797236680984497</v>
      </c>
      <c r="CN11" s="11">
        <v>-0.83704209327697754</v>
      </c>
      <c r="CO11" s="11">
        <v>-0.28686326742172241</v>
      </c>
      <c r="CP11" s="11">
        <v>1.1392570734024048</v>
      </c>
      <c r="CQ11" s="11">
        <v>-4.427558422088623</v>
      </c>
      <c r="CR11" s="3">
        <v>-11.091860378384975</v>
      </c>
      <c r="CS11" s="3">
        <v>-5.7652649270264089E-2</v>
      </c>
      <c r="CT11" s="3">
        <v>0</v>
      </c>
      <c r="CU11" s="10">
        <v>1.9239116534590721</v>
      </c>
      <c r="CV11" s="11">
        <v>-1.0700358152389526</v>
      </c>
      <c r="CW11" s="3">
        <v>0.06</v>
      </c>
      <c r="CX11" s="3">
        <v>1633.3125232383954</v>
      </c>
      <c r="CY11" s="3">
        <v>14833058.986142278</v>
      </c>
      <c r="CZ11" s="3">
        <v>1.9239116534590721</v>
      </c>
      <c r="DA11" s="3">
        <v>156.60870354030055</v>
      </c>
      <c r="DB11" s="3">
        <v>154697794.26253659</v>
      </c>
      <c r="DC11" s="3">
        <v>1.8277160707861184</v>
      </c>
      <c r="DD11" s="3">
        <v>10.197085904129036</v>
      </c>
      <c r="DE11" s="3">
        <v>2375876915.0105834</v>
      </c>
      <c r="DF11" s="3">
        <v>1.6930422550439834</v>
      </c>
      <c r="DG11" s="3">
        <v>0.42201634368990576</v>
      </c>
      <c r="DH11" s="3">
        <v>57407779016.733582</v>
      </c>
      <c r="DI11" s="3">
        <v>1.5391293227672578</v>
      </c>
      <c r="DJ11" s="3">
        <v>3.087293219151272E-4</v>
      </c>
      <c r="DK11" s="3">
        <v>78473339849009.391</v>
      </c>
      <c r="DL11" s="3">
        <v>1.3467381574213504</v>
      </c>
      <c r="DM11" s="3">
        <v>5377400</v>
      </c>
      <c r="DN11" s="3">
        <v>1.9239116534590721</v>
      </c>
      <c r="DO11" s="3">
        <v>24227021000</v>
      </c>
      <c r="DP11" s="3">
        <v>1104616000</v>
      </c>
      <c r="DQ11" s="3">
        <v>250</v>
      </c>
      <c r="DR11" s="3">
        <v>-2.4125298643216917</v>
      </c>
      <c r="DS11" s="3">
        <v>0.19212404218608681</v>
      </c>
      <c r="DT11" s="12">
        <v>-0.3066666666666667</v>
      </c>
      <c r="DU11" s="3">
        <v>-1.59</v>
      </c>
      <c r="DV11" s="3">
        <v>-1.8966666666666667</v>
      </c>
      <c r="DW11" s="3">
        <v>-2.0813999999999999</v>
      </c>
      <c r="DX11" s="3">
        <v>0.38744855243069409</v>
      </c>
      <c r="DY11" s="3">
        <v>-2.0111883121678584</v>
      </c>
      <c r="DZ11" s="3">
        <v>3174</v>
      </c>
      <c r="EA11" s="3">
        <v>-2.0042388595610516</v>
      </c>
      <c r="EB11" s="3">
        <v>2</v>
      </c>
      <c r="EC11" s="3">
        <v>3.6868866273531226E-2</v>
      </c>
      <c r="ED11" s="3">
        <v>0.26823756001401461</v>
      </c>
      <c r="EE11" s="13">
        <v>-1.0678099999999999</v>
      </c>
      <c r="EF11" s="3">
        <v>-1.08731</v>
      </c>
      <c r="EG11" s="3">
        <v>25.137448552430694</v>
      </c>
      <c r="EH11" s="3" t="s">
        <v>1015</v>
      </c>
      <c r="EI11" s="3">
        <v>0</v>
      </c>
      <c r="EJ11" s="3">
        <v>0</v>
      </c>
      <c r="EK11" s="15">
        <v>45470</v>
      </c>
      <c r="EL11" s="16">
        <v>0.95</v>
      </c>
      <c r="EM11" s="16">
        <v>-3.76</v>
      </c>
      <c r="EN11" s="16">
        <v>-2.44</v>
      </c>
      <c r="EO11" s="16">
        <v>2.5</v>
      </c>
      <c r="EP11" s="16">
        <v>-1.95</v>
      </c>
    </row>
    <row r="12" spans="1:146" ht="96" x14ac:dyDescent="0.25">
      <c r="C12" s="7" t="str">
        <f>""&amp;CHAR(10)&amp;Basic_Fundamental_Information_Constructure(F12)&amp;CHAR(10)&amp;Basic_Fundamental_Information_Concatenate("")</f>
        <v xml:space="preserve">
市值149.94746亿, 利润1.85亿; PE12.34; 平均PE22.29; 平均PEG11.54, PB2.1; ROIC23.77%; ROE27.7167%; 股利率2.7473%; 毛利18.11%; 净利10.14%; 上一年度营收增-75.53%, 利润增-87.8%; 当季营收增-42.98%, 利润增-65.92%; 过往5年营收增-1.93%, 利润增18.37%
Income profile:
</v>
      </c>
      <c r="D12" s="3" t="s">
        <v>864</v>
      </c>
      <c r="E12" s="3" t="s">
        <v>865</v>
      </c>
      <c r="F12" s="3">
        <v>21.84</v>
      </c>
      <c r="G12" s="3">
        <v>0.88</v>
      </c>
      <c r="H12" s="3" t="s">
        <v>2407</v>
      </c>
      <c r="I12" s="3">
        <v>14994746000</v>
      </c>
      <c r="J12" s="3">
        <v>12.34</v>
      </c>
      <c r="K12" s="3">
        <v>2.1</v>
      </c>
      <c r="L12" s="3" t="s">
        <v>343</v>
      </c>
      <c r="M12" s="3" t="s">
        <v>1555</v>
      </c>
      <c r="N12" s="3" t="s">
        <v>1528</v>
      </c>
      <c r="O12" s="3" t="s">
        <v>1556</v>
      </c>
      <c r="P12" s="3">
        <v>30.8</v>
      </c>
      <c r="Q12" s="3" t="s">
        <v>1556</v>
      </c>
      <c r="R12" s="3">
        <v>185389290</v>
      </c>
      <c r="S12" s="5">
        <v>-0.26690000000000003</v>
      </c>
      <c r="T12" s="3" t="s">
        <v>1040</v>
      </c>
      <c r="U12" s="3">
        <v>77351133</v>
      </c>
      <c r="V12" s="3">
        <v>686572610</v>
      </c>
      <c r="W12" s="3">
        <v>2.1800000000000002</v>
      </c>
      <c r="X12" s="3">
        <v>0.19</v>
      </c>
      <c r="Y12" s="3">
        <v>6.5</v>
      </c>
      <c r="Z12" s="3" t="s">
        <v>2408</v>
      </c>
      <c r="AA12" s="3" t="s">
        <v>2409</v>
      </c>
      <c r="AB12" s="3" t="s">
        <v>2410</v>
      </c>
      <c r="AC12" s="3" t="s">
        <v>2411</v>
      </c>
      <c r="AD12" s="3" t="s">
        <v>4</v>
      </c>
      <c r="AE12" s="3">
        <v>-40010611</v>
      </c>
      <c r="AF12" s="3" t="s">
        <v>1559</v>
      </c>
      <c r="AG12" s="3" t="s">
        <v>2412</v>
      </c>
      <c r="AH12" s="3" t="s">
        <v>1560</v>
      </c>
      <c r="AI12" s="3" t="s">
        <v>1654</v>
      </c>
      <c r="AJ12" s="3" t="s">
        <v>1561</v>
      </c>
      <c r="AK12" s="3" t="s">
        <v>42</v>
      </c>
      <c r="AL12" s="3" t="s">
        <v>1562</v>
      </c>
      <c r="AM12" s="3" t="s">
        <v>4</v>
      </c>
      <c r="AN12" s="3" t="s">
        <v>2413</v>
      </c>
      <c r="AO12" s="3" t="s">
        <v>2414</v>
      </c>
      <c r="AP12" s="3" t="s">
        <v>1067</v>
      </c>
      <c r="AQ12" s="3" t="s">
        <v>1508</v>
      </c>
      <c r="AR12" s="3" t="s">
        <v>4</v>
      </c>
      <c r="AS12" s="3" t="s">
        <v>2415</v>
      </c>
      <c r="AT12" s="3" t="s">
        <v>4</v>
      </c>
      <c r="AU12" s="3" t="s">
        <v>2416</v>
      </c>
      <c r="AV12" s="3" t="s">
        <v>2417</v>
      </c>
      <c r="AW12" s="3" t="s">
        <v>2418</v>
      </c>
      <c r="AX12" s="3" t="s">
        <v>1208</v>
      </c>
      <c r="AY12" s="3" t="s">
        <v>866</v>
      </c>
      <c r="AZ12" s="3" t="s">
        <v>869</v>
      </c>
      <c r="BA12" s="3" t="s">
        <v>870</v>
      </c>
      <c r="BB12" s="3" t="s">
        <v>871</v>
      </c>
      <c r="BC12" s="3" t="s">
        <v>1209</v>
      </c>
      <c r="BD12" s="3" t="s">
        <v>653</v>
      </c>
      <c r="BE12" s="3" t="s">
        <v>57</v>
      </c>
      <c r="BF12" s="3" t="s">
        <v>280</v>
      </c>
      <c r="BG12" s="3" t="s">
        <v>872</v>
      </c>
      <c r="BH12" s="3" t="s">
        <v>1557</v>
      </c>
      <c r="BI12" s="3" t="s">
        <v>2419</v>
      </c>
      <c r="BJ12" s="3" t="s">
        <v>1208</v>
      </c>
      <c r="BK12" s="3" t="s">
        <v>1059</v>
      </c>
      <c r="BL12" s="3" t="s">
        <v>235</v>
      </c>
      <c r="BM12" s="3" t="s">
        <v>1209</v>
      </c>
      <c r="BN12" s="3">
        <v>8.8000000000000007</v>
      </c>
      <c r="BO12" s="3">
        <v>29.13</v>
      </c>
      <c r="BP12" s="3">
        <v>33.380000000000003</v>
      </c>
      <c r="BQ12" s="3">
        <v>14.08</v>
      </c>
      <c r="BR12" s="3">
        <v>31.73</v>
      </c>
      <c r="BS12" s="3">
        <v>37.340000000000003</v>
      </c>
      <c r="BT12" s="3" t="s">
        <v>1293</v>
      </c>
      <c r="BU12" s="3" t="s">
        <v>1002</v>
      </c>
      <c r="BV12" s="3">
        <v>17.829999999999998</v>
      </c>
      <c r="BW12" s="3">
        <v>21.13</v>
      </c>
      <c r="BX12" s="3">
        <v>15.37</v>
      </c>
      <c r="BY12" s="3">
        <v>9.5500000000000007</v>
      </c>
      <c r="BZ12" s="3">
        <v>13.1</v>
      </c>
      <c r="CA12" s="3">
        <v>7.77</v>
      </c>
      <c r="CB12" s="3">
        <v>-2.93</v>
      </c>
      <c r="CC12" s="3">
        <v>-8.4700000000000006</v>
      </c>
      <c r="CD12" s="3" t="s">
        <v>2420</v>
      </c>
      <c r="CE12" s="3" t="s">
        <v>2421</v>
      </c>
      <c r="CF12" s="10">
        <v>-0.42980691874497184</v>
      </c>
      <c r="CG12" s="11">
        <v>-0.65921086397058826</v>
      </c>
      <c r="CH12" s="10">
        <v>-0.75532925128936768</v>
      </c>
      <c r="CI12" s="10">
        <v>-2.5401640683412552E-2</v>
      </c>
      <c r="CJ12" s="10">
        <v>0.60358786582946777</v>
      </c>
      <c r="CK12" s="10">
        <v>5.4473057389259338E-2</v>
      </c>
      <c r="CL12" s="10">
        <v>2.6123806834220886E-2</v>
      </c>
      <c r="CM12" s="11">
        <v>-0.87796837091445923</v>
      </c>
      <c r="CN12" s="11">
        <v>0.64247018098831177</v>
      </c>
      <c r="CO12" s="11">
        <v>0.90309280157089233</v>
      </c>
      <c r="CP12" s="11">
        <v>-8.6629003286361694E-2</v>
      </c>
      <c r="CQ12" s="11">
        <v>0.33753147721290588</v>
      </c>
      <c r="CR12" s="3">
        <v>22.285973742878372</v>
      </c>
      <c r="CS12" s="3">
        <v>11.541615585601262</v>
      </c>
      <c r="CT12" s="3">
        <v>2.7472527472527473</v>
      </c>
      <c r="CU12" s="10">
        <v>-1.9309232383966445E-2</v>
      </c>
      <c r="CV12" s="11">
        <v>0.1836994171142578</v>
      </c>
      <c r="CW12" s="3">
        <v>0.06</v>
      </c>
      <c r="CX12" s="3">
        <v>80.944572972972978</v>
      </c>
      <c r="CY12" s="3" t="s">
        <v>2422</v>
      </c>
      <c r="CZ12" s="3">
        <v>-1.9309232383966445E-2</v>
      </c>
      <c r="DA12" s="3">
        <v>26.981524324324326</v>
      </c>
      <c r="DB12" s="3" t="s">
        <v>2423</v>
      </c>
      <c r="DC12" s="3">
        <v>-1.8343770764768123E-2</v>
      </c>
      <c r="DD12" s="3">
        <v>13.490762162162163</v>
      </c>
      <c r="DE12" s="3" t="s">
        <v>2424</v>
      </c>
      <c r="DF12" s="3">
        <v>-1.6992124497890473E-2</v>
      </c>
      <c r="DG12" s="3">
        <v>8.0944572972972981</v>
      </c>
      <c r="DH12" s="3" t="s">
        <v>2425</v>
      </c>
      <c r="DI12" s="3">
        <v>-1.5447385907173157E-2</v>
      </c>
      <c r="DJ12" s="3">
        <v>4.0472286486486491</v>
      </c>
      <c r="DK12" s="3" t="s">
        <v>2426</v>
      </c>
      <c r="DL12" s="3">
        <v>-1.351646266877651E-2</v>
      </c>
      <c r="DM12" s="3">
        <v>185000000</v>
      </c>
      <c r="DN12" s="3">
        <v>-1.9309232383966445E-2</v>
      </c>
      <c r="DO12" s="3">
        <v>14974746000</v>
      </c>
      <c r="DP12" s="3">
        <v>4857252700</v>
      </c>
      <c r="DQ12" s="3">
        <v>481</v>
      </c>
      <c r="DR12" s="3">
        <v>-0.41049768636100542</v>
      </c>
      <c r="DS12" s="3">
        <v>-0.84291028108484611</v>
      </c>
      <c r="DT12" s="12">
        <v>-0.50666666666666671</v>
      </c>
      <c r="DU12" s="3">
        <v>-0.10666666666666669</v>
      </c>
      <c r="DV12" s="3">
        <v>-0.6133333333333334</v>
      </c>
      <c r="DW12" s="3">
        <v>-8.3459268004722542</v>
      </c>
      <c r="DX12" s="3">
        <v>0.29808439018885152</v>
      </c>
      <c r="DY12" s="3">
        <v>-8.0408485552837465</v>
      </c>
      <c r="DZ12" s="3">
        <v>1108</v>
      </c>
      <c r="EA12" s="3">
        <v>-8.0319913734335717</v>
      </c>
      <c r="EB12" s="3">
        <v>8</v>
      </c>
      <c r="EC12" s="3">
        <v>8.8394146687558652E-3</v>
      </c>
      <c r="ED12" s="3">
        <v>7.4856758413359953E-2</v>
      </c>
      <c r="EE12" s="13">
        <v>1.04061</v>
      </c>
      <c r="EF12" s="3">
        <v>1.06091</v>
      </c>
      <c r="EG12" s="3">
        <v>18.118084390188852</v>
      </c>
      <c r="EH12" s="3" t="s">
        <v>1167</v>
      </c>
      <c r="EI12" s="3">
        <v>0</v>
      </c>
      <c r="EJ12" s="3">
        <v>1</v>
      </c>
      <c r="EK12" s="15">
        <v>45470</v>
      </c>
      <c r="EL12" s="16">
        <v>-0.89</v>
      </c>
      <c r="EM12" s="16">
        <v>-4.42</v>
      </c>
      <c r="EN12" s="16">
        <v>2.29</v>
      </c>
      <c r="EO12" s="16">
        <v>3.56</v>
      </c>
      <c r="EP12" s="16">
        <v>-2.0299999999999998</v>
      </c>
    </row>
    <row r="13" spans="1:146" ht="96" x14ac:dyDescent="0.25">
      <c r="A13" s="3"/>
      <c r="B13" s="3"/>
      <c r="C13" s="7" t="str">
        <f>""&amp;CHAR(10)&amp;Basic_Fundamental_Information_Constructure(F13)&amp;CHAR(10)&amp;Basic_Fundamental_Information_Concatenate("")</f>
        <v xml:space="preserve">
市值25.15884亿, 利润4023.72万; PE15.45; 平均PE33.54; 平均PEG3.63, PB1.99; ROIC37.3967%; ROE35.445%; 股利率2.3276%; 毛利23.1267%; 净利10.6933%; 上一年度营收增-66.42%, 利润增-69.97%; 当季营收增-42.9%, 利润增-45.95%; 过往5年营收增9.25%, 利润增25.23%
Income profile:
</v>
      </c>
      <c r="D13" s="3" t="s">
        <v>1418</v>
      </c>
      <c r="E13" s="3" t="s">
        <v>1419</v>
      </c>
      <c r="F13" s="3">
        <v>34.369999999999997</v>
      </c>
      <c r="G13" s="3">
        <v>1.63</v>
      </c>
      <c r="H13" s="3" t="s">
        <v>2427</v>
      </c>
      <c r="I13" s="3">
        <v>2515884000</v>
      </c>
      <c r="J13" s="3">
        <v>15.45</v>
      </c>
      <c r="K13" s="3">
        <v>1.99</v>
      </c>
      <c r="L13" s="3" t="s">
        <v>343</v>
      </c>
      <c r="M13" s="3" t="s">
        <v>1442</v>
      </c>
      <c r="N13" s="3" t="s">
        <v>1636</v>
      </c>
      <c r="O13" s="3" t="s">
        <v>1414</v>
      </c>
      <c r="P13" s="3">
        <v>20.239999999999998</v>
      </c>
      <c r="Q13" s="3" t="s">
        <v>1414</v>
      </c>
      <c r="R13" s="3">
        <v>40237153</v>
      </c>
      <c r="S13" s="3">
        <v>0.31340000000000001</v>
      </c>
      <c r="T13" s="3" t="s">
        <v>2428</v>
      </c>
      <c r="U13" s="3">
        <v>18300000</v>
      </c>
      <c r="V13" s="3">
        <v>73200000</v>
      </c>
      <c r="W13" s="3">
        <v>1.47</v>
      </c>
      <c r="X13" s="3">
        <v>0.19</v>
      </c>
      <c r="Y13" s="3">
        <v>10.98</v>
      </c>
      <c r="Z13" s="3" t="s">
        <v>2429</v>
      </c>
      <c r="AA13" s="3" t="s">
        <v>47</v>
      </c>
      <c r="AB13" s="3" t="s">
        <v>2430</v>
      </c>
      <c r="AC13" s="3" t="s">
        <v>2431</v>
      </c>
      <c r="AD13" s="3" t="s">
        <v>4</v>
      </c>
      <c r="AE13" s="3">
        <v>-8026087</v>
      </c>
      <c r="AF13" s="3" t="s">
        <v>21</v>
      </c>
      <c r="AG13" s="3" t="s">
        <v>2432</v>
      </c>
      <c r="AH13" s="3" t="s">
        <v>1564</v>
      </c>
      <c r="AI13" s="3" t="s">
        <v>661</v>
      </c>
      <c r="AJ13" s="3" t="s">
        <v>1565</v>
      </c>
      <c r="AK13" s="3" t="s">
        <v>2433</v>
      </c>
      <c r="AL13" s="3" t="s">
        <v>1566</v>
      </c>
      <c r="AM13" s="3" t="s">
        <v>4</v>
      </c>
      <c r="AN13" s="3" t="s">
        <v>2434</v>
      </c>
      <c r="AO13" s="3" t="s">
        <v>4</v>
      </c>
      <c r="AP13" s="3" t="s">
        <v>95</v>
      </c>
      <c r="AQ13" s="3" t="s">
        <v>2316</v>
      </c>
      <c r="AR13" s="3" t="s">
        <v>4</v>
      </c>
      <c r="AS13" s="3" t="s">
        <v>2435</v>
      </c>
      <c r="AT13" s="3" t="s">
        <v>4</v>
      </c>
      <c r="AU13" s="3" t="s">
        <v>2436</v>
      </c>
      <c r="AV13" s="3" t="s">
        <v>2437</v>
      </c>
      <c r="AW13" s="3" t="s">
        <v>2438</v>
      </c>
      <c r="AX13" s="3" t="s">
        <v>1420</v>
      </c>
      <c r="AY13" s="3" t="s">
        <v>1421</v>
      </c>
      <c r="AZ13" s="3" t="s">
        <v>1055</v>
      </c>
      <c r="BA13" s="3" t="s">
        <v>230</v>
      </c>
      <c r="BB13" s="3" t="s">
        <v>4</v>
      </c>
      <c r="BC13" s="3" t="s">
        <v>45</v>
      </c>
      <c r="BD13" s="3" t="s">
        <v>202</v>
      </c>
      <c r="BE13" s="3" t="s">
        <v>1422</v>
      </c>
      <c r="BF13" s="3" t="s">
        <v>1423</v>
      </c>
      <c r="BG13" s="3" t="s">
        <v>4</v>
      </c>
      <c r="BH13" s="3" t="s">
        <v>1563</v>
      </c>
      <c r="BI13" s="3" t="s">
        <v>1424</v>
      </c>
      <c r="BJ13" s="3" t="s">
        <v>1420</v>
      </c>
      <c r="BK13" s="3" t="s">
        <v>137</v>
      </c>
      <c r="BL13" s="3" t="s">
        <v>2439</v>
      </c>
      <c r="BM13" s="3" t="s">
        <v>45</v>
      </c>
      <c r="BN13" s="3">
        <v>23.34</v>
      </c>
      <c r="BO13" s="3">
        <v>38.53</v>
      </c>
      <c r="BP13" s="3">
        <v>50.32</v>
      </c>
      <c r="BQ13" s="3">
        <v>28.98</v>
      </c>
      <c r="BR13" s="3">
        <v>41.91</v>
      </c>
      <c r="BS13" s="3" t="s">
        <v>4</v>
      </c>
      <c r="BT13" s="3" t="s">
        <v>1567</v>
      </c>
      <c r="BU13" s="3" t="s">
        <v>977</v>
      </c>
      <c r="BV13" s="3">
        <v>25.18</v>
      </c>
      <c r="BW13" s="3">
        <v>24.27</v>
      </c>
      <c r="BX13" s="3">
        <v>19.93</v>
      </c>
      <c r="BY13" s="3">
        <v>11.09</v>
      </c>
      <c r="BZ13" s="3">
        <v>12.31</v>
      </c>
      <c r="CA13" s="3">
        <v>8.68</v>
      </c>
      <c r="CB13" s="3">
        <v>-4.16</v>
      </c>
      <c r="CC13" s="10">
        <v>-22.87</v>
      </c>
      <c r="CD13" s="11" t="s">
        <v>2440</v>
      </c>
      <c r="CE13" s="10" t="s">
        <v>2441</v>
      </c>
      <c r="CF13" s="10">
        <v>-0.42901716068642748</v>
      </c>
      <c r="CG13" s="10">
        <v>-0.45953109930878483</v>
      </c>
      <c r="CH13" s="10">
        <v>-0.66422015428543091</v>
      </c>
      <c r="CI13" s="10">
        <v>-0.11020403355360031</v>
      </c>
      <c r="CJ13" s="11">
        <v>0.93829101324081421</v>
      </c>
      <c r="CK13" s="11">
        <v>0.20610687136650085</v>
      </c>
      <c r="CL13" s="11" t="s">
        <v>4</v>
      </c>
      <c r="CM13" s="11">
        <v>-0.69972240924835205</v>
      </c>
      <c r="CN13" s="11">
        <v>0.2641509473323822</v>
      </c>
      <c r="CO13" s="3">
        <v>0.79521054029464722</v>
      </c>
      <c r="CP13" s="3">
        <v>0.64955538511276245</v>
      </c>
      <c r="CQ13" s="3" t="s">
        <v>4</v>
      </c>
      <c r="CR13" s="10">
        <v>33.538117241120055</v>
      </c>
      <c r="CS13" s="11">
        <v>3.6260001761287506</v>
      </c>
      <c r="CT13" s="3">
        <v>2.3276112889147513</v>
      </c>
      <c r="CU13" s="3">
        <v>9.2493424192070961E-2</v>
      </c>
      <c r="CV13" s="3">
        <v>0.25229861587285995</v>
      </c>
      <c r="CW13" s="3">
        <v>0.06</v>
      </c>
      <c r="CX13" s="3">
        <v>46.680834627319221</v>
      </c>
      <c r="CY13" s="3">
        <v>41470638.120661505</v>
      </c>
      <c r="CZ13" s="3">
        <v>9.2493424192070961E-2</v>
      </c>
      <c r="DA13" s="3">
        <v>15.222695410588331</v>
      </c>
      <c r="DB13" s="3">
        <v>127170908.15950191</v>
      </c>
      <c r="DC13" s="3">
        <v>8.7868752982467407E-2</v>
      </c>
      <c r="DD13" s="3">
        <v>7.4726364634990574</v>
      </c>
      <c r="DE13" s="3">
        <v>259063050.83300191</v>
      </c>
      <c r="DF13" s="3">
        <v>8.1394213289022452E-2</v>
      </c>
      <c r="DG13" s="3">
        <v>4.4731539066195616</v>
      </c>
      <c r="DH13" s="3">
        <v>432778312.66552162</v>
      </c>
      <c r="DI13" s="3">
        <v>7.3994739353656774E-2</v>
      </c>
      <c r="DJ13" s="3">
        <v>2.2946080964132958</v>
      </c>
      <c r="DK13" s="3">
        <v>843666508.03070998</v>
      </c>
      <c r="DL13" s="3">
        <v>6.4745396934449667E-2</v>
      </c>
      <c r="DM13" s="3">
        <v>40237200</v>
      </c>
      <c r="DN13" s="3">
        <v>9.2493424192070961E-2</v>
      </c>
      <c r="DO13" s="3">
        <v>1935884000</v>
      </c>
      <c r="DP13" s="3">
        <v>975743200</v>
      </c>
      <c r="DQ13" s="12">
        <v>493</v>
      </c>
      <c r="DR13" s="3">
        <v>-0.52151058487849844</v>
      </c>
      <c r="DS13" s="3">
        <v>-0.71182971518164484</v>
      </c>
      <c r="DT13" s="3">
        <v>-0.46800000000000008</v>
      </c>
      <c r="DU13" s="3">
        <v>0.11599999999999996</v>
      </c>
      <c r="DV13" s="3">
        <v>-0.35200000000000009</v>
      </c>
      <c r="DW13" s="3">
        <v>-8.1818976825535632</v>
      </c>
      <c r="DX13" s="3">
        <v>0.39148499665718289</v>
      </c>
      <c r="DY13" s="3">
        <v>-8.0166409088803618</v>
      </c>
      <c r="DZ13" s="3">
        <v>134</v>
      </c>
      <c r="EA13" s="3">
        <v>-8.0162045327962197</v>
      </c>
      <c r="EB13" s="13">
        <v>8</v>
      </c>
      <c r="EC13" s="13">
        <v>3.8135245901639345E-2</v>
      </c>
      <c r="ED13" s="3">
        <v>0.4168469945355191</v>
      </c>
      <c r="EE13" s="3">
        <v>5.0418000000000003</v>
      </c>
      <c r="EF13" s="3">
        <v>5.0197000000000003</v>
      </c>
      <c r="EG13" s="3">
        <v>30.091484996657183</v>
      </c>
      <c r="EH13" s="15" t="s">
        <v>1406</v>
      </c>
      <c r="EI13" s="3">
        <v>0</v>
      </c>
      <c r="EJ13" s="3">
        <v>1</v>
      </c>
      <c r="EK13" s="3">
        <v>45470</v>
      </c>
      <c r="EL13" s="3">
        <v>-1.05</v>
      </c>
      <c r="EM13" s="3">
        <v>-6.07</v>
      </c>
      <c r="EN13" s="16">
        <v>1.8</v>
      </c>
      <c r="EO13" s="16">
        <v>4.6900000000000004</v>
      </c>
      <c r="EP13" s="16">
        <v>-2.21</v>
      </c>
    </row>
    <row r="14" spans="1:146" ht="96" x14ac:dyDescent="0.25">
      <c r="A14" s="3"/>
      <c r="B14" s="3"/>
      <c r="C14" s="7" t="str">
        <f>""&amp;CHAR(10)&amp;Basic_Fundamental_Information_Constructure(F14)&amp;CHAR(10)&amp;Basic_Fundamental_Information_Concatenate("")</f>
        <v xml:space="preserve">
市值16.423035亿, 利润358.80万; PE57.2; 平均PE35.11; 平均PEG11.53, PB1.81; ROIC14.3533%; ROE11.555%; 股利率.8365%; 毛利15.4067%; 净利7.5333%; 上一年度营收增-78.86%, 利润增-94.21%; 当季营收增-49.7%, 利润增-85.59%; 过往5年营收增3.05%, 利润增5%
Income profile:
</v>
      </c>
      <c r="D14" s="5" t="s">
        <v>1210</v>
      </c>
      <c r="E14" s="3" t="s">
        <v>1211</v>
      </c>
      <c r="F14" s="3">
        <v>23.91</v>
      </c>
      <c r="G14" s="3">
        <v>0.84</v>
      </c>
      <c r="H14" s="3" t="s">
        <v>2442</v>
      </c>
      <c r="I14" s="3">
        <v>1642303500</v>
      </c>
      <c r="J14" s="3">
        <v>57.2</v>
      </c>
      <c r="K14" s="3">
        <v>1.81</v>
      </c>
      <c r="L14" s="3" t="s">
        <v>343</v>
      </c>
      <c r="M14" s="3" t="s">
        <v>76</v>
      </c>
      <c r="N14" s="3" t="s">
        <v>2443</v>
      </c>
      <c r="O14" s="3" t="s">
        <v>216</v>
      </c>
      <c r="P14" s="5">
        <v>17.28</v>
      </c>
      <c r="Q14" s="3" t="s">
        <v>216</v>
      </c>
      <c r="R14" s="3">
        <v>3588002</v>
      </c>
      <c r="S14" s="3">
        <v>-0.64510000000000001</v>
      </c>
      <c r="T14" s="3" t="s">
        <v>2444</v>
      </c>
      <c r="U14" s="3">
        <v>33131732</v>
      </c>
      <c r="V14" s="3">
        <v>68686888</v>
      </c>
      <c r="W14" s="3">
        <v>1.1499999999999999</v>
      </c>
      <c r="X14" s="3">
        <v>0.16</v>
      </c>
      <c r="Y14" s="3">
        <v>2.73</v>
      </c>
      <c r="Z14" s="3" t="s">
        <v>117</v>
      </c>
      <c r="AA14" s="3" t="s">
        <v>428</v>
      </c>
      <c r="AB14" s="3" t="s">
        <v>2445</v>
      </c>
      <c r="AC14" s="3" t="s">
        <v>2446</v>
      </c>
      <c r="AD14" s="3" t="s">
        <v>4</v>
      </c>
      <c r="AE14" s="3">
        <v>-1391315</v>
      </c>
      <c r="AF14" s="3" t="s">
        <v>1570</v>
      </c>
      <c r="AG14" s="3">
        <v>2922.22</v>
      </c>
      <c r="AH14" s="3" t="s">
        <v>1571</v>
      </c>
      <c r="AI14" s="3" t="s">
        <v>157</v>
      </c>
      <c r="AJ14" s="3" t="s">
        <v>1572</v>
      </c>
      <c r="AK14" s="3" t="s">
        <v>4</v>
      </c>
      <c r="AL14" s="3" t="s">
        <v>1573</v>
      </c>
      <c r="AM14" s="3" t="s">
        <v>4</v>
      </c>
      <c r="AN14" s="3" t="s">
        <v>2447</v>
      </c>
      <c r="AO14" s="3" t="s">
        <v>4</v>
      </c>
      <c r="AP14" s="3" t="s">
        <v>4</v>
      </c>
      <c r="AQ14" s="3" t="s">
        <v>70</v>
      </c>
      <c r="AR14" s="3" t="s">
        <v>4</v>
      </c>
      <c r="AS14" s="3" t="s">
        <v>29</v>
      </c>
      <c r="AT14" s="3" t="s">
        <v>4</v>
      </c>
      <c r="AU14" s="3" t="s">
        <v>2448</v>
      </c>
      <c r="AV14" s="3" t="s">
        <v>2449</v>
      </c>
      <c r="AW14" s="3" t="s">
        <v>2450</v>
      </c>
      <c r="AX14" s="3" t="s">
        <v>1212</v>
      </c>
      <c r="AY14" s="3" t="s">
        <v>1356</v>
      </c>
      <c r="AZ14" s="3" t="s">
        <v>1357</v>
      </c>
      <c r="BA14" s="3" t="s">
        <v>1275</v>
      </c>
      <c r="BB14" s="3" t="s">
        <v>189</v>
      </c>
      <c r="BC14" s="3" t="s">
        <v>1574</v>
      </c>
      <c r="BD14" s="3" t="s">
        <v>1213</v>
      </c>
      <c r="BE14" s="3" t="s">
        <v>1358</v>
      </c>
      <c r="BF14" s="3" t="s">
        <v>1359</v>
      </c>
      <c r="BG14" s="3" t="s">
        <v>1360</v>
      </c>
      <c r="BH14" s="3" t="s">
        <v>1453</v>
      </c>
      <c r="BI14" s="3" t="s">
        <v>155</v>
      </c>
      <c r="BJ14" s="3" t="s">
        <v>1212</v>
      </c>
      <c r="BK14" s="3" t="s">
        <v>1568</v>
      </c>
      <c r="BL14" s="3" t="s">
        <v>2451</v>
      </c>
      <c r="BM14" s="3" t="s">
        <v>1574</v>
      </c>
      <c r="BN14" s="3">
        <v>4.8899999999999997</v>
      </c>
      <c r="BO14" s="3">
        <v>15.68</v>
      </c>
      <c r="BP14" s="3">
        <v>22.49</v>
      </c>
      <c r="BQ14" s="3">
        <v>7.36</v>
      </c>
      <c r="BR14" s="3">
        <v>15.75</v>
      </c>
      <c r="BS14" s="3" t="s">
        <v>4</v>
      </c>
      <c r="BT14" s="3" t="s">
        <v>1160</v>
      </c>
      <c r="BU14" s="3" t="s">
        <v>1011</v>
      </c>
      <c r="BV14" s="3">
        <v>15.03</v>
      </c>
      <c r="BW14" s="3">
        <v>15.54</v>
      </c>
      <c r="BX14" s="3">
        <v>15.65</v>
      </c>
      <c r="BY14" s="3">
        <v>6.21</v>
      </c>
      <c r="BZ14" s="3">
        <v>9.25</v>
      </c>
      <c r="CA14" s="3">
        <v>7.14</v>
      </c>
      <c r="CB14" s="3">
        <v>-6.57</v>
      </c>
      <c r="CC14" s="10">
        <v>-18</v>
      </c>
      <c r="CD14" s="11" t="s">
        <v>2452</v>
      </c>
      <c r="CE14" s="10" t="s">
        <v>2453</v>
      </c>
      <c r="CF14" s="10">
        <v>-0.49704142011834318</v>
      </c>
      <c r="CG14" s="10">
        <v>-0.8558884863479721</v>
      </c>
      <c r="CH14" s="10">
        <v>-0.78855723142623901</v>
      </c>
      <c r="CI14" s="10">
        <v>-0.37819021940231323</v>
      </c>
      <c r="CJ14" s="11">
        <v>0.44308027625083923</v>
      </c>
      <c r="CK14" s="11">
        <v>0.28920862078666687</v>
      </c>
      <c r="CL14" s="11">
        <v>0.58675801753997803</v>
      </c>
      <c r="CM14" s="11">
        <v>-0.94210344552993774</v>
      </c>
      <c r="CN14" s="11">
        <v>-0.22734460234642029</v>
      </c>
      <c r="CO14" s="3">
        <v>0.31261429190635681</v>
      </c>
      <c r="CP14" s="3">
        <v>0.28273758292198181</v>
      </c>
      <c r="CQ14" s="3">
        <v>0.82410109043121338</v>
      </c>
      <c r="CR14" s="10">
        <v>35.113926342087979</v>
      </c>
      <c r="CS14" s="11">
        <v>11.527921857943587</v>
      </c>
      <c r="CT14" s="3">
        <v>0.8364700961940611</v>
      </c>
      <c r="CU14" s="3">
        <v>3.0459892749786378E-2</v>
      </c>
      <c r="CV14" s="3">
        <v>5.0000983476638797E-2</v>
      </c>
      <c r="CW14" s="3">
        <v>0.06</v>
      </c>
      <c r="CX14" s="3">
        <v>244.06570400707139</v>
      </c>
      <c r="CY14" s="3">
        <v>3488009.5237605972</v>
      </c>
      <c r="CZ14" s="3">
        <v>3.0459892749786378E-2</v>
      </c>
      <c r="DA14" s="3">
        <v>83.910618667233891</v>
      </c>
      <c r="DB14" s="3">
        <v>10145360.78414619</v>
      </c>
      <c r="DC14" s="3">
        <v>2.8936898112297056E-2</v>
      </c>
      <c r="DD14" s="3">
        <v>44.137002005436493</v>
      </c>
      <c r="DE14" s="3">
        <v>19287750.896518577</v>
      </c>
      <c r="DF14" s="3">
        <v>2.6804705619812012E-2</v>
      </c>
      <c r="DG14" s="3">
        <v>28.49797185892886</v>
      </c>
      <c r="DH14" s="3">
        <v>29872424.052284736</v>
      </c>
      <c r="DI14" s="3">
        <v>2.4367914199829102E-2</v>
      </c>
      <c r="DJ14" s="3">
        <v>17.130709102121372</v>
      </c>
      <c r="DK14" s="3">
        <v>49694586.191681892</v>
      </c>
      <c r="DL14" s="3">
        <v>2.1321924924850463E-2</v>
      </c>
      <c r="DM14" s="3">
        <v>3588000</v>
      </c>
      <c r="DN14" s="3">
        <v>3.0459892749786378E-2</v>
      </c>
      <c r="DO14" s="3">
        <v>851303500</v>
      </c>
      <c r="DP14" s="3">
        <v>818069440</v>
      </c>
      <c r="DQ14" s="12">
        <v>509</v>
      </c>
      <c r="DR14" s="3">
        <v>-0.52750131286812951</v>
      </c>
      <c r="DS14" s="3">
        <v>-0.90588946982461094</v>
      </c>
      <c r="DT14" s="3">
        <v>-0.57333333333333336</v>
      </c>
      <c r="DU14" s="3">
        <v>-0.47333333333333333</v>
      </c>
      <c r="DV14" s="3">
        <v>-1.0466666666666666</v>
      </c>
      <c r="DW14" s="3">
        <v>-9.3650000000000002</v>
      </c>
      <c r="DX14" s="3">
        <v>0.39635378222401568</v>
      </c>
      <c r="DY14" s="3">
        <v>-9.0388191305117669</v>
      </c>
      <c r="DZ14" s="3">
        <v>2952</v>
      </c>
      <c r="EA14" s="3">
        <v>-9.016393675859959</v>
      </c>
      <c r="EB14" s="13">
        <v>9</v>
      </c>
      <c r="EC14" s="13">
        <v>5.5967013675157329E-2</v>
      </c>
      <c r="ED14" s="3">
        <v>0.52623435203528224</v>
      </c>
      <c r="EE14" s="3">
        <v>4.0236000000000001</v>
      </c>
      <c r="EF14" s="3">
        <v>4.0156999999999998</v>
      </c>
      <c r="EG14" s="3">
        <v>29.106353782224016</v>
      </c>
      <c r="EH14" s="15" t="s">
        <v>1168</v>
      </c>
      <c r="EI14" s="16">
        <v>0</v>
      </c>
      <c r="EJ14" s="16">
        <v>0</v>
      </c>
      <c r="EK14" s="16">
        <v>45470</v>
      </c>
      <c r="EL14" s="16">
        <v>-0.27</v>
      </c>
      <c r="EM14" s="16">
        <v>-5.93</v>
      </c>
      <c r="EN14" s="16">
        <v>-0.74</v>
      </c>
      <c r="EO14" s="16">
        <v>5.15</v>
      </c>
      <c r="EP14" s="16">
        <v>-0.79</v>
      </c>
    </row>
    <row r="15" spans="1:146" ht="96" x14ac:dyDescent="0.25">
      <c r="C15" s="7" t="str">
        <f>""&amp;CHAR(10)&amp;Basic_Fundamental_Information_Constructure(F15)&amp;CHAR(10)&amp;Basic_Fundamental_Information_Concatenate("")</f>
        <v xml:space="preserve">
市值69.563811亿, 利润-6896.10万; PE; 平均PE55.59; 平均PEG16.56, PB2.6; ROIC2.84%; ROE-1.1367%; 股利率0%; 毛利10.0133%; 净利-3.1167%; 上一年度营收增-77.46%, 利润增-173.55%; 当季营收增-41.31%, 利润增75.28%; 过往5年营收增3.36%, 利润增-49.84%
Income profile:
</v>
      </c>
      <c r="D15" s="3" t="s">
        <v>406</v>
      </c>
      <c r="E15" s="3" t="s">
        <v>407</v>
      </c>
      <c r="F15" s="3">
        <v>6.51</v>
      </c>
      <c r="G15" s="3">
        <v>0.62</v>
      </c>
      <c r="H15" s="3" t="s">
        <v>2454</v>
      </c>
      <c r="I15" s="3">
        <v>6956381100</v>
      </c>
      <c r="K15" s="3">
        <v>2.6</v>
      </c>
      <c r="L15" s="3" t="s">
        <v>343</v>
      </c>
      <c r="M15" s="3" t="s">
        <v>1576</v>
      </c>
      <c r="N15" s="3" t="s">
        <v>2455</v>
      </c>
      <c r="O15" s="3" t="s">
        <v>1407</v>
      </c>
      <c r="P15" s="3">
        <v>25.93</v>
      </c>
      <c r="Q15" s="3" t="s">
        <v>1407</v>
      </c>
      <c r="R15" s="3">
        <v>-68961045</v>
      </c>
      <c r="S15" s="5">
        <v>0.61140000000000005</v>
      </c>
      <c r="T15" s="3" t="s">
        <v>2456</v>
      </c>
      <c r="U15" s="3">
        <v>1053521030</v>
      </c>
      <c r="V15" s="3">
        <v>1068568520</v>
      </c>
      <c r="W15" s="3">
        <v>4.66</v>
      </c>
      <c r="X15" s="3">
        <v>0.16</v>
      </c>
      <c r="Y15" s="3">
        <v>-3.27</v>
      </c>
      <c r="Z15" s="3" t="s">
        <v>2457</v>
      </c>
      <c r="AA15" s="3" t="s">
        <v>2458</v>
      </c>
      <c r="AB15" s="3" t="s">
        <v>2459</v>
      </c>
      <c r="AC15" s="3" t="s">
        <v>70</v>
      </c>
      <c r="AD15" s="3" t="s">
        <v>4</v>
      </c>
      <c r="AE15" s="3">
        <v>87771236</v>
      </c>
      <c r="AF15" s="3" t="s">
        <v>1580</v>
      </c>
      <c r="AG15" s="3">
        <v>5541.46</v>
      </c>
      <c r="AH15" s="3" t="s">
        <v>1581</v>
      </c>
      <c r="AI15" s="3" t="s">
        <v>1050</v>
      </c>
      <c r="AJ15" s="3" t="s">
        <v>1583</v>
      </c>
      <c r="AK15" s="3" t="s">
        <v>29</v>
      </c>
      <c r="AL15" s="3" t="s">
        <v>1584</v>
      </c>
      <c r="AM15" s="3" t="s">
        <v>4</v>
      </c>
      <c r="AN15" s="3" t="s">
        <v>2460</v>
      </c>
      <c r="AO15" s="3" t="s">
        <v>2461</v>
      </c>
      <c r="AP15" s="3" t="s">
        <v>2462</v>
      </c>
      <c r="AQ15" s="3" t="s">
        <v>1445</v>
      </c>
      <c r="AR15" s="3" t="s">
        <v>4</v>
      </c>
      <c r="AS15" s="3" t="s">
        <v>2463</v>
      </c>
      <c r="AT15" s="3" t="s">
        <v>1527</v>
      </c>
      <c r="AU15" s="3" t="s">
        <v>2464</v>
      </c>
      <c r="AV15" s="3" t="s">
        <v>2465</v>
      </c>
      <c r="AW15" s="3" t="s">
        <v>2466</v>
      </c>
      <c r="AX15" s="3" t="s">
        <v>1215</v>
      </c>
      <c r="AY15" s="3" t="s">
        <v>873</v>
      </c>
      <c r="AZ15" s="3" t="s">
        <v>408</v>
      </c>
      <c r="BA15" s="3" t="s">
        <v>409</v>
      </c>
      <c r="BB15" s="3" t="s">
        <v>410</v>
      </c>
      <c r="BC15" s="3" t="s">
        <v>1586</v>
      </c>
      <c r="BD15" s="3" t="s">
        <v>6</v>
      </c>
      <c r="BE15" s="3" t="s">
        <v>46</v>
      </c>
      <c r="BF15" s="3" t="s">
        <v>186</v>
      </c>
      <c r="BG15" s="3" t="s">
        <v>183</v>
      </c>
      <c r="BH15" s="3" t="s">
        <v>1578</v>
      </c>
      <c r="BI15" s="3" t="s">
        <v>2467</v>
      </c>
      <c r="BJ15" s="3" t="s">
        <v>1215</v>
      </c>
      <c r="BK15" s="3" t="s">
        <v>1579</v>
      </c>
      <c r="BL15" s="3" t="s">
        <v>1042</v>
      </c>
      <c r="BM15" s="3" t="s">
        <v>1586</v>
      </c>
      <c r="BN15" s="3" t="s">
        <v>4</v>
      </c>
      <c r="BO15" s="3">
        <v>2.79</v>
      </c>
      <c r="BP15" s="3">
        <v>2.89</v>
      </c>
      <c r="BQ15" s="3">
        <v>-8.9600000000000009</v>
      </c>
      <c r="BR15" s="3">
        <v>2.4900000000000002</v>
      </c>
      <c r="BS15" s="3">
        <v>3.06</v>
      </c>
      <c r="BT15" s="3" t="s">
        <v>1157</v>
      </c>
      <c r="BU15" s="3" t="s">
        <v>1011</v>
      </c>
      <c r="BV15" s="3">
        <v>8.2899999999999991</v>
      </c>
      <c r="BW15" s="3">
        <v>12.13</v>
      </c>
      <c r="BX15" s="3">
        <v>9.6199999999999992</v>
      </c>
      <c r="BY15" s="3">
        <v>-10.76</v>
      </c>
      <c r="BZ15" s="3">
        <v>0.59</v>
      </c>
      <c r="CA15" s="3">
        <v>0.82</v>
      </c>
      <c r="CB15" s="3">
        <v>-3.56</v>
      </c>
      <c r="CC15" s="3">
        <v>-9.7100000000000009</v>
      </c>
      <c r="CD15" s="3" t="s">
        <v>2468</v>
      </c>
      <c r="CE15" s="3" t="s">
        <v>230</v>
      </c>
      <c r="CF15" s="10">
        <v>-0.41309523809523807</v>
      </c>
      <c r="CG15" s="11">
        <v>0.75282779569892477</v>
      </c>
      <c r="CH15" s="10">
        <v>-0.77457708120346069</v>
      </c>
      <c r="CI15" s="10">
        <v>3.5707514733076096E-2</v>
      </c>
      <c r="CJ15" s="10">
        <v>0.40175259113311768</v>
      </c>
      <c r="CK15" s="10">
        <v>0.2384084016084671</v>
      </c>
      <c r="CL15" s="10">
        <v>0.26655560731887817</v>
      </c>
      <c r="CM15" s="11">
        <v>-1.7354732751846313</v>
      </c>
      <c r="CN15" s="11">
        <v>-0.16282057762145996</v>
      </c>
      <c r="CO15" s="11">
        <v>-0.31707316637039185</v>
      </c>
      <c r="CP15" s="11">
        <v>-0.2678571343421936</v>
      </c>
      <c r="CQ15" s="11">
        <v>-8.849557489156723E-3</v>
      </c>
      <c r="CR15" s="3">
        <v>55.591521398886073</v>
      </c>
      <c r="CS15" s="3">
        <v>16.560173930345872</v>
      </c>
      <c r="CT15" s="3">
        <v>0</v>
      </c>
      <c r="CU15" s="10">
        <v>3.3569406718015671E-2</v>
      </c>
      <c r="CV15" s="11">
        <v>-0.49841474220156667</v>
      </c>
      <c r="CW15" s="3">
        <v>0.06</v>
      </c>
      <c r="CX15" s="3" t="e">
        <v>#VALUE!</v>
      </c>
      <c r="CY15" s="3" t="s">
        <v>1005</v>
      </c>
      <c r="CZ15" s="3">
        <v>3.3569406718015671E-2</v>
      </c>
      <c r="DA15" s="3" t="e">
        <v>#VALUE!</v>
      </c>
      <c r="DB15" s="3" t="s">
        <v>1006</v>
      </c>
      <c r="DC15" s="3">
        <v>3.1890936382114883E-2</v>
      </c>
      <c r="DD15" s="3" t="e">
        <v>#VALUE!</v>
      </c>
      <c r="DE15" s="3" t="s">
        <v>1006</v>
      </c>
      <c r="DF15" s="3">
        <v>2.9541077911853789E-2</v>
      </c>
      <c r="DG15" s="3" t="e">
        <v>#VALUE!</v>
      </c>
      <c r="DH15" s="3" t="s">
        <v>1006</v>
      </c>
      <c r="DI15" s="3">
        <v>2.6855525374412537E-2</v>
      </c>
      <c r="DJ15" s="3" t="e">
        <v>#VALUE!</v>
      </c>
      <c r="DK15" s="3" t="s">
        <v>1006</v>
      </c>
      <c r="DL15" s="3">
        <v>2.3498584702610969E-2</v>
      </c>
      <c r="DM15" s="3">
        <v>-68961000</v>
      </c>
      <c r="DN15" s="3">
        <v>3.3569406718015671E-2</v>
      </c>
      <c r="DO15" s="3">
        <v>15213381100</v>
      </c>
      <c r="DP15" s="3">
        <v>-1060188700</v>
      </c>
      <c r="DQ15" s="3">
        <v>554</v>
      </c>
      <c r="DR15" s="3">
        <v>-0.44666464481325374</v>
      </c>
      <c r="DS15" s="3">
        <v>1.2512425379004914</v>
      </c>
      <c r="DT15" s="12">
        <v>-0.42333333333333339</v>
      </c>
      <c r="DU15" s="3">
        <v>-1.8283333333333334</v>
      </c>
      <c r="DV15" s="3">
        <v>-2.2516666666666669</v>
      </c>
      <c r="DW15" s="3">
        <v>-8.3666323377960872</v>
      </c>
      <c r="DX15" s="3">
        <v>0.32342384732824342</v>
      </c>
      <c r="DY15" s="3">
        <v>-8.0525838204416633</v>
      </c>
      <c r="DZ15" s="3">
        <v>4486</v>
      </c>
      <c r="EA15" s="3">
        <v>-8.0064211945118586</v>
      </c>
      <c r="EB15" s="3">
        <v>8</v>
      </c>
      <c r="EC15" s="3">
        <v>7.0331568442611431E-2</v>
      </c>
      <c r="ED15" s="3">
        <v>0.49037566631665325</v>
      </c>
      <c r="EE15" s="13">
        <v>-3.0430000000000001</v>
      </c>
      <c r="EF15" s="3">
        <v>-3.0207000000000002</v>
      </c>
      <c r="EG15" s="3">
        <v>18.143423847328243</v>
      </c>
      <c r="EH15" s="3" t="s">
        <v>1400</v>
      </c>
      <c r="EI15" s="3">
        <v>0</v>
      </c>
      <c r="EJ15" s="3">
        <v>0</v>
      </c>
      <c r="EK15" s="15">
        <v>45470</v>
      </c>
      <c r="EL15" s="16">
        <v>0.28000000000000003</v>
      </c>
      <c r="EM15" s="16">
        <v>-5.52</v>
      </c>
      <c r="EN15" s="16">
        <v>-4.2</v>
      </c>
      <c r="EO15" s="16">
        <v>5.48</v>
      </c>
      <c r="EP15" s="16">
        <v>-2.23</v>
      </c>
    </row>
    <row r="16" spans="1:146" ht="96" x14ac:dyDescent="0.25">
      <c r="C16" s="7" t="str">
        <f>""&amp;CHAR(10)&amp;Basic_Fundamental_Information_Constructure(F16)&amp;CHAR(10)&amp;Basic_Fundamental_Information_Concatenate("")</f>
        <v xml:space="preserve">
市值16.858692亿, 利润56.70万; PE; 平均PE-6.57; 平均PEG-.19, PB5.25; ROIC28.18%; ROE-2.1%; 股利率0%; 毛利35.53%; 净利-36.01%; 上一年度营收增-80.5%, 利润增-97.7%; 当季营收增-48.44%, 利润增114.49%; 过往5年营收增-35.31%, 利润增-69.03%
Income profile:
</v>
      </c>
      <c r="D16" s="3" t="s">
        <v>413</v>
      </c>
      <c r="E16" s="3" t="s">
        <v>1361</v>
      </c>
      <c r="F16" s="3">
        <v>1.52</v>
      </c>
      <c r="G16" s="3">
        <v>1.33</v>
      </c>
      <c r="H16" s="3" t="s">
        <v>2469</v>
      </c>
      <c r="I16" s="3">
        <v>1685869200</v>
      </c>
      <c r="K16" s="3">
        <v>5.25</v>
      </c>
      <c r="L16" s="3" t="s">
        <v>343</v>
      </c>
      <c r="M16" s="3" t="s">
        <v>1587</v>
      </c>
      <c r="N16" s="3" t="s">
        <v>2013</v>
      </c>
      <c r="O16" s="3" t="s">
        <v>1588</v>
      </c>
      <c r="P16" s="3">
        <v>-0.15</v>
      </c>
      <c r="Q16" s="3" t="s">
        <v>1588</v>
      </c>
      <c r="R16" s="3">
        <v>567044</v>
      </c>
      <c r="S16" s="5">
        <v>0.31059999999999999</v>
      </c>
      <c r="T16" s="3" t="s">
        <v>2470</v>
      </c>
      <c r="U16" s="3">
        <v>1036640130</v>
      </c>
      <c r="V16" s="3">
        <v>1109124490</v>
      </c>
      <c r="W16" s="3">
        <v>1.98</v>
      </c>
      <c r="X16" s="3">
        <v>0.06</v>
      </c>
      <c r="Y16" s="3">
        <v>2.78</v>
      </c>
      <c r="Z16" s="3" t="s">
        <v>2471</v>
      </c>
      <c r="AA16" s="3" t="s">
        <v>2472</v>
      </c>
      <c r="AB16" s="3" t="s">
        <v>2473</v>
      </c>
      <c r="AC16" s="3" t="s">
        <v>2474</v>
      </c>
      <c r="AD16" s="3" t="s">
        <v>4</v>
      </c>
      <c r="AE16" s="3">
        <v>432458</v>
      </c>
      <c r="AF16" s="3" t="s">
        <v>1590</v>
      </c>
      <c r="AG16" s="3" t="s">
        <v>2475</v>
      </c>
      <c r="AH16" s="3" t="s">
        <v>1591</v>
      </c>
      <c r="AI16" s="3" t="s">
        <v>202</v>
      </c>
      <c r="AJ16" s="3" t="s">
        <v>1592</v>
      </c>
      <c r="AK16" s="3" t="s">
        <v>2476</v>
      </c>
      <c r="AL16" s="3" t="s">
        <v>1593</v>
      </c>
      <c r="AM16" s="3" t="s">
        <v>4</v>
      </c>
      <c r="AN16" s="3" t="s">
        <v>1594</v>
      </c>
      <c r="AO16" s="3" t="s">
        <v>4</v>
      </c>
      <c r="AP16" s="3" t="s">
        <v>4</v>
      </c>
      <c r="AQ16" s="3" t="s">
        <v>2477</v>
      </c>
      <c r="AR16" s="3" t="s">
        <v>4</v>
      </c>
      <c r="AS16" s="3" t="s">
        <v>1010</v>
      </c>
      <c r="AT16" s="3" t="s">
        <v>4</v>
      </c>
      <c r="AU16" s="3" t="s">
        <v>2478</v>
      </c>
      <c r="AV16" s="3" t="s">
        <v>2479</v>
      </c>
      <c r="AW16" s="3" t="s">
        <v>2480</v>
      </c>
      <c r="AX16" s="3" t="s">
        <v>20</v>
      </c>
      <c r="AY16" s="3" t="s">
        <v>39</v>
      </c>
      <c r="AZ16" s="3" t="s">
        <v>256</v>
      </c>
      <c r="BA16" s="3" t="s">
        <v>73</v>
      </c>
      <c r="BB16" s="3" t="s">
        <v>239</v>
      </c>
      <c r="BC16" s="3" t="s">
        <v>1595</v>
      </c>
      <c r="BD16" s="3" t="s">
        <v>875</v>
      </c>
      <c r="BE16" s="3" t="s">
        <v>876</v>
      </c>
      <c r="BF16" s="3" t="s">
        <v>415</v>
      </c>
      <c r="BG16" s="3" t="s">
        <v>416</v>
      </c>
      <c r="BH16" s="3" t="s">
        <v>61</v>
      </c>
      <c r="BI16" s="3" t="s">
        <v>2481</v>
      </c>
      <c r="BJ16" s="3" t="s">
        <v>20</v>
      </c>
      <c r="BK16" s="3" t="s">
        <v>1589</v>
      </c>
      <c r="BL16" s="3" t="s">
        <v>2482</v>
      </c>
      <c r="BM16" s="3" t="s">
        <v>1595</v>
      </c>
      <c r="BN16" s="3" t="s">
        <v>4</v>
      </c>
      <c r="BO16" s="3">
        <v>28.18</v>
      </c>
      <c r="BP16" s="3" t="s">
        <v>4</v>
      </c>
      <c r="BQ16" s="3">
        <v>-2.1</v>
      </c>
      <c r="BR16" s="3" t="s">
        <v>4</v>
      </c>
      <c r="BS16" s="3" t="s">
        <v>4</v>
      </c>
      <c r="BT16" s="3" t="s">
        <v>1157</v>
      </c>
      <c r="BU16" s="3" t="s">
        <v>977</v>
      </c>
      <c r="BV16" s="3">
        <v>37.24</v>
      </c>
      <c r="BW16" s="3">
        <v>33.770000000000003</v>
      </c>
      <c r="BX16" s="3">
        <v>35.58</v>
      </c>
      <c r="BY16" s="3">
        <v>-8.26</v>
      </c>
      <c r="BZ16" s="3">
        <v>12.41</v>
      </c>
      <c r="CA16" s="3">
        <v>-112.18</v>
      </c>
      <c r="CB16" s="3">
        <v>-0.65</v>
      </c>
      <c r="CC16" s="3">
        <v>-18.28</v>
      </c>
      <c r="CD16" s="3" t="s">
        <v>2483</v>
      </c>
      <c r="CE16" s="3" t="s">
        <v>1444</v>
      </c>
      <c r="CF16" s="10">
        <v>-0.48435553129487074</v>
      </c>
      <c r="CG16" s="11">
        <v>1.1448647267710701</v>
      </c>
      <c r="CH16" s="10">
        <v>-0.80501735210418701</v>
      </c>
      <c r="CI16" s="10">
        <v>6.4516128040850163E-3</v>
      </c>
      <c r="CJ16" s="10">
        <v>-0.53592813014984131</v>
      </c>
      <c r="CK16" s="10">
        <v>-5.6497175246477127E-2</v>
      </c>
      <c r="CL16" s="10">
        <v>-0.37455829977989197</v>
      </c>
      <c r="CM16" s="11">
        <v>-0.97698259353637695</v>
      </c>
      <c r="CN16" s="11">
        <v>1.142390251159668</v>
      </c>
      <c r="CO16" s="11">
        <v>-4.9690365791320801</v>
      </c>
      <c r="CP16" s="11">
        <v>1.0725247859954834</v>
      </c>
      <c r="CQ16" s="11">
        <v>0.27937650680541992</v>
      </c>
      <c r="CR16" s="3">
        <v>-6.5716837854899923</v>
      </c>
      <c r="CS16" s="3">
        <v>-0.1861087543673057</v>
      </c>
      <c r="CT16" s="3">
        <v>0</v>
      </c>
      <c r="CU16" s="10">
        <v>-0.35310986889526247</v>
      </c>
      <c r="CV16" s="11">
        <v>-0.69034552574157715</v>
      </c>
      <c r="CW16" s="3">
        <v>0.06</v>
      </c>
      <c r="CX16" s="3">
        <v>2985.6599647266312</v>
      </c>
      <c r="CY16" s="3" t="s">
        <v>2484</v>
      </c>
      <c r="CZ16" s="3">
        <v>-0.35310986889526247</v>
      </c>
      <c r="DA16" s="3">
        <v>995.21998824221043</v>
      </c>
      <c r="DB16" s="3" t="s">
        <v>2485</v>
      </c>
      <c r="DC16" s="3">
        <v>-0.33545437545049933</v>
      </c>
      <c r="DD16" s="3">
        <v>497.60999412110522</v>
      </c>
      <c r="DE16" s="3" t="s">
        <v>2486</v>
      </c>
      <c r="DF16" s="3">
        <v>-0.31073668462783099</v>
      </c>
      <c r="DG16" s="3">
        <v>298.56599647266313</v>
      </c>
      <c r="DH16" s="3" t="s">
        <v>2487</v>
      </c>
      <c r="DI16" s="3">
        <v>-0.28248789511620997</v>
      </c>
      <c r="DJ16" s="3">
        <v>149.28299823633157</v>
      </c>
      <c r="DK16" s="3" t="s">
        <v>2488</v>
      </c>
      <c r="DL16" s="3">
        <v>-0.2471769082266837</v>
      </c>
      <c r="DM16" s="3">
        <v>567000</v>
      </c>
      <c r="DN16" s="3">
        <v>-0.35310986889526247</v>
      </c>
      <c r="DO16" s="3">
        <v>1692869200</v>
      </c>
      <c r="DP16" s="3">
        <v>98953060</v>
      </c>
      <c r="DQ16" s="3">
        <v>592</v>
      </c>
      <c r="DR16" s="3">
        <v>-0.13124566239960828</v>
      </c>
      <c r="DS16" s="3">
        <v>1.8352102525126472</v>
      </c>
      <c r="DT16" s="12">
        <v>-1.0066666666666666</v>
      </c>
      <c r="DU16" s="3">
        <v>-1.24</v>
      </c>
      <c r="DV16" s="3">
        <v>-2.2466666666666666</v>
      </c>
      <c r="DW16" s="3">
        <v>-3.0257857142857141</v>
      </c>
      <c r="DX16" s="3">
        <v>0.33444898648648619</v>
      </c>
      <c r="DY16" s="3">
        <v>-3.0034668631515444</v>
      </c>
      <c r="DZ16" s="3">
        <v>4593</v>
      </c>
      <c r="EA16" s="3">
        <v>-3.0003507569959584</v>
      </c>
      <c r="EB16" s="3">
        <v>3</v>
      </c>
      <c r="EC16" s="3">
        <v>7.1762728816852653E-2</v>
      </c>
      <c r="ED16" s="3">
        <v>0.53375433085964952</v>
      </c>
      <c r="EE16" s="13">
        <v>-1.0454000000000001</v>
      </c>
      <c r="EF16" s="3">
        <v>-1.0263</v>
      </c>
      <c r="EG16" s="3">
        <v>20.134448986486486</v>
      </c>
      <c r="EH16" s="3" t="s">
        <v>1173</v>
      </c>
      <c r="EI16" s="3">
        <v>0</v>
      </c>
      <c r="EJ16" s="3">
        <v>0</v>
      </c>
      <c r="EK16" s="15">
        <v>45470</v>
      </c>
      <c r="EL16" s="16">
        <v>-1.83</v>
      </c>
      <c r="EM16" s="16">
        <v>-3.73</v>
      </c>
      <c r="EN16" s="16">
        <v>0.65</v>
      </c>
      <c r="EO16" s="16">
        <v>0.64</v>
      </c>
      <c r="EP16" s="16">
        <v>-1.91</v>
      </c>
    </row>
    <row r="17" spans="1:146" ht="96" x14ac:dyDescent="0.25">
      <c r="C17" s="7" t="str">
        <f>""&amp;CHAR(10)&amp;Basic_Fundamental_Information_Constructure(F17)&amp;CHAR(10)&amp;Basic_Fundamental_Information_Concatenate("")</f>
        <v xml:space="preserve">
市值70.228708亿, 利润1.17亿; PE14.88; 平均PE21.95; 平均PEG3.33, PB1.32; ROIC7.2867%; ROE8.1533%; 股利率2.5126%; 毛利14.03%; 净利6.3767%; 上一年度营收增-76.14%, 利润增-68.12%; 当季营收增-46.73%, 利润增-40.4%; 过往5年营收增-6.58%, 利润增-.12%
Income profile:
</v>
      </c>
      <c r="D17" s="3" t="s">
        <v>417</v>
      </c>
      <c r="E17" s="3" t="s">
        <v>418</v>
      </c>
      <c r="F17" s="3">
        <v>9.9499999999999993</v>
      </c>
      <c r="G17" s="3">
        <v>-0.9</v>
      </c>
      <c r="H17" s="3" t="s">
        <v>2489</v>
      </c>
      <c r="I17" s="3">
        <v>7022870800</v>
      </c>
      <c r="J17" s="3">
        <v>14.88</v>
      </c>
      <c r="K17" s="3">
        <v>1.32</v>
      </c>
      <c r="L17" s="3" t="s">
        <v>343</v>
      </c>
      <c r="M17" s="3" t="s">
        <v>1597</v>
      </c>
      <c r="N17" s="3" t="s">
        <v>2490</v>
      </c>
      <c r="O17" s="3" t="s">
        <v>1598</v>
      </c>
      <c r="P17" s="3">
        <v>27.34</v>
      </c>
      <c r="Q17" s="3" t="s">
        <v>1598</v>
      </c>
      <c r="R17" s="3">
        <v>117414529</v>
      </c>
      <c r="S17" s="5">
        <v>4.4809999999999999</v>
      </c>
      <c r="T17" s="3" t="s">
        <v>190</v>
      </c>
      <c r="U17" s="3">
        <v>704134660</v>
      </c>
      <c r="V17" s="3">
        <v>705816160</v>
      </c>
      <c r="W17" s="3">
        <v>1.46</v>
      </c>
      <c r="X17" s="3">
        <v>0.2</v>
      </c>
      <c r="Y17" s="3">
        <v>8.0399999999999991</v>
      </c>
      <c r="Z17" s="3" t="s">
        <v>2491</v>
      </c>
      <c r="AA17" s="3" t="s">
        <v>2492</v>
      </c>
      <c r="AB17" s="3" t="s">
        <v>2493</v>
      </c>
      <c r="AC17" s="3" t="s">
        <v>2494</v>
      </c>
      <c r="AD17" s="3" t="s">
        <v>4</v>
      </c>
      <c r="AE17" s="3">
        <v>-28165341</v>
      </c>
      <c r="AF17" s="3" t="s">
        <v>1600</v>
      </c>
      <c r="AG17" s="3" t="s">
        <v>2495</v>
      </c>
      <c r="AH17" s="3" t="s">
        <v>1601</v>
      </c>
      <c r="AI17" s="3" t="s">
        <v>2496</v>
      </c>
      <c r="AJ17" s="3" t="s">
        <v>1602</v>
      </c>
      <c r="AK17" s="3" t="s">
        <v>4</v>
      </c>
      <c r="AL17" s="3" t="s">
        <v>1603</v>
      </c>
      <c r="AM17" s="3" t="s">
        <v>4</v>
      </c>
      <c r="AN17" s="3" t="s">
        <v>1825</v>
      </c>
      <c r="AO17" s="3" t="s">
        <v>4</v>
      </c>
      <c r="AP17" s="3" t="s">
        <v>2497</v>
      </c>
      <c r="AQ17" s="3" t="s">
        <v>1731</v>
      </c>
      <c r="AR17" s="3" t="s">
        <v>2498</v>
      </c>
      <c r="AS17" s="3" t="s">
        <v>2499</v>
      </c>
      <c r="AT17" s="3" t="s">
        <v>4</v>
      </c>
      <c r="AU17" s="3" t="s">
        <v>2500</v>
      </c>
      <c r="AV17" s="3" t="s">
        <v>2501</v>
      </c>
      <c r="AW17" s="3" t="s">
        <v>2502</v>
      </c>
      <c r="AX17" s="3" t="s">
        <v>1217</v>
      </c>
      <c r="AY17" s="3" t="s">
        <v>877</v>
      </c>
      <c r="AZ17" s="3" t="s">
        <v>419</v>
      </c>
      <c r="BA17" s="3" t="s">
        <v>410</v>
      </c>
      <c r="BB17" s="3" t="s">
        <v>420</v>
      </c>
      <c r="BC17" s="3" t="s">
        <v>1218</v>
      </c>
      <c r="BD17" s="3" t="s">
        <v>437</v>
      </c>
      <c r="BE17" s="3" t="s">
        <v>189</v>
      </c>
      <c r="BF17" s="3" t="s">
        <v>157</v>
      </c>
      <c r="BG17" s="3" t="s">
        <v>139</v>
      </c>
      <c r="BH17" s="3" t="s">
        <v>1599</v>
      </c>
      <c r="BI17" s="3" t="s">
        <v>2503</v>
      </c>
      <c r="BJ17" s="3" t="s">
        <v>1217</v>
      </c>
      <c r="BK17" s="3" t="s">
        <v>1370</v>
      </c>
      <c r="BL17" s="3" t="s">
        <v>1353</v>
      </c>
      <c r="BM17" s="3" t="s">
        <v>1218</v>
      </c>
      <c r="BN17" s="3">
        <v>3.87</v>
      </c>
      <c r="BO17" s="3">
        <v>7.04</v>
      </c>
      <c r="BP17" s="3">
        <v>10.95</v>
      </c>
      <c r="BQ17" s="3">
        <v>6</v>
      </c>
      <c r="BR17" s="3">
        <v>7.62</v>
      </c>
      <c r="BS17" s="3">
        <v>10.84</v>
      </c>
      <c r="BT17" s="3" t="s">
        <v>1223</v>
      </c>
      <c r="BU17" s="3" t="s">
        <v>1002</v>
      </c>
      <c r="BV17" s="3">
        <v>15.37</v>
      </c>
      <c r="BW17" s="3">
        <v>12.17</v>
      </c>
      <c r="BX17" s="3">
        <v>14.55</v>
      </c>
      <c r="BY17" s="3">
        <v>6.74</v>
      </c>
      <c r="BZ17" s="3">
        <v>5.98</v>
      </c>
      <c r="CA17" s="3">
        <v>6.41</v>
      </c>
      <c r="CB17" s="3">
        <v>-8.7200000000000006</v>
      </c>
      <c r="CC17" s="3">
        <v>-4.42</v>
      </c>
      <c r="CD17" s="3" t="s">
        <v>156</v>
      </c>
      <c r="CE17" s="3" t="s">
        <v>882</v>
      </c>
      <c r="CF17" s="10">
        <v>-0.46734397677793904</v>
      </c>
      <c r="CG17" s="11">
        <v>-0.4039871624365482</v>
      </c>
      <c r="CH17" s="10">
        <v>-0.76141715049743652</v>
      </c>
      <c r="CI17" s="10">
        <v>-0.19903670251369476</v>
      </c>
      <c r="CJ17" s="10">
        <v>0.13773694634437561</v>
      </c>
      <c r="CK17" s="10">
        <v>0.40608084201812744</v>
      </c>
      <c r="CL17" s="10">
        <v>8.740939199924469E-2</v>
      </c>
      <c r="CM17" s="11">
        <v>-0.68119889497756958</v>
      </c>
      <c r="CN17" s="11">
        <v>-0.25254583358764648</v>
      </c>
      <c r="CO17" s="11">
        <v>0.12100456655025482</v>
      </c>
      <c r="CP17" s="11">
        <v>0.55319148302078247</v>
      </c>
      <c r="CQ17" s="11">
        <v>0.25333333015441895</v>
      </c>
      <c r="CR17" s="3">
        <v>21.946471249999998</v>
      </c>
      <c r="CS17" s="3">
        <v>3.3330336016505457</v>
      </c>
      <c r="CT17" s="3">
        <v>2.512562814070352</v>
      </c>
      <c r="CU17" s="10">
        <v>-6.5845334529876703E-2</v>
      </c>
      <c r="CV17" s="11">
        <v>-1.2430697679519653E-3</v>
      </c>
      <c r="CW17" s="3">
        <v>0.06</v>
      </c>
      <c r="CX17" s="3">
        <v>24.537357264957265</v>
      </c>
      <c r="CY17" s="3" t="s">
        <v>2504</v>
      </c>
      <c r="CZ17" s="3">
        <v>-6.5845334529876703E-2</v>
      </c>
      <c r="DA17" s="3">
        <v>8.179119088319089</v>
      </c>
      <c r="DB17" s="3" t="s">
        <v>2505</v>
      </c>
      <c r="DC17" s="3">
        <v>-6.2553067803382864E-2</v>
      </c>
      <c r="DD17" s="3">
        <v>4.0895595441595445</v>
      </c>
      <c r="DE17" s="3" t="s">
        <v>2506</v>
      </c>
      <c r="DF17" s="3">
        <v>-5.7943894386291502E-2</v>
      </c>
      <c r="DG17" s="3">
        <v>2.4537357264957267</v>
      </c>
      <c r="DH17" s="3" t="s">
        <v>2507</v>
      </c>
      <c r="DI17" s="3">
        <v>-5.2676267623901367E-2</v>
      </c>
      <c r="DJ17" s="3">
        <v>1.2268678632478633</v>
      </c>
      <c r="DK17" s="3" t="s">
        <v>2508</v>
      </c>
      <c r="DL17" s="3">
        <v>-4.6091734170913688E-2</v>
      </c>
      <c r="DM17" s="3">
        <v>117000000</v>
      </c>
      <c r="DN17" s="3">
        <v>-6.5845334529876703E-2</v>
      </c>
      <c r="DO17" s="3">
        <v>2870870800</v>
      </c>
      <c r="DP17" s="3">
        <v>5449537300</v>
      </c>
      <c r="DQ17" s="3">
        <v>620</v>
      </c>
      <c r="DR17" s="3">
        <v>-0.40149864224806231</v>
      </c>
      <c r="DS17" s="3">
        <v>-0.40274409266859623</v>
      </c>
      <c r="DT17" s="12">
        <v>-0.80666666666666664</v>
      </c>
      <c r="DU17" s="3">
        <v>-0.48666666666666664</v>
      </c>
      <c r="DV17" s="3">
        <v>-1.2933333333333332</v>
      </c>
      <c r="DW17" s="3">
        <v>-5.5068807339449544</v>
      </c>
      <c r="DX17" s="3">
        <v>0.38686746987951726</v>
      </c>
      <c r="DY17" s="3">
        <v>-5.1099259423013157</v>
      </c>
      <c r="DZ17" s="3">
        <v>2689</v>
      </c>
      <c r="EA17" s="3">
        <v>-5.0520803730550856</v>
      </c>
      <c r="EB17" s="3">
        <v>5</v>
      </c>
      <c r="EC17" s="3">
        <v>0.15301434866552219</v>
      </c>
      <c r="ED17" s="3">
        <v>0.70556616329101907</v>
      </c>
      <c r="EE17" s="13">
        <v>2.0586000000000002</v>
      </c>
      <c r="EF17" s="3">
        <v>2.0400999999999998</v>
      </c>
      <c r="EG17" s="3">
        <v>17.216867469879517</v>
      </c>
      <c r="EH17" s="3" t="s">
        <v>1174</v>
      </c>
      <c r="EI17" s="3">
        <v>0</v>
      </c>
      <c r="EJ17" s="3">
        <v>0</v>
      </c>
      <c r="EK17" s="15">
        <v>45470</v>
      </c>
      <c r="EL17" s="16">
        <v>4.3600000000000003</v>
      </c>
      <c r="EM17" s="16">
        <v>-3.53</v>
      </c>
      <c r="EN17" s="16">
        <v>-2.6</v>
      </c>
      <c r="EO17" s="16">
        <v>7.02</v>
      </c>
      <c r="EP17" s="16">
        <v>-1.85</v>
      </c>
    </row>
    <row r="18" spans="1:146" ht="96" x14ac:dyDescent="0.25">
      <c r="C18" s="7" t="str">
        <f>""&amp;CHAR(10)&amp;Basic_Fundamental_Information_Constructure(F18)&amp;CHAR(10)&amp;Basic_Fundamental_Information_Concatenate("")</f>
        <v xml:space="preserve">
市值27.027227亿, 利润1112.86万; PE628.8; 平均PE-87.45; 平均PEG-3.9, PB1.78; ROIC6.245%; ROE1.86%; 股利率0%; 毛利19.78%; 净利4.9067%; 上一年度营收增-75.39%, 利润增-92.27%; 当季营收增-45.86%, 利润增-52.13%; 过往5年营收增-22.45%, 利润增-44.96%
Income profile:
</v>
      </c>
      <c r="D18" s="3" t="s">
        <v>421</v>
      </c>
      <c r="E18" s="3" t="s">
        <v>422</v>
      </c>
      <c r="F18" s="3">
        <v>4.68</v>
      </c>
      <c r="G18" s="3">
        <v>2.1800000000000002</v>
      </c>
      <c r="H18" s="3" t="s">
        <v>2509</v>
      </c>
      <c r="I18" s="3">
        <v>2702722700</v>
      </c>
      <c r="J18" s="3">
        <v>628.79999999999995</v>
      </c>
      <c r="K18" s="3">
        <v>1.78</v>
      </c>
      <c r="L18" s="3" t="s">
        <v>343</v>
      </c>
      <c r="M18" s="3" t="s">
        <v>1605</v>
      </c>
      <c r="N18" s="3" t="s">
        <v>1447</v>
      </c>
      <c r="O18" s="3" t="s">
        <v>1436</v>
      </c>
      <c r="P18" s="3">
        <v>9.92</v>
      </c>
      <c r="Q18" s="3" t="s">
        <v>1436</v>
      </c>
      <c r="R18" s="3">
        <v>11128556</v>
      </c>
      <c r="S18" s="5">
        <v>-0.35630000000000001</v>
      </c>
      <c r="T18" s="3" t="s">
        <v>2510</v>
      </c>
      <c r="U18" s="3">
        <v>396458960</v>
      </c>
      <c r="V18" s="3">
        <v>577504850</v>
      </c>
      <c r="W18" s="3">
        <v>1.21</v>
      </c>
      <c r="X18" s="3">
        <v>0.08</v>
      </c>
      <c r="Y18" s="3">
        <v>10.17</v>
      </c>
      <c r="Z18" s="3" t="s">
        <v>158</v>
      </c>
      <c r="AA18" s="3" t="s">
        <v>52</v>
      </c>
      <c r="AB18" s="3" t="s">
        <v>2511</v>
      </c>
      <c r="AC18" s="3" t="s">
        <v>2512</v>
      </c>
      <c r="AD18" s="3" t="s">
        <v>4</v>
      </c>
      <c r="AE18" s="3">
        <v>-849521</v>
      </c>
      <c r="AF18" s="3" t="s">
        <v>1608</v>
      </c>
      <c r="AG18" s="3">
        <v>5000</v>
      </c>
      <c r="AH18" s="3" t="s">
        <v>1609</v>
      </c>
      <c r="AI18" s="3" t="s">
        <v>158</v>
      </c>
      <c r="AJ18" s="3" t="s">
        <v>1610</v>
      </c>
      <c r="AK18" s="3" t="s">
        <v>2513</v>
      </c>
      <c r="AL18" s="3" t="s">
        <v>1611</v>
      </c>
      <c r="AM18" s="3" t="s">
        <v>4</v>
      </c>
      <c r="AN18" s="3">
        <v>0</v>
      </c>
      <c r="AO18" s="3" t="s">
        <v>2514</v>
      </c>
      <c r="AP18" s="3" t="s">
        <v>2515</v>
      </c>
      <c r="AQ18" s="3" t="s">
        <v>72</v>
      </c>
      <c r="AR18" s="3" t="s">
        <v>4</v>
      </c>
      <c r="AS18" s="3" t="s">
        <v>1031</v>
      </c>
      <c r="AT18" s="3" t="s">
        <v>2516</v>
      </c>
      <c r="AU18" s="3" t="s">
        <v>2517</v>
      </c>
      <c r="AV18" s="3" t="s">
        <v>2518</v>
      </c>
      <c r="AW18" s="3" t="s">
        <v>2519</v>
      </c>
      <c r="AX18" s="3" t="s">
        <v>724</v>
      </c>
      <c r="AY18" s="3" t="s">
        <v>238</v>
      </c>
      <c r="AZ18" s="3" t="s">
        <v>184</v>
      </c>
      <c r="BA18" s="3" t="s">
        <v>424</v>
      </c>
      <c r="BB18" s="3" t="s">
        <v>425</v>
      </c>
      <c r="BC18" s="3" t="s">
        <v>140</v>
      </c>
      <c r="BD18" s="3" t="s">
        <v>878</v>
      </c>
      <c r="BE18" s="3" t="s">
        <v>423</v>
      </c>
      <c r="BF18" s="3" t="s">
        <v>426</v>
      </c>
      <c r="BG18" s="3" t="s">
        <v>427</v>
      </c>
      <c r="BH18" s="3" t="s">
        <v>1606</v>
      </c>
      <c r="BI18" s="3" t="s">
        <v>1362</v>
      </c>
      <c r="BJ18" s="3" t="s">
        <v>724</v>
      </c>
      <c r="BK18" s="3" t="s">
        <v>1607</v>
      </c>
      <c r="BL18" s="3" t="s">
        <v>2520</v>
      </c>
      <c r="BM18" s="3" t="s">
        <v>140</v>
      </c>
      <c r="BN18" s="3">
        <v>2.5299999999999998</v>
      </c>
      <c r="BO18" s="3">
        <v>9.9600000000000009</v>
      </c>
      <c r="BP18" s="3" t="s">
        <v>4</v>
      </c>
      <c r="BQ18" s="3">
        <v>2.2799999999999998</v>
      </c>
      <c r="BR18" s="3">
        <v>10.09</v>
      </c>
      <c r="BS18" s="3">
        <v>-6.79</v>
      </c>
      <c r="BT18" s="3" t="s">
        <v>1157</v>
      </c>
      <c r="BU18" s="3" t="s">
        <v>977</v>
      </c>
      <c r="BV18" s="3">
        <v>21.67</v>
      </c>
      <c r="BW18" s="3">
        <v>22.35</v>
      </c>
      <c r="BX18" s="3">
        <v>15.32</v>
      </c>
      <c r="BY18" s="3">
        <v>3.13</v>
      </c>
      <c r="BZ18" s="3">
        <v>23.23</v>
      </c>
      <c r="CA18" s="3">
        <v>-11.64</v>
      </c>
      <c r="CB18" s="3">
        <v>-1.68</v>
      </c>
      <c r="CC18" s="3">
        <v>-10.34</v>
      </c>
      <c r="CD18" s="3" t="s">
        <v>2521</v>
      </c>
      <c r="CE18" s="3" t="s">
        <v>66</v>
      </c>
      <c r="CF18" s="10">
        <v>-0.45862068965517239</v>
      </c>
      <c r="CG18" s="11">
        <v>-0.52130301622533082</v>
      </c>
      <c r="CH18" s="10">
        <v>-0.75391846895217896</v>
      </c>
      <c r="CI18" s="10">
        <v>-0.30727469921112061</v>
      </c>
      <c r="CJ18" s="10">
        <v>0.17474490404129028</v>
      </c>
      <c r="CK18" s="10">
        <v>2.7522936463356018E-2</v>
      </c>
      <c r="CL18" s="10">
        <v>-0.26351350545883179</v>
      </c>
      <c r="CM18" s="11">
        <v>-0.92271804809570313</v>
      </c>
      <c r="CN18" s="11">
        <v>2.5105359554290771</v>
      </c>
      <c r="CO18" s="11">
        <v>-4.3912615776062012</v>
      </c>
      <c r="CP18" s="11">
        <v>-0.69986772537231445</v>
      </c>
      <c r="CQ18" s="11">
        <v>1.2552062273025513</v>
      </c>
      <c r="CR18" s="3">
        <v>-87.452367328999273</v>
      </c>
      <c r="CS18" s="3">
        <v>-3.8956406687261187</v>
      </c>
      <c r="CT18" s="3">
        <v>0</v>
      </c>
      <c r="CU18" s="10">
        <v>-0.22448776662349701</v>
      </c>
      <c r="CV18" s="11">
        <v>-0.44962103366851808</v>
      </c>
      <c r="CW18" s="3">
        <v>0.06</v>
      </c>
      <c r="CX18" s="3">
        <v>130.62943227360134</v>
      </c>
      <c r="CY18" s="3" t="s">
        <v>2522</v>
      </c>
      <c r="CZ18" s="3">
        <v>-0.22448776662349701</v>
      </c>
      <c r="DA18" s="3">
        <v>43.543144091200453</v>
      </c>
      <c r="DB18" s="3" t="s">
        <v>2523</v>
      </c>
      <c r="DC18" s="3">
        <v>-0.21326337829232214</v>
      </c>
      <c r="DD18" s="3">
        <v>21.771572045600227</v>
      </c>
      <c r="DE18" s="3" t="s">
        <v>2524</v>
      </c>
      <c r="DF18" s="3">
        <v>-0.19754923462867738</v>
      </c>
      <c r="DG18" s="3">
        <v>13.062943227360135</v>
      </c>
      <c r="DH18" s="3" t="s">
        <v>2525</v>
      </c>
      <c r="DI18" s="3">
        <v>-0.17959021329879762</v>
      </c>
      <c r="DJ18" s="3">
        <v>6.5314716136800675</v>
      </c>
      <c r="DK18" s="3" t="s">
        <v>2526</v>
      </c>
      <c r="DL18" s="3">
        <v>-0.15714143663644789</v>
      </c>
      <c r="DM18" s="3">
        <v>11128599.999999998</v>
      </c>
      <c r="DN18" s="3">
        <v>-0.22448776662349701</v>
      </c>
      <c r="DO18" s="3">
        <v>1453722700</v>
      </c>
      <c r="DP18" s="3">
        <v>453043920</v>
      </c>
      <c r="DQ18" s="3">
        <v>649</v>
      </c>
      <c r="DR18" s="3">
        <v>-0.23413292303167538</v>
      </c>
      <c r="DS18" s="3">
        <v>-7.168198255681274E-2</v>
      </c>
      <c r="DT18" s="12">
        <v>-0.89</v>
      </c>
      <c r="DU18" s="3">
        <v>-0.95333333333333359</v>
      </c>
      <c r="DV18" s="3">
        <v>-1.8433333333333337</v>
      </c>
      <c r="DW18" s="3">
        <v>-2.1034000000000002</v>
      </c>
      <c r="DX18" s="3">
        <v>0.41961578947368339</v>
      </c>
      <c r="DY18" s="3">
        <v>-2.0165042726315789</v>
      </c>
      <c r="DZ18" s="3">
        <v>4028</v>
      </c>
      <c r="EA18" s="3">
        <v>-2.0034946424632816</v>
      </c>
      <c r="EB18" s="3">
        <v>2</v>
      </c>
      <c r="EC18" s="3">
        <v>7.8770767033385092E-2</v>
      </c>
      <c r="ED18" s="3">
        <v>0.4935023489413119</v>
      </c>
      <c r="EE18" s="13">
        <v>5.6100000000000004E-2</v>
      </c>
      <c r="EF18" s="3">
        <v>2.8999999999999998E-2</v>
      </c>
      <c r="EG18" s="3">
        <v>26.159615789473683</v>
      </c>
      <c r="EH18" s="3" t="s">
        <v>1004</v>
      </c>
      <c r="EI18" s="3">
        <v>0</v>
      </c>
      <c r="EJ18" s="3">
        <v>0</v>
      </c>
      <c r="EK18" s="15">
        <v>45470</v>
      </c>
      <c r="EL18" s="16">
        <v>-1.84</v>
      </c>
      <c r="EM18" s="16">
        <v>-4.79</v>
      </c>
      <c r="EN18" s="16">
        <v>-1.75</v>
      </c>
      <c r="EO18" s="16">
        <v>6.9</v>
      </c>
      <c r="EP18" s="16">
        <v>-2.71</v>
      </c>
    </row>
    <row r="19" spans="1:146" ht="96" x14ac:dyDescent="0.25">
      <c r="C19" s="7" t="str">
        <f>""&amp;CHAR(10)&amp;Basic_Fundamental_Information_Constructure(F19)&amp;CHAR(10)&amp;Basic_Fundamental_Information_Concatenate("")</f>
        <v xml:space="preserve">
市值40.201769亿, 利润-3.86亿; PE; 平均PE-5.31; 平均PEG-.21, PB; ROIC122.59%; ROE-44.4333%; 股利率0%; 毛利2.57%; 净利-99.77%; 上一年度营收增-97.17%, 利润增88.86%; 当季营收增-89.86%, 利润增83.58%; 过往5年营收增-25.38%, 利润增-969.21%
Income profile:
</v>
      </c>
      <c r="D19" s="3" t="s">
        <v>429</v>
      </c>
      <c r="E19" s="3" t="s">
        <v>1612</v>
      </c>
      <c r="F19" s="3">
        <v>1.29</v>
      </c>
      <c r="G19" s="3">
        <v>2.38</v>
      </c>
      <c r="H19" s="3" t="s">
        <v>2527</v>
      </c>
      <c r="I19" s="3">
        <v>4020176900</v>
      </c>
      <c r="L19" s="3" t="s">
        <v>343</v>
      </c>
      <c r="M19" s="3" t="s">
        <v>1613</v>
      </c>
      <c r="N19" s="3" t="s">
        <v>2528</v>
      </c>
      <c r="O19" s="3" t="s">
        <v>1435</v>
      </c>
      <c r="P19" s="3">
        <v>-81.75</v>
      </c>
      <c r="Q19" s="3" t="s">
        <v>1435</v>
      </c>
      <c r="R19" s="3">
        <v>-386089730</v>
      </c>
      <c r="S19" s="4">
        <v>0.12720000000000001</v>
      </c>
      <c r="T19" s="3" t="s">
        <v>2529</v>
      </c>
      <c r="U19" s="3">
        <v>3116316200</v>
      </c>
      <c r="V19" s="3">
        <v>3116416200</v>
      </c>
      <c r="W19" s="3" t="s">
        <v>4</v>
      </c>
      <c r="X19" s="3">
        <v>0.05</v>
      </c>
      <c r="Y19" s="3">
        <v>-117.41</v>
      </c>
      <c r="Z19" s="3" t="s">
        <v>1964</v>
      </c>
      <c r="AA19" s="3" t="s">
        <v>1079</v>
      </c>
      <c r="AB19" s="3" t="s">
        <v>2530</v>
      </c>
      <c r="AC19" s="3" t="s">
        <v>2531</v>
      </c>
      <c r="AD19" s="3" t="s">
        <v>4</v>
      </c>
      <c r="AE19" s="3">
        <v>192438950</v>
      </c>
      <c r="AF19" s="3" t="s">
        <v>1616</v>
      </c>
      <c r="AG19" s="3" t="s">
        <v>2532</v>
      </c>
      <c r="AH19" s="3" t="s">
        <v>1617</v>
      </c>
      <c r="AI19" s="3" t="s">
        <v>2533</v>
      </c>
      <c r="AJ19" s="3" t="s">
        <v>1618</v>
      </c>
      <c r="AK19" s="3" t="s">
        <v>2534</v>
      </c>
      <c r="AL19" s="3" t="s">
        <v>1619</v>
      </c>
      <c r="AM19" s="3" t="s">
        <v>4</v>
      </c>
      <c r="AN19" s="3" t="s">
        <v>336</v>
      </c>
      <c r="AO19" s="3" t="s">
        <v>2535</v>
      </c>
      <c r="AP19" s="3" t="s">
        <v>2536</v>
      </c>
      <c r="AQ19" s="3" t="s">
        <v>2360</v>
      </c>
      <c r="AR19" s="3" t="s">
        <v>4</v>
      </c>
      <c r="AS19" s="3" t="s">
        <v>2537</v>
      </c>
      <c r="AT19" s="3" t="s">
        <v>2172</v>
      </c>
      <c r="AU19" s="3" t="s">
        <v>2538</v>
      </c>
      <c r="AV19" s="3" t="s">
        <v>2539</v>
      </c>
      <c r="AW19" s="3" t="s">
        <v>2540</v>
      </c>
      <c r="AX19" s="3" t="s">
        <v>1221</v>
      </c>
      <c r="AY19" s="3" t="s">
        <v>879</v>
      </c>
      <c r="AZ19" s="3" t="s">
        <v>430</v>
      </c>
      <c r="BA19" s="3" t="s">
        <v>432</v>
      </c>
      <c r="BB19" s="3" t="s">
        <v>433</v>
      </c>
      <c r="BC19" s="3" t="s">
        <v>1620</v>
      </c>
      <c r="BD19" s="3" t="s">
        <v>880</v>
      </c>
      <c r="BE19" s="3" t="s">
        <v>431</v>
      </c>
      <c r="BF19" s="3" t="s">
        <v>297</v>
      </c>
      <c r="BG19" s="3" t="s">
        <v>434</v>
      </c>
      <c r="BH19" s="3" t="s">
        <v>596</v>
      </c>
      <c r="BI19" s="3" t="s">
        <v>2541</v>
      </c>
      <c r="BJ19" s="3" t="s">
        <v>1221</v>
      </c>
      <c r="BK19" s="3" t="s">
        <v>1614</v>
      </c>
      <c r="BL19" s="3" t="s">
        <v>2542</v>
      </c>
      <c r="BM19" s="3" t="s">
        <v>1620</v>
      </c>
      <c r="BN19" s="3" t="s">
        <v>4</v>
      </c>
      <c r="BO19" s="3" t="s">
        <v>4</v>
      </c>
      <c r="BP19" s="3">
        <v>122.59</v>
      </c>
      <c r="BQ19" s="3">
        <v>-86.13</v>
      </c>
      <c r="BR19" s="3">
        <v>-48.03</v>
      </c>
      <c r="BS19" s="3">
        <v>0.86</v>
      </c>
      <c r="BT19" s="3" t="s">
        <v>1157</v>
      </c>
      <c r="BU19" s="3" t="s">
        <v>1002</v>
      </c>
      <c r="BV19" s="3">
        <v>-3.67</v>
      </c>
      <c r="BW19" s="3">
        <v>1.36</v>
      </c>
      <c r="BX19" s="3">
        <v>10.02</v>
      </c>
      <c r="BY19" s="3">
        <v>-271.5</v>
      </c>
      <c r="BZ19" s="3">
        <v>-28.49</v>
      </c>
      <c r="CA19" s="3">
        <v>0.68</v>
      </c>
      <c r="CB19" s="3">
        <v>1.57</v>
      </c>
      <c r="CC19" s="3">
        <v>-5.84</v>
      </c>
      <c r="CD19" s="3" t="s">
        <v>1936</v>
      </c>
      <c r="CE19" s="3" t="s">
        <v>2543</v>
      </c>
      <c r="CF19" s="10">
        <v>-0.89864661654135336</v>
      </c>
      <c r="CG19" s="11">
        <v>0.83584620323129255</v>
      </c>
      <c r="CH19" s="10">
        <v>-0.97169965505599976</v>
      </c>
      <c r="CI19" s="10">
        <v>-0.26643258333206177</v>
      </c>
      <c r="CJ19" s="10">
        <v>-5.3634960204362869E-2</v>
      </c>
      <c r="CK19" s="10">
        <v>-7.9280734062194824E-2</v>
      </c>
      <c r="CL19" s="10">
        <v>0.10210607945919037</v>
      </c>
      <c r="CM19" s="11">
        <v>0.88860034942626953</v>
      </c>
      <c r="CN19" s="11">
        <v>-46.139812469482422</v>
      </c>
      <c r="CO19" s="11">
        <v>1.0246109962463379</v>
      </c>
      <c r="CP19" s="11">
        <v>-4.0193610191345215</v>
      </c>
      <c r="CQ19" s="11">
        <v>-0.2144487053155899</v>
      </c>
      <c r="CR19" s="3">
        <v>-5.3068857442794259</v>
      </c>
      <c r="CS19" s="3">
        <v>-0.20910673451725595</v>
      </c>
      <c r="CT19" s="3">
        <v>0</v>
      </c>
      <c r="CU19" s="10">
        <v>-0.25378837063908577</v>
      </c>
      <c r="CV19" s="11">
        <v>-9.6920821696519859</v>
      </c>
      <c r="CW19" s="3">
        <v>0.06</v>
      </c>
      <c r="CX19" s="3" t="e">
        <v>#VALUE!</v>
      </c>
      <c r="CY19" s="3" t="s">
        <v>1005</v>
      </c>
      <c r="CZ19" s="3">
        <v>-0.25378837063908577</v>
      </c>
      <c r="DA19" s="3" t="e">
        <v>#VALUE!</v>
      </c>
      <c r="DB19" s="3" t="s">
        <v>1006</v>
      </c>
      <c r="DC19" s="3">
        <v>-0.24109895210713148</v>
      </c>
      <c r="DD19" s="3" t="e">
        <v>#VALUE!</v>
      </c>
      <c r="DE19" s="3" t="s">
        <v>1006</v>
      </c>
      <c r="DF19" s="3">
        <v>-0.22333376616239548</v>
      </c>
      <c r="DG19" s="3" t="e">
        <v>#VALUE!</v>
      </c>
      <c r="DH19" s="3" t="s">
        <v>1006</v>
      </c>
      <c r="DI19" s="3">
        <v>-0.20303069651126862</v>
      </c>
      <c r="DJ19" s="3" t="e">
        <v>#VALUE!</v>
      </c>
      <c r="DK19" s="3" t="s">
        <v>1006</v>
      </c>
      <c r="DL19" s="3">
        <v>-0.17765185944736003</v>
      </c>
      <c r="DM19" s="3">
        <v>-386000000</v>
      </c>
      <c r="DN19" s="3">
        <v>-0.25378837063908577</v>
      </c>
      <c r="DO19" s="3">
        <v>24253176900</v>
      </c>
      <c r="DP19" s="3">
        <v>-9376896300</v>
      </c>
      <c r="DQ19" s="3">
        <v>727</v>
      </c>
      <c r="DR19" s="3">
        <v>-0.64485824590226759</v>
      </c>
      <c r="DS19" s="3">
        <v>10.527928372883279</v>
      </c>
      <c r="DT19" s="12">
        <v>-0.92333333333333334</v>
      </c>
      <c r="DU19" s="3">
        <v>-2.1816666666666666</v>
      </c>
      <c r="DV19" s="3">
        <v>-3.105</v>
      </c>
      <c r="DW19" s="3">
        <v>-1.0584</v>
      </c>
      <c r="DX19" s="3">
        <v>0.27907606227763171</v>
      </c>
      <c r="DY19" s="3">
        <v>-1.0069540420370138</v>
      </c>
      <c r="DZ19" s="3">
        <v>4942</v>
      </c>
      <c r="EA19" s="3">
        <v>-1.000228626039573</v>
      </c>
      <c r="EB19" s="3">
        <v>1</v>
      </c>
      <c r="EC19" s="3">
        <v>9.5943539248704968E-2</v>
      </c>
      <c r="ED19" s="3">
        <v>0.80573320084781996</v>
      </c>
      <c r="EE19" s="13">
        <v>-4.09131</v>
      </c>
      <c r="EF19" s="3">
        <v>-4.0413100000000002</v>
      </c>
      <c r="EG19" s="3">
        <v>16.119076062277632</v>
      </c>
      <c r="EH19" s="3" t="s">
        <v>1511</v>
      </c>
      <c r="EI19" s="3">
        <v>0</v>
      </c>
      <c r="EJ19" s="3">
        <v>0</v>
      </c>
      <c r="EK19" s="15">
        <v>45470</v>
      </c>
      <c r="EL19" s="16">
        <v>5.3</v>
      </c>
      <c r="EM19" s="16">
        <v>-5.04</v>
      </c>
      <c r="EN19" s="16">
        <v>-5.3</v>
      </c>
      <c r="EO19" s="16">
        <v>-4</v>
      </c>
      <c r="EP19" s="16">
        <v>5</v>
      </c>
    </row>
    <row r="20" spans="1:146" ht="96" x14ac:dyDescent="0.25">
      <c r="C20" s="7" t="str">
        <f>""&amp;CHAR(10)&amp;Basic_Fundamental_Information_Constructure(F20)&amp;CHAR(10)&amp;Basic_Fundamental_Information_Concatenate("")</f>
        <v xml:space="preserve">
市值100.6335亿, 利润4829.02万; PE49.21; 平均PE67.52; 平均PEG13.93, PB6.73; ROIC15.0467%; ROE15.1967%; 股利率.4673%; 毛利56.2367%; 净利28.8733%; 上一年度营收增-72.92%, 利润增-78.63%; 当季营收增-46.53%, 利润增-56.1%; 过往5年营收增-4.85%, 利润增-6.2%
Income profile:
</v>
      </c>
      <c r="D20" s="3" t="s">
        <v>435</v>
      </c>
      <c r="E20" s="3" t="s">
        <v>436</v>
      </c>
      <c r="F20" s="3">
        <v>21.4</v>
      </c>
      <c r="G20" s="3">
        <v>0.52</v>
      </c>
      <c r="H20" s="3" t="s">
        <v>2544</v>
      </c>
      <c r="I20" s="3">
        <v>10063350000</v>
      </c>
      <c r="J20" s="3">
        <v>49.21</v>
      </c>
      <c r="K20" s="3">
        <v>6.73</v>
      </c>
      <c r="L20" s="3" t="s">
        <v>343</v>
      </c>
      <c r="M20" s="3" t="s">
        <v>78</v>
      </c>
      <c r="N20" s="3" t="s">
        <v>2545</v>
      </c>
      <c r="O20" s="3" t="s">
        <v>43</v>
      </c>
      <c r="P20" s="3">
        <v>5.22</v>
      </c>
      <c r="Q20" s="3" t="s">
        <v>43</v>
      </c>
      <c r="R20" s="3">
        <v>48290153</v>
      </c>
      <c r="S20" s="5">
        <v>-8.6800000000000002E-2</v>
      </c>
      <c r="T20" s="3" t="s">
        <v>2546</v>
      </c>
      <c r="U20" s="3">
        <v>468151720</v>
      </c>
      <c r="V20" s="3">
        <v>470250000</v>
      </c>
      <c r="W20" s="3">
        <v>1.1000000000000001</v>
      </c>
      <c r="X20" s="3">
        <v>0.12</v>
      </c>
      <c r="Y20" s="3">
        <v>23.99</v>
      </c>
      <c r="Z20" s="3" t="s">
        <v>72</v>
      </c>
      <c r="AA20" s="3" t="s">
        <v>2547</v>
      </c>
      <c r="AB20" s="3" t="s">
        <v>2548</v>
      </c>
      <c r="AC20" s="3" t="s">
        <v>2549</v>
      </c>
      <c r="AD20" s="3" t="s">
        <v>4</v>
      </c>
      <c r="AE20" s="3">
        <v>-939120</v>
      </c>
      <c r="AF20" s="3" t="s">
        <v>1621</v>
      </c>
      <c r="AG20" s="3" t="s">
        <v>4</v>
      </c>
      <c r="AH20" s="3" t="s">
        <v>1622</v>
      </c>
      <c r="AI20" s="3" t="s">
        <v>1587</v>
      </c>
      <c r="AJ20" s="3" t="s">
        <v>1624</v>
      </c>
      <c r="AK20" s="3" t="s">
        <v>2550</v>
      </c>
      <c r="AL20" s="3" t="s">
        <v>1625</v>
      </c>
      <c r="AM20" s="3" t="s">
        <v>4</v>
      </c>
      <c r="AN20" s="3" t="s">
        <v>2551</v>
      </c>
      <c r="AO20" s="3" t="s">
        <v>4</v>
      </c>
      <c r="AP20" s="3" t="s">
        <v>4</v>
      </c>
      <c r="AQ20" s="3" t="s">
        <v>2552</v>
      </c>
      <c r="AR20" s="3" t="s">
        <v>4</v>
      </c>
      <c r="AS20" s="3" t="s">
        <v>111</v>
      </c>
      <c r="AT20" s="3" t="s">
        <v>4</v>
      </c>
      <c r="AU20" s="3" t="s">
        <v>2553</v>
      </c>
      <c r="AV20" s="3" t="s">
        <v>2554</v>
      </c>
      <c r="AW20" s="3" t="s">
        <v>2555</v>
      </c>
      <c r="AX20" s="3" t="s">
        <v>1222</v>
      </c>
      <c r="AY20" s="3" t="s">
        <v>647</v>
      </c>
      <c r="AZ20" s="3" t="s">
        <v>198</v>
      </c>
      <c r="BA20" s="3" t="s">
        <v>107</v>
      </c>
      <c r="BB20" s="3" t="s">
        <v>437</v>
      </c>
      <c r="BC20" s="3" t="s">
        <v>183</v>
      </c>
      <c r="BD20" s="3" t="s">
        <v>218</v>
      </c>
      <c r="BE20" s="3" t="s">
        <v>140</v>
      </c>
      <c r="BF20" s="3" t="s">
        <v>62</v>
      </c>
      <c r="BG20" s="3" t="s">
        <v>428</v>
      </c>
      <c r="BH20" s="3" t="s">
        <v>645</v>
      </c>
      <c r="BI20" s="3" t="s">
        <v>2556</v>
      </c>
      <c r="BJ20" s="3" t="s">
        <v>1222</v>
      </c>
      <c r="BK20" s="3" t="s">
        <v>32</v>
      </c>
      <c r="BL20" s="3" t="s">
        <v>111</v>
      </c>
      <c r="BM20" s="3" t="s">
        <v>183</v>
      </c>
      <c r="BN20" s="3">
        <v>11.51</v>
      </c>
      <c r="BO20" s="3">
        <v>17.329999999999998</v>
      </c>
      <c r="BP20" s="3">
        <v>16.3</v>
      </c>
      <c r="BQ20" s="3">
        <v>11.46</v>
      </c>
      <c r="BR20" s="3">
        <v>17.399999999999999</v>
      </c>
      <c r="BS20" s="3">
        <v>16.73</v>
      </c>
      <c r="BT20" s="3" t="s">
        <v>1626</v>
      </c>
      <c r="BU20" s="3" t="s">
        <v>1011</v>
      </c>
      <c r="BV20" s="3">
        <v>56.18</v>
      </c>
      <c r="BW20" s="3">
        <v>57.8</v>
      </c>
      <c r="BX20" s="3">
        <v>54.73</v>
      </c>
      <c r="BY20" s="3">
        <v>26.95</v>
      </c>
      <c r="BZ20" s="3">
        <v>31.03</v>
      </c>
      <c r="CA20" s="3">
        <v>28.64</v>
      </c>
      <c r="CB20" s="3">
        <v>-5.0199999999999996</v>
      </c>
      <c r="CC20" s="3">
        <v>-6.88</v>
      </c>
      <c r="CD20" s="3" t="s">
        <v>2557</v>
      </c>
      <c r="CE20" s="3" t="s">
        <v>217</v>
      </c>
      <c r="CF20" s="10">
        <v>-0.4652956298200514</v>
      </c>
      <c r="CG20" s="11">
        <v>-0.56099860909090915</v>
      </c>
      <c r="CH20" s="10">
        <v>-0.72916668653488159</v>
      </c>
      <c r="CI20" s="10">
        <v>0.11465892940759659</v>
      </c>
      <c r="CJ20" s="10">
        <v>0.26190477609634399</v>
      </c>
      <c r="CK20" s="10">
        <v>8.9820362627506256E-2</v>
      </c>
      <c r="CL20" s="10">
        <v>2.0366597920656204E-2</v>
      </c>
      <c r="CM20" s="11">
        <v>-0.78632652759552002</v>
      </c>
      <c r="CN20" s="11">
        <v>0.18324607610702515</v>
      </c>
      <c r="CO20" s="11">
        <v>0.3263888955116272</v>
      </c>
      <c r="CP20" s="11">
        <v>6.6666670143604279E-2</v>
      </c>
      <c r="CQ20" s="11">
        <v>-0.10000000149011612</v>
      </c>
      <c r="CR20" s="3">
        <v>67.517345040793245</v>
      </c>
      <c r="CS20" s="3">
        <v>13.925924719482337</v>
      </c>
      <c r="CT20" s="3">
        <v>0.46728971962616828</v>
      </c>
      <c r="CU20" s="10">
        <v>-4.848320409655571E-2</v>
      </c>
      <c r="CV20" s="11">
        <v>-6.2004977464675905E-2</v>
      </c>
      <c r="CW20" s="3">
        <v>0.06</v>
      </c>
      <c r="CX20" s="3">
        <v>178.65633192656068</v>
      </c>
      <c r="CY20" s="3" t="s">
        <v>2558</v>
      </c>
      <c r="CZ20" s="3">
        <v>-4.848320409655571E-2</v>
      </c>
      <c r="DA20" s="3">
        <v>59.552110642186889</v>
      </c>
      <c r="DB20" s="3" t="s">
        <v>2559</v>
      </c>
      <c r="DC20" s="3">
        <v>-4.6059043891727922E-2</v>
      </c>
      <c r="DD20" s="3">
        <v>29.776055321093445</v>
      </c>
      <c r="DE20" s="3" t="s">
        <v>2560</v>
      </c>
      <c r="DF20" s="3">
        <v>-4.2665219604969024E-2</v>
      </c>
      <c r="DG20" s="3">
        <v>17.865633192656066</v>
      </c>
      <c r="DH20" s="3" t="s">
        <v>2561</v>
      </c>
      <c r="DI20" s="3">
        <v>-3.8786563277244571E-2</v>
      </c>
      <c r="DJ20" s="3">
        <v>8.932816596328033</v>
      </c>
      <c r="DK20" s="3" t="s">
        <v>2562</v>
      </c>
      <c r="DL20" s="3">
        <v>-3.3938242867588994E-2</v>
      </c>
      <c r="DM20" s="3">
        <v>48290200.000000007</v>
      </c>
      <c r="DN20" s="3">
        <v>-4.848320409655571E-2</v>
      </c>
      <c r="DO20" s="3">
        <v>8627350000</v>
      </c>
      <c r="DP20" s="3">
        <v>870829250</v>
      </c>
      <c r="DQ20" s="3">
        <v>731</v>
      </c>
      <c r="DR20" s="3">
        <v>-0.41681242572349569</v>
      </c>
      <c r="DS20" s="3">
        <v>-0.49899363162623322</v>
      </c>
      <c r="DT20" s="12">
        <v>-0.64</v>
      </c>
      <c r="DU20" s="3">
        <v>-0.26999999999999996</v>
      </c>
      <c r="DV20" s="3">
        <v>-0.90999999999999992</v>
      </c>
      <c r="DW20" s="3">
        <v>-8.729651162790697</v>
      </c>
      <c r="DX20" s="3">
        <v>0.34915579268292829</v>
      </c>
      <c r="DY20" s="3">
        <v>-8.0869421626843447</v>
      </c>
      <c r="DZ20" s="3">
        <v>1753</v>
      </c>
      <c r="EA20" s="3">
        <v>-8.0571164070707137</v>
      </c>
      <c r="EB20" s="3">
        <v>8</v>
      </c>
      <c r="EC20" s="3">
        <v>8.3111323763955344E-2</v>
      </c>
      <c r="ED20" s="3">
        <v>0.6975013290802764</v>
      </c>
      <c r="EE20" s="13">
        <v>8.0388099999999998</v>
      </c>
      <c r="EF20" s="3">
        <v>8.0702099999999994</v>
      </c>
      <c r="EG20" s="3">
        <v>23.119155792682928</v>
      </c>
      <c r="EH20" s="3" t="s">
        <v>2563</v>
      </c>
      <c r="EI20" s="3">
        <v>0</v>
      </c>
      <c r="EJ20" s="3">
        <v>0</v>
      </c>
      <c r="EK20" s="15">
        <v>45470</v>
      </c>
      <c r="EL20" s="16">
        <v>-0.04</v>
      </c>
      <c r="EM20" s="16">
        <v>-5.08</v>
      </c>
      <c r="EN20" s="16">
        <v>-4.18</v>
      </c>
      <c r="EO20" s="16">
        <v>6.39</v>
      </c>
      <c r="EP20" s="16">
        <v>-3.14</v>
      </c>
    </row>
    <row r="21" spans="1:146" ht="96" x14ac:dyDescent="0.25">
      <c r="C21" s="7" t="str">
        <f>""&amp;CHAR(10)&amp;Basic_Fundamental_Information_Constructure(F21)&amp;CHAR(10)&amp;Basic_Fundamental_Information_Concatenate("")</f>
        <v xml:space="preserve">
市值242.24813亿, 利润1.79亿; PE35.31; 平均PE55.92; 平均PEG1309.36, PB2.76; ROIC5.45%; ROE6.3733%; 股利率1.7222%; 毛利26.1733%; 净利12.6233%; 上一年度营收增-69.26%, 利润增-68.92%; 当季营收增-27.45%, 利润增.89%; 过往5年营收增.04%, 利润增-8.74%
Income profile:
</v>
      </c>
      <c r="D21" s="3" t="s">
        <v>438</v>
      </c>
      <c r="E21" s="3" t="s">
        <v>439</v>
      </c>
      <c r="F21" s="3">
        <v>17.420000000000002</v>
      </c>
      <c r="G21" s="3">
        <v>-0.23</v>
      </c>
      <c r="H21" s="3" t="s">
        <v>2564</v>
      </c>
      <c r="I21" s="3">
        <v>24224813000</v>
      </c>
      <c r="J21" s="3">
        <v>35.31</v>
      </c>
      <c r="K21" s="3">
        <v>2.76</v>
      </c>
      <c r="L21" s="3" t="s">
        <v>343</v>
      </c>
      <c r="M21" s="3" t="s">
        <v>1627</v>
      </c>
      <c r="N21" s="3" t="s">
        <v>2565</v>
      </c>
      <c r="O21" s="3" t="s">
        <v>1628</v>
      </c>
      <c r="P21" s="3">
        <v>53.41</v>
      </c>
      <c r="Q21" s="3" t="s">
        <v>1628</v>
      </c>
      <c r="R21" s="3">
        <v>178582800</v>
      </c>
      <c r="S21" s="5">
        <v>0.92490000000000006</v>
      </c>
      <c r="T21" s="3" t="s">
        <v>69</v>
      </c>
      <c r="U21" s="3">
        <v>1357913400</v>
      </c>
      <c r="V21" s="3">
        <v>1390632200</v>
      </c>
      <c r="W21" s="3">
        <v>1.2</v>
      </c>
      <c r="X21" s="3">
        <v>0.12</v>
      </c>
      <c r="Y21" s="3">
        <v>13.79</v>
      </c>
      <c r="Z21" s="3" t="s">
        <v>1931</v>
      </c>
      <c r="AA21" s="3" t="s">
        <v>2566</v>
      </c>
      <c r="AB21" s="3" t="s">
        <v>2567</v>
      </c>
      <c r="AC21" s="3" t="s">
        <v>2568</v>
      </c>
      <c r="AD21" s="3" t="s">
        <v>4</v>
      </c>
      <c r="AE21" s="3">
        <v>-23451122</v>
      </c>
      <c r="AF21" s="3" t="s">
        <v>1631</v>
      </c>
      <c r="AG21" s="3" t="s">
        <v>2569</v>
      </c>
      <c r="AH21" s="3" t="s">
        <v>1632</v>
      </c>
      <c r="AI21" s="3" t="s">
        <v>2570</v>
      </c>
      <c r="AJ21" s="3" t="s">
        <v>1633</v>
      </c>
      <c r="AK21" s="3" t="s">
        <v>2571</v>
      </c>
      <c r="AL21" s="3" t="s">
        <v>1634</v>
      </c>
      <c r="AM21" s="3" t="s">
        <v>4</v>
      </c>
      <c r="AN21" s="3" t="s">
        <v>2572</v>
      </c>
      <c r="AO21" s="3" t="s">
        <v>27</v>
      </c>
      <c r="AP21" s="3" t="s">
        <v>2573</v>
      </c>
      <c r="AQ21" s="3" t="s">
        <v>2574</v>
      </c>
      <c r="AR21" s="3" t="s">
        <v>2575</v>
      </c>
      <c r="AS21" s="3" t="s">
        <v>2576</v>
      </c>
      <c r="AT21" s="3" t="s">
        <v>4</v>
      </c>
      <c r="AU21" s="3" t="s">
        <v>2118</v>
      </c>
      <c r="AV21" s="3" t="s">
        <v>2577</v>
      </c>
      <c r="AW21" s="3" t="s">
        <v>2578</v>
      </c>
      <c r="AX21" s="3" t="s">
        <v>1224</v>
      </c>
      <c r="AY21" s="3" t="s">
        <v>883</v>
      </c>
      <c r="AZ21" s="3" t="s">
        <v>440</v>
      </c>
      <c r="BA21" s="3" t="s">
        <v>442</v>
      </c>
      <c r="BB21" s="3" t="s">
        <v>308</v>
      </c>
      <c r="BC21" s="3" t="s">
        <v>232</v>
      </c>
      <c r="BD21" s="3" t="s">
        <v>874</v>
      </c>
      <c r="BE21" s="3" t="s">
        <v>7</v>
      </c>
      <c r="BF21" s="3" t="s">
        <v>437</v>
      </c>
      <c r="BG21" s="3" t="s">
        <v>443</v>
      </c>
      <c r="BH21" s="3" t="s">
        <v>1629</v>
      </c>
      <c r="BI21" s="3" t="s">
        <v>1365</v>
      </c>
      <c r="BJ21" s="3" t="s">
        <v>1224</v>
      </c>
      <c r="BK21" s="3" t="s">
        <v>1314</v>
      </c>
      <c r="BL21" s="3" t="s">
        <v>36</v>
      </c>
      <c r="BM21" s="3" t="s">
        <v>232</v>
      </c>
      <c r="BN21" s="3">
        <v>4.54</v>
      </c>
      <c r="BO21" s="3">
        <v>6.12</v>
      </c>
      <c r="BP21" s="3">
        <v>5.69</v>
      </c>
      <c r="BQ21" s="3">
        <v>5.26</v>
      </c>
      <c r="BR21" s="3">
        <v>7.15</v>
      </c>
      <c r="BS21" s="3">
        <v>6.71</v>
      </c>
      <c r="BT21" s="3" t="s">
        <v>1162</v>
      </c>
      <c r="BU21" s="3" t="s">
        <v>1011</v>
      </c>
      <c r="BV21" s="3">
        <v>27.81</v>
      </c>
      <c r="BW21" s="3">
        <v>26.9</v>
      </c>
      <c r="BX21" s="3">
        <v>23.81</v>
      </c>
      <c r="BY21" s="3">
        <v>12.16</v>
      </c>
      <c r="BZ21" s="3">
        <v>13.6</v>
      </c>
      <c r="CA21" s="3">
        <v>12.11</v>
      </c>
      <c r="CB21" s="3">
        <v>2.59</v>
      </c>
      <c r="CC21" s="3">
        <v>15.59</v>
      </c>
      <c r="CD21" s="3" t="s">
        <v>2579</v>
      </c>
      <c r="CE21" s="3" t="s">
        <v>1280</v>
      </c>
      <c r="CF21" s="10">
        <v>-0.27454153182308522</v>
      </c>
      <c r="CG21" s="11">
        <v>8.9423728813559315E-3</v>
      </c>
      <c r="CH21" s="10">
        <v>-0.69264167547225952</v>
      </c>
      <c r="CI21" s="10">
        <v>0.14885798096656799</v>
      </c>
      <c r="CJ21" s="10">
        <v>0.18181814253330231</v>
      </c>
      <c r="CK21" s="10">
        <v>7.4333354830741882E-2</v>
      </c>
      <c r="CL21" s="10">
        <v>0.28976777195930481</v>
      </c>
      <c r="CM21" s="11">
        <v>-0.6892361044883728</v>
      </c>
      <c r="CN21" s="11">
        <v>0.3031674325466156</v>
      </c>
      <c r="CO21" s="11">
        <v>-2.2573363967239857E-3</v>
      </c>
      <c r="CP21" s="11">
        <v>-9.77596715092659E-2</v>
      </c>
      <c r="CQ21" s="11">
        <v>4.9145299941301346E-2</v>
      </c>
      <c r="CR21" s="3">
        <v>55.924924201616001</v>
      </c>
      <c r="CS21" s="3">
        <v>1309.3646670492328</v>
      </c>
      <c r="CT21" s="3">
        <v>1.7221584385763489</v>
      </c>
      <c r="CU21" s="10">
        <v>4.2711496353149415E-4</v>
      </c>
      <c r="CV21" s="11">
        <v>-8.7388075981289143E-2</v>
      </c>
      <c r="CW21" s="3">
        <v>0.06</v>
      </c>
      <c r="CX21" s="3">
        <v>102.68028773499505</v>
      </c>
      <c r="CY21" s="3">
        <v>168940050.54572842</v>
      </c>
      <c r="CZ21" s="3">
        <v>4.2711496353149415E-4</v>
      </c>
      <c r="DA21" s="3">
        <v>36.2259860400181</v>
      </c>
      <c r="DB21" s="3">
        <v>478849988.53688437</v>
      </c>
      <c r="DC21" s="3">
        <v>4.0575921535491945E-4</v>
      </c>
      <c r="DD21" s="3">
        <v>19.683131276830508</v>
      </c>
      <c r="DE21" s="3">
        <v>881303526.15284109</v>
      </c>
      <c r="DF21" s="3">
        <v>3.7586116790771487E-4</v>
      </c>
      <c r="DG21" s="3">
        <v>13.144328251469977</v>
      </c>
      <c r="DH21" s="3">
        <v>1319718487.5583158</v>
      </c>
      <c r="DI21" s="3">
        <v>3.4169197082519533E-4</v>
      </c>
      <c r="DJ21" s="3">
        <v>8.4272999882724111</v>
      </c>
      <c r="DK21" s="3">
        <v>2058406965.9487798</v>
      </c>
      <c r="DL21" s="3">
        <v>2.9898047447204587E-4</v>
      </c>
      <c r="DM21" s="3">
        <v>179000000</v>
      </c>
      <c r="DN21" s="3">
        <v>4.2711496353149415E-4</v>
      </c>
      <c r="DO21" s="3">
        <v>17346813000</v>
      </c>
      <c r="DP21" s="3">
        <v>2861459200</v>
      </c>
      <c r="DQ21" s="3">
        <v>780</v>
      </c>
      <c r="DR21" s="3">
        <v>-0.2749686467866167</v>
      </c>
      <c r="DS21" s="3">
        <v>9.6330448862645079E-2</v>
      </c>
      <c r="DT21" s="12">
        <v>-0.54</v>
      </c>
      <c r="DU21" s="3">
        <v>3.666666666666666E-2</v>
      </c>
      <c r="DV21" s="3">
        <v>-0.50333333333333341</v>
      </c>
      <c r="DW21" s="3">
        <v>8.166132135984606</v>
      </c>
      <c r="DX21" s="3">
        <v>0.32793413173652841</v>
      </c>
      <c r="DY21" s="3">
        <v>8.026237934650263</v>
      </c>
      <c r="DZ21" s="3">
        <v>1458</v>
      </c>
      <c r="EA21" s="3">
        <v>8.0187516511433969</v>
      </c>
      <c r="EB21" s="3">
        <v>8</v>
      </c>
      <c r="EC21" s="3">
        <v>0.15172955149463677</v>
      </c>
      <c r="ED21" s="3">
        <v>0.96071412699921666</v>
      </c>
      <c r="EE21" s="13">
        <v>2.3799999999999995E-2</v>
      </c>
      <c r="EF21" s="3">
        <v>9.4000000000000021E-3</v>
      </c>
      <c r="EG21" s="3">
        <v>17.157934131736528</v>
      </c>
      <c r="EH21" s="3" t="s">
        <v>1004</v>
      </c>
      <c r="EI21" s="3">
        <v>0</v>
      </c>
      <c r="EJ21" s="3">
        <v>1</v>
      </c>
      <c r="EK21" s="15">
        <v>45470</v>
      </c>
      <c r="EL21" s="16">
        <v>2.66</v>
      </c>
      <c r="EM21" s="16">
        <v>-2.83</v>
      </c>
      <c r="EN21" s="16">
        <v>-0.43</v>
      </c>
      <c r="EO21" s="16">
        <v>3.86</v>
      </c>
      <c r="EP21" s="16">
        <v>-1.44</v>
      </c>
    </row>
    <row r="22" spans="1:146" ht="96" x14ac:dyDescent="0.25">
      <c r="C22" s="7" t="str">
        <f>""&amp;CHAR(10)&amp;Basic_Fundamental_Information_Constructure(F22)&amp;CHAR(10)&amp;Basic_Fundamental_Information_Concatenate("")</f>
        <v xml:space="preserve">
市值7.8471045亿, 利润-901.81万; PE7075; 平均PE-20.21; 平均PEG-.69, PB3.28; ROIC1.21%; ROE-5.7467%; 股利率0%; 毛利12.4167%; 净利-10.7933%; 上一年度营收增-82.52%, 利润增64.61%; 当季营收增-70.72%, 利润增-301.51%; 过往5年营收增-29.13%, 利润增-29.87%
Income profile:
</v>
      </c>
      <c r="D22" s="3" t="s">
        <v>445</v>
      </c>
      <c r="E22" s="3" t="s">
        <v>1225</v>
      </c>
      <c r="F22" s="3">
        <v>2.8</v>
      </c>
      <c r="G22" s="3">
        <v>1.82</v>
      </c>
      <c r="H22" s="3" t="s">
        <v>2580</v>
      </c>
      <c r="I22" s="3">
        <v>784710450</v>
      </c>
      <c r="J22" s="3">
        <v>7075</v>
      </c>
      <c r="K22" s="3">
        <v>3.28</v>
      </c>
      <c r="L22" s="3" t="s">
        <v>343</v>
      </c>
      <c r="M22" s="3" t="s">
        <v>1637</v>
      </c>
      <c r="N22" s="3" t="s">
        <v>2581</v>
      </c>
      <c r="O22" s="3" t="s">
        <v>1638</v>
      </c>
      <c r="P22" s="3">
        <v>-11.18</v>
      </c>
      <c r="Q22" s="3" t="s">
        <v>1638</v>
      </c>
      <c r="R22" s="3">
        <v>-9018146</v>
      </c>
      <c r="S22" s="5">
        <v>-0.1045</v>
      </c>
      <c r="T22" s="3" t="s">
        <v>2582</v>
      </c>
      <c r="U22" s="3">
        <v>264199230</v>
      </c>
      <c r="V22" s="3">
        <v>280253730</v>
      </c>
      <c r="W22" s="3">
        <v>1.41</v>
      </c>
      <c r="X22" s="3">
        <v>7.0000000000000007E-2</v>
      </c>
      <c r="Y22" s="3">
        <v>-38.21</v>
      </c>
      <c r="Z22" s="3" t="s">
        <v>2583</v>
      </c>
      <c r="AA22" s="3" t="s">
        <v>2584</v>
      </c>
      <c r="AB22" s="3" t="s">
        <v>2585</v>
      </c>
      <c r="AC22" s="3" t="s">
        <v>2586</v>
      </c>
      <c r="AD22" s="3" t="s">
        <v>4</v>
      </c>
      <c r="AE22" s="3">
        <v>106737</v>
      </c>
      <c r="AF22" s="3" t="s">
        <v>21</v>
      </c>
      <c r="AG22" s="3">
        <v>150</v>
      </c>
      <c r="AH22" s="3" t="s">
        <v>1640</v>
      </c>
      <c r="AI22" s="3" t="s">
        <v>2587</v>
      </c>
      <c r="AJ22" s="3" t="s">
        <v>1641</v>
      </c>
      <c r="AK22" s="3" t="s">
        <v>2588</v>
      </c>
      <c r="AL22" s="3" t="s">
        <v>1642</v>
      </c>
      <c r="AM22" s="3" t="s">
        <v>4</v>
      </c>
      <c r="AN22" s="3">
        <v>0</v>
      </c>
      <c r="AO22" s="3" t="s">
        <v>4</v>
      </c>
      <c r="AP22" s="3" t="s">
        <v>4</v>
      </c>
      <c r="AQ22" s="3" t="s">
        <v>2589</v>
      </c>
      <c r="AR22" s="3" t="s">
        <v>2590</v>
      </c>
      <c r="AS22" s="3" t="s">
        <v>2591</v>
      </c>
      <c r="AT22" s="3" t="s">
        <v>1643</v>
      </c>
      <c r="AU22" s="3" t="s">
        <v>2592</v>
      </c>
      <c r="AV22" s="3" t="s">
        <v>2593</v>
      </c>
      <c r="AW22" s="3" t="s">
        <v>2594</v>
      </c>
      <c r="AX22" s="3" t="s">
        <v>62</v>
      </c>
      <c r="AY22" s="3" t="s">
        <v>143</v>
      </c>
      <c r="AZ22" s="3" t="s">
        <v>158</v>
      </c>
      <c r="BA22" s="3" t="s">
        <v>185</v>
      </c>
      <c r="BB22" s="3" t="s">
        <v>226</v>
      </c>
      <c r="BC22" s="3" t="s">
        <v>1644</v>
      </c>
      <c r="BD22" s="3" t="s">
        <v>884</v>
      </c>
      <c r="BE22" s="3" t="s">
        <v>446</v>
      </c>
      <c r="BF22" s="3" t="s">
        <v>447</v>
      </c>
      <c r="BG22" s="3" t="s">
        <v>448</v>
      </c>
      <c r="BH22" s="3" t="s">
        <v>39</v>
      </c>
      <c r="BI22" s="3" t="s">
        <v>2595</v>
      </c>
      <c r="BJ22" s="3" t="s">
        <v>62</v>
      </c>
      <c r="BK22" s="3" t="s">
        <v>1639</v>
      </c>
      <c r="BL22" s="3" t="s">
        <v>2596</v>
      </c>
      <c r="BM22" s="3" t="s">
        <v>1644</v>
      </c>
      <c r="BN22" s="3">
        <v>1.21</v>
      </c>
      <c r="BO22" s="3" t="s">
        <v>4</v>
      </c>
      <c r="BP22" s="3" t="s">
        <v>4</v>
      </c>
      <c r="BQ22" s="3">
        <v>1.7</v>
      </c>
      <c r="BR22" s="3">
        <v>-9.82</v>
      </c>
      <c r="BS22" s="3">
        <v>-9.1199999999999992</v>
      </c>
      <c r="BT22" s="3" t="s">
        <v>1157</v>
      </c>
      <c r="BU22" s="3" t="s">
        <v>1002</v>
      </c>
      <c r="BV22" s="3">
        <v>13.86</v>
      </c>
      <c r="BW22" s="3">
        <v>9.4</v>
      </c>
      <c r="BX22" s="3">
        <v>13.99</v>
      </c>
      <c r="BY22" s="3">
        <v>0.62</v>
      </c>
      <c r="BZ22" s="3">
        <v>-18.86</v>
      </c>
      <c r="CA22" s="3">
        <v>-14.14</v>
      </c>
      <c r="CB22" s="3">
        <v>1.82</v>
      </c>
      <c r="CC22" s="3">
        <v>-25.53</v>
      </c>
      <c r="CD22" s="3" t="s">
        <v>2597</v>
      </c>
      <c r="CE22" s="3" t="s">
        <v>2598</v>
      </c>
      <c r="CF22" s="10">
        <v>-0.70723581803726621</v>
      </c>
      <c r="CG22" s="11">
        <v>-3.0150930663866111</v>
      </c>
      <c r="CH22" s="10">
        <v>-0.82515406608581543</v>
      </c>
      <c r="CI22" s="10">
        <v>-0.26630434393882751</v>
      </c>
      <c r="CJ22" s="10">
        <v>0.32374101877212524</v>
      </c>
      <c r="CK22" s="10">
        <v>-0.31862744688987732</v>
      </c>
      <c r="CL22" s="10">
        <v>-0.37037035822868347</v>
      </c>
      <c r="CM22" s="11">
        <v>0.64609503746032715</v>
      </c>
      <c r="CN22" s="11">
        <v>2.0187105983495712E-2</v>
      </c>
      <c r="CO22" s="11">
        <v>0.17532248795032501</v>
      </c>
      <c r="CP22" s="11">
        <v>-3.4196732044219971</v>
      </c>
      <c r="CQ22" s="11">
        <v>1.0846297740936279</v>
      </c>
      <c r="CR22" s="3">
        <v>-20.206346876581215</v>
      </c>
      <c r="CS22" s="3">
        <v>-0.69355859425777289</v>
      </c>
      <c r="CT22" s="3">
        <v>0</v>
      </c>
      <c r="CU22" s="10">
        <v>-0.29134303927421568</v>
      </c>
      <c r="CV22" s="11">
        <v>-0.29868775978684425</v>
      </c>
      <c r="CW22" s="3">
        <v>0.06</v>
      </c>
      <c r="CX22" s="3" t="e">
        <v>#VALUE!</v>
      </c>
      <c r="CY22" s="3" t="s">
        <v>1005</v>
      </c>
      <c r="CZ22" s="3">
        <v>-0.29134303927421568</v>
      </c>
      <c r="DA22" s="3" t="e">
        <v>#VALUE!</v>
      </c>
      <c r="DB22" s="3" t="s">
        <v>1006</v>
      </c>
      <c r="DC22" s="3">
        <v>-0.2767758873105049</v>
      </c>
      <c r="DD22" s="3" t="e">
        <v>#VALUE!</v>
      </c>
      <c r="DE22" s="3" t="s">
        <v>1006</v>
      </c>
      <c r="DF22" s="3">
        <v>-0.25638187456130979</v>
      </c>
      <c r="DG22" s="3" t="e">
        <v>#VALUE!</v>
      </c>
      <c r="DH22" s="3" t="s">
        <v>1006</v>
      </c>
      <c r="DI22" s="3">
        <v>-0.23307443141937256</v>
      </c>
      <c r="DJ22" s="3" t="e">
        <v>#VALUE!</v>
      </c>
      <c r="DK22" s="3" t="s">
        <v>1006</v>
      </c>
      <c r="DL22" s="3">
        <v>-0.20394012749195095</v>
      </c>
      <c r="DM22" s="3">
        <v>-9018100</v>
      </c>
      <c r="DN22" s="3">
        <v>-0.29134303927421568</v>
      </c>
      <c r="DO22" s="3">
        <v>614014850</v>
      </c>
      <c r="DP22" s="3">
        <v>114933620</v>
      </c>
      <c r="DQ22" s="3">
        <v>796</v>
      </c>
      <c r="DR22" s="3">
        <v>-0.41589277876305053</v>
      </c>
      <c r="DS22" s="3">
        <v>-2.7164053065997669</v>
      </c>
      <c r="DT22" s="12">
        <v>-1.0066666666666666</v>
      </c>
      <c r="DU22" s="3">
        <v>-2.1316666666666668</v>
      </c>
      <c r="DV22" s="3">
        <v>-3.1383333333333336</v>
      </c>
      <c r="DW22" s="3">
        <v>-3.1077797619047618</v>
      </c>
      <c r="DX22" s="3">
        <v>0.3125503392161445</v>
      </c>
      <c r="DY22" s="3">
        <v>-3.0175196368582542</v>
      </c>
      <c r="DZ22" s="3">
        <v>4511</v>
      </c>
      <c r="EA22" s="3">
        <v>-3.0020536717178268</v>
      </c>
      <c r="EB22" s="3">
        <v>3</v>
      </c>
      <c r="EC22" s="3">
        <v>5.0056425653995755E-2</v>
      </c>
      <c r="ED22" s="3">
        <v>0.30794416188501755</v>
      </c>
      <c r="EE22" s="13">
        <v>-2.0986099999999999</v>
      </c>
      <c r="EF22" s="3">
        <v>-2.0986099999999999</v>
      </c>
      <c r="EG22" s="3">
        <v>15.162550339216144</v>
      </c>
      <c r="EH22" s="3" t="s">
        <v>1172</v>
      </c>
      <c r="EI22" s="3">
        <v>0</v>
      </c>
      <c r="EJ22" s="3">
        <v>0</v>
      </c>
      <c r="EK22" s="15">
        <v>45470</v>
      </c>
      <c r="EL22" s="16">
        <v>-1.64</v>
      </c>
      <c r="EM22" s="16">
        <v>-4.67</v>
      </c>
      <c r="EN22" s="16">
        <v>-3.15</v>
      </c>
      <c r="EO22" s="16">
        <v>-0.72</v>
      </c>
      <c r="EP22" s="16">
        <v>0</v>
      </c>
    </row>
    <row r="23" spans="1:146" ht="96" x14ac:dyDescent="0.25">
      <c r="C23" s="7" t="str">
        <f>""&amp;CHAR(10)&amp;Basic_Fundamental_Information_Constructure(F23)&amp;CHAR(10)&amp;Basic_Fundamental_Information_Concatenate("")</f>
        <v xml:space="preserve">
市值81.847566亿, 利润-6.30亿; PE; 平均PE-12.55; 平均PEG-.6, PB1.12; ROIC0%; ROE-17.31%; 股利率0%; 毛利-14.24%; 净利-51.6967%; 上一年度营收增-75.97%, 利润增69.51%; 当季营收增-33.27%, 利润增61.42%; 过往5年营收增20.85%, 利润增-101.61%
Income profile:
</v>
      </c>
      <c r="D23" s="3" t="s">
        <v>449</v>
      </c>
      <c r="E23" s="3" t="s">
        <v>450</v>
      </c>
      <c r="F23" s="3">
        <v>5.89</v>
      </c>
      <c r="G23" s="3">
        <v>1.03</v>
      </c>
      <c r="H23" s="3" t="s">
        <v>2599</v>
      </c>
      <c r="I23" s="3">
        <v>8184756600</v>
      </c>
      <c r="K23" s="3">
        <v>1.1200000000000001</v>
      </c>
      <c r="L23" s="3" t="s">
        <v>343</v>
      </c>
      <c r="M23" s="3" t="s">
        <v>1645</v>
      </c>
      <c r="N23" s="3" t="s">
        <v>2600</v>
      </c>
      <c r="O23" s="3" t="s">
        <v>1646</v>
      </c>
      <c r="P23" s="3">
        <v>133.69</v>
      </c>
      <c r="Q23" s="3" t="s">
        <v>1646</v>
      </c>
      <c r="R23" s="3">
        <v>-630343190</v>
      </c>
      <c r="S23" s="5">
        <v>0.17680000000000001</v>
      </c>
      <c r="T23" s="3" t="s">
        <v>2601</v>
      </c>
      <c r="U23" s="3">
        <v>1384313400</v>
      </c>
      <c r="V23" s="3">
        <v>1389602100</v>
      </c>
      <c r="W23" s="3">
        <v>4.59</v>
      </c>
      <c r="X23" s="3">
        <v>0.04</v>
      </c>
      <c r="Y23" s="3">
        <v>-42.5</v>
      </c>
      <c r="Z23" s="3" t="s">
        <v>1320</v>
      </c>
      <c r="AA23" s="3" t="s">
        <v>2602</v>
      </c>
      <c r="AB23" s="3" t="s">
        <v>2603</v>
      </c>
      <c r="AC23" s="3" t="s">
        <v>2604</v>
      </c>
      <c r="AD23" s="3" t="s">
        <v>4</v>
      </c>
      <c r="AE23" s="3">
        <v>229586750</v>
      </c>
      <c r="AF23" s="3" t="s">
        <v>1649</v>
      </c>
      <c r="AG23" s="3" t="s">
        <v>2605</v>
      </c>
      <c r="AH23" s="3" t="s">
        <v>1650</v>
      </c>
      <c r="AI23" s="3" t="s">
        <v>2606</v>
      </c>
      <c r="AJ23" s="3" t="s">
        <v>1651</v>
      </c>
      <c r="AK23" s="3" t="s">
        <v>2607</v>
      </c>
      <c r="AL23" s="3" t="s">
        <v>1652</v>
      </c>
      <c r="AM23" s="3" t="s">
        <v>4</v>
      </c>
      <c r="AN23" s="3" t="s">
        <v>1436</v>
      </c>
      <c r="AO23" s="3" t="s">
        <v>2608</v>
      </c>
      <c r="AP23" s="3" t="s">
        <v>2080</v>
      </c>
      <c r="AQ23" s="3" t="s">
        <v>2609</v>
      </c>
      <c r="AR23" s="3" t="s">
        <v>2610</v>
      </c>
      <c r="AS23" s="3" t="s">
        <v>2611</v>
      </c>
      <c r="AT23" s="3" t="s">
        <v>2612</v>
      </c>
      <c r="AU23" s="3" t="s">
        <v>2613</v>
      </c>
      <c r="AV23" s="3" t="s">
        <v>583</v>
      </c>
      <c r="AW23" s="3" t="s">
        <v>1447</v>
      </c>
      <c r="AX23" s="3" t="s">
        <v>1227</v>
      </c>
      <c r="AY23" s="3" t="s">
        <v>1228</v>
      </c>
      <c r="AZ23" s="3" t="s">
        <v>451</v>
      </c>
      <c r="BA23" s="3" t="s">
        <v>452</v>
      </c>
      <c r="BB23" s="3" t="s">
        <v>453</v>
      </c>
      <c r="BC23" s="3" t="s">
        <v>1653</v>
      </c>
      <c r="BD23" s="3" t="s">
        <v>1229</v>
      </c>
      <c r="BE23" s="3" t="s">
        <v>185</v>
      </c>
      <c r="BF23" s="3" t="s">
        <v>454</v>
      </c>
      <c r="BG23" s="3" t="s">
        <v>455</v>
      </c>
      <c r="BH23" s="3" t="s">
        <v>1647</v>
      </c>
      <c r="BI23" s="3" t="s">
        <v>2614</v>
      </c>
      <c r="BJ23" s="3" t="s">
        <v>1227</v>
      </c>
      <c r="BK23" s="3" t="s">
        <v>1648</v>
      </c>
      <c r="BL23" s="3" t="s">
        <v>2615</v>
      </c>
      <c r="BM23" s="3" t="s">
        <v>1653</v>
      </c>
      <c r="BN23" s="3" t="s">
        <v>4</v>
      </c>
      <c r="BO23" s="3" t="s">
        <v>4</v>
      </c>
      <c r="BP23" s="3" t="s">
        <v>4</v>
      </c>
      <c r="BQ23" s="3">
        <v>-24.27</v>
      </c>
      <c r="BR23" s="3">
        <v>-16.28</v>
      </c>
      <c r="BS23" s="3">
        <v>-11.38</v>
      </c>
      <c r="BT23" s="3" t="s">
        <v>1157</v>
      </c>
      <c r="BU23" s="3" t="s">
        <v>1002</v>
      </c>
      <c r="BV23" s="3">
        <v>-35.29</v>
      </c>
      <c r="BW23" s="3">
        <v>-4.72</v>
      </c>
      <c r="BX23" s="3">
        <v>-2.71</v>
      </c>
      <c r="BY23" s="3">
        <v>-76.599999999999994</v>
      </c>
      <c r="BZ23" s="3">
        <v>-34.81</v>
      </c>
      <c r="CA23" s="3">
        <v>-43.68</v>
      </c>
      <c r="CB23" s="3">
        <v>-3.13</v>
      </c>
      <c r="CC23" s="3">
        <v>-14.76</v>
      </c>
      <c r="CD23" s="3" t="s">
        <v>2616</v>
      </c>
      <c r="CE23" s="3" t="s">
        <v>637</v>
      </c>
      <c r="CF23" s="10">
        <v>-0.33271444485703677</v>
      </c>
      <c r="CG23" s="11">
        <v>0.61423305385556914</v>
      </c>
      <c r="CH23" s="10">
        <v>-0.759662926197052</v>
      </c>
      <c r="CI23" s="10">
        <v>0.20325073599815369</v>
      </c>
      <c r="CJ23" s="10">
        <v>0.80955153703689575</v>
      </c>
      <c r="CK23" s="10">
        <v>0.27658003568649292</v>
      </c>
      <c r="CL23" s="10">
        <v>0.5129358172416687</v>
      </c>
      <c r="CM23" s="11">
        <v>0.69506293535232544</v>
      </c>
      <c r="CN23" s="11">
        <v>-0.35921052098274231</v>
      </c>
      <c r="CO23" s="11">
        <v>-8.4509801864624023</v>
      </c>
      <c r="CP23" s="11">
        <v>2.1859915256500244</v>
      </c>
      <c r="CQ23" s="11">
        <v>0.84847646951675415</v>
      </c>
      <c r="CR23" s="3">
        <v>-12.549040609964372</v>
      </c>
      <c r="CS23" s="3">
        <v>-0.60178286229133093</v>
      </c>
      <c r="CT23" s="3">
        <v>0</v>
      </c>
      <c r="CU23" s="10">
        <v>0.2085310399532318</v>
      </c>
      <c r="CV23" s="11">
        <v>-1.0161319553852082</v>
      </c>
      <c r="CW23" s="3">
        <v>0.06</v>
      </c>
      <c r="CX23" s="3" t="e">
        <v>#VALUE!</v>
      </c>
      <c r="CY23" s="3" t="s">
        <v>1005</v>
      </c>
      <c r="CZ23" s="3">
        <v>0.2085310399532318</v>
      </c>
      <c r="DA23" s="3" t="e">
        <v>#VALUE!</v>
      </c>
      <c r="DB23" s="3" t="s">
        <v>1006</v>
      </c>
      <c r="DC23" s="3">
        <v>0.1981044879555702</v>
      </c>
      <c r="DD23" s="3" t="e">
        <v>#VALUE!</v>
      </c>
      <c r="DE23" s="3" t="s">
        <v>1006</v>
      </c>
      <c r="DF23" s="3">
        <v>0.183507315158844</v>
      </c>
      <c r="DG23" s="3" t="e">
        <v>#VALUE!</v>
      </c>
      <c r="DH23" s="3" t="s">
        <v>1006</v>
      </c>
      <c r="DI23" s="3">
        <v>0.16682483196258546</v>
      </c>
      <c r="DJ23" s="3" t="e">
        <v>#VALUE!</v>
      </c>
      <c r="DK23" s="3" t="s">
        <v>1006</v>
      </c>
      <c r="DL23" s="3">
        <v>0.14597172796726224</v>
      </c>
      <c r="DM23" s="3">
        <v>-630000000</v>
      </c>
      <c r="DN23" s="3">
        <v>0.2085310399532318</v>
      </c>
      <c r="DO23" s="3">
        <v>26885756600</v>
      </c>
      <c r="DP23" s="3">
        <v>-9428548000</v>
      </c>
      <c r="DQ23" s="3">
        <v>893</v>
      </c>
      <c r="DR23" s="3">
        <v>-0.54124548481026857</v>
      </c>
      <c r="DS23" s="3">
        <v>1.6303650092407773</v>
      </c>
      <c r="DT23" s="12">
        <v>-0.14000000000000004</v>
      </c>
      <c r="DU23" s="3">
        <v>-1.7150000000000001</v>
      </c>
      <c r="DV23" s="3">
        <v>-1.8550000000000002</v>
      </c>
      <c r="DW23" s="3">
        <v>-8.2120596205962055</v>
      </c>
      <c r="DX23" s="3">
        <v>0.34710994475138035</v>
      </c>
      <c r="DY23" s="3">
        <v>-8.02483429045202</v>
      </c>
      <c r="DZ23" s="3">
        <v>4628</v>
      </c>
      <c r="EA23" s="3">
        <v>-8.0023424908019329</v>
      </c>
      <c r="EB23" s="3">
        <v>8</v>
      </c>
      <c r="EC23" s="3">
        <v>3.0507869842741314E-2</v>
      </c>
      <c r="ED23" s="3">
        <v>0.26050622692639858</v>
      </c>
      <c r="EE23" s="13">
        <v>-1.0072099999999999</v>
      </c>
      <c r="EF23" s="3">
        <v>-1.0316099999999999</v>
      </c>
      <c r="EG23" s="3">
        <v>23.11710994475138</v>
      </c>
      <c r="EH23" s="3" t="s">
        <v>1015</v>
      </c>
      <c r="EI23" s="3">
        <v>0</v>
      </c>
      <c r="EJ23" s="3">
        <v>0</v>
      </c>
      <c r="EK23" s="15">
        <v>45470</v>
      </c>
      <c r="EL23" s="16">
        <v>-0.32</v>
      </c>
      <c r="EM23" s="16">
        <v>-4.53</v>
      </c>
      <c r="EN23" s="16">
        <v>-2.2000000000000002</v>
      </c>
      <c r="EO23" s="16">
        <v>6.41</v>
      </c>
      <c r="EP23" s="16">
        <v>-2.44</v>
      </c>
    </row>
    <row r="24" spans="1:146" ht="96" x14ac:dyDescent="0.25">
      <c r="C24" s="7" t="str">
        <f>""&amp;CHAR(10)&amp;Basic_Fundamental_Information_Constructure(F24)&amp;CHAR(10)&amp;Basic_Fundamental_Information_Concatenate("")</f>
        <v xml:space="preserve">
市值42.489382亿, 利润2794.34万; PE46.22; 平均PE19.04; 平均PEG1.18, PB1.11; ROIC3.11%; ROE3.5733%; 股利率.8734%; 毛利13.2467%; 净利3.7%; 上一年度营收增-73.72%, 利润增-76.91%; 当季营收增-46.5%, 利润增-48.07%; 过往5年营收增-16.2%, 利润增-15.5%
Income profile:
</v>
      </c>
      <c r="D24" s="3" t="s">
        <v>456</v>
      </c>
      <c r="E24" s="3" t="s">
        <v>457</v>
      </c>
      <c r="F24" s="3">
        <v>6.87</v>
      </c>
      <c r="G24" s="3">
        <v>1.18</v>
      </c>
      <c r="H24" s="3" t="s">
        <v>2617</v>
      </c>
      <c r="I24" s="3">
        <v>4248938200</v>
      </c>
      <c r="J24" s="3">
        <v>46.22</v>
      </c>
      <c r="K24" s="3">
        <v>1.1100000000000001</v>
      </c>
      <c r="L24" s="3" t="s">
        <v>343</v>
      </c>
      <c r="M24" s="3" t="s">
        <v>1654</v>
      </c>
      <c r="N24" s="3" t="s">
        <v>2618</v>
      </c>
      <c r="O24" s="3" t="s">
        <v>1655</v>
      </c>
      <c r="P24" s="3">
        <v>18.12</v>
      </c>
      <c r="Q24" s="3" t="s">
        <v>1655</v>
      </c>
      <c r="R24" s="3">
        <v>27943357</v>
      </c>
      <c r="S24" s="5">
        <v>0.2903</v>
      </c>
      <c r="T24" s="3" t="s">
        <v>2619</v>
      </c>
      <c r="U24" s="3">
        <v>613182780</v>
      </c>
      <c r="V24" s="3">
        <v>618477170</v>
      </c>
      <c r="W24" s="3">
        <v>1.67</v>
      </c>
      <c r="X24" s="3">
        <v>0.15</v>
      </c>
      <c r="Y24" s="3">
        <v>2.97</v>
      </c>
      <c r="Z24" s="3" t="s">
        <v>2620</v>
      </c>
      <c r="AA24" s="3" t="s">
        <v>2621</v>
      </c>
      <c r="AB24" s="3" t="s">
        <v>2622</v>
      </c>
      <c r="AC24" s="3" t="s">
        <v>2623</v>
      </c>
      <c r="AD24" s="3" t="s">
        <v>4</v>
      </c>
      <c r="AE24" s="3">
        <v>-5217090</v>
      </c>
      <c r="AF24" s="3" t="s">
        <v>1658</v>
      </c>
      <c r="AG24" s="3" t="s">
        <v>2624</v>
      </c>
      <c r="AH24" s="3" t="s">
        <v>1659</v>
      </c>
      <c r="AI24" s="3" t="s">
        <v>2625</v>
      </c>
      <c r="AJ24" s="3" t="s">
        <v>1660</v>
      </c>
      <c r="AK24" s="3" t="s">
        <v>1840</v>
      </c>
      <c r="AL24" s="3" t="s">
        <v>1661</v>
      </c>
      <c r="AM24" s="3" t="s">
        <v>4</v>
      </c>
      <c r="AN24" s="3" t="s">
        <v>1846</v>
      </c>
      <c r="AO24" s="3" t="s">
        <v>2626</v>
      </c>
      <c r="AP24" s="3" t="s">
        <v>2627</v>
      </c>
      <c r="AQ24" s="3" t="s">
        <v>2628</v>
      </c>
      <c r="AR24" s="3" t="s">
        <v>4</v>
      </c>
      <c r="AS24" s="3" t="s">
        <v>2629</v>
      </c>
      <c r="AT24" s="3" t="s">
        <v>1548</v>
      </c>
      <c r="AU24" s="3" t="s">
        <v>2630</v>
      </c>
      <c r="AV24" s="3" t="s">
        <v>2631</v>
      </c>
      <c r="AW24" s="3" t="s">
        <v>2632</v>
      </c>
      <c r="AX24" s="3" t="s">
        <v>1230</v>
      </c>
      <c r="AY24" s="3" t="s">
        <v>1231</v>
      </c>
      <c r="AZ24" s="3" t="s">
        <v>458</v>
      </c>
      <c r="BA24" s="3" t="s">
        <v>459</v>
      </c>
      <c r="BB24" s="3" t="s">
        <v>460</v>
      </c>
      <c r="BC24" s="3" t="s">
        <v>124</v>
      </c>
      <c r="BD24" s="3" t="s">
        <v>95</v>
      </c>
      <c r="BE24" s="3" t="s">
        <v>104</v>
      </c>
      <c r="BF24" s="3" t="s">
        <v>209</v>
      </c>
      <c r="BG24" s="3" t="s">
        <v>300</v>
      </c>
      <c r="BH24" s="3" t="s">
        <v>1656</v>
      </c>
      <c r="BI24" s="3" t="s">
        <v>2633</v>
      </c>
      <c r="BJ24" s="3" t="s">
        <v>1230</v>
      </c>
      <c r="BK24" s="3" t="s">
        <v>1657</v>
      </c>
      <c r="BL24" s="3" t="s">
        <v>2634</v>
      </c>
      <c r="BM24" s="3" t="s">
        <v>124</v>
      </c>
      <c r="BN24" s="3">
        <v>1.58</v>
      </c>
      <c r="BO24" s="3">
        <v>2.6</v>
      </c>
      <c r="BP24" s="3">
        <v>5.15</v>
      </c>
      <c r="BQ24" s="3">
        <v>2.14</v>
      </c>
      <c r="BR24" s="3">
        <v>3.05</v>
      </c>
      <c r="BS24" s="3">
        <v>5.53</v>
      </c>
      <c r="BT24" s="3" t="s">
        <v>1187</v>
      </c>
      <c r="BU24" s="3" t="s">
        <v>977</v>
      </c>
      <c r="BV24" s="3">
        <v>11.92</v>
      </c>
      <c r="BW24" s="3">
        <v>12.15</v>
      </c>
      <c r="BX24" s="3">
        <v>15.67</v>
      </c>
      <c r="BY24" s="3">
        <v>2.42</v>
      </c>
      <c r="BZ24" s="3">
        <v>3.39</v>
      </c>
      <c r="CA24" s="3">
        <v>5.29</v>
      </c>
      <c r="CB24" s="3">
        <v>-3.51</v>
      </c>
      <c r="CC24" s="3">
        <v>-8.0299999999999994</v>
      </c>
      <c r="CD24" s="3" t="s">
        <v>2635</v>
      </c>
      <c r="CE24" s="3" t="s">
        <v>75</v>
      </c>
      <c r="CF24" s="10">
        <v>-0.4650369528140989</v>
      </c>
      <c r="CG24" s="11">
        <v>-0.48067045678411197</v>
      </c>
      <c r="CH24" s="10">
        <v>-0.73715084791183472</v>
      </c>
      <c r="CI24" s="10">
        <v>-0.11495672166347504</v>
      </c>
      <c r="CJ24" s="10">
        <v>0.2396567165851593</v>
      </c>
      <c r="CK24" s="10">
        <v>-0.19808304309844971</v>
      </c>
      <c r="CL24" s="10">
        <v>7.3784164851531386E-4</v>
      </c>
      <c r="CM24" s="11">
        <v>-0.76906281709671021</v>
      </c>
      <c r="CN24" s="11">
        <v>-0.48290598392486572</v>
      </c>
      <c r="CO24" s="11">
        <v>1.3168317079544067</v>
      </c>
      <c r="CP24" s="11">
        <v>-0.75245100259780884</v>
      </c>
      <c r="CQ24" s="11">
        <v>-8.7248325347900391E-2</v>
      </c>
      <c r="CR24" s="3">
        <v>19.040109686488613</v>
      </c>
      <c r="CS24" s="3">
        <v>1.1756114136449742</v>
      </c>
      <c r="CT24" s="3">
        <v>0.87336244541484709</v>
      </c>
      <c r="CU24" s="10">
        <v>-0.16195921088801696</v>
      </c>
      <c r="CV24" s="11">
        <v>-0.15496728420257569</v>
      </c>
      <c r="CW24" s="3">
        <v>0.06</v>
      </c>
      <c r="CX24" s="3">
        <v>112.36779346822506</v>
      </c>
      <c r="CY24" s="3" t="s">
        <v>2636</v>
      </c>
      <c r="CZ24" s="3">
        <v>-0.16195921088801696</v>
      </c>
      <c r="DA24" s="3">
        <v>37.455931156075017</v>
      </c>
      <c r="DB24" s="3" t="s">
        <v>2637</v>
      </c>
      <c r="DC24" s="3">
        <v>-0.15386125034361611</v>
      </c>
      <c r="DD24" s="3">
        <v>18.727965578037509</v>
      </c>
      <c r="DE24" s="3" t="s">
        <v>2638</v>
      </c>
      <c r="DF24" s="3">
        <v>-0.14252410558145492</v>
      </c>
      <c r="DG24" s="3">
        <v>11.236779346822505</v>
      </c>
      <c r="DH24" s="3" t="s">
        <v>2639</v>
      </c>
      <c r="DI24" s="3">
        <v>-0.12956736871041358</v>
      </c>
      <c r="DJ24" s="3">
        <v>5.6183896734112526</v>
      </c>
      <c r="DK24" s="3" t="s">
        <v>2640</v>
      </c>
      <c r="DL24" s="3">
        <v>-0.11337144762161186</v>
      </c>
      <c r="DM24" s="3">
        <v>27943400</v>
      </c>
      <c r="DN24" s="3">
        <v>-0.16195921088801696</v>
      </c>
      <c r="DO24" s="3">
        <v>3139938200</v>
      </c>
      <c r="DP24" s="3">
        <v>1750471000</v>
      </c>
      <c r="DQ24" s="3">
        <v>951</v>
      </c>
      <c r="DR24" s="3">
        <v>-0.30307774192608194</v>
      </c>
      <c r="DS24" s="3">
        <v>-0.32570317258153625</v>
      </c>
      <c r="DT24" s="12">
        <v>-0.75666666666666671</v>
      </c>
      <c r="DU24" s="3">
        <v>-0.66999999999999993</v>
      </c>
      <c r="DV24" s="3">
        <v>-1.4266666666666667</v>
      </c>
      <c r="DW24" s="3">
        <v>-8.4371108343711079</v>
      </c>
      <c r="DX24" s="3">
        <v>0.32174842519685171</v>
      </c>
      <c r="DY24" s="3">
        <v>-8.0619597724085867</v>
      </c>
      <c r="DZ24" s="3">
        <v>3207</v>
      </c>
      <c r="EA24" s="3">
        <v>-8.0230742557521602</v>
      </c>
      <c r="EB24" s="3">
        <v>8</v>
      </c>
      <c r="EC24" s="3">
        <v>5.8214113222643284E-2</v>
      </c>
      <c r="ED24" s="3">
        <v>0.41068613737189363</v>
      </c>
      <c r="EE24" s="13">
        <v>4.1400000000000006E-2</v>
      </c>
      <c r="EF24" s="3">
        <v>2.2899999999999997E-2</v>
      </c>
      <c r="EG24" s="3">
        <v>18.141748425196852</v>
      </c>
      <c r="EH24" s="3" t="s">
        <v>1004</v>
      </c>
      <c r="EI24" s="3">
        <v>0</v>
      </c>
      <c r="EJ24" s="3">
        <v>0</v>
      </c>
      <c r="EK24" s="15">
        <v>45470</v>
      </c>
      <c r="EL24" s="16">
        <v>-0.7</v>
      </c>
      <c r="EM24" s="16">
        <v>-4.9000000000000004</v>
      </c>
      <c r="EN24" s="16">
        <v>-3.09</v>
      </c>
      <c r="EO24" s="16">
        <v>6.69</v>
      </c>
      <c r="EP24" s="16">
        <v>-1.85</v>
      </c>
    </row>
    <row r="25" spans="1:146" ht="168" x14ac:dyDescent="0.25">
      <c r="C25" s="7" t="str">
        <f>"公司的主营业务为智能手机、智能汽车及新领域业务。公司主营业务产品包括光学影像模组、光学镜头和微电子产品等，广泛应用于以智能手机、平板电脑、智能汽车、无人机等为代表的消费电子和智能汽车领域。"&amp;CHAR(10)&amp;Basic_Fundamental_Information_Constructure(F25)&amp;CHAR(10)&amp;Basic_Fundamental_Information_Concatenate("光学光电产品 44.40亿 70.32% 8.89% 0.61%
微电子产品 11.61亿 18.38% 63.82% 16.83%
智能汽车类产品 6.16亿 9.75% 25.84% 12.84%
其他业务收入 9769.68万 1.55% 1.45% 4.54%")</f>
        <v>公司的主营业务为智能手机、智能汽车及新领域业务。公司主营业务产品包括光学影像模组、光学镜头和微电子产品等，广泛应用于以智能手机、平板电脑、智能汽车、无人机等为代表的消费电子和智能汽车领域。
市值249.69277亿, 利润1591.04万; PE55.38; 平均PE-15.37; 平均PEG-.54, PB7.16; ROIC0%; ROE-44.6267%; 股利率0%; 毛利6.1567%; 净利-16.7833%; 上一年度营收增-68.67%, 利润增100.31%; 当季营收增-26.43%, 利润增104.49%; 过往5年营收增-28.55%, 利润增-63.03%
Income profile:
光学光电产品 44.40亿 70.32% 8.89% 0.61%
微电子产品 11.61亿 18.38% 63.82% 16.83%
智能汽车类产品 6.16亿 9.75% 25.84% 12.84%
其他业务收入 9769.68万 1.55% 1.45% 4.54%</v>
      </c>
      <c r="D25" s="3" t="s">
        <v>461</v>
      </c>
      <c r="E25" s="3" t="s">
        <v>462</v>
      </c>
      <c r="F25" s="3">
        <v>7.55</v>
      </c>
      <c r="G25" s="3">
        <v>0.27</v>
      </c>
      <c r="H25" s="3" t="s">
        <v>2641</v>
      </c>
      <c r="I25" s="3">
        <v>24969277000</v>
      </c>
      <c r="J25" s="3">
        <v>55.38</v>
      </c>
      <c r="K25" s="3">
        <v>7.16</v>
      </c>
      <c r="L25" s="3" t="s">
        <v>343</v>
      </c>
      <c r="M25" s="3" t="s">
        <v>1663</v>
      </c>
      <c r="N25" s="3" t="s">
        <v>2642</v>
      </c>
      <c r="O25" s="3" t="s">
        <v>1664</v>
      </c>
      <c r="P25" s="3">
        <v>72.33</v>
      </c>
      <c r="Q25" s="3" t="s">
        <v>1664</v>
      </c>
      <c r="R25" s="3">
        <v>15910403</v>
      </c>
      <c r="S25" s="4">
        <v>1.044</v>
      </c>
      <c r="T25" s="3" t="s">
        <v>2643</v>
      </c>
      <c r="U25" s="3">
        <v>3249739000</v>
      </c>
      <c r="V25" s="3">
        <v>3307189100</v>
      </c>
      <c r="W25" s="3">
        <v>4.72</v>
      </c>
      <c r="X25" s="3">
        <v>0.23</v>
      </c>
      <c r="Y25" s="3">
        <v>0.08</v>
      </c>
      <c r="Z25" s="3" t="s">
        <v>2644</v>
      </c>
      <c r="AA25" s="3" t="s">
        <v>2645</v>
      </c>
      <c r="AB25" s="3" t="s">
        <v>2646</v>
      </c>
      <c r="AC25" s="3" t="s">
        <v>199</v>
      </c>
      <c r="AD25" s="3" t="s">
        <v>4</v>
      </c>
      <c r="AE25" s="3">
        <v>92238393</v>
      </c>
      <c r="AF25" s="3" t="s">
        <v>1667</v>
      </c>
      <c r="AG25" s="3" t="s">
        <v>2647</v>
      </c>
      <c r="AH25" s="3" t="s">
        <v>1668</v>
      </c>
      <c r="AI25" s="3" t="s">
        <v>2648</v>
      </c>
      <c r="AJ25" s="3" t="s">
        <v>1669</v>
      </c>
      <c r="AK25" s="3" t="s">
        <v>76</v>
      </c>
      <c r="AL25" s="3" t="s">
        <v>1670</v>
      </c>
      <c r="AM25" s="3" t="s">
        <v>4</v>
      </c>
      <c r="AN25" s="3" t="s">
        <v>2649</v>
      </c>
      <c r="AO25" s="3" t="s">
        <v>2650</v>
      </c>
      <c r="AP25" s="3" t="s">
        <v>1846</v>
      </c>
      <c r="AQ25" s="3" t="s">
        <v>2651</v>
      </c>
      <c r="AR25" s="3" t="s">
        <v>2652</v>
      </c>
      <c r="AS25" s="3" t="s">
        <v>2653</v>
      </c>
      <c r="AT25" s="3" t="s">
        <v>255</v>
      </c>
      <c r="AU25" s="3" t="s">
        <v>2654</v>
      </c>
      <c r="AV25" s="3" t="s">
        <v>2655</v>
      </c>
      <c r="AW25" s="3" t="s">
        <v>2141</v>
      </c>
      <c r="AX25" s="3" t="s">
        <v>1232</v>
      </c>
      <c r="AY25" s="3" t="s">
        <v>886</v>
      </c>
      <c r="AZ25" s="3" t="s">
        <v>463</v>
      </c>
      <c r="BA25" s="3" t="s">
        <v>465</v>
      </c>
      <c r="BB25" s="3" t="s">
        <v>466</v>
      </c>
      <c r="BC25" s="3" t="s">
        <v>1233</v>
      </c>
      <c r="BD25" s="3" t="s">
        <v>887</v>
      </c>
      <c r="BE25" s="3" t="s">
        <v>464</v>
      </c>
      <c r="BF25" s="3" t="s">
        <v>336</v>
      </c>
      <c r="BG25" s="3" t="s">
        <v>467</v>
      </c>
      <c r="BH25" s="3" t="s">
        <v>1665</v>
      </c>
      <c r="BI25" s="3" t="s">
        <v>2656</v>
      </c>
      <c r="BJ25" s="3" t="s">
        <v>1232</v>
      </c>
      <c r="BK25" s="3" t="s">
        <v>1666</v>
      </c>
      <c r="BL25" s="3" t="s">
        <v>441</v>
      </c>
      <c r="BM25" s="3" t="s">
        <v>1233</v>
      </c>
      <c r="BN25" s="3" t="s">
        <v>4</v>
      </c>
      <c r="BO25" s="3" t="s">
        <v>4</v>
      </c>
      <c r="BP25" s="3" t="s">
        <v>4</v>
      </c>
      <c r="BQ25" s="3">
        <v>-9.61</v>
      </c>
      <c r="BR25" s="3">
        <v>-88.6</v>
      </c>
      <c r="BS25" s="3">
        <v>-35.67</v>
      </c>
      <c r="BT25" s="3" t="s">
        <v>1157</v>
      </c>
      <c r="BU25" s="3" t="s">
        <v>1011</v>
      </c>
      <c r="BV25" s="3">
        <v>10.02</v>
      </c>
      <c r="BW25" s="3">
        <v>-0.1</v>
      </c>
      <c r="BX25" s="3">
        <v>8.5500000000000007</v>
      </c>
      <c r="BY25" s="3">
        <v>0.44</v>
      </c>
      <c r="BZ25" s="3">
        <v>-38.409999999999997</v>
      </c>
      <c r="CA25" s="3">
        <v>-12.38</v>
      </c>
      <c r="CB25" s="3">
        <v>-3.33</v>
      </c>
      <c r="CC25" s="3">
        <v>-6.79</v>
      </c>
      <c r="CD25" s="3" t="s">
        <v>66</v>
      </c>
      <c r="CE25" s="3" t="s">
        <v>2657</v>
      </c>
      <c r="CF25" s="10">
        <v>-0.26429136975455264</v>
      </c>
      <c r="CG25" s="11">
        <v>1.044944641242938</v>
      </c>
      <c r="CH25" s="10">
        <v>-0.68665266036987305</v>
      </c>
      <c r="CI25" s="10">
        <v>-0.35094556212425232</v>
      </c>
      <c r="CJ25" s="10">
        <v>-0.52752840518951416</v>
      </c>
      <c r="CK25" s="10">
        <v>-6.9727197289466858E-2</v>
      </c>
      <c r="CL25" s="10">
        <v>0.20749019086360931</v>
      </c>
      <c r="CM25" s="11">
        <v>1.0030703544616699</v>
      </c>
      <c r="CN25" s="11">
        <v>-0.97409534454345703</v>
      </c>
      <c r="CO25" s="11">
        <v>-0.34961441159248352</v>
      </c>
      <c r="CP25" s="11">
        <v>-4.813725471496582</v>
      </c>
      <c r="CQ25" s="11">
        <v>1.9826589822769165</v>
      </c>
      <c r="CR25" s="3">
        <v>-15.37345146626461</v>
      </c>
      <c r="CS25" s="3">
        <v>-0.53852610150936742</v>
      </c>
      <c r="CT25" s="3">
        <v>0</v>
      </c>
      <c r="CU25" s="10">
        <v>-0.28547272682189939</v>
      </c>
      <c r="CV25" s="11">
        <v>-0.63034117817878721</v>
      </c>
      <c r="CW25" s="3">
        <v>0.06</v>
      </c>
      <c r="CX25" s="3">
        <v>2295.497096238938</v>
      </c>
      <c r="CY25" s="3" t="s">
        <v>2658</v>
      </c>
      <c r="CZ25" s="3">
        <v>-0.28547272682189939</v>
      </c>
      <c r="DA25" s="3">
        <v>765.16569874631273</v>
      </c>
      <c r="DB25" s="3" t="s">
        <v>2659</v>
      </c>
      <c r="DC25" s="3">
        <v>-0.27119909048080443</v>
      </c>
      <c r="DD25" s="3">
        <v>382.58284937315636</v>
      </c>
      <c r="DE25" s="3" t="s">
        <v>2660</v>
      </c>
      <c r="DF25" s="3">
        <v>-0.25121599960327146</v>
      </c>
      <c r="DG25" s="3">
        <v>229.54970962389382</v>
      </c>
      <c r="DH25" s="3" t="s">
        <v>2661</v>
      </c>
      <c r="DI25" s="3">
        <v>-0.22837818145751954</v>
      </c>
      <c r="DJ25" s="3">
        <v>114.77485481194691</v>
      </c>
      <c r="DK25" s="3" t="s">
        <v>2662</v>
      </c>
      <c r="DL25" s="3">
        <v>-0.19983090877532955</v>
      </c>
      <c r="DM25" s="3">
        <v>15910400</v>
      </c>
      <c r="DN25" s="3">
        <v>-0.28547272682189939</v>
      </c>
      <c r="DO25" s="3">
        <v>36522277000</v>
      </c>
      <c r="DP25" s="3">
        <v>-1473870400</v>
      </c>
      <c r="DQ25" s="3">
        <v>957</v>
      </c>
      <c r="DR25" s="3">
        <v>2.1181357067346751E-2</v>
      </c>
      <c r="DS25" s="3">
        <v>1.6752858194217253</v>
      </c>
      <c r="DT25" s="12">
        <v>-0.95666666666666667</v>
      </c>
      <c r="DU25" s="3">
        <v>-0.64166666666666672</v>
      </c>
      <c r="DV25" s="3">
        <v>-1.5983333333333334</v>
      </c>
      <c r="DW25" s="3">
        <v>-8.4904270986745214</v>
      </c>
      <c r="DX25" s="3">
        <v>0.30163337530142315</v>
      </c>
      <c r="DY25" s="3">
        <v>-8.054748032364321</v>
      </c>
      <c r="DZ25" s="3">
        <v>4578</v>
      </c>
      <c r="EA25" s="3">
        <v>-8.0056997951502584</v>
      </c>
      <c r="EB25" s="3">
        <v>8</v>
      </c>
      <c r="EC25" s="3">
        <v>8.6175900857921914E-2</v>
      </c>
      <c r="ED25" s="3">
        <v>0.77195464873780573</v>
      </c>
      <c r="EE25" s="13">
        <v>5.0135100000000001</v>
      </c>
      <c r="EF25" s="3">
        <v>5.0382100000000003</v>
      </c>
      <c r="EG25" s="3">
        <v>19.111633375301423</v>
      </c>
      <c r="EH25" s="3" t="s">
        <v>1575</v>
      </c>
      <c r="EI25" s="3">
        <v>0</v>
      </c>
      <c r="EJ25" s="3">
        <v>0</v>
      </c>
      <c r="EK25" s="15">
        <v>45470</v>
      </c>
      <c r="EL25" s="16">
        <v>0.51</v>
      </c>
      <c r="EM25" s="16">
        <v>-4.4000000000000004</v>
      </c>
      <c r="EN25" s="16">
        <v>-3.81</v>
      </c>
      <c r="EO25" s="16">
        <v>5.05</v>
      </c>
      <c r="EP25" s="16">
        <v>-2.4700000000000002</v>
      </c>
    </row>
    <row r="26" spans="1:146" ht="96" x14ac:dyDescent="0.25">
      <c r="C26" s="7" t="str">
        <f>""&amp;CHAR(10)&amp;Basic_Fundamental_Information_Constructure(F26)&amp;CHAR(10)&amp;Basic_Fundamental_Information_Concatenate("")</f>
        <v xml:space="preserve">
市值36.812245亿, 利润60.73万; PE327; 平均PE83.5; 平均PEG3.42, PB2.64; ROIC1.305%; ROE1.46%; 股利率1.0619%; 毛利35.0667%; 净利2.39%; 上一年度营收增-80.52%, 利润增-97.11%; 当季营收增-44.1%, 利润增-96.68%; 过往5年营收增-24.41%, 利润增-39.19%
Income profile:
</v>
      </c>
      <c r="D26" s="3" t="s">
        <v>468</v>
      </c>
      <c r="E26" s="3" t="s">
        <v>469</v>
      </c>
      <c r="F26" s="3">
        <v>5.65</v>
      </c>
      <c r="G26" s="3">
        <v>0.89</v>
      </c>
      <c r="H26" s="3" t="s">
        <v>2663</v>
      </c>
      <c r="I26" s="3">
        <v>3681224500</v>
      </c>
      <c r="J26" s="3">
        <v>327</v>
      </c>
      <c r="K26" s="3">
        <v>2.64</v>
      </c>
      <c r="L26" s="3" t="s">
        <v>343</v>
      </c>
      <c r="M26" s="3" t="s">
        <v>1371</v>
      </c>
      <c r="N26" s="3" t="s">
        <v>679</v>
      </c>
      <c r="O26" s="3" t="s">
        <v>5</v>
      </c>
      <c r="P26" s="3">
        <v>5.22</v>
      </c>
      <c r="Q26" s="3" t="s">
        <v>5</v>
      </c>
      <c r="R26" s="3">
        <v>607308</v>
      </c>
      <c r="S26" s="5">
        <v>-0.80579999999999996</v>
      </c>
      <c r="T26" s="3" t="s">
        <v>2664</v>
      </c>
      <c r="U26" s="3">
        <v>515222980</v>
      </c>
      <c r="V26" s="3">
        <v>651544160</v>
      </c>
      <c r="W26" s="3">
        <v>1.4</v>
      </c>
      <c r="X26" s="3">
        <v>0.09</v>
      </c>
      <c r="Y26" s="3">
        <v>-0.05</v>
      </c>
      <c r="Z26" s="3" t="s">
        <v>1003</v>
      </c>
      <c r="AA26" s="3" t="s">
        <v>24</v>
      </c>
      <c r="AB26" s="3" t="s">
        <v>2665</v>
      </c>
      <c r="AC26" s="3" t="s">
        <v>2666</v>
      </c>
      <c r="AD26" s="3" t="s">
        <v>4</v>
      </c>
      <c r="AE26" s="3">
        <v>-1502895</v>
      </c>
      <c r="AF26" s="3" t="s">
        <v>1673</v>
      </c>
      <c r="AG26" s="3">
        <v>9461.7900000000009</v>
      </c>
      <c r="AH26" s="3" t="s">
        <v>1674</v>
      </c>
      <c r="AI26" s="3" t="s">
        <v>1039</v>
      </c>
      <c r="AJ26" s="3" t="s">
        <v>1675</v>
      </c>
      <c r="AK26" s="3" t="s">
        <v>2667</v>
      </c>
      <c r="AL26" s="3" t="s">
        <v>1676</v>
      </c>
      <c r="AM26" s="3" t="s">
        <v>4</v>
      </c>
      <c r="AN26" s="3">
        <v>0</v>
      </c>
      <c r="AO26" s="3" t="s">
        <v>2668</v>
      </c>
      <c r="AP26" s="3" t="s">
        <v>2669</v>
      </c>
      <c r="AQ26" s="3" t="s">
        <v>1473</v>
      </c>
      <c r="AR26" s="3" t="s">
        <v>4</v>
      </c>
      <c r="AS26" s="3" t="s">
        <v>2670</v>
      </c>
      <c r="AT26" s="3" t="s">
        <v>4</v>
      </c>
      <c r="AU26" s="3" t="s">
        <v>2671</v>
      </c>
      <c r="AV26" s="3" t="s">
        <v>2672</v>
      </c>
      <c r="AW26" s="3" t="s">
        <v>2673</v>
      </c>
      <c r="AX26" s="3" t="s">
        <v>698</v>
      </c>
      <c r="AY26" s="3" t="s">
        <v>283</v>
      </c>
      <c r="AZ26" s="3" t="s">
        <v>470</v>
      </c>
      <c r="BA26" s="3" t="s">
        <v>249</v>
      </c>
      <c r="BB26" s="3" t="s">
        <v>299</v>
      </c>
      <c r="BC26" s="3" t="s">
        <v>1677</v>
      </c>
      <c r="BD26" s="3" t="s">
        <v>888</v>
      </c>
      <c r="BE26" s="3" t="s">
        <v>152</v>
      </c>
      <c r="BF26" s="3" t="s">
        <v>162</v>
      </c>
      <c r="BG26" s="3" t="s">
        <v>5</v>
      </c>
      <c r="BH26" s="3" t="s">
        <v>1671</v>
      </c>
      <c r="BI26" s="3" t="s">
        <v>224</v>
      </c>
      <c r="BJ26" s="3" t="s">
        <v>698</v>
      </c>
      <c r="BK26" s="3" t="s">
        <v>1672</v>
      </c>
      <c r="BL26" s="3" t="s">
        <v>2674</v>
      </c>
      <c r="BM26" s="3" t="s">
        <v>1677</v>
      </c>
      <c r="BN26" s="3" t="s">
        <v>4</v>
      </c>
      <c r="BO26" s="3">
        <v>0.56999999999999995</v>
      </c>
      <c r="BP26" s="3">
        <v>2.04</v>
      </c>
      <c r="BQ26" s="3">
        <v>0.4</v>
      </c>
      <c r="BR26" s="3">
        <v>1.52</v>
      </c>
      <c r="BS26" s="3">
        <v>2.46</v>
      </c>
      <c r="BT26" s="3" t="s">
        <v>1187</v>
      </c>
      <c r="BU26" s="3" t="s">
        <v>977</v>
      </c>
      <c r="BV26" s="3">
        <v>36.44</v>
      </c>
      <c r="BW26" s="3">
        <v>36.22</v>
      </c>
      <c r="BX26" s="3">
        <v>32.54</v>
      </c>
      <c r="BY26" s="3">
        <v>1.69</v>
      </c>
      <c r="BZ26" s="3">
        <v>2.12</v>
      </c>
      <c r="CA26" s="3">
        <v>3.36</v>
      </c>
      <c r="CB26" s="3">
        <v>5.0199999999999996</v>
      </c>
      <c r="CC26" s="3">
        <v>0.53</v>
      </c>
      <c r="CD26" s="3" t="s">
        <v>6</v>
      </c>
      <c r="CE26" s="3" t="s">
        <v>2675</v>
      </c>
      <c r="CF26" s="10">
        <v>-0.44099378881987578</v>
      </c>
      <c r="CG26" s="11">
        <v>-0.96681775961359839</v>
      </c>
      <c r="CH26" s="10">
        <v>-0.80519479513168335</v>
      </c>
      <c r="CI26" s="10">
        <v>-4.3478261679410934E-2</v>
      </c>
      <c r="CJ26" s="10">
        <v>0.17804877460002899</v>
      </c>
      <c r="CK26" s="10">
        <v>-0.34136542677879333</v>
      </c>
      <c r="CL26" s="10">
        <v>-0.20851875841617584</v>
      </c>
      <c r="CM26" s="11">
        <v>-0.97108358144760132</v>
      </c>
      <c r="CN26" s="11">
        <v>-0.38066676259040833</v>
      </c>
      <c r="CO26" s="11">
        <v>1.2216372489929199</v>
      </c>
      <c r="CP26" s="11">
        <v>-1.8406593799591064</v>
      </c>
      <c r="CQ26" s="11">
        <v>1.1111111380159855E-2</v>
      </c>
      <c r="CR26" s="3">
        <v>83.499818728056937</v>
      </c>
      <c r="CS26" s="3">
        <v>3.4206980515883023</v>
      </c>
      <c r="CT26" s="3">
        <v>1.0619469026548671</v>
      </c>
      <c r="CU26" s="10">
        <v>-0.24410169348120689</v>
      </c>
      <c r="CV26" s="11">
        <v>-0.39193227272480724</v>
      </c>
      <c r="CW26" s="3">
        <v>0.06</v>
      </c>
      <c r="CX26" s="3">
        <v>4744.318294088589</v>
      </c>
      <c r="CY26" s="3" t="s">
        <v>2676</v>
      </c>
      <c r="CZ26" s="3">
        <v>-0.24410169348120689</v>
      </c>
      <c r="DA26" s="3">
        <v>1581.4394313628629</v>
      </c>
      <c r="DB26" s="3" t="s">
        <v>2677</v>
      </c>
      <c r="DC26" s="3">
        <v>-0.23189660880714652</v>
      </c>
      <c r="DD26" s="3">
        <v>790.71971568143147</v>
      </c>
      <c r="DE26" s="3" t="s">
        <v>2678</v>
      </c>
      <c r="DF26" s="3">
        <v>-0.21480949026346205</v>
      </c>
      <c r="DG26" s="3">
        <v>474.4318294088589</v>
      </c>
      <c r="DH26" s="3" t="s">
        <v>2679</v>
      </c>
      <c r="DI26" s="3">
        <v>-0.19528135478496553</v>
      </c>
      <c r="DJ26" s="3">
        <v>237.21591470442945</v>
      </c>
      <c r="DK26" s="3" t="s">
        <v>2680</v>
      </c>
      <c r="DL26" s="3">
        <v>-0.17087118543684482</v>
      </c>
      <c r="DM26" s="3">
        <v>607300</v>
      </c>
      <c r="DN26" s="3">
        <v>-0.24410169348120689</v>
      </c>
      <c r="DO26" s="3">
        <v>2881224500</v>
      </c>
      <c r="DP26" s="3">
        <v>1082548200</v>
      </c>
      <c r="DQ26" s="3">
        <v>1080</v>
      </c>
      <c r="DR26" s="3">
        <v>-0.19689209533866889</v>
      </c>
      <c r="DS26" s="3">
        <v>-0.57488548688879115</v>
      </c>
      <c r="DT26" s="12">
        <v>-0.85666666666666658</v>
      </c>
      <c r="DU26" s="3">
        <v>-1.3066666666666664</v>
      </c>
      <c r="DV26" s="3">
        <v>-2.1633333333333331</v>
      </c>
      <c r="DW26" s="3">
        <v>4.1055776892430282</v>
      </c>
      <c r="DX26" s="3">
        <v>0.43507658643326025</v>
      </c>
      <c r="DY26" s="3">
        <v>4.0258746196831927</v>
      </c>
      <c r="DZ26" s="3">
        <v>4277</v>
      </c>
      <c r="EA26" s="3">
        <v>4.0042179174552057</v>
      </c>
      <c r="EB26" s="3">
        <v>4</v>
      </c>
      <c r="EC26" s="3">
        <v>0.17189932298679497</v>
      </c>
      <c r="ED26" s="3">
        <v>0.70141063040147578</v>
      </c>
      <c r="EE26" s="13">
        <v>2.0725099999999999</v>
      </c>
      <c r="EF26" s="3">
        <v>2.08561</v>
      </c>
      <c r="EG26" s="3">
        <v>19.24507658643326</v>
      </c>
      <c r="EH26" s="3" t="s">
        <v>1831</v>
      </c>
      <c r="EI26" s="3">
        <v>0</v>
      </c>
      <c r="EJ26" s="3">
        <v>0</v>
      </c>
      <c r="EK26" s="15">
        <v>45470</v>
      </c>
      <c r="EL26" s="16">
        <v>-0.18</v>
      </c>
      <c r="EM26" s="16">
        <v>-5.44</v>
      </c>
      <c r="EN26" s="16">
        <v>-1.34</v>
      </c>
      <c r="EO26" s="16">
        <v>4.09</v>
      </c>
      <c r="EP26" s="16">
        <v>-1.31</v>
      </c>
    </row>
    <row r="27" spans="1:146" ht="96" x14ac:dyDescent="0.25">
      <c r="A27" s="3"/>
      <c r="B27" s="3"/>
      <c r="C27" s="7" t="str">
        <f>""&amp;CHAR(10)&amp;Basic_Fundamental_Information_Constructure(F27)&amp;CHAR(10)&amp;Basic_Fundamental_Information_Concatenate("")</f>
        <v xml:space="preserve">
市值21.979894亿, 利润-563.82万; PE; 平均PE-5.49; 平均PEG-.19, PB.88; ROIC1.475%; ROE-7.8333%; 股利率0%; 毛利11.25%; 净利-30.8067%; 上一年度营收增-79.72%, 利润增-112.98%; 当季营收增-38.5%, 利润增-106.5%; 过往5年营收增-28.85%, 利润增-366.66%
Income profile:
</v>
      </c>
      <c r="D27" s="5" t="s">
        <v>1234</v>
      </c>
      <c r="E27" s="3" t="s">
        <v>1235</v>
      </c>
      <c r="F27" s="3">
        <v>1.53</v>
      </c>
      <c r="G27" s="3">
        <v>2.68</v>
      </c>
      <c r="H27" s="3" t="s">
        <v>2681</v>
      </c>
      <c r="I27" s="3">
        <v>2197989400</v>
      </c>
      <c r="K27" s="3">
        <v>0.88</v>
      </c>
      <c r="L27" s="3" t="s">
        <v>343</v>
      </c>
      <c r="M27" s="3" t="s">
        <v>1363</v>
      </c>
      <c r="N27" s="3" t="s">
        <v>2682</v>
      </c>
      <c r="O27" s="3" t="s">
        <v>1009</v>
      </c>
      <c r="P27" s="5">
        <v>29.61</v>
      </c>
      <c r="Q27" s="3" t="s">
        <v>1009</v>
      </c>
      <c r="R27" s="3">
        <v>-5638169</v>
      </c>
      <c r="S27" s="3">
        <v>-1.0429999999999999</v>
      </c>
      <c r="T27" s="3" t="s">
        <v>2683</v>
      </c>
      <c r="U27" s="3">
        <v>1347995800</v>
      </c>
      <c r="V27" s="3">
        <v>1436594300</v>
      </c>
      <c r="W27" s="3">
        <v>1.1100000000000001</v>
      </c>
      <c r="X27" s="3">
        <v>0.04</v>
      </c>
      <c r="Y27" s="3">
        <v>-4.8899999999999997</v>
      </c>
      <c r="Z27" s="3" t="s">
        <v>56</v>
      </c>
      <c r="AA27" s="3" t="s">
        <v>112</v>
      </c>
      <c r="AB27" s="3" t="s">
        <v>2684</v>
      </c>
      <c r="AC27" s="3" t="s">
        <v>2685</v>
      </c>
      <c r="AD27" s="3" t="s">
        <v>4</v>
      </c>
      <c r="AE27" s="3">
        <v>-2735516</v>
      </c>
      <c r="AF27" s="3" t="s">
        <v>1679</v>
      </c>
      <c r="AG27" s="3" t="s">
        <v>2686</v>
      </c>
      <c r="AH27" s="3" t="s">
        <v>1680</v>
      </c>
      <c r="AI27" s="3" t="s">
        <v>138</v>
      </c>
      <c r="AJ27" s="3" t="s">
        <v>1681</v>
      </c>
      <c r="AK27" s="3" t="s">
        <v>2687</v>
      </c>
      <c r="AL27" s="3" t="s">
        <v>1682</v>
      </c>
      <c r="AM27" s="3" t="s">
        <v>4</v>
      </c>
      <c r="AN27" s="3" t="s">
        <v>26</v>
      </c>
      <c r="AO27" s="3" t="s">
        <v>4</v>
      </c>
      <c r="AP27" s="3" t="s">
        <v>4</v>
      </c>
      <c r="AQ27" s="3" t="s">
        <v>2688</v>
      </c>
      <c r="AR27" s="3" t="s">
        <v>4</v>
      </c>
      <c r="AS27" s="3" t="s">
        <v>95</v>
      </c>
      <c r="AT27" s="3" t="s">
        <v>4</v>
      </c>
      <c r="AU27" s="3" t="s">
        <v>2689</v>
      </c>
      <c r="AV27" s="3" t="s">
        <v>2690</v>
      </c>
      <c r="AW27" s="3" t="s">
        <v>2691</v>
      </c>
      <c r="AX27" s="3" t="s">
        <v>1033</v>
      </c>
      <c r="AY27" s="3" t="s">
        <v>964</v>
      </c>
      <c r="AZ27" s="3" t="s">
        <v>1237</v>
      </c>
      <c r="BA27" s="3" t="s">
        <v>1238</v>
      </c>
      <c r="BB27" s="3" t="s">
        <v>247</v>
      </c>
      <c r="BC27" s="3" t="s">
        <v>1236</v>
      </c>
      <c r="BD27" s="3" t="s">
        <v>1239</v>
      </c>
      <c r="BE27" s="3" t="s">
        <v>1240</v>
      </c>
      <c r="BF27" s="3" t="s">
        <v>1241</v>
      </c>
      <c r="BG27" s="3" t="s">
        <v>1242</v>
      </c>
      <c r="BH27" s="3" t="s">
        <v>1605</v>
      </c>
      <c r="BI27" s="3" t="s">
        <v>187</v>
      </c>
      <c r="BJ27" s="3" t="s">
        <v>1033</v>
      </c>
      <c r="BK27" s="3" t="s">
        <v>1678</v>
      </c>
      <c r="BL27" s="3" t="s">
        <v>2692</v>
      </c>
      <c r="BM27" s="3" t="s">
        <v>1236</v>
      </c>
      <c r="BN27" s="3">
        <v>1.64</v>
      </c>
      <c r="BO27" s="3">
        <v>1.31</v>
      </c>
      <c r="BP27" s="3" t="s">
        <v>4</v>
      </c>
      <c r="BQ27" s="3">
        <v>2.21</v>
      </c>
      <c r="BR27" s="3">
        <v>1.58</v>
      </c>
      <c r="BS27" s="3">
        <v>-27.29</v>
      </c>
      <c r="BT27" s="3" t="s">
        <v>1157</v>
      </c>
      <c r="BU27" s="3" t="s">
        <v>977</v>
      </c>
      <c r="BV27" s="3">
        <v>6.11</v>
      </c>
      <c r="BW27" s="3">
        <v>15.65</v>
      </c>
      <c r="BX27" s="3">
        <v>11.99</v>
      </c>
      <c r="BY27" s="3">
        <v>-17.95</v>
      </c>
      <c r="BZ27" s="3">
        <v>7.65</v>
      </c>
      <c r="CA27" s="3">
        <v>-82.12</v>
      </c>
      <c r="CB27" s="3">
        <v>2.68</v>
      </c>
      <c r="CC27" s="10">
        <v>-16.39</v>
      </c>
      <c r="CD27" s="11" t="s">
        <v>2693</v>
      </c>
      <c r="CE27" s="10" t="s">
        <v>1787</v>
      </c>
      <c r="CF27" s="10">
        <v>-0.38502673796791453</v>
      </c>
      <c r="CG27" s="10">
        <v>-1.0650087398275556</v>
      </c>
      <c r="CH27" s="10">
        <v>-0.79717814922332764</v>
      </c>
      <c r="CI27" s="10">
        <v>-0.46000000834465027</v>
      </c>
      <c r="CJ27" s="11">
        <v>5.5276382714509964E-2</v>
      </c>
      <c r="CK27" s="11">
        <v>-0.20590578019618988</v>
      </c>
      <c r="CL27" s="11">
        <v>-3.4668769687414169E-2</v>
      </c>
      <c r="CM27" s="11">
        <v>-1.1297847032546997</v>
      </c>
      <c r="CN27" s="11">
        <v>1.050397515296936</v>
      </c>
      <c r="CO27" s="3">
        <v>-20.075902938842773</v>
      </c>
      <c r="CP27" s="3">
        <v>1.1211471557617187</v>
      </c>
      <c r="CQ27" s="3">
        <v>0.70136106014251709</v>
      </c>
      <c r="CR27" s="10">
        <v>-5.4926674950966419</v>
      </c>
      <c r="CS27" s="11">
        <v>-0.19039021302820414</v>
      </c>
      <c r="CT27" s="3">
        <v>0</v>
      </c>
      <c r="CU27" s="3">
        <v>-0.2884952649474144</v>
      </c>
      <c r="CV27" s="3">
        <v>-3.6665563821792602</v>
      </c>
      <c r="CW27" s="3">
        <v>0.06</v>
      </c>
      <c r="CX27" s="3" t="s">
        <v>2694</v>
      </c>
      <c r="CY27" s="3" t="s">
        <v>1005</v>
      </c>
      <c r="CZ27" s="3">
        <v>-0.2884952649474144</v>
      </c>
      <c r="DA27" s="3" t="s">
        <v>2694</v>
      </c>
      <c r="DB27" s="3" t="s">
        <v>1006</v>
      </c>
      <c r="DC27" s="3">
        <v>-0.27407050170004366</v>
      </c>
      <c r="DD27" s="3" t="s">
        <v>2694</v>
      </c>
      <c r="DE27" s="3" t="s">
        <v>1006</v>
      </c>
      <c r="DF27" s="3">
        <v>-0.25387583315372469</v>
      </c>
      <c r="DG27" s="3" t="s">
        <v>2694</v>
      </c>
      <c r="DH27" s="3" t="s">
        <v>1006</v>
      </c>
      <c r="DI27" s="3">
        <v>-0.23079621195793154</v>
      </c>
      <c r="DJ27" s="3" t="s">
        <v>2694</v>
      </c>
      <c r="DK27" s="3" t="s">
        <v>1006</v>
      </c>
      <c r="DL27" s="3">
        <v>-0.20194668546319006</v>
      </c>
      <c r="DM27" s="3">
        <v>-5638200.0000000009</v>
      </c>
      <c r="DN27" s="3">
        <v>-0.2884952649474144</v>
      </c>
      <c r="DO27" s="3">
        <v>-42010600</v>
      </c>
      <c r="DP27" s="3">
        <v>1345085600</v>
      </c>
      <c r="DQ27" s="12">
        <v>1128</v>
      </c>
      <c r="DR27" s="3">
        <v>-9.6531473020500136E-2</v>
      </c>
      <c r="DS27" s="3">
        <v>2.6015476423517043</v>
      </c>
      <c r="DT27" s="3">
        <v>-1.04</v>
      </c>
      <c r="DU27" s="3">
        <v>-2.0150000000000001</v>
      </c>
      <c r="DV27" s="3">
        <v>-3.0550000000000002</v>
      </c>
      <c r="DW27" s="3">
        <v>6.1405348715259569</v>
      </c>
      <c r="DX27" s="3">
        <v>0.39438499999999976</v>
      </c>
      <c r="DY27" s="3">
        <v>6.0202911274252751</v>
      </c>
      <c r="DZ27" s="3">
        <v>4869</v>
      </c>
      <c r="EA27" s="3">
        <v>6.0009569788081194</v>
      </c>
      <c r="EB27" s="13">
        <v>6</v>
      </c>
      <c r="EC27" s="13">
        <v>4.0202025025436898E-2</v>
      </c>
      <c r="ED27" s="3">
        <v>0.27843629896067384</v>
      </c>
      <c r="EE27" s="3">
        <v>-8.0637000000000008</v>
      </c>
      <c r="EF27" s="3">
        <v>-8.0319000000000003</v>
      </c>
      <c r="EG27" s="3">
        <v>25.144385</v>
      </c>
      <c r="EH27" s="15" t="s">
        <v>2695</v>
      </c>
      <c r="EI27" s="16">
        <v>0</v>
      </c>
      <c r="EJ27" s="16">
        <v>0</v>
      </c>
      <c r="EK27" s="16">
        <v>45470</v>
      </c>
      <c r="EL27" s="16">
        <v>-0.65</v>
      </c>
      <c r="EM27" s="16">
        <v>-4.6100000000000003</v>
      </c>
      <c r="EN27" s="16">
        <v>6.9</v>
      </c>
      <c r="EO27" s="16">
        <v>1.29</v>
      </c>
      <c r="EP27" s="16">
        <v>-3.18</v>
      </c>
    </row>
    <row r="28" spans="1:146" ht="96" x14ac:dyDescent="0.25">
      <c r="C28" s="7" t="str">
        <f>""&amp;CHAR(10)&amp;Basic_Fundamental_Information_Constructure(F28)&amp;CHAR(10)&amp;Basic_Fundamental_Information_Concatenate("")</f>
        <v xml:space="preserve">
市值86.38992亿, 利润1162.14万; PE125.8; 平均PE-34.13; 平均PEG-1.82, PB5.83; ROIC2.56%; ROE-8.9033%; 股利率0%; 毛利10.9967%; 净利-4.2467%; 上一年度营收增-75.56%, 利润增106.8%; 当季营收增-58.06%, 利润增271.29%; 过往5年营收增-18.74%, 利润增-53.84%
Income profile:
</v>
      </c>
      <c r="D28" s="3" t="s">
        <v>471</v>
      </c>
      <c r="E28" s="3" t="s">
        <v>472</v>
      </c>
      <c r="F28" s="3">
        <v>10.220000000000001</v>
      </c>
      <c r="G28" s="3">
        <v>-1.45</v>
      </c>
      <c r="H28" s="3" t="s">
        <v>2696</v>
      </c>
      <c r="I28" s="3">
        <v>8638992000</v>
      </c>
      <c r="J28" s="3">
        <v>125.8</v>
      </c>
      <c r="K28" s="3">
        <v>5.83</v>
      </c>
      <c r="L28" s="3" t="s">
        <v>343</v>
      </c>
      <c r="M28" s="3" t="s">
        <v>1684</v>
      </c>
      <c r="N28" s="3" t="s">
        <v>2697</v>
      </c>
      <c r="O28" s="3" t="s">
        <v>1604</v>
      </c>
      <c r="P28" s="3">
        <v>-2.04</v>
      </c>
      <c r="Q28" s="3" t="s">
        <v>1604</v>
      </c>
      <c r="R28" s="3">
        <v>11621421</v>
      </c>
      <c r="S28" s="5">
        <v>1.984</v>
      </c>
      <c r="T28" s="3" t="s">
        <v>2698</v>
      </c>
      <c r="U28" s="3">
        <v>795090360</v>
      </c>
      <c r="V28" s="3">
        <v>845302540</v>
      </c>
      <c r="W28" s="3">
        <v>2.73</v>
      </c>
      <c r="X28" s="3">
        <v>0.22</v>
      </c>
      <c r="Y28" s="3">
        <v>0.6</v>
      </c>
      <c r="Z28" s="3" t="s">
        <v>698</v>
      </c>
      <c r="AA28" s="3" t="s">
        <v>1989</v>
      </c>
      <c r="AB28" s="3" t="s">
        <v>2699</v>
      </c>
      <c r="AC28" s="3" t="s">
        <v>2700</v>
      </c>
      <c r="AD28" s="3" t="s">
        <v>4</v>
      </c>
      <c r="AE28" s="3">
        <v>14160552</v>
      </c>
      <c r="AF28" s="3" t="s">
        <v>1687</v>
      </c>
      <c r="AG28" s="3" t="s">
        <v>2701</v>
      </c>
      <c r="AH28" s="3" t="s">
        <v>1688</v>
      </c>
      <c r="AI28" s="3" t="s">
        <v>1220</v>
      </c>
      <c r="AJ28" s="3" t="s">
        <v>1689</v>
      </c>
      <c r="AK28" s="3" t="s">
        <v>97</v>
      </c>
      <c r="AL28" s="3" t="s">
        <v>1690</v>
      </c>
      <c r="AM28" s="3" t="s">
        <v>4</v>
      </c>
      <c r="AN28" s="3" t="s">
        <v>1691</v>
      </c>
      <c r="AO28" s="3" t="s">
        <v>2702</v>
      </c>
      <c r="AP28" s="3" t="s">
        <v>273</v>
      </c>
      <c r="AQ28" s="3" t="s">
        <v>648</v>
      </c>
      <c r="AR28" s="3" t="s">
        <v>4</v>
      </c>
      <c r="AS28" s="3" t="s">
        <v>2703</v>
      </c>
      <c r="AT28" s="3" t="s">
        <v>2704</v>
      </c>
      <c r="AU28" s="3" t="s">
        <v>2705</v>
      </c>
      <c r="AV28" s="3" t="s">
        <v>2706</v>
      </c>
      <c r="AW28" s="3" t="s">
        <v>2707</v>
      </c>
      <c r="AX28" s="3" t="s">
        <v>1243</v>
      </c>
      <c r="AY28" s="3" t="s">
        <v>889</v>
      </c>
      <c r="AZ28" s="3" t="s">
        <v>473</v>
      </c>
      <c r="BA28" s="3" t="s">
        <v>475</v>
      </c>
      <c r="BB28" s="3" t="s">
        <v>476</v>
      </c>
      <c r="BC28" s="3" t="s">
        <v>1244</v>
      </c>
      <c r="BD28" s="3" t="s">
        <v>890</v>
      </c>
      <c r="BE28" s="3" t="s">
        <v>474</v>
      </c>
      <c r="BF28" s="3" t="s">
        <v>477</v>
      </c>
      <c r="BG28" s="3" t="s">
        <v>478</v>
      </c>
      <c r="BH28" s="3" t="s">
        <v>1685</v>
      </c>
      <c r="BI28" s="3" t="s">
        <v>2708</v>
      </c>
      <c r="BJ28" s="3" t="s">
        <v>1243</v>
      </c>
      <c r="BK28" s="3" t="s">
        <v>1686</v>
      </c>
      <c r="BL28" s="3" t="s">
        <v>2709</v>
      </c>
      <c r="BM28" s="3" t="s">
        <v>1244</v>
      </c>
      <c r="BN28" s="3">
        <v>2.56</v>
      </c>
      <c r="BO28" s="3" t="s">
        <v>4</v>
      </c>
      <c r="BP28" s="3" t="s">
        <v>4</v>
      </c>
      <c r="BQ28" s="3">
        <v>4.32</v>
      </c>
      <c r="BR28" s="3">
        <v>-10.86</v>
      </c>
      <c r="BS28" s="3">
        <v>-20.170000000000002</v>
      </c>
      <c r="BT28" s="3" t="s">
        <v>1157</v>
      </c>
      <c r="BU28" s="3" t="s">
        <v>977</v>
      </c>
      <c r="BV28" s="3">
        <v>9.64</v>
      </c>
      <c r="BW28" s="3">
        <v>9.15</v>
      </c>
      <c r="BX28" s="3">
        <v>14.2</v>
      </c>
      <c r="BY28" s="3">
        <v>0.56999999999999995</v>
      </c>
      <c r="BZ28" s="3">
        <v>-5.31</v>
      </c>
      <c r="CA28" s="3">
        <v>-8</v>
      </c>
      <c r="CB28" s="3">
        <v>-5.81</v>
      </c>
      <c r="CC28" s="3">
        <v>11.21</v>
      </c>
      <c r="CD28" s="3" t="s">
        <v>1310</v>
      </c>
      <c r="CE28" s="3" t="s">
        <v>2710</v>
      </c>
      <c r="CF28" s="10">
        <v>-0.58058608058608063</v>
      </c>
      <c r="CG28" s="11">
        <v>2.7128864946128788</v>
      </c>
      <c r="CH28" s="10">
        <v>-0.75560301542282104</v>
      </c>
      <c r="CI28" s="10">
        <v>-0.15030601620674133</v>
      </c>
      <c r="CJ28" s="10">
        <v>6.0336492955684662E-2</v>
      </c>
      <c r="CK28" s="10">
        <v>-4.7846888191998005E-3</v>
      </c>
      <c r="CL28" s="10">
        <v>-8.6738027632236481E-2</v>
      </c>
      <c r="CM28" s="11">
        <v>1.0679614543914795</v>
      </c>
      <c r="CN28" s="11">
        <v>0.54032260179519653</v>
      </c>
      <c r="CO28" s="11">
        <v>-5.5921669006347656</v>
      </c>
      <c r="CP28" s="11">
        <v>0.23389992117881775</v>
      </c>
      <c r="CQ28" s="11">
        <v>1.0578938722610474</v>
      </c>
      <c r="CR28" s="3">
        <v>-34.130036520898031</v>
      </c>
      <c r="CS28" s="3">
        <v>-1.821054814557457</v>
      </c>
      <c r="CT28" s="3">
        <v>0</v>
      </c>
      <c r="CU28" s="10">
        <v>-0.18741905102506279</v>
      </c>
      <c r="CV28" s="11">
        <v>-0.53841781020164492</v>
      </c>
      <c r="CW28" s="3">
        <v>0.06</v>
      </c>
      <c r="CX28" s="3">
        <v>825.63133529523122</v>
      </c>
      <c r="CY28" s="3" t="s">
        <v>2711</v>
      </c>
      <c r="CZ28" s="3">
        <v>-0.18741905102506279</v>
      </c>
      <c r="DA28" s="3">
        <v>275.21044509841039</v>
      </c>
      <c r="DB28" s="3" t="s">
        <v>2712</v>
      </c>
      <c r="DC28" s="3">
        <v>-0.17804809847380965</v>
      </c>
      <c r="DD28" s="3">
        <v>137.60522254920519</v>
      </c>
      <c r="DE28" s="3" t="s">
        <v>2713</v>
      </c>
      <c r="DF28" s="3">
        <v>-0.16492876490205524</v>
      </c>
      <c r="DG28" s="3">
        <v>82.563133529523128</v>
      </c>
      <c r="DH28" s="3" t="s">
        <v>2714</v>
      </c>
      <c r="DI28" s="3">
        <v>-0.14993524082005025</v>
      </c>
      <c r="DJ28" s="3">
        <v>41.281566764761564</v>
      </c>
      <c r="DK28" s="3" t="s">
        <v>2715</v>
      </c>
      <c r="DL28" s="3">
        <v>-0.13119333571754394</v>
      </c>
      <c r="DM28" s="3">
        <v>11621400.000000002</v>
      </c>
      <c r="DN28" s="3">
        <v>-0.18741905102506279</v>
      </c>
      <c r="DO28" s="3">
        <v>9594992000</v>
      </c>
      <c r="DP28" s="3">
        <v>587503800</v>
      </c>
      <c r="DQ28" s="3">
        <v>1144</v>
      </c>
      <c r="DR28" s="3">
        <v>-0.39316702956101784</v>
      </c>
      <c r="DS28" s="3">
        <v>3.2513043048145236</v>
      </c>
      <c r="DT28" s="12">
        <v>-0.92333333333333334</v>
      </c>
      <c r="DU28" s="3">
        <v>0.29999999999999993</v>
      </c>
      <c r="DV28" s="3">
        <v>-0.62333333333333341</v>
      </c>
      <c r="DW28" s="3">
        <v>-6.3413631022326671</v>
      </c>
      <c r="DX28" s="3">
        <v>0.27456265252325479</v>
      </c>
      <c r="DY28" s="3">
        <v>-6.0322802004206881</v>
      </c>
      <c r="DZ28" s="3">
        <v>3674</v>
      </c>
      <c r="EA28" s="3">
        <v>-6.0090713048540332</v>
      </c>
      <c r="EB28" s="3">
        <v>6</v>
      </c>
      <c r="EC28" s="3">
        <v>0.28392201447779869</v>
      </c>
      <c r="ED28" s="3">
        <v>3.0024753031027211</v>
      </c>
      <c r="EE28" s="13">
        <v>3.0259100000000001</v>
      </c>
      <c r="EF28" s="3">
        <v>3.05301</v>
      </c>
      <c r="EG28" s="3">
        <v>18.094562652523255</v>
      </c>
      <c r="EH28" s="3" t="s">
        <v>2716</v>
      </c>
      <c r="EI28" s="3">
        <v>0</v>
      </c>
      <c r="EJ28" s="3">
        <v>0</v>
      </c>
      <c r="EK28" s="15">
        <v>45470</v>
      </c>
      <c r="EL28" s="16">
        <v>-0.95</v>
      </c>
      <c r="EM28" s="16">
        <v>-3.65</v>
      </c>
      <c r="EN28" s="16">
        <v>-4.5</v>
      </c>
      <c r="EO28" s="16">
        <v>4.25</v>
      </c>
      <c r="EP28" s="16">
        <v>-2.71</v>
      </c>
    </row>
    <row r="29" spans="1:146" ht="96" x14ac:dyDescent="0.25">
      <c r="C29" s="7" t="str">
        <f>""&amp;CHAR(10)&amp;Basic_Fundamental_Information_Constructure(F29)&amp;CHAR(10)&amp;Basic_Fundamental_Information_Concatenate("")</f>
        <v xml:space="preserve">
市值18.95321亿, 利润196.88万; PE; 平均PE2413.4; 平均PEG4678.29, PB1.53; ROIC1.9067%; ROE1.5033%; 股利率.3188%; 毛利12.9267%; 净利.4167%; 上一年度营收增-78.48%, 利润增-80.4%; 当季营收增-57.45%, 利润增-93.48%; 过往5年营收增.52%, 利润增-9.11%
Income profile:
</v>
      </c>
      <c r="D29" s="3" t="s">
        <v>480</v>
      </c>
      <c r="E29" s="3" t="s">
        <v>1013</v>
      </c>
      <c r="F29" s="3">
        <v>5.96</v>
      </c>
      <c r="G29" s="3">
        <v>0</v>
      </c>
      <c r="H29" s="3" t="s">
        <v>2717</v>
      </c>
      <c r="I29" s="3">
        <v>1895321000</v>
      </c>
      <c r="K29" s="3">
        <v>1.53</v>
      </c>
      <c r="L29" s="3" t="s">
        <v>343</v>
      </c>
      <c r="M29" s="3" t="s">
        <v>1692</v>
      </c>
      <c r="N29" s="3" t="s">
        <v>544</v>
      </c>
      <c r="O29" s="3" t="s">
        <v>1012</v>
      </c>
      <c r="P29" s="3">
        <v>-10.9</v>
      </c>
      <c r="Q29" s="3" t="s">
        <v>1012</v>
      </c>
      <c r="R29" s="3">
        <v>1968847</v>
      </c>
      <c r="S29" s="5">
        <v>-0.66339999999999999</v>
      </c>
      <c r="T29" s="3" t="s">
        <v>2718</v>
      </c>
      <c r="U29" s="3">
        <v>317030430</v>
      </c>
      <c r="V29" s="3">
        <v>318006880</v>
      </c>
      <c r="W29" s="3">
        <v>2.2200000000000002</v>
      </c>
      <c r="X29" s="3">
        <v>0.13</v>
      </c>
      <c r="Y29" s="3">
        <v>1.1100000000000001</v>
      </c>
      <c r="Z29" s="3" t="s">
        <v>136</v>
      </c>
      <c r="AA29" s="3" t="s">
        <v>277</v>
      </c>
      <c r="AB29" s="3" t="s">
        <v>2719</v>
      </c>
      <c r="AC29" s="3" t="s">
        <v>2720</v>
      </c>
      <c r="AD29" s="3" t="s">
        <v>4</v>
      </c>
      <c r="AE29" s="3">
        <v>4617129</v>
      </c>
      <c r="AF29" s="3" t="s">
        <v>1695</v>
      </c>
      <c r="AG29" s="3" t="s">
        <v>2721</v>
      </c>
      <c r="AH29" s="3" t="s">
        <v>1696</v>
      </c>
      <c r="AI29" s="3" t="s">
        <v>45</v>
      </c>
      <c r="AJ29" s="3" t="s">
        <v>1697</v>
      </c>
      <c r="AK29" s="3" t="s">
        <v>2722</v>
      </c>
      <c r="AL29" s="3" t="s">
        <v>1698</v>
      </c>
      <c r="AM29" s="3" t="s">
        <v>4</v>
      </c>
      <c r="AN29" s="3" t="s">
        <v>68</v>
      </c>
      <c r="AO29" s="3" t="s">
        <v>2125</v>
      </c>
      <c r="AP29" s="3" t="s">
        <v>2723</v>
      </c>
      <c r="AQ29" s="3" t="s">
        <v>2111</v>
      </c>
      <c r="AR29" s="3" t="s">
        <v>4</v>
      </c>
      <c r="AS29" s="3" t="s">
        <v>2140</v>
      </c>
      <c r="AT29" s="3" t="s">
        <v>124</v>
      </c>
      <c r="AU29" s="3" t="s">
        <v>2724</v>
      </c>
      <c r="AV29" s="3" t="s">
        <v>2725</v>
      </c>
      <c r="AW29" s="3" t="s">
        <v>2726</v>
      </c>
      <c r="AX29" s="3" t="s">
        <v>1246</v>
      </c>
      <c r="AY29" s="3" t="s">
        <v>891</v>
      </c>
      <c r="AZ29" s="3" t="s">
        <v>481</v>
      </c>
      <c r="BA29" s="3" t="s">
        <v>412</v>
      </c>
      <c r="BB29" s="3" t="s">
        <v>255</v>
      </c>
      <c r="BC29" s="3" t="s">
        <v>1699</v>
      </c>
      <c r="BD29" s="3" t="s">
        <v>892</v>
      </c>
      <c r="BE29" s="3" t="s">
        <v>482</v>
      </c>
      <c r="BF29" s="3" t="s">
        <v>484</v>
      </c>
      <c r="BG29" s="3" t="s">
        <v>485</v>
      </c>
      <c r="BH29" s="3" t="s">
        <v>1693</v>
      </c>
      <c r="BI29" s="3" t="s">
        <v>2727</v>
      </c>
      <c r="BJ29" s="3" t="s">
        <v>1246</v>
      </c>
      <c r="BK29" s="3" t="s">
        <v>1694</v>
      </c>
      <c r="BL29" s="3" t="s">
        <v>2728</v>
      </c>
      <c r="BM29" s="3" t="s">
        <v>1699</v>
      </c>
      <c r="BN29" s="3">
        <v>1.49</v>
      </c>
      <c r="BO29" s="3">
        <v>1.67</v>
      </c>
      <c r="BP29" s="3">
        <v>2.56</v>
      </c>
      <c r="BQ29" s="3">
        <v>0.9</v>
      </c>
      <c r="BR29" s="3">
        <v>0.82</v>
      </c>
      <c r="BS29" s="3">
        <v>2.79</v>
      </c>
      <c r="BT29" s="3" t="s">
        <v>1700</v>
      </c>
      <c r="BU29" s="3" t="s">
        <v>977</v>
      </c>
      <c r="BV29" s="3">
        <v>14.85</v>
      </c>
      <c r="BW29" s="3">
        <v>12.05</v>
      </c>
      <c r="BX29" s="3">
        <v>11.88</v>
      </c>
      <c r="BY29" s="3">
        <v>-0.55000000000000004</v>
      </c>
      <c r="BZ29" s="3">
        <v>0.47</v>
      </c>
      <c r="CA29" s="3">
        <v>1.33</v>
      </c>
      <c r="CB29" s="3">
        <v>-4.9400000000000004</v>
      </c>
      <c r="CC29" s="3">
        <v>-24.56</v>
      </c>
      <c r="CD29" s="3" t="s">
        <v>2729</v>
      </c>
      <c r="CE29" s="3" t="s">
        <v>254</v>
      </c>
      <c r="CF29" s="10">
        <v>-0.57454128440366981</v>
      </c>
      <c r="CG29" s="11">
        <v>-0.93481265044085171</v>
      </c>
      <c r="CH29" s="10">
        <v>-0.78480273485183716</v>
      </c>
      <c r="CI29" s="10">
        <v>0.30507197976112366</v>
      </c>
      <c r="CJ29" s="10">
        <v>0.21303950250148773</v>
      </c>
      <c r="CK29" s="10">
        <v>8.7912023067474365E-2</v>
      </c>
      <c r="CL29" s="10">
        <v>0.20457279682159424</v>
      </c>
      <c r="CM29" s="11">
        <v>-0.80401366949081421</v>
      </c>
      <c r="CN29" s="11">
        <v>-0.44160398840904236</v>
      </c>
      <c r="CO29" s="11">
        <v>-0.30672118067741394</v>
      </c>
      <c r="CP29" s="11">
        <v>-0.33581525087356567</v>
      </c>
      <c r="CQ29" s="11">
        <v>1.4326086044311523</v>
      </c>
      <c r="CR29" s="3">
        <v>2413.3968590831996</v>
      </c>
      <c r="CS29" s="3">
        <v>4678.2921319648267</v>
      </c>
      <c r="CT29" s="3">
        <v>0.31879194630872482</v>
      </c>
      <c r="CU29" s="10">
        <v>5.1587134599685672E-3</v>
      </c>
      <c r="CV29" s="11">
        <v>-9.1109097003936768E-2</v>
      </c>
      <c r="CW29" s="3">
        <v>0.06</v>
      </c>
      <c r="CX29" s="3">
        <v>1180.177679213084</v>
      </c>
      <c r="CY29" s="3">
        <v>1866940.0708113078</v>
      </c>
      <c r="CZ29" s="3">
        <v>5.1587134599685672E-3</v>
      </c>
      <c r="DA29" s="3">
        <v>414.6750293550744</v>
      </c>
      <c r="DB29" s="3">
        <v>5313367.9243399994</v>
      </c>
      <c r="DC29" s="3">
        <v>4.9007777869701386E-3</v>
      </c>
      <c r="DD29" s="3">
        <v>224.17294417099629</v>
      </c>
      <c r="DE29" s="3">
        <v>9828666.0245642066</v>
      </c>
      <c r="DF29" s="3">
        <v>4.5396678447723396E-3</v>
      </c>
      <c r="DG29" s="3">
        <v>148.92952418108865</v>
      </c>
      <c r="DH29" s="3">
        <v>14794386.889471991</v>
      </c>
      <c r="DI29" s="3">
        <v>4.1269707679748536E-3</v>
      </c>
      <c r="DJ29" s="3">
        <v>94.570736649681166</v>
      </c>
      <c r="DK29" s="3">
        <v>23298126.651606537</v>
      </c>
      <c r="DL29" s="3">
        <v>3.6110994219779968E-3</v>
      </c>
      <c r="DM29" s="3">
        <v>1968800</v>
      </c>
      <c r="DN29" s="3">
        <v>5.1587134599685672E-3</v>
      </c>
      <c r="DO29" s="3">
        <v>2203321000</v>
      </c>
      <c r="DP29" s="3">
        <v>220881500</v>
      </c>
      <c r="DQ29" s="3">
        <v>1206</v>
      </c>
      <c r="DR29" s="3">
        <v>-0.57969999786363835</v>
      </c>
      <c r="DS29" s="3">
        <v>-0.84370355343691494</v>
      </c>
      <c r="DT29" s="12">
        <v>-0.39000000000000007</v>
      </c>
      <c r="DU29" s="3">
        <v>-0.97333333333333327</v>
      </c>
      <c r="DV29" s="3">
        <v>-1.3633333333333333</v>
      </c>
      <c r="DW29" s="3">
        <v>-8.2011400651465802</v>
      </c>
      <c r="DX29" s="3">
        <v>0.45229806201550671</v>
      </c>
      <c r="DY29" s="3">
        <v>-8.0205762388581672</v>
      </c>
      <c r="DZ29" s="3">
        <v>3980</v>
      </c>
      <c r="EA29" s="3">
        <v>-8.0045501271839008</v>
      </c>
      <c r="EB29" s="3">
        <v>8</v>
      </c>
      <c r="EC29" s="3">
        <v>8.299474527091992E-2</v>
      </c>
      <c r="ED29" s="3">
        <v>0.81130320199361727</v>
      </c>
      <c r="EE29" s="13">
        <v>-8.1253100000000007</v>
      </c>
      <c r="EF29" s="3">
        <v>-8.1237099999999991</v>
      </c>
      <c r="EG29" s="3">
        <v>35.102298062015507</v>
      </c>
      <c r="EH29" s="3" t="s">
        <v>2730</v>
      </c>
      <c r="EI29" s="3">
        <v>0</v>
      </c>
      <c r="EJ29" s="3">
        <v>0</v>
      </c>
      <c r="EK29" s="15">
        <v>45470</v>
      </c>
      <c r="EL29" s="16">
        <v>-2.73</v>
      </c>
      <c r="EM29" s="16">
        <v>-7.72</v>
      </c>
      <c r="EN29" s="16">
        <v>-5.94</v>
      </c>
      <c r="EO29" s="16">
        <v>0.49</v>
      </c>
      <c r="EP29" s="16">
        <v>0.16</v>
      </c>
    </row>
    <row r="30" spans="1:146" ht="96" x14ac:dyDescent="0.25">
      <c r="C30" s="7" t="str">
        <f>""&amp;CHAR(10)&amp;Basic_Fundamental_Information_Constructure(F30)&amp;CHAR(10)&amp;Basic_Fundamental_Information_Concatenate("")</f>
        <v xml:space="preserve">
市值116.952312亿, 利润1.81亿; PE24.85; 平均PE23.02; 平均PEG1.39, PB.851; ROIC3.75%; ROE4.35%; 股利率4.2893%; 毛利29.8067%; 净利3.35%; 上一年度营收增-75.79%, 利润增-6.7%; 当季营收增-51.91%, 利润增-11.06%; 过往5年营收增-16.53%, 利润增24.71%
Income profile:
</v>
      </c>
      <c r="D30" s="3" t="s">
        <v>486</v>
      </c>
      <c r="E30" s="3" t="s">
        <v>487</v>
      </c>
      <c r="F30" s="3">
        <v>7.88</v>
      </c>
      <c r="G30" s="3">
        <v>-0.51</v>
      </c>
      <c r="H30" s="3" t="s">
        <v>2731</v>
      </c>
      <c r="I30" s="3">
        <v>11695231200</v>
      </c>
      <c r="J30" s="3">
        <v>24.85</v>
      </c>
      <c r="K30" s="3">
        <v>0.85099999999999998</v>
      </c>
      <c r="L30" s="3" t="s">
        <v>343</v>
      </c>
      <c r="M30" s="3" t="s">
        <v>1701</v>
      </c>
      <c r="N30" s="3" t="s">
        <v>2732</v>
      </c>
      <c r="O30" s="3" t="s">
        <v>1702</v>
      </c>
      <c r="P30" s="3">
        <v>-1.97</v>
      </c>
      <c r="Q30" s="3" t="s">
        <v>1702</v>
      </c>
      <c r="R30" s="3">
        <v>181433910</v>
      </c>
      <c r="S30" s="5">
        <v>0.2888</v>
      </c>
      <c r="T30" s="3" t="s">
        <v>85</v>
      </c>
      <c r="U30" s="3">
        <v>988372000</v>
      </c>
      <c r="V30" s="3">
        <v>1484166400</v>
      </c>
      <c r="W30" s="3">
        <v>1.76</v>
      </c>
      <c r="X30" s="3">
        <v>0.16</v>
      </c>
      <c r="Y30" s="3">
        <v>4.51</v>
      </c>
      <c r="Z30" s="3" t="s">
        <v>2733</v>
      </c>
      <c r="AA30" s="3" t="s">
        <v>2734</v>
      </c>
      <c r="AB30" s="3" t="s">
        <v>1405</v>
      </c>
      <c r="AC30" s="3" t="s">
        <v>91</v>
      </c>
      <c r="AD30" s="3" t="s">
        <v>4</v>
      </c>
      <c r="AE30" s="3">
        <v>-1732421</v>
      </c>
      <c r="AF30" s="3" t="s">
        <v>1704</v>
      </c>
      <c r="AG30" s="3" t="s">
        <v>2735</v>
      </c>
      <c r="AH30" s="3" t="s">
        <v>1705</v>
      </c>
      <c r="AI30" s="3" t="s">
        <v>2736</v>
      </c>
      <c r="AJ30" s="3" t="s">
        <v>1706</v>
      </c>
      <c r="AK30" s="3" t="s">
        <v>2737</v>
      </c>
      <c r="AL30" s="3" t="s">
        <v>1708</v>
      </c>
      <c r="AM30" s="3" t="s">
        <v>4</v>
      </c>
      <c r="AN30" s="3" t="s">
        <v>2738</v>
      </c>
      <c r="AO30" s="3" t="s">
        <v>2739</v>
      </c>
      <c r="AP30" s="3" t="s">
        <v>2740</v>
      </c>
      <c r="AQ30" s="3" t="s">
        <v>2741</v>
      </c>
      <c r="AR30" s="3" t="s">
        <v>4</v>
      </c>
      <c r="AS30" s="3" t="s">
        <v>2742</v>
      </c>
      <c r="AT30" s="3" t="s">
        <v>72</v>
      </c>
      <c r="AU30" s="3" t="s">
        <v>1031</v>
      </c>
      <c r="AV30" s="3" t="s">
        <v>1734</v>
      </c>
      <c r="AW30" s="3" t="s">
        <v>875</v>
      </c>
      <c r="AX30" s="3" t="s">
        <v>1247</v>
      </c>
      <c r="AY30" s="3" t="s">
        <v>894</v>
      </c>
      <c r="AZ30" s="3" t="s">
        <v>488</v>
      </c>
      <c r="BA30" s="3" t="s">
        <v>489</v>
      </c>
      <c r="BB30" s="3" t="s">
        <v>490</v>
      </c>
      <c r="BC30" s="3" t="s">
        <v>82</v>
      </c>
      <c r="BD30" s="3" t="s">
        <v>895</v>
      </c>
      <c r="BE30" s="3" t="s">
        <v>275</v>
      </c>
      <c r="BF30" s="3" t="s">
        <v>292</v>
      </c>
      <c r="BG30" s="3" t="s">
        <v>290</v>
      </c>
      <c r="BH30" s="3" t="s">
        <v>1703</v>
      </c>
      <c r="BI30" s="3" t="s">
        <v>2743</v>
      </c>
      <c r="BJ30" s="3" t="s">
        <v>1247</v>
      </c>
      <c r="BK30" s="3" t="s">
        <v>208</v>
      </c>
      <c r="BL30" s="3" t="s">
        <v>185</v>
      </c>
      <c r="BM30" s="3" t="s">
        <v>82</v>
      </c>
      <c r="BN30" s="3">
        <v>2.76</v>
      </c>
      <c r="BO30" s="3">
        <v>1.66</v>
      </c>
      <c r="BP30" s="3">
        <v>6.83</v>
      </c>
      <c r="BQ30" s="3">
        <v>2.58</v>
      </c>
      <c r="BR30" s="3">
        <v>1.44</v>
      </c>
      <c r="BS30" s="3">
        <v>9.0299999999999994</v>
      </c>
      <c r="BT30" s="3" t="s">
        <v>1710</v>
      </c>
      <c r="BU30" s="3" t="s">
        <v>977</v>
      </c>
      <c r="BV30" s="3">
        <v>29.12</v>
      </c>
      <c r="BW30" s="3">
        <v>27</v>
      </c>
      <c r="BX30" s="3">
        <v>33.299999999999997</v>
      </c>
      <c r="BY30" s="3">
        <v>2.57</v>
      </c>
      <c r="BZ30" s="3">
        <v>1.2</v>
      </c>
      <c r="CA30" s="3">
        <v>6.28</v>
      </c>
      <c r="CB30" s="3">
        <v>-2.23</v>
      </c>
      <c r="CC30" s="3">
        <v>-3.79</v>
      </c>
      <c r="CD30" s="3" t="s">
        <v>2744</v>
      </c>
      <c r="CE30" s="3" t="s">
        <v>73</v>
      </c>
      <c r="CF30" s="10">
        <v>-0.51906193625977159</v>
      </c>
      <c r="CG30" s="11">
        <v>-0.11061808823529412</v>
      </c>
      <c r="CH30" s="10">
        <v>-0.75788587331771851</v>
      </c>
      <c r="CI30" s="10">
        <v>-0.11270475387573242</v>
      </c>
      <c r="CJ30" s="10">
        <v>7.0997059345245361E-2</v>
      </c>
      <c r="CK30" s="10">
        <v>-8.3908744156360626E-2</v>
      </c>
      <c r="CL30" s="10">
        <v>5.6873869150876999E-2</v>
      </c>
      <c r="CM30" s="11">
        <v>-6.7010305821895599E-2</v>
      </c>
      <c r="CN30" s="11">
        <v>-0.83261430263519287</v>
      </c>
      <c r="CO30" s="11">
        <v>2.8377485275268555</v>
      </c>
      <c r="CP30" s="11">
        <v>-0.38617885112762451</v>
      </c>
      <c r="CQ30" s="11">
        <v>-0.31666666269302368</v>
      </c>
      <c r="CR30" s="3">
        <v>23.022108661417324</v>
      </c>
      <c r="CS30" s="3">
        <v>1.3925306381873537</v>
      </c>
      <c r="CT30" s="3">
        <v>4.2893401015228427</v>
      </c>
      <c r="CU30" s="10">
        <v>-0.16532568857073784</v>
      </c>
      <c r="CV30" s="11">
        <v>0.24705568104982376</v>
      </c>
      <c r="CW30" s="3">
        <v>0.06</v>
      </c>
      <c r="CX30" s="3">
        <v>46.294095027624302</v>
      </c>
      <c r="CY30" s="3" t="s">
        <v>2745</v>
      </c>
      <c r="CZ30" s="3">
        <v>-0.16532568857073784</v>
      </c>
      <c r="DA30" s="3">
        <v>15.431365009208101</v>
      </c>
      <c r="DB30" s="3" t="s">
        <v>2746</v>
      </c>
      <c r="DC30" s="3">
        <v>-0.15705940414220093</v>
      </c>
      <c r="DD30" s="3">
        <v>7.7156825046040503</v>
      </c>
      <c r="DE30" s="3" t="s">
        <v>2747</v>
      </c>
      <c r="DF30" s="3">
        <v>-0.1454866059422493</v>
      </c>
      <c r="DG30" s="3">
        <v>4.6294095027624298</v>
      </c>
      <c r="DH30" s="3" t="s">
        <v>2748</v>
      </c>
      <c r="DI30" s="3">
        <v>-0.13226055085659028</v>
      </c>
      <c r="DJ30" s="3">
        <v>2.3147047513812149</v>
      </c>
      <c r="DK30" s="3" t="s">
        <v>2749</v>
      </c>
      <c r="DL30" s="3">
        <v>-0.11572798199951648</v>
      </c>
      <c r="DM30" s="3">
        <v>181000000</v>
      </c>
      <c r="DN30" s="3">
        <v>-0.16532568857073784</v>
      </c>
      <c r="DO30" s="3">
        <v>8379231199.9999981</v>
      </c>
      <c r="DP30" s="3">
        <v>4762038000</v>
      </c>
      <c r="DQ30" s="3">
        <v>1226</v>
      </c>
      <c r="DR30" s="3">
        <v>-0.35373624768903378</v>
      </c>
      <c r="DS30" s="3">
        <v>-0.35767376928511785</v>
      </c>
      <c r="DT30" s="12">
        <v>-0.77333333333333332</v>
      </c>
      <c r="DU30" s="3">
        <v>-0.14666666666666664</v>
      </c>
      <c r="DV30" s="3">
        <v>-0.91999999999999993</v>
      </c>
      <c r="DW30" s="3">
        <v>-1.0379</v>
      </c>
      <c r="DX30" s="3">
        <v>0.37737062146892497</v>
      </c>
      <c r="DY30" s="3">
        <v>-1.0052063465536722</v>
      </c>
      <c r="DZ30" s="3">
        <v>1709</v>
      </c>
      <c r="EA30" s="3">
        <v>-1.0034651241935497</v>
      </c>
      <c r="EB30" s="3">
        <v>1</v>
      </c>
      <c r="EC30" s="3">
        <v>3.2765328739418974E-2</v>
      </c>
      <c r="ED30" s="3">
        <v>0.23851772954838488</v>
      </c>
      <c r="EE30" s="13">
        <v>-2.0148999999999999</v>
      </c>
      <c r="EF30" s="3">
        <v>-2.0085000000000002</v>
      </c>
      <c r="EG30" s="3">
        <v>24.137370621468925</v>
      </c>
      <c r="EH30" s="3" t="s">
        <v>1226</v>
      </c>
      <c r="EI30" s="3">
        <v>0</v>
      </c>
      <c r="EJ30" s="3">
        <v>0</v>
      </c>
      <c r="EK30" s="15">
        <v>45470</v>
      </c>
      <c r="EL30" s="16">
        <v>0</v>
      </c>
      <c r="EM30" s="16">
        <v>-4.9400000000000004</v>
      </c>
      <c r="EN30" s="16">
        <v>-2.08</v>
      </c>
      <c r="EO30" s="16">
        <v>3.59</v>
      </c>
      <c r="EP30" s="16">
        <v>-0.64</v>
      </c>
    </row>
    <row r="31" spans="1:146" ht="96" x14ac:dyDescent="0.25">
      <c r="C31" s="7" t="str">
        <f>""&amp;CHAR(10)&amp;Basic_Fundamental_Information_Constructure(F31)&amp;CHAR(10)&amp;Basic_Fundamental_Information_Concatenate("")</f>
        <v xml:space="preserve">
市值30.063105亿, 利润3574.60万; PE; 平均PE62.48; 平均PEG3.43, PB1.25; ROIC6.8333%; ROE7.3533%; 股利率0%; 毛利15.9367%; 净利.43%; 上一年度营收增-73.83%, 利润增-80.68%; 当季营收增-40.74%, 利润增-30.64%; 过往5年营收增18.22%, 利润增-314.32%
Income profile:
</v>
      </c>
      <c r="D31" s="3" t="s">
        <v>491</v>
      </c>
      <c r="E31" s="3" t="s">
        <v>492</v>
      </c>
      <c r="F31" s="3">
        <v>4.6100000000000003</v>
      </c>
      <c r="G31" s="3">
        <v>0</v>
      </c>
      <c r="H31" s="3" t="s">
        <v>2750</v>
      </c>
      <c r="I31" s="3">
        <v>3006310500</v>
      </c>
      <c r="K31" s="3">
        <v>1.25</v>
      </c>
      <c r="L31" s="3" t="s">
        <v>343</v>
      </c>
      <c r="M31" s="3" t="s">
        <v>1431</v>
      </c>
      <c r="N31" s="3" t="s">
        <v>2751</v>
      </c>
      <c r="O31" s="3" t="s">
        <v>1513</v>
      </c>
      <c r="P31" s="3">
        <v>24.51</v>
      </c>
      <c r="Q31" s="3" t="s">
        <v>1513</v>
      </c>
      <c r="R31" s="3">
        <v>35745954</v>
      </c>
      <c r="S31" s="5">
        <v>0.15060000000000001</v>
      </c>
      <c r="T31" s="3" t="s">
        <v>2752</v>
      </c>
      <c r="U31" s="3">
        <v>595871390</v>
      </c>
      <c r="V31" s="3">
        <v>652128090</v>
      </c>
      <c r="W31" s="3">
        <v>2.04</v>
      </c>
      <c r="X31" s="3">
        <v>0.15</v>
      </c>
      <c r="Y31" s="3">
        <v>4.55</v>
      </c>
      <c r="Z31" s="3" t="s">
        <v>1888</v>
      </c>
      <c r="AA31" s="3" t="s">
        <v>2753</v>
      </c>
      <c r="AB31" s="3" t="s">
        <v>2754</v>
      </c>
      <c r="AC31" s="3" t="s">
        <v>2755</v>
      </c>
      <c r="AD31" s="3" t="s">
        <v>4</v>
      </c>
      <c r="AE31" s="3">
        <v>2810239</v>
      </c>
      <c r="AF31" s="3" t="s">
        <v>1713</v>
      </c>
      <c r="AG31" s="3">
        <v>0.45</v>
      </c>
      <c r="AH31" s="3" t="s">
        <v>1714</v>
      </c>
      <c r="AI31" s="3" t="s">
        <v>1635</v>
      </c>
      <c r="AJ31" s="3" t="s">
        <v>1715</v>
      </c>
      <c r="AK31" s="3" t="s">
        <v>4</v>
      </c>
      <c r="AL31" s="3" t="s">
        <v>1716</v>
      </c>
      <c r="AM31" s="3" t="s">
        <v>4</v>
      </c>
      <c r="AN31" s="3" t="s">
        <v>20</v>
      </c>
      <c r="AO31" s="3" t="s">
        <v>44</v>
      </c>
      <c r="AP31" s="3" t="s">
        <v>326</v>
      </c>
      <c r="AQ31" s="3" t="s">
        <v>1671</v>
      </c>
      <c r="AR31" s="3" t="s">
        <v>4</v>
      </c>
      <c r="AS31" s="3" t="s">
        <v>1709</v>
      </c>
      <c r="AT31" s="3" t="s">
        <v>2756</v>
      </c>
      <c r="AU31" s="3" t="s">
        <v>2757</v>
      </c>
      <c r="AV31" s="3" t="s">
        <v>2758</v>
      </c>
      <c r="AW31" s="3" t="s">
        <v>2759</v>
      </c>
      <c r="AX31" s="3" t="s">
        <v>1249</v>
      </c>
      <c r="AY31" s="3" t="s">
        <v>896</v>
      </c>
      <c r="AZ31" s="3" t="s">
        <v>897</v>
      </c>
      <c r="BA31" s="3" t="s">
        <v>493</v>
      </c>
      <c r="BB31" s="3" t="s">
        <v>58</v>
      </c>
      <c r="BC31" s="3" t="s">
        <v>1040</v>
      </c>
      <c r="BD31" s="3" t="s">
        <v>40</v>
      </c>
      <c r="BE31" s="3" t="s">
        <v>898</v>
      </c>
      <c r="BF31" s="3" t="s">
        <v>548</v>
      </c>
      <c r="BG31" s="3" t="s">
        <v>494</v>
      </c>
      <c r="BH31" s="3" t="s">
        <v>1711</v>
      </c>
      <c r="BI31" s="3" t="s">
        <v>1368</v>
      </c>
      <c r="BJ31" s="3" t="s">
        <v>1249</v>
      </c>
      <c r="BK31" s="3" t="s">
        <v>1712</v>
      </c>
      <c r="BL31" s="3" t="s">
        <v>2760</v>
      </c>
      <c r="BM31" s="3" t="s">
        <v>1040</v>
      </c>
      <c r="BN31" s="3">
        <v>1.87</v>
      </c>
      <c r="BO31" s="3">
        <v>7.7</v>
      </c>
      <c r="BP31" s="3">
        <v>10.93</v>
      </c>
      <c r="BQ31" s="3">
        <v>2.4700000000000002</v>
      </c>
      <c r="BR31" s="3">
        <v>8.73</v>
      </c>
      <c r="BS31" s="3">
        <v>10.86</v>
      </c>
      <c r="BT31" s="3" t="s">
        <v>1157</v>
      </c>
      <c r="BU31" s="3" t="s">
        <v>1002</v>
      </c>
      <c r="BV31" s="3">
        <v>11.99</v>
      </c>
      <c r="BW31" s="3">
        <v>17.670000000000002</v>
      </c>
      <c r="BX31" s="3">
        <v>18.149999999999999</v>
      </c>
      <c r="BY31" s="3">
        <v>-13.22</v>
      </c>
      <c r="BZ31" s="3">
        <v>6.82</v>
      </c>
      <c r="CA31" s="3">
        <v>7.69</v>
      </c>
      <c r="CB31" s="3">
        <v>-1.91</v>
      </c>
      <c r="CC31" s="3">
        <v>-16.64</v>
      </c>
      <c r="CD31" s="3" t="s">
        <v>2761</v>
      </c>
      <c r="CE31" s="3" t="s">
        <v>1165</v>
      </c>
      <c r="CF31" s="10">
        <v>-0.40740740740740738</v>
      </c>
      <c r="CG31" s="11">
        <v>-0.30638327680283156</v>
      </c>
      <c r="CH31" s="10">
        <v>-0.73825269937515259</v>
      </c>
      <c r="CI31" s="10">
        <v>-8.4740400314331055E-2</v>
      </c>
      <c r="CJ31" s="10">
        <v>0.30303037166595459</v>
      </c>
      <c r="CK31" s="10">
        <v>1.1205985546112061</v>
      </c>
      <c r="CL31" s="10">
        <v>0.31026527285575867</v>
      </c>
      <c r="CM31" s="11">
        <v>-0.80677837133407593</v>
      </c>
      <c r="CN31" s="11">
        <v>-0.1190476194024086</v>
      </c>
      <c r="CO31" s="11">
        <v>39.434379577636719</v>
      </c>
      <c r="CP31" s="11">
        <v>1.0346239805221558</v>
      </c>
      <c r="CQ31" s="11">
        <v>-55.259357452392578</v>
      </c>
      <c r="CR31" s="3">
        <v>62.478721292839275</v>
      </c>
      <c r="CS31" s="3">
        <v>3.4295008168841838</v>
      </c>
      <c r="CT31" s="3">
        <v>0</v>
      </c>
      <c r="CU31" s="10">
        <v>0.18218021988868713</v>
      </c>
      <c r="CV31" s="11">
        <v>-3.1432359769940375</v>
      </c>
      <c r="CW31" s="3">
        <v>0.06</v>
      </c>
      <c r="CX31" s="3">
        <v>81.705987824039155</v>
      </c>
      <c r="CY31" s="3">
        <v>39866239.75485</v>
      </c>
      <c r="CZ31" s="3">
        <v>0.18218021988868713</v>
      </c>
      <c r="DA31" s="3">
        <v>24.716531072555526</v>
      </c>
      <c r="DB31" s="3">
        <v>131786717.57934581</v>
      </c>
      <c r="DC31" s="3">
        <v>0.17307120889425276</v>
      </c>
      <c r="DD31" s="3">
        <v>10.936159892617141</v>
      </c>
      <c r="DE31" s="3">
        <v>297847739.24153835</v>
      </c>
      <c r="DF31" s="3">
        <v>0.16031859350204467</v>
      </c>
      <c r="DG31" s="3">
        <v>5.7949157699640006</v>
      </c>
      <c r="DH31" s="3">
        <v>562097988.87555444</v>
      </c>
      <c r="DI31" s="3">
        <v>0.14574417591094971</v>
      </c>
      <c r="DJ31" s="3">
        <v>2.2376350475815094</v>
      </c>
      <c r="DK31" s="3">
        <v>1455693368.5502381</v>
      </c>
      <c r="DL31" s="3">
        <v>0.12752615392208097</v>
      </c>
      <c r="DM31" s="3">
        <v>35746000</v>
      </c>
      <c r="DN31" s="3">
        <v>0.18218021988868713</v>
      </c>
      <c r="DO31" s="3">
        <v>3257310500</v>
      </c>
      <c r="DP31" s="3">
        <v>828876000</v>
      </c>
      <c r="DQ31" s="3">
        <v>1243</v>
      </c>
      <c r="DR31" s="3">
        <v>-0.58958762729609449</v>
      </c>
      <c r="DS31" s="3">
        <v>2.8368527001912058</v>
      </c>
      <c r="DT31" s="12">
        <v>-0.3066666666666667</v>
      </c>
      <c r="DU31" s="3">
        <v>-0.79</v>
      </c>
      <c r="DV31" s="3">
        <v>-1.0966666666666667</v>
      </c>
      <c r="DW31" s="3">
        <v>-3.0072380952380953</v>
      </c>
      <c r="DX31" s="3">
        <v>0.31375201612903397</v>
      </c>
      <c r="DY31" s="3">
        <v>-3.0008233479262674</v>
      </c>
      <c r="DZ31" s="3">
        <v>3781</v>
      </c>
      <c r="EA31" s="3">
        <v>-3.0002141349107649</v>
      </c>
      <c r="EB31" s="3">
        <v>3</v>
      </c>
      <c r="EC31" s="3">
        <v>4.3259139473657698E-2</v>
      </c>
      <c r="ED31" s="3">
        <v>0.38029338684061287</v>
      </c>
      <c r="EE31" s="13">
        <v>-6.0112100000000002</v>
      </c>
      <c r="EF31" s="3">
        <v>-6.0504100000000003</v>
      </c>
      <c r="EG31" s="3">
        <v>20.113752016129034</v>
      </c>
      <c r="EH31" s="3" t="s">
        <v>1466</v>
      </c>
      <c r="EI31" s="3">
        <v>0</v>
      </c>
      <c r="EJ31" s="3">
        <v>0</v>
      </c>
      <c r="EK31" s="15">
        <v>45470</v>
      </c>
      <c r="EL31" s="16">
        <v>0.42</v>
      </c>
      <c r="EM31" s="16">
        <v>-5.18</v>
      </c>
      <c r="EN31" s="16">
        <v>1.31</v>
      </c>
      <c r="EO31" s="16">
        <v>4.53</v>
      </c>
      <c r="EP31" s="16">
        <v>-3.92</v>
      </c>
    </row>
    <row r="32" spans="1:146" ht="96" x14ac:dyDescent="0.25">
      <c r="C32" s="7" t="str">
        <f>""&amp;CHAR(10)&amp;Basic_Fundamental_Information_Constructure(F32)&amp;CHAR(10)&amp;Basic_Fundamental_Information_Concatenate("")</f>
        <v xml:space="preserve">
市值4.32768亿, 利润-571.87万; PE; 平均PE-20.16; 平均PEG-.74, PB1.28; ROIC0%; ROE-15.0033%; 股利率1.2422%; 毛利12.6267%; 净利-35.08%; 上一年度营收增-79.83%, 利润增73.9%; 当季营收增-50.59%, 利润增-43.45%; 过往5年营收增-27.33%, 利润增-1640.33%
Income profile:
</v>
      </c>
      <c r="D32" s="3" t="s">
        <v>495</v>
      </c>
      <c r="E32" s="3" t="s">
        <v>1369</v>
      </c>
      <c r="F32" s="3">
        <v>1.61</v>
      </c>
      <c r="G32" s="3">
        <v>2.5499999999999998</v>
      </c>
      <c r="H32" s="3" t="s">
        <v>2762</v>
      </c>
      <c r="I32" s="3">
        <v>432768000</v>
      </c>
      <c r="K32" s="3">
        <v>1.28</v>
      </c>
      <c r="L32" s="3" t="s">
        <v>343</v>
      </c>
      <c r="M32" s="3" t="s">
        <v>1717</v>
      </c>
      <c r="N32" s="3" t="s">
        <v>256</v>
      </c>
      <c r="O32" s="3" t="s">
        <v>1719</v>
      </c>
      <c r="P32" s="3">
        <v>0</v>
      </c>
      <c r="Q32" s="3" t="s">
        <v>1719</v>
      </c>
      <c r="R32" s="3">
        <v>-5718745</v>
      </c>
      <c r="S32" s="5">
        <v>-1.0269999999999999</v>
      </c>
      <c r="T32" s="3" t="s">
        <v>2763</v>
      </c>
      <c r="U32" s="3">
        <v>186383710</v>
      </c>
      <c r="V32" s="3">
        <v>268800000</v>
      </c>
      <c r="W32" s="3">
        <v>1.31</v>
      </c>
      <c r="X32" s="3">
        <v>0.08</v>
      </c>
      <c r="Y32" s="3">
        <v>-18.41</v>
      </c>
      <c r="Z32" s="3" t="s">
        <v>2764</v>
      </c>
      <c r="AA32" s="3" t="s">
        <v>2765</v>
      </c>
      <c r="AB32" s="3" t="s">
        <v>1867</v>
      </c>
      <c r="AC32" s="3" t="s">
        <v>2766</v>
      </c>
      <c r="AD32" s="3" t="s">
        <v>4</v>
      </c>
      <c r="AE32" s="3">
        <v>-1063588</v>
      </c>
      <c r="AF32" s="3" t="s">
        <v>1721</v>
      </c>
      <c r="AG32" s="3">
        <v>52.94</v>
      </c>
      <c r="AH32" s="3" t="s">
        <v>1722</v>
      </c>
      <c r="AI32" s="3" t="s">
        <v>1009</v>
      </c>
      <c r="AJ32" s="3" t="s">
        <v>1723</v>
      </c>
      <c r="AK32" s="3" t="s">
        <v>4</v>
      </c>
      <c r="AL32" s="3" t="s">
        <v>1724</v>
      </c>
      <c r="AM32" s="3" t="s">
        <v>4</v>
      </c>
      <c r="AN32" s="3" t="s">
        <v>2767</v>
      </c>
      <c r="AO32" s="3" t="s">
        <v>1375</v>
      </c>
      <c r="AP32" s="3" t="s">
        <v>4</v>
      </c>
      <c r="AQ32" s="3" t="s">
        <v>2768</v>
      </c>
      <c r="AR32" s="3" t="s">
        <v>4</v>
      </c>
      <c r="AS32" s="3" t="s">
        <v>2769</v>
      </c>
      <c r="AT32" s="3" t="s">
        <v>4</v>
      </c>
      <c r="AU32" s="3" t="s">
        <v>2770</v>
      </c>
      <c r="AV32" s="3" t="s">
        <v>2771</v>
      </c>
      <c r="AW32" s="3">
        <v>0</v>
      </c>
      <c r="AX32" s="3" t="s">
        <v>34</v>
      </c>
      <c r="AY32" s="3" t="s">
        <v>108</v>
      </c>
      <c r="AZ32" s="3" t="s">
        <v>211</v>
      </c>
      <c r="BA32" s="3" t="s">
        <v>275</v>
      </c>
      <c r="BB32" s="3" t="s">
        <v>126</v>
      </c>
      <c r="BC32" s="3" t="s">
        <v>1725</v>
      </c>
      <c r="BD32" s="3" t="s">
        <v>2772</v>
      </c>
      <c r="BE32" s="3" t="s">
        <v>2773</v>
      </c>
      <c r="BF32" s="3" t="s">
        <v>2774</v>
      </c>
      <c r="BG32" s="3" t="s">
        <v>496</v>
      </c>
      <c r="BH32" s="3" t="s">
        <v>1258</v>
      </c>
      <c r="BI32" s="3" t="s">
        <v>2775</v>
      </c>
      <c r="BJ32" s="3" t="s">
        <v>34</v>
      </c>
      <c r="BK32" s="3" t="s">
        <v>1720</v>
      </c>
      <c r="BL32" s="3" t="s">
        <v>2776</v>
      </c>
      <c r="BM32" s="3" t="s">
        <v>1725</v>
      </c>
      <c r="BN32" s="3" t="s">
        <v>4</v>
      </c>
      <c r="BO32" s="3" t="s">
        <v>4</v>
      </c>
      <c r="BP32" s="3" t="s">
        <v>4</v>
      </c>
      <c r="BQ32" s="3">
        <v>-7.09</v>
      </c>
      <c r="BR32" s="3">
        <v>-5.16</v>
      </c>
      <c r="BS32" s="3">
        <v>-32.76</v>
      </c>
      <c r="BT32" s="3" t="s">
        <v>1726</v>
      </c>
      <c r="BU32" s="3" t="s">
        <v>1011</v>
      </c>
      <c r="BV32" s="3">
        <v>12.69</v>
      </c>
      <c r="BW32" s="3">
        <v>12.96</v>
      </c>
      <c r="BX32" s="3">
        <v>12.23</v>
      </c>
      <c r="BY32" s="3">
        <v>-22.63</v>
      </c>
      <c r="BZ32" s="3">
        <v>-16.690000000000001</v>
      </c>
      <c r="CA32" s="3">
        <v>-65.92</v>
      </c>
      <c r="CB32" s="3">
        <v>7.33</v>
      </c>
      <c r="CC32" s="3">
        <v>-29.39</v>
      </c>
      <c r="CD32" s="3" t="s">
        <v>2777</v>
      </c>
      <c r="CE32" s="3" t="s">
        <v>2316</v>
      </c>
      <c r="CF32" s="10">
        <v>-0.50591850856239917</v>
      </c>
      <c r="CG32" s="11">
        <v>-0.43449179752169753</v>
      </c>
      <c r="CH32" s="10">
        <v>-0.79826325178146362</v>
      </c>
      <c r="CI32" s="10">
        <v>-0.30252102017402649</v>
      </c>
      <c r="CJ32" s="10">
        <v>-0.20930232107639313</v>
      </c>
      <c r="CK32" s="10">
        <v>-3.3112582750618458E-3</v>
      </c>
      <c r="CL32" s="10">
        <v>-5.3291536867618561E-2</v>
      </c>
      <c r="CM32" s="11">
        <v>0.7389722466468811</v>
      </c>
      <c r="CN32" s="11">
        <v>0.85296374559402466</v>
      </c>
      <c r="CO32" s="11">
        <v>-82.097259521484375</v>
      </c>
      <c r="CP32" s="11">
        <v>-0.83761399984359741</v>
      </c>
      <c r="CQ32" s="11">
        <v>-0.67355746030807495</v>
      </c>
      <c r="CR32" s="3">
        <v>-20.157542908201407</v>
      </c>
      <c r="CS32" s="3">
        <v>-0.7374588213904657</v>
      </c>
      <c r="CT32" s="3">
        <v>1.2422360248447204</v>
      </c>
      <c r="CU32" s="10">
        <v>-0.27333787763491274</v>
      </c>
      <c r="CV32" s="11">
        <v>-16.403298997879027</v>
      </c>
      <c r="CW32" s="3">
        <v>0.06</v>
      </c>
      <c r="CX32" s="3" t="e">
        <v>#VALUE!</v>
      </c>
      <c r="CY32" s="3" t="s">
        <v>1005</v>
      </c>
      <c r="CZ32" s="3">
        <v>-0.27333787763491274</v>
      </c>
      <c r="DA32" s="3" t="e">
        <v>#VALUE!</v>
      </c>
      <c r="DB32" s="3" t="s">
        <v>1006</v>
      </c>
      <c r="DC32" s="3">
        <v>-0.25967098375316711</v>
      </c>
      <c r="DD32" s="3" t="e">
        <v>#VALUE!</v>
      </c>
      <c r="DE32" s="3" t="s">
        <v>1006</v>
      </c>
      <c r="DF32" s="3">
        <v>-0.24053733231872321</v>
      </c>
      <c r="DG32" s="3" t="e">
        <v>#VALUE!</v>
      </c>
      <c r="DH32" s="3" t="s">
        <v>1006</v>
      </c>
      <c r="DI32" s="3">
        <v>-0.2186703021079302</v>
      </c>
      <c r="DJ32" s="3" t="e">
        <v>#VALUE!</v>
      </c>
      <c r="DK32" s="3" t="s">
        <v>1006</v>
      </c>
      <c r="DL32" s="3">
        <v>-0.19133651434443891</v>
      </c>
      <c r="DM32" s="3">
        <v>-5718700</v>
      </c>
      <c r="DN32" s="3">
        <v>-0.27333787763491274</v>
      </c>
      <c r="DO32" s="3">
        <v>197847000</v>
      </c>
      <c r="DP32" s="3">
        <v>195112430</v>
      </c>
      <c r="DQ32" s="3">
        <v>1280</v>
      </c>
      <c r="DR32" s="3">
        <v>-0.23258063092748643</v>
      </c>
      <c r="DS32" s="3">
        <v>15.968807200357329</v>
      </c>
      <c r="DT32" s="12">
        <v>-1.0566666666666666</v>
      </c>
      <c r="DU32" s="3">
        <v>-2.2149999999999999</v>
      </c>
      <c r="DV32" s="3">
        <v>-3.2716666666666665</v>
      </c>
      <c r="DW32" s="3">
        <v>7.1996187363834423</v>
      </c>
      <c r="DX32" s="3">
        <v>0.27273160173160138</v>
      </c>
      <c r="DY32" s="3">
        <v>7.0244995272519786</v>
      </c>
      <c r="DZ32" s="3">
        <v>4637</v>
      </c>
      <c r="EA32" s="3">
        <v>7.0022677644599192</v>
      </c>
      <c r="EB32" s="3">
        <v>7</v>
      </c>
      <c r="EC32" s="3">
        <v>0.10547247023809524</v>
      </c>
      <c r="ED32" s="3">
        <v>0.859375</v>
      </c>
      <c r="EE32" s="13">
        <v>-2.0100099999999999</v>
      </c>
      <c r="EF32" s="3">
        <v>-2.0160999999999998</v>
      </c>
      <c r="EG32" s="3">
        <v>15.122731601731601</v>
      </c>
      <c r="EH32" s="3" t="s">
        <v>1226</v>
      </c>
      <c r="EI32" s="3">
        <v>1</v>
      </c>
      <c r="EJ32" s="3">
        <v>0</v>
      </c>
      <c r="EK32" s="15">
        <v>45470</v>
      </c>
      <c r="EL32" s="16">
        <v>-3.61</v>
      </c>
      <c r="EM32" s="16">
        <v>-5</v>
      </c>
      <c r="EN32" s="16">
        <v>-3.95</v>
      </c>
      <c r="EO32" s="16">
        <v>4.79</v>
      </c>
      <c r="EP32" s="16">
        <v>2.61</v>
      </c>
    </row>
    <row r="33" spans="3:146" ht="96" x14ac:dyDescent="0.25">
      <c r="C33" s="7" t="str">
        <f>""&amp;CHAR(10)&amp;Basic_Fundamental_Information_Constructure(F33)&amp;CHAR(10)&amp;Basic_Fundamental_Information_Concatenate("")</f>
        <v xml:space="preserve">
市值40.059574亿, 利润747.05万; PE33.38; 平均PE30.18; 平均PEG4.13, PB1.48; ROIC11.37%; ROE4.4833%; 股利率.6541%; 毛利7.99%; 净利1.0367%; 上一年度营收增-72.62%, 利润增118.59%; 当季营收增-37.04%, 利润增-27.45%; 过往5年营收增7.31%, 利润增38.68%
Income profile:
</v>
      </c>
      <c r="D33" s="3" t="s">
        <v>497</v>
      </c>
      <c r="E33" s="3" t="s">
        <v>498</v>
      </c>
      <c r="F33" s="3">
        <v>12.23</v>
      </c>
      <c r="G33" s="3">
        <v>-0.33</v>
      </c>
      <c r="H33" s="3" t="s">
        <v>2778</v>
      </c>
      <c r="I33" s="3">
        <v>4005957400</v>
      </c>
      <c r="J33" s="3">
        <v>33.380000000000003</v>
      </c>
      <c r="K33" s="3">
        <v>1.48</v>
      </c>
      <c r="L33" s="3" t="s">
        <v>343</v>
      </c>
      <c r="M33" s="3" t="s">
        <v>1727</v>
      </c>
      <c r="N33" s="3" t="s">
        <v>2779</v>
      </c>
      <c r="O33" s="3" t="s">
        <v>1458</v>
      </c>
      <c r="P33" s="3">
        <v>44.9</v>
      </c>
      <c r="Q33" s="3" t="s">
        <v>1458</v>
      </c>
      <c r="R33" s="3">
        <v>7470515</v>
      </c>
      <c r="S33" s="5">
        <v>1.1160000000000001</v>
      </c>
      <c r="T33" s="3" t="s">
        <v>2780</v>
      </c>
      <c r="U33" s="3">
        <v>224890180</v>
      </c>
      <c r="V33" s="3">
        <v>327551710</v>
      </c>
      <c r="W33" s="3">
        <v>2.97</v>
      </c>
      <c r="X33" s="3">
        <v>0.28000000000000003</v>
      </c>
      <c r="Y33" s="3">
        <v>0.3</v>
      </c>
      <c r="Z33" s="3" t="s">
        <v>1824</v>
      </c>
      <c r="AA33" s="3" t="s">
        <v>2781</v>
      </c>
      <c r="AB33" s="3" t="s">
        <v>2782</v>
      </c>
      <c r="AC33" s="3" t="s">
        <v>2783</v>
      </c>
      <c r="AD33" s="3" t="s">
        <v>4</v>
      </c>
      <c r="AE33" s="3">
        <v>10621418</v>
      </c>
      <c r="AF33" s="3" t="s">
        <v>21</v>
      </c>
      <c r="AG33" s="3">
        <v>6888.78</v>
      </c>
      <c r="AH33" s="3" t="s">
        <v>1730</v>
      </c>
      <c r="AI33" s="3" t="s">
        <v>2784</v>
      </c>
      <c r="AJ33" s="3" t="s">
        <v>1732</v>
      </c>
      <c r="AK33" s="3" t="s">
        <v>2785</v>
      </c>
      <c r="AL33" s="3" t="s">
        <v>1733</v>
      </c>
      <c r="AM33" s="3" t="s">
        <v>4</v>
      </c>
      <c r="AN33" s="3" t="s">
        <v>2435</v>
      </c>
      <c r="AO33" s="3" t="s">
        <v>1886</v>
      </c>
      <c r="AP33" s="3" t="s">
        <v>2786</v>
      </c>
      <c r="AQ33" s="3" t="s">
        <v>2787</v>
      </c>
      <c r="AR33" s="3" t="s">
        <v>4</v>
      </c>
      <c r="AS33" s="3" t="s">
        <v>2788</v>
      </c>
      <c r="AT33" s="3" t="s">
        <v>2789</v>
      </c>
      <c r="AU33" s="3" t="s">
        <v>2316</v>
      </c>
      <c r="AV33" s="3" t="s">
        <v>2790</v>
      </c>
      <c r="AW33" s="3" t="s">
        <v>2791</v>
      </c>
      <c r="AX33" s="3" t="s">
        <v>1251</v>
      </c>
      <c r="AY33" s="3" t="s">
        <v>899</v>
      </c>
      <c r="AZ33" s="3" t="s">
        <v>499</v>
      </c>
      <c r="BA33" s="3" t="s">
        <v>500</v>
      </c>
      <c r="BB33" s="3" t="s">
        <v>501</v>
      </c>
      <c r="BC33" s="3" t="s">
        <v>1252</v>
      </c>
      <c r="BD33" s="3" t="s">
        <v>637</v>
      </c>
      <c r="BE33" s="3" t="s">
        <v>254</v>
      </c>
      <c r="BF33" s="3" t="s">
        <v>70</v>
      </c>
      <c r="BG33" s="3" t="s">
        <v>502</v>
      </c>
      <c r="BH33" s="3" t="s">
        <v>1728</v>
      </c>
      <c r="BI33" s="3" t="s">
        <v>2792</v>
      </c>
      <c r="BJ33" s="3" t="s">
        <v>1251</v>
      </c>
      <c r="BK33" s="3" t="s">
        <v>1729</v>
      </c>
      <c r="BL33" s="3" t="s">
        <v>2793</v>
      </c>
      <c r="BM33" s="3" t="s">
        <v>1252</v>
      </c>
      <c r="BN33" s="3" t="s">
        <v>4</v>
      </c>
      <c r="BO33" s="3" t="s">
        <v>4</v>
      </c>
      <c r="BP33" s="3">
        <v>11.37</v>
      </c>
      <c r="BQ33" s="3">
        <v>0.67</v>
      </c>
      <c r="BR33" s="3">
        <v>-1.46</v>
      </c>
      <c r="BS33" s="3">
        <v>14.24</v>
      </c>
      <c r="BT33" s="3" t="s">
        <v>1510</v>
      </c>
      <c r="BU33" s="3" t="s">
        <v>1002</v>
      </c>
      <c r="BV33" s="3">
        <v>8.14</v>
      </c>
      <c r="BW33" s="3">
        <v>6.14</v>
      </c>
      <c r="BX33" s="3">
        <v>9.69</v>
      </c>
      <c r="BY33" s="3">
        <v>0.56000000000000005</v>
      </c>
      <c r="BZ33" s="3">
        <v>-0.6</v>
      </c>
      <c r="CA33" s="3">
        <v>3.15</v>
      </c>
      <c r="CB33" s="3">
        <v>-7.49</v>
      </c>
      <c r="CC33" s="3">
        <v>-12.01</v>
      </c>
      <c r="CD33" s="3" t="s">
        <v>2794</v>
      </c>
      <c r="CE33" s="3" t="s">
        <v>1355</v>
      </c>
      <c r="CF33" s="10">
        <v>-0.37039060366020216</v>
      </c>
      <c r="CG33" s="11">
        <v>-0.27449596969991258</v>
      </c>
      <c r="CH33" s="10">
        <v>-0.72621452808380127</v>
      </c>
      <c r="CI33" s="10">
        <v>-0.34533441066741943</v>
      </c>
      <c r="CJ33" s="10">
        <v>0.21309313178062439</v>
      </c>
      <c r="CK33" s="10">
        <v>0.71094262599945068</v>
      </c>
      <c r="CL33" s="10">
        <v>0.51306462287902832</v>
      </c>
      <c r="CM33" s="11">
        <v>1.1859226226806641</v>
      </c>
      <c r="CN33" s="11">
        <v>-1.1109963655471802</v>
      </c>
      <c r="CO33" s="11">
        <v>0.40310078859329224</v>
      </c>
      <c r="CP33" s="11">
        <v>1.324324369430542</v>
      </c>
      <c r="CQ33" s="11">
        <v>0.13165535032749176</v>
      </c>
      <c r="CR33" s="3">
        <v>30.181394672517836</v>
      </c>
      <c r="CS33" s="3">
        <v>4.1282007417335542</v>
      </c>
      <c r="CT33" s="3">
        <v>0.65412919051512675</v>
      </c>
      <c r="CU33" s="10">
        <v>7.3110288381576544E-2</v>
      </c>
      <c r="CV33" s="11">
        <v>0.38680135309696195</v>
      </c>
      <c r="CW33" s="3">
        <v>0.06</v>
      </c>
      <c r="CX33" s="3">
        <v>913.00433599705423</v>
      </c>
      <c r="CY33" s="3">
        <v>7562896.6125986492</v>
      </c>
      <c r="CZ33" s="3">
        <v>7.3110288381576544E-2</v>
      </c>
      <c r="DA33" s="3">
        <v>302.66733091592715</v>
      </c>
      <c r="DB33" s="3">
        <v>22813685.834887847</v>
      </c>
      <c r="DC33" s="3">
        <v>6.9454773962497718E-2</v>
      </c>
      <c r="DD33" s="3">
        <v>151.85983207417888</v>
      </c>
      <c r="DE33" s="3">
        <v>45469281.15018025</v>
      </c>
      <c r="DF33" s="3">
        <v>6.4337053775787356E-2</v>
      </c>
      <c r="DG33" s="3">
        <v>93.157271344305002</v>
      </c>
      <c r="DH33" s="3">
        <v>74121507.643558964</v>
      </c>
      <c r="DI33" s="3">
        <v>5.848823070526124E-2</v>
      </c>
      <c r="DJ33" s="3">
        <v>50.395451733318019</v>
      </c>
      <c r="DK33" s="3">
        <v>137015487.75749767</v>
      </c>
      <c r="DL33" s="3">
        <v>5.1177201867103575E-2</v>
      </c>
      <c r="DM33" s="3">
        <v>7470500</v>
      </c>
      <c r="DN33" s="3">
        <v>7.3110288381576544E-2</v>
      </c>
      <c r="DO33" s="3">
        <v>6904957400</v>
      </c>
      <c r="DP33" s="3">
        <v>507921500</v>
      </c>
      <c r="DQ33" s="3">
        <v>1314</v>
      </c>
      <c r="DR33" s="3">
        <v>-0.44350089204177867</v>
      </c>
      <c r="DS33" s="3">
        <v>-0.66129732279687459</v>
      </c>
      <c r="DT33" s="12">
        <v>-0.45666666666666672</v>
      </c>
      <c r="DU33" s="3">
        <v>-0.23666666666666661</v>
      </c>
      <c r="DV33" s="3">
        <v>-0.69333333333333336</v>
      </c>
      <c r="DW33" s="3">
        <v>-9.6236469608659458</v>
      </c>
      <c r="DX33" s="3">
        <v>0.34787119341563666</v>
      </c>
      <c r="DY33" s="3">
        <v>-9.0672735419386452</v>
      </c>
      <c r="DZ33" s="3">
        <v>1114</v>
      </c>
      <c r="EA33" s="3">
        <v>-9.0526076464944865</v>
      </c>
      <c r="EB33" s="3">
        <v>9</v>
      </c>
      <c r="EC33" s="3">
        <v>8.0026143047764883E-2</v>
      </c>
      <c r="ED33" s="3">
        <v>0.74186759702765714</v>
      </c>
      <c r="EE33" s="13">
        <v>-1.02691</v>
      </c>
      <c r="EF33" s="3">
        <v>-1.03461</v>
      </c>
      <c r="EG33" s="3">
        <v>24.107871193415637</v>
      </c>
      <c r="EH33" s="3" t="s">
        <v>1015</v>
      </c>
      <c r="EI33" s="3">
        <v>0</v>
      </c>
      <c r="EJ33" s="3">
        <v>1</v>
      </c>
      <c r="EK33" s="15">
        <v>45470</v>
      </c>
      <c r="EL33" s="16">
        <v>-0.59</v>
      </c>
      <c r="EM33" s="16">
        <v>-5.73</v>
      </c>
      <c r="EN33" s="16">
        <v>-2.4500000000000002</v>
      </c>
      <c r="EO33" s="16">
        <v>4.7699999999999996</v>
      </c>
      <c r="EP33" s="16">
        <v>-0.77</v>
      </c>
    </row>
    <row r="34" spans="3:146" ht="96" x14ac:dyDescent="0.25">
      <c r="C34" s="7" t="str">
        <f>""&amp;CHAR(10)&amp;Basic_Fundamental_Information_Constructure(F34)&amp;CHAR(10)&amp;Basic_Fundamental_Information_Concatenate("")</f>
        <v xml:space="preserve">
市值39.976146亿, 利润3074.64万; PE65.18; 平均PE31.12; 平均PEG4.34, PB1.7; ROIC7.2567%; ROE9.6667%; 股利率.1087%; 毛利20.4067%; 净利9.0667%; 上一年度营收增-75.07%, 利润增-85.07%; 当季营收增-44.24%, 利润增28.4%; 过往5年营收增7.17%, 利润增55.62%
Income profile:
</v>
      </c>
      <c r="D34" s="3" t="s">
        <v>503</v>
      </c>
      <c r="E34" s="3" t="s">
        <v>504</v>
      </c>
      <c r="F34" s="3">
        <v>22.99</v>
      </c>
      <c r="G34" s="3">
        <v>1.91</v>
      </c>
      <c r="H34" s="3" t="s">
        <v>2795</v>
      </c>
      <c r="I34" s="3">
        <v>3997614600</v>
      </c>
      <c r="J34" s="3">
        <v>65.180000000000007</v>
      </c>
      <c r="K34" s="3">
        <v>1.7</v>
      </c>
      <c r="L34" s="3" t="s">
        <v>343</v>
      </c>
      <c r="M34" s="3" t="s">
        <v>1735</v>
      </c>
      <c r="N34" s="3" t="s">
        <v>2796</v>
      </c>
      <c r="O34" s="3" t="s">
        <v>1449</v>
      </c>
      <c r="P34" s="3">
        <v>27.45</v>
      </c>
      <c r="Q34" s="3" t="s">
        <v>1449</v>
      </c>
      <c r="R34" s="3">
        <v>30746351</v>
      </c>
      <c r="S34" s="5">
        <v>1.516</v>
      </c>
      <c r="T34" s="3" t="s">
        <v>2797</v>
      </c>
      <c r="U34" s="3">
        <v>148775810</v>
      </c>
      <c r="V34" s="3">
        <v>173884930</v>
      </c>
      <c r="W34" s="3">
        <v>1.96</v>
      </c>
      <c r="X34" s="3">
        <v>0.12</v>
      </c>
      <c r="Y34" s="3">
        <v>5.73</v>
      </c>
      <c r="Z34" s="3" t="s">
        <v>1264</v>
      </c>
      <c r="AA34" s="3" t="s">
        <v>2798</v>
      </c>
      <c r="AB34" s="3" t="s">
        <v>2799</v>
      </c>
      <c r="AC34" s="3" t="s">
        <v>2800</v>
      </c>
      <c r="AD34" s="3" t="s">
        <v>4</v>
      </c>
      <c r="AE34" s="3">
        <v>-8474175</v>
      </c>
      <c r="AF34" s="3" t="s">
        <v>1740</v>
      </c>
      <c r="AG34" s="3">
        <v>1001.37</v>
      </c>
      <c r="AH34" s="3" t="s">
        <v>1741</v>
      </c>
      <c r="AI34" s="3" t="s">
        <v>510</v>
      </c>
      <c r="AJ34" s="3" t="s">
        <v>1742</v>
      </c>
      <c r="AK34" s="3" t="s">
        <v>4</v>
      </c>
      <c r="AL34" s="3" t="s">
        <v>1743</v>
      </c>
      <c r="AM34" s="3" t="s">
        <v>4</v>
      </c>
      <c r="AN34" s="3" t="s">
        <v>283</v>
      </c>
      <c r="AO34" s="3" t="s">
        <v>561</v>
      </c>
      <c r="AP34" s="3" t="s">
        <v>4</v>
      </c>
      <c r="AQ34" s="3" t="s">
        <v>2801</v>
      </c>
      <c r="AR34" s="3" t="s">
        <v>4</v>
      </c>
      <c r="AS34" s="3" t="s">
        <v>2802</v>
      </c>
      <c r="AT34" s="3" t="s">
        <v>81</v>
      </c>
      <c r="AU34" s="3" t="s">
        <v>2803</v>
      </c>
      <c r="AV34" s="3" t="s">
        <v>1428</v>
      </c>
      <c r="AW34" s="3" t="s">
        <v>1630</v>
      </c>
      <c r="AX34" s="3" t="s">
        <v>1216</v>
      </c>
      <c r="AY34" s="3" t="s">
        <v>900</v>
      </c>
      <c r="AZ34" s="3" t="s">
        <v>293</v>
      </c>
      <c r="BA34" s="3" t="s">
        <v>288</v>
      </c>
      <c r="BB34" s="3" t="s">
        <v>505</v>
      </c>
      <c r="BC34" s="3" t="s">
        <v>25</v>
      </c>
      <c r="BD34" s="3" t="s">
        <v>155</v>
      </c>
      <c r="BE34" s="3" t="s">
        <v>190</v>
      </c>
      <c r="BF34" s="3" t="s">
        <v>506</v>
      </c>
      <c r="BG34" s="3" t="s">
        <v>507</v>
      </c>
      <c r="BH34" s="3" t="s">
        <v>1737</v>
      </c>
      <c r="BI34" s="3" t="s">
        <v>322</v>
      </c>
      <c r="BJ34" s="3" t="s">
        <v>1216</v>
      </c>
      <c r="BK34" s="3" t="s">
        <v>1738</v>
      </c>
      <c r="BL34" s="3" t="s">
        <v>2804</v>
      </c>
      <c r="BM34" s="3" t="s">
        <v>25</v>
      </c>
      <c r="BN34" s="3">
        <v>1.95</v>
      </c>
      <c r="BO34" s="3">
        <v>7.22</v>
      </c>
      <c r="BP34" s="3">
        <v>12.6</v>
      </c>
      <c r="BQ34" s="3">
        <v>2.5</v>
      </c>
      <c r="BR34" s="3">
        <v>9.25</v>
      </c>
      <c r="BS34" s="3">
        <v>17.25</v>
      </c>
      <c r="BT34" s="3" t="s">
        <v>1744</v>
      </c>
      <c r="BU34" s="3" t="s">
        <v>1002</v>
      </c>
      <c r="BV34" s="3">
        <v>14.81</v>
      </c>
      <c r="BW34" s="3">
        <v>21.42</v>
      </c>
      <c r="BX34" s="3">
        <v>24.99</v>
      </c>
      <c r="BY34" s="3">
        <v>2.08</v>
      </c>
      <c r="BZ34" s="3">
        <v>9.77</v>
      </c>
      <c r="CA34" s="3">
        <v>15.35</v>
      </c>
      <c r="CB34" s="3">
        <v>-4.68</v>
      </c>
      <c r="CC34" s="3">
        <v>-7.54</v>
      </c>
      <c r="CD34" s="3" t="s">
        <v>2805</v>
      </c>
      <c r="CE34" s="3" t="s">
        <v>111</v>
      </c>
      <c r="CF34" s="10">
        <v>-0.44238683127572026</v>
      </c>
      <c r="CG34" s="11">
        <v>0.28396548124143922</v>
      </c>
      <c r="CH34" s="10">
        <v>-0.75068998336791992</v>
      </c>
      <c r="CI34" s="10">
        <v>-5.6423556059598923E-2</v>
      </c>
      <c r="CJ34" s="10">
        <v>0.20944885909557343</v>
      </c>
      <c r="CK34" s="10">
        <v>0.31288754940032959</v>
      </c>
      <c r="CL34" s="10">
        <v>0.64326167106628418</v>
      </c>
      <c r="CM34" s="11">
        <v>-0.85074561834335327</v>
      </c>
      <c r="CN34" s="11">
        <v>-0.39053255319595337</v>
      </c>
      <c r="CO34" s="11">
        <v>1.8888888359069824</v>
      </c>
      <c r="CP34" s="11">
        <v>1.2828154563903809</v>
      </c>
      <c r="CQ34" s="11">
        <v>0.85037094354629517</v>
      </c>
      <c r="CR34" s="3">
        <v>31.122055945692821</v>
      </c>
      <c r="CS34" s="3">
        <v>4.3407807675613439</v>
      </c>
      <c r="CT34" s="3">
        <v>0.1087429317094389</v>
      </c>
      <c r="CU34" s="10">
        <v>7.1696908026933667E-2</v>
      </c>
      <c r="CV34" s="11">
        <v>0.55615941286087034</v>
      </c>
      <c r="CW34" s="3">
        <v>0.06</v>
      </c>
      <c r="CX34" s="3">
        <v>108.68716708581421</v>
      </c>
      <c r="CY34" s="3">
        <v>31085680.955621991</v>
      </c>
      <c r="CZ34" s="3">
        <v>7.1696908026933667E-2</v>
      </c>
      <c r="DA34" s="3">
        <v>36.073875651146579</v>
      </c>
      <c r="DB34" s="3">
        <v>93658209.410959527</v>
      </c>
      <c r="DC34" s="3">
        <v>6.8112062625586986E-2</v>
      </c>
      <c r="DD34" s="3">
        <v>18.128358372278299</v>
      </c>
      <c r="DE34" s="3">
        <v>186371790.02189979</v>
      </c>
      <c r="DF34" s="3">
        <v>6.3093279063701629E-2</v>
      </c>
      <c r="DG34" s="3">
        <v>11.140257876401446</v>
      </c>
      <c r="DH34" s="3">
        <v>303279747.87342793</v>
      </c>
      <c r="DI34" s="3">
        <v>5.7357526421546935E-2</v>
      </c>
      <c r="DJ34" s="3">
        <v>6.0492059649197802</v>
      </c>
      <c r="DK34" s="3">
        <v>558521997.69574296</v>
      </c>
      <c r="DL34" s="3">
        <v>5.0187835618853566E-2</v>
      </c>
      <c r="DM34" s="3">
        <v>30746400</v>
      </c>
      <c r="DN34" s="3">
        <v>7.1696908026933667E-2</v>
      </c>
      <c r="DO34" s="3">
        <v>3378614600</v>
      </c>
      <c r="DP34" s="3">
        <v>324008400.00000024</v>
      </c>
      <c r="DQ34" s="3">
        <v>1343</v>
      </c>
      <c r="DR34" s="3">
        <v>-0.51408373930265394</v>
      </c>
      <c r="DS34" s="3">
        <v>-0.27219393161943112</v>
      </c>
      <c r="DT34" s="12">
        <v>-0.32333333333333331</v>
      </c>
      <c r="DU34" s="3">
        <v>0.52166666666666661</v>
      </c>
      <c r="DV34" s="3">
        <v>0.19833333333333331</v>
      </c>
      <c r="DW34" s="3">
        <v>-8.6206896551724128</v>
      </c>
      <c r="DX34" s="3">
        <v>0.42576818181818082</v>
      </c>
      <c r="DY34" s="3">
        <v>-8.0780630094043886</v>
      </c>
      <c r="DZ34" s="3">
        <v>662</v>
      </c>
      <c r="EA34" s="3">
        <v>-8.0679499541743098</v>
      </c>
      <c r="EB34" s="3">
        <v>8</v>
      </c>
      <c r="EC34" s="3">
        <v>7.9561236272746583E-2</v>
      </c>
      <c r="ED34" s="3">
        <v>0.63260226173711553</v>
      </c>
      <c r="EE34" s="13">
        <v>-1.0584100000000001</v>
      </c>
      <c r="EF34" s="3">
        <v>-1.07911</v>
      </c>
      <c r="EG34" s="3">
        <v>30.125768181818181</v>
      </c>
      <c r="EH34" s="3" t="s">
        <v>1015</v>
      </c>
      <c r="EI34" s="3">
        <v>0</v>
      </c>
      <c r="EJ34" s="3">
        <v>1</v>
      </c>
      <c r="EK34" s="15">
        <v>45470</v>
      </c>
      <c r="EL34" s="16">
        <v>-0.28999999999999998</v>
      </c>
      <c r="EM34" s="16">
        <v>-5.43</v>
      </c>
      <c r="EN34" s="16">
        <v>-3.7</v>
      </c>
      <c r="EO34" s="16">
        <v>7.14</v>
      </c>
      <c r="EP34" s="16">
        <v>-2.0699999999999998</v>
      </c>
    </row>
    <row r="35" spans="3:146" ht="96" x14ac:dyDescent="0.25">
      <c r="C35" s="7" t="str">
        <f>""&amp;CHAR(10)&amp;Basic_Fundamental_Information_Constructure(F35)&amp;CHAR(10)&amp;Basic_Fundamental_Information_Concatenate("")</f>
        <v xml:space="preserve">
市值31.602582亿, 利润775.05万; PE225.3; 平均PE42.98; 平均PEG13.91, PB3.63; ROIC6.8367%; ROE7.2733%; 股利率.416%; 毛利17.53%; 净利8.27%; 上一年度营收增-83.28%, 利润增-93.59%; 当季营收增-59.89%, 利润增-81.65%; 过往5年营收增-3.09%, 利润增2.24%
Income profile:
</v>
      </c>
      <c r="D35" s="3" t="s">
        <v>508</v>
      </c>
      <c r="E35" s="3" t="s">
        <v>509</v>
      </c>
      <c r="F35" s="3">
        <v>19.23</v>
      </c>
      <c r="G35" s="3">
        <v>0.05</v>
      </c>
      <c r="H35" s="3" t="s">
        <v>2806</v>
      </c>
      <c r="I35" s="3">
        <v>3160258200</v>
      </c>
      <c r="J35" s="3">
        <v>225.3</v>
      </c>
      <c r="K35" s="3">
        <v>3.63</v>
      </c>
      <c r="L35" s="3" t="s">
        <v>343</v>
      </c>
      <c r="M35" s="3" t="s">
        <v>75</v>
      </c>
      <c r="N35" s="3" t="s">
        <v>1379</v>
      </c>
      <c r="O35" s="3" t="s">
        <v>1054</v>
      </c>
      <c r="P35" s="3">
        <v>-22.79</v>
      </c>
      <c r="Q35" s="3" t="s">
        <v>1054</v>
      </c>
      <c r="R35" s="3">
        <v>7750455</v>
      </c>
      <c r="S35" s="5">
        <v>-0.54400000000000004</v>
      </c>
      <c r="T35" s="3" t="s">
        <v>2807</v>
      </c>
      <c r="U35" s="3">
        <v>132045032</v>
      </c>
      <c r="V35" s="3">
        <v>164340000</v>
      </c>
      <c r="W35" s="3">
        <v>1.27</v>
      </c>
      <c r="X35" s="3">
        <v>0.13</v>
      </c>
      <c r="Y35" s="3">
        <v>5.12</v>
      </c>
      <c r="Z35" s="3" t="s">
        <v>158</v>
      </c>
      <c r="AA35" s="3" t="s">
        <v>65</v>
      </c>
      <c r="AB35" s="3" t="s">
        <v>2808</v>
      </c>
      <c r="AC35" s="3" t="s">
        <v>2809</v>
      </c>
      <c r="AD35" s="3" t="s">
        <v>4</v>
      </c>
      <c r="AE35" s="3">
        <v>-2278520</v>
      </c>
      <c r="AF35" s="3" t="s">
        <v>1747</v>
      </c>
      <c r="AG35" s="3" t="s">
        <v>4</v>
      </c>
      <c r="AH35" s="3" t="s">
        <v>1748</v>
      </c>
      <c r="AI35" s="3" t="s">
        <v>2810</v>
      </c>
      <c r="AJ35" s="3" t="s">
        <v>1749</v>
      </c>
      <c r="AK35" s="3" t="s">
        <v>2811</v>
      </c>
      <c r="AL35" s="3" t="s">
        <v>1750</v>
      </c>
      <c r="AM35" s="3" t="s">
        <v>4</v>
      </c>
      <c r="AN35" s="3" t="s">
        <v>2812</v>
      </c>
      <c r="AO35" s="3" t="s">
        <v>4</v>
      </c>
      <c r="AP35" s="3" t="s">
        <v>4</v>
      </c>
      <c r="AQ35" s="3" t="s">
        <v>252</v>
      </c>
      <c r="AR35" s="3" t="s">
        <v>4</v>
      </c>
      <c r="AS35" s="3" t="s">
        <v>84</v>
      </c>
      <c r="AT35" s="3" t="s">
        <v>4</v>
      </c>
      <c r="AU35" s="3" t="s">
        <v>2813</v>
      </c>
      <c r="AV35" s="3" t="s">
        <v>2814</v>
      </c>
      <c r="AW35" s="3" t="s">
        <v>2815</v>
      </c>
      <c r="AX35" s="3" t="s">
        <v>236</v>
      </c>
      <c r="AY35" s="3" t="s">
        <v>86</v>
      </c>
      <c r="AZ35" s="3" t="s">
        <v>510</v>
      </c>
      <c r="BA35" s="3" t="s">
        <v>300</v>
      </c>
      <c r="BB35" s="3" t="s">
        <v>281</v>
      </c>
      <c r="BC35" s="3" t="s">
        <v>124</v>
      </c>
      <c r="BD35" s="3" t="s">
        <v>901</v>
      </c>
      <c r="BE35" s="3" t="s">
        <v>511</v>
      </c>
      <c r="BF35" s="3" t="s">
        <v>513</v>
      </c>
      <c r="BG35" s="3" t="s">
        <v>514</v>
      </c>
      <c r="BH35" s="3" t="s">
        <v>648</v>
      </c>
      <c r="BI35" s="3" t="s">
        <v>136</v>
      </c>
      <c r="BJ35" s="3" t="s">
        <v>236</v>
      </c>
      <c r="BK35" s="3" t="s">
        <v>1746</v>
      </c>
      <c r="BL35" s="3" t="s">
        <v>2816</v>
      </c>
      <c r="BM35" s="3" t="s">
        <v>124</v>
      </c>
      <c r="BN35" s="3">
        <v>1.1200000000000001</v>
      </c>
      <c r="BO35" s="3">
        <v>13.98</v>
      </c>
      <c r="BP35" s="3">
        <v>5.41</v>
      </c>
      <c r="BQ35" s="3">
        <v>2.2799999999999998</v>
      </c>
      <c r="BR35" s="3">
        <v>14.01</v>
      </c>
      <c r="BS35" s="3">
        <v>5.53</v>
      </c>
      <c r="BT35" s="3" t="s">
        <v>1510</v>
      </c>
      <c r="BU35" s="3" t="s">
        <v>1002</v>
      </c>
      <c r="BV35" s="3">
        <v>17.71</v>
      </c>
      <c r="BW35" s="3">
        <v>20.52</v>
      </c>
      <c r="BX35" s="3">
        <v>14.36</v>
      </c>
      <c r="BY35" s="3">
        <v>3.19</v>
      </c>
      <c r="BZ35" s="3">
        <v>14.09</v>
      </c>
      <c r="CA35" s="3">
        <v>7.53</v>
      </c>
      <c r="CB35" s="3">
        <v>-6.42</v>
      </c>
      <c r="CC35" s="3">
        <v>-23.45</v>
      </c>
      <c r="CD35" s="3" t="s">
        <v>2817</v>
      </c>
      <c r="CE35" s="3" t="s">
        <v>2818</v>
      </c>
      <c r="CF35" s="10">
        <v>-0.59891598915989164</v>
      </c>
      <c r="CG35" s="11">
        <v>-0.81649212738250265</v>
      </c>
      <c r="CH35" s="10">
        <v>-0.83276838064193726</v>
      </c>
      <c r="CI35" s="10">
        <v>0.45081967115402222</v>
      </c>
      <c r="CJ35" s="10">
        <v>0.31465518474578857</v>
      </c>
      <c r="CK35" s="10">
        <v>3.803132101893425E-2</v>
      </c>
      <c r="CL35" s="10">
        <v>-0.1252446174621582</v>
      </c>
      <c r="CM35" s="11">
        <v>-0.93594628572463989</v>
      </c>
      <c r="CN35" s="11">
        <v>1.6317448616027832</v>
      </c>
      <c r="CO35" s="11">
        <v>-0.46698716282844543</v>
      </c>
      <c r="CP35" s="11">
        <v>6.1826940625905991E-2</v>
      </c>
      <c r="CQ35" s="11">
        <v>-0.17880165576934814</v>
      </c>
      <c r="CR35" s="3">
        <v>42.98239248649373</v>
      </c>
      <c r="CS35" s="3">
        <v>13.909545273386644</v>
      </c>
      <c r="CT35" s="3">
        <v>0.41601664066562666</v>
      </c>
      <c r="CU35" s="10">
        <v>-3.0901364237070083E-2</v>
      </c>
      <c r="CV35" s="11">
        <v>2.2367339581251144E-2</v>
      </c>
      <c r="CW35" s="3">
        <v>0.06</v>
      </c>
      <c r="CX35" s="3">
        <v>325.43167537578222</v>
      </c>
      <c r="CY35" s="3" t="s">
        <v>2819</v>
      </c>
      <c r="CZ35" s="3">
        <v>-3.0901364237070083E-2</v>
      </c>
      <c r="DA35" s="3">
        <v>108.47722512526073</v>
      </c>
      <c r="DB35" s="3" t="s">
        <v>2820</v>
      </c>
      <c r="DC35" s="3">
        <v>-2.9356296025216576E-2</v>
      </c>
      <c r="DD35" s="3">
        <v>54.238612562630365</v>
      </c>
      <c r="DE35" s="3" t="s">
        <v>2821</v>
      </c>
      <c r="DF35" s="3">
        <v>-2.7193200528621671E-2</v>
      </c>
      <c r="DG35" s="3">
        <v>32.543167537578221</v>
      </c>
      <c r="DH35" s="3" t="s">
        <v>2822</v>
      </c>
      <c r="DI35" s="3">
        <v>-2.4721091389656068E-2</v>
      </c>
      <c r="DJ35" s="3">
        <v>16.27158376878911</v>
      </c>
      <c r="DK35" s="3" t="s">
        <v>2823</v>
      </c>
      <c r="DL35" s="3">
        <v>-2.1630954965949058E-2</v>
      </c>
      <c r="DM35" s="3">
        <v>7750500</v>
      </c>
      <c r="DN35" s="3">
        <v>-3.0901364237070083E-2</v>
      </c>
      <c r="DO35" s="3">
        <v>2522258200</v>
      </c>
      <c r="DP35" s="3">
        <v>636157360</v>
      </c>
      <c r="DQ35" s="3">
        <v>1413</v>
      </c>
      <c r="DR35" s="3">
        <v>-0.56801462492282151</v>
      </c>
      <c r="DS35" s="3">
        <v>-0.8388594669637538</v>
      </c>
      <c r="DT35" s="12">
        <v>-0.49</v>
      </c>
      <c r="DU35" s="3">
        <v>-0.70666666666666667</v>
      </c>
      <c r="DV35" s="3">
        <v>-1.1966666666666668</v>
      </c>
      <c r="DW35" s="3">
        <v>-9.2737739872068232</v>
      </c>
      <c r="DX35" s="3">
        <v>0.34762864586306463</v>
      </c>
      <c r="DY35" s="3">
        <v>-9.0267281836435345</v>
      </c>
      <c r="DZ35" s="3">
        <v>3357</v>
      </c>
      <c r="EA35" s="3">
        <v>-9.0091691792420967</v>
      </c>
      <c r="EB35" s="3">
        <v>9</v>
      </c>
      <c r="EC35" s="3">
        <v>5.5281732992576368E-2</v>
      </c>
      <c r="ED35" s="3">
        <v>0.5662449799196787</v>
      </c>
      <c r="EE35" s="13">
        <v>7.0670000000000002</v>
      </c>
      <c r="EF35" s="3">
        <v>7.0499000000000001</v>
      </c>
      <c r="EG35" s="3">
        <v>25.097628645863065</v>
      </c>
      <c r="EH35" s="3" t="s">
        <v>1214</v>
      </c>
      <c r="EI35" s="3">
        <v>0</v>
      </c>
      <c r="EJ35" s="3">
        <v>0</v>
      </c>
      <c r="EK35" s="15">
        <v>45470</v>
      </c>
      <c r="EL35" s="16">
        <v>-0.53</v>
      </c>
      <c r="EM35" s="16">
        <v>-5.89</v>
      </c>
      <c r="EN35" s="16">
        <v>0.36</v>
      </c>
      <c r="EO35" s="16">
        <v>5.26</v>
      </c>
      <c r="EP35" s="16">
        <v>-1.71</v>
      </c>
    </row>
    <row r="36" spans="3:146" ht="96" x14ac:dyDescent="0.25">
      <c r="C36" s="7" t="str">
        <f>""&amp;CHAR(10)&amp;Basic_Fundamental_Information_Constructure(F36)&amp;CHAR(10)&amp;Basic_Fundamental_Information_Concatenate("")</f>
        <v xml:space="preserve">
市值50.131906亿, 利润2508.22万; PE15.44; 平均PE22.76; 平均PEG1.6, PB1.45; ROIC8.7433%; ROE8.3533%; 股利率2.0028%; 毛利27.32%; 净利7.4%; 上一年度营收增-87.89%, 利润增-93.67%; 当季营收增-66.01%, 利润增-82.46%; 过往5年营收增-14.22%, 利润增13.41%
Income profile:
</v>
      </c>
      <c r="D36" s="3" t="s">
        <v>515</v>
      </c>
      <c r="E36" s="3" t="s">
        <v>516</v>
      </c>
      <c r="F36" s="3">
        <v>21.22</v>
      </c>
      <c r="G36" s="3">
        <v>2.2200000000000002</v>
      </c>
      <c r="H36" s="3" t="s">
        <v>2824</v>
      </c>
      <c r="I36" s="3">
        <v>5013190600</v>
      </c>
      <c r="J36" s="3">
        <v>15.44</v>
      </c>
      <c r="K36" s="3">
        <v>1.45</v>
      </c>
      <c r="L36" s="3" t="s">
        <v>343</v>
      </c>
      <c r="M36" s="3" t="s">
        <v>1751</v>
      </c>
      <c r="N36" s="3" t="s">
        <v>2825</v>
      </c>
      <c r="O36" s="3" t="s">
        <v>537</v>
      </c>
      <c r="P36" s="3">
        <v>-15.64</v>
      </c>
      <c r="Q36" s="3" t="s">
        <v>537</v>
      </c>
      <c r="R36" s="3">
        <v>25082183</v>
      </c>
      <c r="S36" s="5">
        <v>9.3899999999999997E-2</v>
      </c>
      <c r="T36" s="3" t="s">
        <v>2826</v>
      </c>
      <c r="U36" s="3">
        <v>187719320</v>
      </c>
      <c r="V36" s="3">
        <v>236248380</v>
      </c>
      <c r="W36" s="3">
        <v>1.34</v>
      </c>
      <c r="X36" s="3">
        <v>0.12</v>
      </c>
      <c r="Y36" s="3">
        <v>4.2</v>
      </c>
      <c r="Z36" s="3" t="s">
        <v>227</v>
      </c>
      <c r="AA36" s="3" t="s">
        <v>1012</v>
      </c>
      <c r="AB36" s="3" t="s">
        <v>2827</v>
      </c>
      <c r="AC36" s="3" t="s">
        <v>2828</v>
      </c>
      <c r="AD36" s="3" t="s">
        <v>4</v>
      </c>
      <c r="AE36" s="3">
        <v>-7352389</v>
      </c>
      <c r="AF36" s="3" t="s">
        <v>1753</v>
      </c>
      <c r="AG36" s="3" t="s">
        <v>2829</v>
      </c>
      <c r="AH36" s="3" t="s">
        <v>1754</v>
      </c>
      <c r="AI36" s="3" t="s">
        <v>1520</v>
      </c>
      <c r="AJ36" s="3" t="s">
        <v>1755</v>
      </c>
      <c r="AK36" s="3" t="s">
        <v>2830</v>
      </c>
      <c r="AL36" s="3" t="s">
        <v>1756</v>
      </c>
      <c r="AM36" s="3" t="s">
        <v>4</v>
      </c>
      <c r="AN36" s="3">
        <v>0</v>
      </c>
      <c r="AO36" s="3" t="s">
        <v>2831</v>
      </c>
      <c r="AP36" s="3" t="s">
        <v>2832</v>
      </c>
      <c r="AQ36" s="3" t="s">
        <v>1018</v>
      </c>
      <c r="AR36" s="3" t="s">
        <v>4</v>
      </c>
      <c r="AS36" s="3" t="s">
        <v>1303</v>
      </c>
      <c r="AT36" s="3" t="s">
        <v>2833</v>
      </c>
      <c r="AU36" s="3" t="s">
        <v>1489</v>
      </c>
      <c r="AV36" s="3" t="s">
        <v>2834</v>
      </c>
      <c r="AW36" s="3" t="s">
        <v>2835</v>
      </c>
      <c r="AX36" s="3" t="s">
        <v>1256</v>
      </c>
      <c r="AY36" s="3" t="s">
        <v>902</v>
      </c>
      <c r="AZ36" s="3" t="s">
        <v>220</v>
      </c>
      <c r="BA36" s="3" t="s">
        <v>518</v>
      </c>
      <c r="BB36" s="3" t="s">
        <v>519</v>
      </c>
      <c r="BC36" s="3" t="s">
        <v>150</v>
      </c>
      <c r="BD36" s="3" t="s">
        <v>90</v>
      </c>
      <c r="BE36" s="3" t="s">
        <v>517</v>
      </c>
      <c r="BF36" s="3" t="s">
        <v>304</v>
      </c>
      <c r="BG36" s="3" t="s">
        <v>191</v>
      </c>
      <c r="BH36" s="3" t="s">
        <v>1752</v>
      </c>
      <c r="BI36" s="3" t="s">
        <v>2836</v>
      </c>
      <c r="BJ36" s="3" t="s">
        <v>1256</v>
      </c>
      <c r="BK36" s="3" t="s">
        <v>1220</v>
      </c>
      <c r="BL36" s="3" t="s">
        <v>274</v>
      </c>
      <c r="BM36" s="3" t="s">
        <v>150</v>
      </c>
      <c r="BN36" s="3">
        <v>7.88</v>
      </c>
      <c r="BO36" s="3">
        <v>12.49</v>
      </c>
      <c r="BP36" s="3">
        <v>5.86</v>
      </c>
      <c r="BQ36" s="3">
        <v>7.71</v>
      </c>
      <c r="BR36" s="3">
        <v>11.88</v>
      </c>
      <c r="BS36" s="3">
        <v>5.47</v>
      </c>
      <c r="BT36" s="3" t="s">
        <v>1757</v>
      </c>
      <c r="BU36" s="3" t="s">
        <v>1002</v>
      </c>
      <c r="BV36" s="3">
        <v>31.93</v>
      </c>
      <c r="BW36" s="3">
        <v>29.16</v>
      </c>
      <c r="BX36" s="3">
        <v>20.87</v>
      </c>
      <c r="BY36" s="3">
        <v>9.56</v>
      </c>
      <c r="BZ36" s="3">
        <v>9.42</v>
      </c>
      <c r="CA36" s="3">
        <v>3.22</v>
      </c>
      <c r="CB36" s="3">
        <v>-7.56</v>
      </c>
      <c r="CC36" s="3">
        <v>-18.78</v>
      </c>
      <c r="CD36" s="3" t="s">
        <v>2837</v>
      </c>
      <c r="CE36" s="3" t="s">
        <v>2838</v>
      </c>
      <c r="CF36" s="10">
        <v>-0.66008636644046881</v>
      </c>
      <c r="CG36" s="11">
        <v>-0.82460011888111884</v>
      </c>
      <c r="CH36" s="10">
        <v>-0.87887448072433472</v>
      </c>
      <c r="CI36" s="10">
        <v>-0.21717426180839539</v>
      </c>
      <c r="CJ36" s="10">
        <v>0.45493239164352417</v>
      </c>
      <c r="CK36" s="10">
        <v>-0.17308492958545685</v>
      </c>
      <c r="CL36" s="10">
        <v>0.10324355214834213</v>
      </c>
      <c r="CM36" s="11">
        <v>-0.93666106462478638</v>
      </c>
      <c r="CN36" s="11">
        <v>1.3431953191757202</v>
      </c>
      <c r="CO36" s="11">
        <v>1.0694731473922729</v>
      </c>
      <c r="CP36" s="11">
        <v>-0.7399258017539978</v>
      </c>
      <c r="CQ36" s="11">
        <v>-6.5476194024085999E-2</v>
      </c>
      <c r="CR36" s="3">
        <v>22.757137134191115</v>
      </c>
      <c r="CS36" s="3">
        <v>1.6004564144596989</v>
      </c>
      <c r="CT36" s="3">
        <v>2.0028275212064091</v>
      </c>
      <c r="CU36" s="10">
        <v>-0.14219154566526412</v>
      </c>
      <c r="CV36" s="11">
        <v>0.1341210812330246</v>
      </c>
      <c r="CW36" s="3">
        <v>0.06</v>
      </c>
      <c r="CX36" s="3">
        <v>114.55098037652199</v>
      </c>
      <c r="CY36" s="3" t="s">
        <v>2839</v>
      </c>
      <c r="CZ36" s="3">
        <v>-0.14219154566526412</v>
      </c>
      <c r="DA36" s="3">
        <v>38.18366012550733</v>
      </c>
      <c r="DB36" s="3" t="s">
        <v>2840</v>
      </c>
      <c r="DC36" s="3">
        <v>-0.1350819683820009</v>
      </c>
      <c r="DD36" s="3">
        <v>19.091830062753665</v>
      </c>
      <c r="DE36" s="3" t="s">
        <v>2841</v>
      </c>
      <c r="DF36" s="3">
        <v>-0.12512856018543242</v>
      </c>
      <c r="DG36" s="3">
        <v>11.455098037652199</v>
      </c>
      <c r="DH36" s="3" t="s">
        <v>2842</v>
      </c>
      <c r="DI36" s="3">
        <v>-0.11375323653221131</v>
      </c>
      <c r="DJ36" s="3">
        <v>5.7275490188260996</v>
      </c>
      <c r="DK36" s="3" t="s">
        <v>2843</v>
      </c>
      <c r="DL36" s="3">
        <v>-9.9534081965684876E-2</v>
      </c>
      <c r="DM36" s="3">
        <v>25082199.999999996</v>
      </c>
      <c r="DN36" s="3">
        <v>-0.14219154566526412</v>
      </c>
      <c r="DO36" s="3">
        <v>2873190600</v>
      </c>
      <c r="DP36" s="3">
        <v>2478066200</v>
      </c>
      <c r="DQ36" s="3">
        <v>1415</v>
      </c>
      <c r="DR36" s="3">
        <v>-0.51789482077520466</v>
      </c>
      <c r="DS36" s="3">
        <v>-0.95872120011414341</v>
      </c>
      <c r="DT36" s="12">
        <v>-0.90666666666666662</v>
      </c>
      <c r="DU36" s="3">
        <v>-0.44</v>
      </c>
      <c r="DV36" s="3">
        <v>-1.3466666666666667</v>
      </c>
      <c r="DW36" s="3">
        <v>-9.4025559105431302</v>
      </c>
      <c r="DX36" s="3">
        <v>0.44485801402053665</v>
      </c>
      <c r="DY36" s="3">
        <v>-9.0623390088389382</v>
      </c>
      <c r="DZ36" s="3">
        <v>2690</v>
      </c>
      <c r="EA36" s="3">
        <v>-9.029522583442315</v>
      </c>
      <c r="EB36" s="3">
        <v>9</v>
      </c>
      <c r="EC36" s="3">
        <v>4.8062551794005953E-2</v>
      </c>
      <c r="ED36" s="3">
        <v>0.31036530282239394</v>
      </c>
      <c r="EE36" s="13">
        <v>-4.06731</v>
      </c>
      <c r="EF36" s="3">
        <v>-4.0781099999999997</v>
      </c>
      <c r="EG36" s="3">
        <v>29.154858014020537</v>
      </c>
      <c r="EH36" s="3" t="s">
        <v>1511</v>
      </c>
      <c r="EI36" s="3">
        <v>0</v>
      </c>
      <c r="EJ36" s="3">
        <v>0</v>
      </c>
      <c r="EK36" s="15">
        <v>45470</v>
      </c>
      <c r="EL36" s="16">
        <v>-0.57999999999999996</v>
      </c>
      <c r="EM36" s="16">
        <v>-5.46</v>
      </c>
      <c r="EN36" s="16">
        <v>-1.96</v>
      </c>
      <c r="EO36" s="16">
        <v>5.17</v>
      </c>
      <c r="EP36" s="16">
        <v>-1.08</v>
      </c>
    </row>
    <row r="37" spans="3:146" ht="96" x14ac:dyDescent="0.25">
      <c r="C37" s="7" t="str">
        <f>""&amp;CHAR(10)&amp;Basic_Fundamental_Information_Constructure(F37)&amp;CHAR(10)&amp;Basic_Fundamental_Information_Concatenate("")</f>
        <v xml:space="preserve">
市值42.291476亿, 利润2138.05万; PE54.97; 平均PE40.23; 平均PEG72.73, PB2.3; ROIC2.8333%; ROE4.0833%; 股利率1.3793%; 毛利17.4767%; 净利9.1733%; 上一年度营收增-74.15%, 利润增-75.94%; 当季营收增-29.26%, 利润增-35.54%; 过往5年营收增-.55%, 利润增-21.48%
Income profile:
</v>
      </c>
      <c r="D37" s="3" t="s">
        <v>520</v>
      </c>
      <c r="E37" s="3" t="s">
        <v>521</v>
      </c>
      <c r="F37" s="3">
        <v>14.5</v>
      </c>
      <c r="G37" s="3">
        <v>1.05</v>
      </c>
      <c r="H37" s="3" t="s">
        <v>2844</v>
      </c>
      <c r="I37" s="3">
        <v>4229147600</v>
      </c>
      <c r="J37" s="3">
        <v>54.97</v>
      </c>
      <c r="K37" s="3">
        <v>2.2999999999999998</v>
      </c>
      <c r="L37" s="3" t="s">
        <v>343</v>
      </c>
      <c r="M37" s="3" t="s">
        <v>273</v>
      </c>
      <c r="N37" s="3" t="s">
        <v>1365</v>
      </c>
      <c r="O37" s="3" t="s">
        <v>210</v>
      </c>
      <c r="P37" s="3">
        <v>67.209999999999994</v>
      </c>
      <c r="Q37" s="3" t="s">
        <v>210</v>
      </c>
      <c r="R37" s="3">
        <v>21380458</v>
      </c>
      <c r="S37" s="5">
        <v>0.74729999999999996</v>
      </c>
      <c r="T37" s="3" t="s">
        <v>2845</v>
      </c>
      <c r="U37" s="3">
        <v>209251100</v>
      </c>
      <c r="V37" s="3">
        <v>291665350</v>
      </c>
      <c r="W37" s="3">
        <v>1.1499999999999999</v>
      </c>
      <c r="X37" s="3">
        <v>0.13</v>
      </c>
      <c r="Y37" s="3">
        <v>8.08</v>
      </c>
      <c r="Z37" s="3" t="s">
        <v>1355</v>
      </c>
      <c r="AA37" s="3" t="s">
        <v>105</v>
      </c>
      <c r="AB37" s="3" t="s">
        <v>2846</v>
      </c>
      <c r="AC37" s="3" t="s">
        <v>2847</v>
      </c>
      <c r="AD37" s="3" t="s">
        <v>4</v>
      </c>
      <c r="AE37" s="3">
        <v>-4794260</v>
      </c>
      <c r="AF37" s="3" t="s">
        <v>1760</v>
      </c>
      <c r="AG37" s="3" t="s">
        <v>2848</v>
      </c>
      <c r="AH37" s="3" t="s">
        <v>1761</v>
      </c>
      <c r="AI37" s="3" t="s">
        <v>2849</v>
      </c>
      <c r="AJ37" s="3" t="s">
        <v>1762</v>
      </c>
      <c r="AK37" s="3" t="s">
        <v>4</v>
      </c>
      <c r="AL37" s="3" t="s">
        <v>1763</v>
      </c>
      <c r="AM37" s="3" t="s">
        <v>4</v>
      </c>
      <c r="AN37" s="3" t="s">
        <v>2850</v>
      </c>
      <c r="AO37" s="3" t="s">
        <v>2851</v>
      </c>
      <c r="AP37" s="3" t="s">
        <v>2852</v>
      </c>
      <c r="AQ37" s="3" t="s">
        <v>2853</v>
      </c>
      <c r="AR37" s="3" t="s">
        <v>2854</v>
      </c>
      <c r="AS37" s="3" t="s">
        <v>1199</v>
      </c>
      <c r="AT37" s="3" t="s">
        <v>4</v>
      </c>
      <c r="AU37" s="3" t="s">
        <v>2855</v>
      </c>
      <c r="AV37" s="3" t="s">
        <v>2856</v>
      </c>
      <c r="AW37" s="3" t="s">
        <v>2857</v>
      </c>
      <c r="AX37" s="3" t="s">
        <v>1259</v>
      </c>
      <c r="AY37" s="3" t="s">
        <v>234</v>
      </c>
      <c r="AZ37" s="3" t="s">
        <v>331</v>
      </c>
      <c r="BA37" s="3" t="s">
        <v>320</v>
      </c>
      <c r="BB37" s="3" t="s">
        <v>163</v>
      </c>
      <c r="BC37" s="3" t="s">
        <v>1764</v>
      </c>
      <c r="BD37" s="3" t="s">
        <v>903</v>
      </c>
      <c r="BE37" s="3" t="s">
        <v>158</v>
      </c>
      <c r="BF37" s="3" t="s">
        <v>106</v>
      </c>
      <c r="BG37" s="3" t="s">
        <v>88</v>
      </c>
      <c r="BH37" s="3" t="s">
        <v>1758</v>
      </c>
      <c r="BI37" s="3" t="s">
        <v>1370</v>
      </c>
      <c r="BJ37" s="3" t="s">
        <v>1259</v>
      </c>
      <c r="BK37" s="3" t="s">
        <v>1759</v>
      </c>
      <c r="BL37" s="3" t="s">
        <v>2858</v>
      </c>
      <c r="BM37" s="3" t="s">
        <v>1764</v>
      </c>
      <c r="BN37" s="3">
        <v>2.0699999999999998</v>
      </c>
      <c r="BO37" s="3">
        <v>3.15</v>
      </c>
      <c r="BP37" s="3">
        <v>3.28</v>
      </c>
      <c r="BQ37" s="3">
        <v>2.46</v>
      </c>
      <c r="BR37" s="3">
        <v>4.96</v>
      </c>
      <c r="BS37" s="3">
        <v>4.83</v>
      </c>
      <c r="BT37" s="3" t="s">
        <v>1160</v>
      </c>
      <c r="BU37" s="3" t="s">
        <v>1011</v>
      </c>
      <c r="BV37" s="3">
        <v>14.41</v>
      </c>
      <c r="BW37" s="3">
        <v>15.73</v>
      </c>
      <c r="BX37" s="3">
        <v>22.29</v>
      </c>
      <c r="BY37" s="3">
        <v>8.11</v>
      </c>
      <c r="BZ37" s="3">
        <v>8.85</v>
      </c>
      <c r="CA37" s="3">
        <v>10.56</v>
      </c>
      <c r="CB37" s="3">
        <v>-4.0999999999999996</v>
      </c>
      <c r="CC37" s="3">
        <v>-15.75</v>
      </c>
      <c r="CD37" s="3" t="s">
        <v>2859</v>
      </c>
      <c r="CE37" s="3" t="s">
        <v>2860</v>
      </c>
      <c r="CF37" s="10">
        <v>-0.29255319148936171</v>
      </c>
      <c r="CG37" s="11">
        <v>-0.3553889893873613</v>
      </c>
      <c r="CH37" s="10">
        <v>-0.74149662256240845</v>
      </c>
      <c r="CI37" s="10">
        <v>0.30583757162094116</v>
      </c>
      <c r="CJ37" s="10">
        <v>0.33786079287528992</v>
      </c>
      <c r="CK37" s="10">
        <v>-0.18982118368148804</v>
      </c>
      <c r="CL37" s="10">
        <v>0.25996533036231995</v>
      </c>
      <c r="CM37" s="11">
        <v>-0.75938111543655396</v>
      </c>
      <c r="CN37" s="11">
        <v>5.057031661272049E-2</v>
      </c>
      <c r="CO37" s="11">
        <v>-0.39151725172996521</v>
      </c>
      <c r="CP37" s="11">
        <v>-0.12578617036342621</v>
      </c>
      <c r="CQ37" s="11">
        <v>0.15217390656471252</v>
      </c>
      <c r="CR37" s="3">
        <v>40.225500974214505</v>
      </c>
      <c r="CS37" s="3">
        <v>72.729693631614779</v>
      </c>
      <c r="CT37" s="3">
        <v>1.3793103448275863</v>
      </c>
      <c r="CU37" s="10">
        <v>-5.530822277069092E-3</v>
      </c>
      <c r="CV37" s="11">
        <v>-0.21478806287050248</v>
      </c>
      <c r="CW37" s="3">
        <v>0.06</v>
      </c>
      <c r="CX37" s="3">
        <v>124.46610696662847</v>
      </c>
      <c r="CY37" s="3" t="s">
        <v>2861</v>
      </c>
      <c r="CZ37" s="3">
        <v>-5.530822277069092E-3</v>
      </c>
      <c r="DA37" s="3">
        <v>41.488702322209491</v>
      </c>
      <c r="DB37" s="3" t="s">
        <v>2862</v>
      </c>
      <c r="DC37" s="3">
        <v>-5.2542811632156367E-3</v>
      </c>
      <c r="DD37" s="3">
        <v>20.744351161104746</v>
      </c>
      <c r="DE37" s="3" t="s">
        <v>2863</v>
      </c>
      <c r="DF37" s="3">
        <v>-4.8671236038208008E-3</v>
      </c>
      <c r="DG37" s="3">
        <v>12.446610696662846</v>
      </c>
      <c r="DH37" s="3" t="s">
        <v>2864</v>
      </c>
      <c r="DI37" s="3">
        <v>-4.4246578216552736E-3</v>
      </c>
      <c r="DJ37" s="3">
        <v>6.2233053483314231</v>
      </c>
      <c r="DK37" s="3" t="s">
        <v>2865</v>
      </c>
      <c r="DL37" s="3">
        <v>-3.8715755939483639E-3</v>
      </c>
      <c r="DM37" s="3">
        <v>21380500</v>
      </c>
      <c r="DN37" s="3">
        <v>-5.530822277069092E-3</v>
      </c>
      <c r="DO37" s="3">
        <v>2661147600</v>
      </c>
      <c r="DP37" s="3">
        <v>1232698800</v>
      </c>
      <c r="DQ37" s="3">
        <v>1422</v>
      </c>
      <c r="DR37" s="3">
        <v>-0.28702236921229263</v>
      </c>
      <c r="DS37" s="3">
        <v>-0.14060092651685882</v>
      </c>
      <c r="DT37" s="12">
        <v>-0.50666666666666671</v>
      </c>
      <c r="DU37" s="3">
        <v>-0.3666666666666667</v>
      </c>
      <c r="DV37" s="3">
        <v>-0.87333333333333341</v>
      </c>
      <c r="DW37" s="3">
        <v>-8.2603174603174594</v>
      </c>
      <c r="DX37" s="3">
        <v>0.26014219474497768</v>
      </c>
      <c r="DY37" s="3">
        <v>-8.0234655872034537</v>
      </c>
      <c r="DZ37" s="3">
        <v>2937</v>
      </c>
      <c r="EA37" s="3">
        <v>-8.0099786146757541</v>
      </c>
      <c r="EB37" s="3">
        <v>8</v>
      </c>
      <c r="EC37" s="3">
        <v>0.19996204554294844</v>
      </c>
      <c r="ED37" s="3">
        <v>2.2182957283064306</v>
      </c>
      <c r="EE37" s="13">
        <v>-2.0638100000000001</v>
      </c>
      <c r="EF37" s="3">
        <v>-2.0861100000000001</v>
      </c>
      <c r="EG37" s="3">
        <v>17.090142194744978</v>
      </c>
      <c r="EH37" s="3" t="s">
        <v>1172</v>
      </c>
      <c r="EI37" s="3">
        <v>0</v>
      </c>
      <c r="EJ37" s="3">
        <v>0</v>
      </c>
      <c r="EK37" s="15">
        <v>45470</v>
      </c>
      <c r="EL37" s="16">
        <v>0.33</v>
      </c>
      <c r="EM37" s="16">
        <v>-5.46</v>
      </c>
      <c r="EN37" s="16">
        <v>-2.78</v>
      </c>
      <c r="EO37" s="16">
        <v>6.16</v>
      </c>
      <c r="EP37" s="16">
        <v>-2.23</v>
      </c>
    </row>
    <row r="38" spans="3:146" ht="96" x14ac:dyDescent="0.25">
      <c r="C38" s="7" t="str">
        <f>""&amp;CHAR(10)&amp;Basic_Fundamental_Information_Constructure(F38)&amp;CHAR(10)&amp;Basic_Fundamental_Information_Concatenate("")</f>
        <v xml:space="preserve">
市值34.815368亿, 利润3495.69万; PE21.4; 平均PE43.7; 平均PEG288.53, PB2.66; ROIC9.23%; ROE9.63%; 股利率2.2408%; 毛利19.53%; 净利11.7767%; 上一年度营收增-73.79%, 利润增-67.02%; 当季营收增-60.13%, 利润增-60.05%; 过往5年营收增-.15%, 利润增-4.7%
Income profile:
</v>
      </c>
      <c r="D38" s="3" t="s">
        <v>523</v>
      </c>
      <c r="E38" s="3" t="s">
        <v>524</v>
      </c>
      <c r="F38" s="3">
        <v>15.59</v>
      </c>
      <c r="G38" s="3">
        <v>0.32</v>
      </c>
      <c r="H38" s="3" t="s">
        <v>2866</v>
      </c>
      <c r="I38" s="3">
        <v>3481536800</v>
      </c>
      <c r="J38" s="3">
        <v>21.4</v>
      </c>
      <c r="K38" s="3">
        <v>2.66</v>
      </c>
      <c r="L38" s="3" t="s">
        <v>343</v>
      </c>
      <c r="M38" s="3" t="s">
        <v>1596</v>
      </c>
      <c r="N38" s="3" t="s">
        <v>2867</v>
      </c>
      <c r="O38" s="3" t="s">
        <v>134</v>
      </c>
      <c r="P38" s="3">
        <v>-16.68</v>
      </c>
      <c r="Q38" s="3" t="s">
        <v>134</v>
      </c>
      <c r="R38" s="3">
        <v>34956858</v>
      </c>
      <c r="S38" s="5">
        <v>-9.64E-2</v>
      </c>
      <c r="T38" s="3" t="s">
        <v>2868</v>
      </c>
      <c r="U38" s="3">
        <v>127935328</v>
      </c>
      <c r="V38" s="3">
        <v>223318590</v>
      </c>
      <c r="W38" s="3">
        <v>1.31</v>
      </c>
      <c r="X38" s="3">
        <v>0.14000000000000001</v>
      </c>
      <c r="Y38" s="3">
        <v>14.06</v>
      </c>
      <c r="Z38" s="3" t="s">
        <v>2248</v>
      </c>
      <c r="AA38" s="3" t="s">
        <v>1354</v>
      </c>
      <c r="AB38" s="3" t="s">
        <v>2869</v>
      </c>
      <c r="AC38" s="3" t="s">
        <v>2870</v>
      </c>
      <c r="AD38" s="3" t="s">
        <v>4</v>
      </c>
      <c r="AE38" s="3">
        <v>68641</v>
      </c>
      <c r="AF38" s="3" t="s">
        <v>1767</v>
      </c>
      <c r="AG38" s="3" t="s">
        <v>2871</v>
      </c>
      <c r="AH38" s="3" t="s">
        <v>1768</v>
      </c>
      <c r="AI38" s="3" t="s">
        <v>2872</v>
      </c>
      <c r="AJ38" s="3" t="s">
        <v>1769</v>
      </c>
      <c r="AK38" s="3" t="s">
        <v>125</v>
      </c>
      <c r="AL38" s="3" t="s">
        <v>1770</v>
      </c>
      <c r="AM38" s="3" t="s">
        <v>4</v>
      </c>
      <c r="AN38" s="3" t="s">
        <v>2873</v>
      </c>
      <c r="AO38" s="3" t="s">
        <v>2874</v>
      </c>
      <c r="AP38" s="3" t="s">
        <v>274</v>
      </c>
      <c r="AQ38" s="3" t="s">
        <v>43</v>
      </c>
      <c r="AR38" s="3" t="s">
        <v>2875</v>
      </c>
      <c r="AS38" s="3" t="s">
        <v>1017</v>
      </c>
      <c r="AT38" s="3" t="s">
        <v>4</v>
      </c>
      <c r="AU38" s="3" t="s">
        <v>2876</v>
      </c>
      <c r="AV38" s="3" t="s">
        <v>2877</v>
      </c>
      <c r="AW38" s="3" t="s">
        <v>2878</v>
      </c>
      <c r="AX38" s="3" t="s">
        <v>1058</v>
      </c>
      <c r="AY38" s="3" t="s">
        <v>904</v>
      </c>
      <c r="AZ38" s="3" t="s">
        <v>30</v>
      </c>
      <c r="BA38" s="3" t="s">
        <v>526</v>
      </c>
      <c r="BB38" s="3" t="s">
        <v>512</v>
      </c>
      <c r="BC38" s="3" t="s">
        <v>202</v>
      </c>
      <c r="BD38" s="3" t="s">
        <v>905</v>
      </c>
      <c r="BE38" s="3" t="s">
        <v>525</v>
      </c>
      <c r="BF38" s="3" t="s">
        <v>527</v>
      </c>
      <c r="BG38" s="3" t="s">
        <v>528</v>
      </c>
      <c r="BH38" s="3" t="s">
        <v>1766</v>
      </c>
      <c r="BI38" s="3" t="s">
        <v>2879</v>
      </c>
      <c r="BJ38" s="3" t="s">
        <v>1058</v>
      </c>
      <c r="BK38" s="3" t="s">
        <v>34</v>
      </c>
      <c r="BL38" s="3" t="s">
        <v>2880</v>
      </c>
      <c r="BM38" s="3" t="s">
        <v>202</v>
      </c>
      <c r="BN38" s="3">
        <v>10.9</v>
      </c>
      <c r="BO38" s="3">
        <v>8.89</v>
      </c>
      <c r="BP38" s="3">
        <v>7.9</v>
      </c>
      <c r="BQ38" s="3">
        <v>11.38</v>
      </c>
      <c r="BR38" s="3">
        <v>9.6</v>
      </c>
      <c r="BS38" s="3">
        <v>7.91</v>
      </c>
      <c r="BT38" s="3" t="s">
        <v>2881</v>
      </c>
      <c r="BU38" s="3" t="s">
        <v>977</v>
      </c>
      <c r="BV38" s="3">
        <v>21.83</v>
      </c>
      <c r="BW38" s="3">
        <v>19.809999999999999</v>
      </c>
      <c r="BX38" s="3">
        <v>16.95</v>
      </c>
      <c r="BY38" s="3">
        <v>14.16</v>
      </c>
      <c r="BZ38" s="3">
        <v>11.1</v>
      </c>
      <c r="CA38" s="3">
        <v>10.07</v>
      </c>
      <c r="CB38" s="3">
        <v>-6.37</v>
      </c>
      <c r="CC38" s="3">
        <v>-13.18</v>
      </c>
      <c r="CD38" s="3" t="s">
        <v>2882</v>
      </c>
      <c r="CE38" s="3" t="s">
        <v>2883</v>
      </c>
      <c r="CF38" s="10">
        <v>-0.60127591706539074</v>
      </c>
      <c r="CG38" s="11">
        <v>-0.60046976452341794</v>
      </c>
      <c r="CH38" s="10">
        <v>-0.73794549703598022</v>
      </c>
      <c r="CI38" s="10">
        <v>0.16199755668640137</v>
      </c>
      <c r="CJ38" s="10">
        <v>0.46607142686843872</v>
      </c>
      <c r="CK38" s="10">
        <v>7.0745699107646942E-2</v>
      </c>
      <c r="CL38" s="10">
        <v>3.1558185815811157E-2</v>
      </c>
      <c r="CM38" s="11">
        <v>-0.67021799087524414</v>
      </c>
      <c r="CN38" s="11">
        <v>0.28212422132492065</v>
      </c>
      <c r="CO38" s="11">
        <v>-5.3881991654634476E-2</v>
      </c>
      <c r="CP38" s="11">
        <v>-6.5541893243789673E-2</v>
      </c>
      <c r="CQ38" s="11">
        <v>0.27232322096824646</v>
      </c>
      <c r="CR38" s="3">
        <v>43.698903532902591</v>
      </c>
      <c r="CS38" s="3">
        <v>288.53193577395479</v>
      </c>
      <c r="CT38" s="3">
        <v>2.2408197562540089</v>
      </c>
      <c r="CU38" s="10">
        <v>-1.5145257115364076E-3</v>
      </c>
      <c r="CV38" s="11">
        <v>-4.7038886696100235E-2</v>
      </c>
      <c r="CW38" s="3">
        <v>0.06</v>
      </c>
      <c r="CX38" s="3">
        <v>72.476014749591641</v>
      </c>
      <c r="CY38" s="3" t="s">
        <v>2884</v>
      </c>
      <c r="CZ38" s="3">
        <v>-1.5145257115364076E-3</v>
      </c>
      <c r="DA38" s="3">
        <v>24.158671583197215</v>
      </c>
      <c r="DB38" s="3" t="s">
        <v>2885</v>
      </c>
      <c r="DC38" s="3">
        <v>-1.4387994259595872E-3</v>
      </c>
      <c r="DD38" s="3">
        <v>12.079335791598607</v>
      </c>
      <c r="DE38" s="3" t="s">
        <v>2886</v>
      </c>
      <c r="DF38" s="3">
        <v>-1.3327826261520387E-3</v>
      </c>
      <c r="DG38" s="3">
        <v>7.247601474959164</v>
      </c>
      <c r="DH38" s="3" t="s">
        <v>2887</v>
      </c>
      <c r="DI38" s="3">
        <v>-1.2116205692291261E-3</v>
      </c>
      <c r="DJ38" s="3">
        <v>3.623800737479582</v>
      </c>
      <c r="DK38" s="3" t="s">
        <v>2888</v>
      </c>
      <c r="DL38" s="3">
        <v>-1.0601679980754852E-3</v>
      </c>
      <c r="DM38" s="3">
        <v>34956900</v>
      </c>
      <c r="DN38" s="3">
        <v>-1.5145257115364076E-3</v>
      </c>
      <c r="DO38" s="3">
        <v>2533536800</v>
      </c>
      <c r="DP38" s="3">
        <v>1031858500</v>
      </c>
      <c r="DQ38" s="3">
        <v>1441</v>
      </c>
      <c r="DR38" s="3">
        <v>-0.59976139135385431</v>
      </c>
      <c r="DS38" s="3">
        <v>-0.5534308778273177</v>
      </c>
      <c r="DT38" s="12">
        <v>-0.49</v>
      </c>
      <c r="DU38" s="3">
        <v>-0.52333333333333332</v>
      </c>
      <c r="DV38" s="3">
        <v>-1.0133333333333332</v>
      </c>
      <c r="DW38" s="3">
        <v>-9.4833080424886198</v>
      </c>
      <c r="DX38" s="3">
        <v>0.33123302695225859</v>
      </c>
      <c r="DY38" s="3">
        <v>-9.0730921382159249</v>
      </c>
      <c r="DZ38" s="3">
        <v>825</v>
      </c>
      <c r="EA38" s="3">
        <v>-9.0612915483865439</v>
      </c>
      <c r="EB38" s="3">
        <v>9</v>
      </c>
      <c r="EC38" s="3">
        <v>4.9644322042334224E-2</v>
      </c>
      <c r="ED38" s="3">
        <v>0.32826375985984868</v>
      </c>
      <c r="EE38" s="13">
        <v>-1.0781099999999999</v>
      </c>
      <c r="EF38" s="3">
        <v>-1.09331</v>
      </c>
      <c r="EG38" s="3">
        <v>18.151233026952259</v>
      </c>
      <c r="EH38" s="3" t="s">
        <v>1015</v>
      </c>
      <c r="EI38" s="3">
        <v>0</v>
      </c>
      <c r="EJ38" s="3">
        <v>1</v>
      </c>
      <c r="EK38" s="15">
        <v>45470</v>
      </c>
      <c r="EL38" s="16">
        <v>0.18</v>
      </c>
      <c r="EM38" s="16">
        <v>-7.29</v>
      </c>
      <c r="EN38" s="16">
        <v>-1.71</v>
      </c>
      <c r="EO38" s="16">
        <v>6.39</v>
      </c>
      <c r="EP38" s="16">
        <v>-1.52</v>
      </c>
    </row>
    <row r="39" spans="3:146" ht="96" x14ac:dyDescent="0.25">
      <c r="C39" s="7" t="str">
        <f>""&amp;CHAR(10)&amp;Basic_Fundamental_Information_Constructure(F39)&amp;CHAR(10)&amp;Basic_Fundamental_Information_Concatenate("")</f>
        <v xml:space="preserve">
市值99.227276亿, 利润-979.21万; PE; 平均PE-206.08; 平均PEG-11.73, PB12.48; ROIC0%; ROE-20.0467%; 股利率0%; 毛利2.3233%; 净利-21.72%; 上一年度营收增-61.38%, 利润增95.61%; 当季营收增-28.82%, 利润增83.57%; 过往5年营收增-17.57%, 利润增-234.99%
Income profile:
</v>
      </c>
      <c r="D39" s="3" t="s">
        <v>529</v>
      </c>
      <c r="E39" s="3" t="s">
        <v>530</v>
      </c>
      <c r="F39" s="3">
        <v>53.85</v>
      </c>
      <c r="G39" s="3">
        <v>3.38</v>
      </c>
      <c r="H39" s="3" t="s">
        <v>2889</v>
      </c>
      <c r="I39" s="3">
        <v>9922727600</v>
      </c>
      <c r="K39" s="3">
        <v>12.48</v>
      </c>
      <c r="L39" s="3" t="s">
        <v>343</v>
      </c>
      <c r="M39" s="3" t="s">
        <v>1771</v>
      </c>
      <c r="N39" s="3" t="s">
        <v>130</v>
      </c>
      <c r="O39" s="3" t="s">
        <v>1274</v>
      </c>
      <c r="P39" s="3">
        <v>87.06</v>
      </c>
      <c r="Q39" s="3" t="s">
        <v>1274</v>
      </c>
      <c r="R39" s="3">
        <v>-9792070</v>
      </c>
      <c r="S39" s="5">
        <v>0.73650000000000004</v>
      </c>
      <c r="T39" s="3" t="s">
        <v>2890</v>
      </c>
      <c r="U39" s="3">
        <v>157203910</v>
      </c>
      <c r="V39" s="3">
        <v>184266070</v>
      </c>
      <c r="W39" s="3">
        <v>3</v>
      </c>
      <c r="X39" s="3">
        <v>0.15</v>
      </c>
      <c r="Y39" s="3">
        <v>-2.97</v>
      </c>
      <c r="Z39" s="3" t="s">
        <v>1778</v>
      </c>
      <c r="AA39" s="3" t="s">
        <v>1250</v>
      </c>
      <c r="AB39" s="3" t="s">
        <v>2891</v>
      </c>
      <c r="AC39" s="3" t="s">
        <v>2892</v>
      </c>
      <c r="AD39" s="3" t="s">
        <v>4</v>
      </c>
      <c r="AE39" s="3">
        <v>6416206</v>
      </c>
      <c r="AF39" s="3" t="s">
        <v>1773</v>
      </c>
      <c r="AG39" s="3" t="s">
        <v>2893</v>
      </c>
      <c r="AH39" s="3" t="s">
        <v>1774</v>
      </c>
      <c r="AI39" s="3" t="s">
        <v>81</v>
      </c>
      <c r="AJ39" s="3" t="s">
        <v>1775</v>
      </c>
      <c r="AK39" s="3" t="s">
        <v>252</v>
      </c>
      <c r="AL39" s="3" t="s">
        <v>1776</v>
      </c>
      <c r="AM39" s="3" t="s">
        <v>4</v>
      </c>
      <c r="AN39" s="3" t="s">
        <v>217</v>
      </c>
      <c r="AO39" s="3" t="s">
        <v>149</v>
      </c>
      <c r="AP39" s="3" t="s">
        <v>139</v>
      </c>
      <c r="AQ39" s="3" t="s">
        <v>1929</v>
      </c>
      <c r="AR39" s="3" t="s">
        <v>2894</v>
      </c>
      <c r="AS39" s="3" t="s">
        <v>1804</v>
      </c>
      <c r="AT39" s="3" t="s">
        <v>2248</v>
      </c>
      <c r="AU39" s="3" t="s">
        <v>2895</v>
      </c>
      <c r="AV39" s="3" t="s">
        <v>2896</v>
      </c>
      <c r="AW39" s="3" t="s">
        <v>2897</v>
      </c>
      <c r="AX39" s="3" t="s">
        <v>1260</v>
      </c>
      <c r="AY39" s="3" t="s">
        <v>906</v>
      </c>
      <c r="AZ39" s="3" t="s">
        <v>285</v>
      </c>
      <c r="BA39" s="3" t="s">
        <v>532</v>
      </c>
      <c r="BB39" s="3" t="s">
        <v>285</v>
      </c>
      <c r="BC39" s="3" t="s">
        <v>1261</v>
      </c>
      <c r="BD39" s="3" t="s">
        <v>441</v>
      </c>
      <c r="BE39" s="3" t="s">
        <v>531</v>
      </c>
      <c r="BF39" s="3" t="s">
        <v>140</v>
      </c>
      <c r="BG39" s="3" t="s">
        <v>29</v>
      </c>
      <c r="BH39" s="3" t="s">
        <v>891</v>
      </c>
      <c r="BI39" s="3" t="s">
        <v>336</v>
      </c>
      <c r="BJ39" s="3" t="s">
        <v>1260</v>
      </c>
      <c r="BK39" s="3" t="s">
        <v>1772</v>
      </c>
      <c r="BL39" s="3" t="s">
        <v>2898</v>
      </c>
      <c r="BM39" s="3" t="s">
        <v>1261</v>
      </c>
      <c r="BN39" s="3" t="s">
        <v>4</v>
      </c>
      <c r="BO39" s="3" t="s">
        <v>4</v>
      </c>
      <c r="BP39" s="3" t="s">
        <v>4</v>
      </c>
      <c r="BQ39" s="3">
        <v>-11.2</v>
      </c>
      <c r="BR39" s="3">
        <v>-21.91</v>
      </c>
      <c r="BS39" s="3">
        <v>-27.03</v>
      </c>
      <c r="BT39" s="3" t="s">
        <v>1157</v>
      </c>
      <c r="BU39" s="3" t="s">
        <v>977</v>
      </c>
      <c r="BV39" s="3">
        <v>8.7899999999999991</v>
      </c>
      <c r="BW39" s="3">
        <v>3.3</v>
      </c>
      <c r="BX39" s="3">
        <v>-5.12</v>
      </c>
      <c r="BY39" s="3">
        <v>-9.52</v>
      </c>
      <c r="BZ39" s="3">
        <v>-23.82</v>
      </c>
      <c r="CA39" s="3">
        <v>-31.82</v>
      </c>
      <c r="CB39" s="3">
        <v>-5.61</v>
      </c>
      <c r="CC39" s="3">
        <v>-13.87</v>
      </c>
      <c r="CD39" s="3" t="s">
        <v>2899</v>
      </c>
      <c r="CE39" s="3" t="s">
        <v>2900</v>
      </c>
      <c r="CF39" s="10">
        <v>-0.28823529411764698</v>
      </c>
      <c r="CG39" s="11">
        <v>0.83565140623452738</v>
      </c>
      <c r="CH39" s="10">
        <v>-0.61382979154586792</v>
      </c>
      <c r="CI39" s="10">
        <v>-0.15695072710514069</v>
      </c>
      <c r="CJ39" s="10">
        <v>-0.19085626304149628</v>
      </c>
      <c r="CK39" s="10">
        <v>-0.2498638778924942</v>
      </c>
      <c r="CL39" s="10">
        <v>0.3330913782119751</v>
      </c>
      <c r="CM39" s="11">
        <v>0.95608925819396973</v>
      </c>
      <c r="CN39" s="11">
        <v>0.37005650997161865</v>
      </c>
      <c r="CO39" s="11">
        <v>-12.461058616638184</v>
      </c>
      <c r="CP39" s="11">
        <v>-0.78550553321838379</v>
      </c>
      <c r="CQ39" s="11">
        <v>0.17073170840740204</v>
      </c>
      <c r="CR39" s="3">
        <v>-206.07599801872522</v>
      </c>
      <c r="CS39" s="3">
        <v>-11.730067201510664</v>
      </c>
      <c r="CT39" s="3">
        <v>0</v>
      </c>
      <c r="CU39" s="10">
        <v>-0.17568185627460481</v>
      </c>
      <c r="CV39" s="11">
        <v>-2.3499373346567154</v>
      </c>
      <c r="CW39" s="3">
        <v>0.06</v>
      </c>
      <c r="CX39" s="3" t="e">
        <v>#VALUE!</v>
      </c>
      <c r="CY39" s="3" t="s">
        <v>1005</v>
      </c>
      <c r="CZ39" s="3">
        <v>-0.17568185627460481</v>
      </c>
      <c r="DA39" s="3" t="e">
        <v>#VALUE!</v>
      </c>
      <c r="DB39" s="3" t="s">
        <v>1006</v>
      </c>
      <c r="DC39" s="3">
        <v>-0.16689776346087457</v>
      </c>
      <c r="DD39" s="3" t="e">
        <v>#VALUE!</v>
      </c>
      <c r="DE39" s="3" t="s">
        <v>1006</v>
      </c>
      <c r="DF39" s="3">
        <v>-0.15460003352165222</v>
      </c>
      <c r="DG39" s="3" t="e">
        <v>#VALUE!</v>
      </c>
      <c r="DH39" s="3" t="s">
        <v>1006</v>
      </c>
      <c r="DI39" s="3">
        <v>-0.14054548501968386</v>
      </c>
      <c r="DJ39" s="3" t="e">
        <v>#VALUE!</v>
      </c>
      <c r="DK39" s="3" t="s">
        <v>1006</v>
      </c>
      <c r="DL39" s="3">
        <v>-0.12297729939222336</v>
      </c>
      <c r="DM39" s="3">
        <v>-9792100</v>
      </c>
      <c r="DN39" s="3">
        <v>-0.17568185627460481</v>
      </c>
      <c r="DO39" s="3">
        <v>10789727600</v>
      </c>
      <c r="DP39" s="3">
        <v>-138318770</v>
      </c>
      <c r="DQ39" s="3">
        <v>1450</v>
      </c>
      <c r="DR39" s="3">
        <v>-0.11255343784304217</v>
      </c>
      <c r="DS39" s="3">
        <v>3.1855887408912427</v>
      </c>
      <c r="DT39" s="12">
        <v>-1.0733333333333333</v>
      </c>
      <c r="DU39" s="3">
        <v>-2.0649999999999999</v>
      </c>
      <c r="DV39" s="3">
        <v>-3.1383333333333332</v>
      </c>
      <c r="DW39" s="3">
        <v>-8.4044700793078579</v>
      </c>
      <c r="DX39" s="3">
        <v>0.33687326123521771</v>
      </c>
      <c r="DY39" s="3">
        <v>-8.0594058396200126</v>
      </c>
      <c r="DZ39" s="3">
        <v>4339</v>
      </c>
      <c r="EA39" s="3">
        <v>-8.0089631902831755</v>
      </c>
      <c r="EB39" s="3">
        <v>8</v>
      </c>
      <c r="EC39" s="3">
        <v>4.98523683714533E-2</v>
      </c>
      <c r="ED39" s="3">
        <v>0.33942439864268009</v>
      </c>
      <c r="EE39" s="13">
        <v>5.0689000000000002</v>
      </c>
      <c r="EF39" s="3">
        <v>5.0510000000000002</v>
      </c>
      <c r="EG39" s="3">
        <v>19.146873261235218</v>
      </c>
      <c r="EH39" s="3" t="s">
        <v>1406</v>
      </c>
      <c r="EI39" s="3">
        <v>0</v>
      </c>
      <c r="EJ39" s="3">
        <v>0</v>
      </c>
      <c r="EK39" s="15">
        <v>45470</v>
      </c>
      <c r="EL39" s="16">
        <v>1</v>
      </c>
      <c r="EM39" s="16">
        <v>-5.68</v>
      </c>
      <c r="EN39" s="16">
        <v>-2.4</v>
      </c>
      <c r="EO39" s="16">
        <v>8.43</v>
      </c>
      <c r="EP39" s="16">
        <v>-1.79</v>
      </c>
    </row>
    <row r="40" spans="3:146" ht="96" x14ac:dyDescent="0.25">
      <c r="C40" s="7" t="str">
        <f>""&amp;CHAR(10)&amp;Basic_Fundamental_Information_Constructure(F40)&amp;CHAR(10)&amp;Basic_Fundamental_Information_Concatenate("")</f>
        <v xml:space="preserve">
市值24.677653亿, 利润628.28万; PE; 平均PE37.99; 平均PEG2.64, PB2.59; ROIC3.3833%; ROE3.7633%; 股利率1.139%; 毛利28.9567%; 净利7.3%; 上一年度营收增-74.63%, 利润增-84.25%; 当季营收增-44.91%, 利润增242.8%; 过往5年营收增-14.41%, 利润增-25.21%
Income profile:
</v>
      </c>
      <c r="D40" s="3" t="s">
        <v>534</v>
      </c>
      <c r="E40" s="3" t="s">
        <v>535</v>
      </c>
      <c r="F40" s="3">
        <v>8.7799999999999994</v>
      </c>
      <c r="G40" s="3">
        <v>1.1499999999999999</v>
      </c>
      <c r="H40" s="3" t="s">
        <v>2901</v>
      </c>
      <c r="I40" s="3">
        <v>2467765300</v>
      </c>
      <c r="K40" s="3">
        <v>2.59</v>
      </c>
      <c r="L40" s="3" t="s">
        <v>343</v>
      </c>
      <c r="M40" s="3" t="s">
        <v>105</v>
      </c>
      <c r="N40" s="3" t="s">
        <v>2613</v>
      </c>
      <c r="O40" s="3" t="s">
        <v>118</v>
      </c>
      <c r="P40" s="3">
        <v>27.3</v>
      </c>
      <c r="Q40" s="3" t="s">
        <v>118</v>
      </c>
      <c r="R40" s="3">
        <v>6282769</v>
      </c>
      <c r="S40" s="5">
        <v>2.012</v>
      </c>
      <c r="T40" s="3" t="s">
        <v>2902</v>
      </c>
      <c r="U40" s="3">
        <v>245809920</v>
      </c>
      <c r="V40" s="3">
        <v>281066670</v>
      </c>
      <c r="W40" s="3">
        <v>1.19</v>
      </c>
      <c r="X40" s="3">
        <v>0.1</v>
      </c>
      <c r="Y40" s="3">
        <v>5.28</v>
      </c>
      <c r="Z40" s="3" t="s">
        <v>6</v>
      </c>
      <c r="AA40" s="3" t="s">
        <v>2903</v>
      </c>
      <c r="AB40" s="3" t="s">
        <v>2904</v>
      </c>
      <c r="AC40" s="3" t="s">
        <v>2905</v>
      </c>
      <c r="AD40" s="3" t="s">
        <v>4</v>
      </c>
      <c r="AE40" s="3">
        <v>-131309</v>
      </c>
      <c r="AF40" s="3" t="s">
        <v>1779</v>
      </c>
      <c r="AG40" s="3" t="s">
        <v>2906</v>
      </c>
      <c r="AH40" s="3" t="s">
        <v>1780</v>
      </c>
      <c r="AI40" s="3" t="s">
        <v>68</v>
      </c>
      <c r="AJ40" s="3" t="s">
        <v>1781</v>
      </c>
      <c r="AK40" s="3" t="s">
        <v>2907</v>
      </c>
      <c r="AL40" s="3" t="s">
        <v>1782</v>
      </c>
      <c r="AM40" s="3" t="s">
        <v>4</v>
      </c>
      <c r="AN40" s="3" t="s">
        <v>2908</v>
      </c>
      <c r="AO40" s="3" t="s">
        <v>2909</v>
      </c>
      <c r="AP40" s="3" t="s">
        <v>4</v>
      </c>
      <c r="AQ40" s="3" t="s">
        <v>2910</v>
      </c>
      <c r="AR40" s="3" t="s">
        <v>4</v>
      </c>
      <c r="AS40" s="3" t="s">
        <v>76</v>
      </c>
      <c r="AT40" s="3" t="s">
        <v>4</v>
      </c>
      <c r="AU40" s="3" t="s">
        <v>2911</v>
      </c>
      <c r="AV40" s="3" t="s">
        <v>2912</v>
      </c>
      <c r="AW40" s="3" t="s">
        <v>2913</v>
      </c>
      <c r="AX40" s="3" t="s">
        <v>337</v>
      </c>
      <c r="AY40" s="3" t="s">
        <v>326</v>
      </c>
      <c r="AZ40" s="3" t="s">
        <v>225</v>
      </c>
      <c r="BA40" s="3" t="s">
        <v>537</v>
      </c>
      <c r="BB40" s="3" t="s">
        <v>159</v>
      </c>
      <c r="BC40" s="3" t="s">
        <v>1783</v>
      </c>
      <c r="BD40" s="3" t="s">
        <v>908</v>
      </c>
      <c r="BE40" s="3" t="s">
        <v>536</v>
      </c>
      <c r="BF40" s="3" t="s">
        <v>538</v>
      </c>
      <c r="BG40" s="3" t="s">
        <v>539</v>
      </c>
      <c r="BH40" s="3" t="s">
        <v>1366</v>
      </c>
      <c r="BI40" s="3" t="s">
        <v>1328</v>
      </c>
      <c r="BJ40" s="3" t="s">
        <v>337</v>
      </c>
      <c r="BK40" s="3" t="s">
        <v>1777</v>
      </c>
      <c r="BL40" s="3" t="s">
        <v>2914</v>
      </c>
      <c r="BM40" s="3" t="s">
        <v>1783</v>
      </c>
      <c r="BN40" s="3">
        <v>0.31</v>
      </c>
      <c r="BO40" s="3">
        <v>3.45</v>
      </c>
      <c r="BP40" s="3">
        <v>6.39</v>
      </c>
      <c r="BQ40" s="3">
        <v>0.35</v>
      </c>
      <c r="BR40" s="3">
        <v>3.74</v>
      </c>
      <c r="BS40" s="3">
        <v>7.2</v>
      </c>
      <c r="BT40" s="3" t="s">
        <v>1159</v>
      </c>
      <c r="BU40" s="3" t="s">
        <v>1011</v>
      </c>
      <c r="BV40" s="3">
        <v>22.11</v>
      </c>
      <c r="BW40" s="3">
        <v>28.56</v>
      </c>
      <c r="BX40" s="3">
        <v>36.200000000000003</v>
      </c>
      <c r="BY40" s="3">
        <v>-3.47</v>
      </c>
      <c r="BZ40" s="3">
        <v>8.5</v>
      </c>
      <c r="CA40" s="3">
        <v>16.87</v>
      </c>
      <c r="CB40" s="3">
        <v>-3.3</v>
      </c>
      <c r="CC40" s="3">
        <v>-18.25</v>
      </c>
      <c r="CD40" s="3" t="s">
        <v>2915</v>
      </c>
      <c r="CE40" s="3" t="s">
        <v>254</v>
      </c>
      <c r="CF40" s="10">
        <v>-0.44907407407407407</v>
      </c>
      <c r="CG40" s="11">
        <v>2.4279621344391096</v>
      </c>
      <c r="CH40" s="10">
        <v>-0.746268630027771</v>
      </c>
      <c r="CI40" s="10">
        <v>-3.8934424519538879E-2</v>
      </c>
      <c r="CJ40" s="10">
        <v>-5.6092843413352966E-2</v>
      </c>
      <c r="CK40" s="10">
        <v>-6.1705987900495529E-2</v>
      </c>
      <c r="CL40" s="10">
        <v>0.18240343034267426</v>
      </c>
      <c r="CM40" s="11">
        <v>-0.84250831604003906</v>
      </c>
      <c r="CN40" s="11">
        <v>-0.51564186811447144</v>
      </c>
      <c r="CO40" s="11">
        <v>-0.16877111792564392</v>
      </c>
      <c r="CP40" s="11">
        <v>0.16709114611148834</v>
      </c>
      <c r="CQ40" s="11">
        <v>9.925350546836853E-2</v>
      </c>
      <c r="CR40" s="3">
        <v>37.989397466465547</v>
      </c>
      <c r="CS40" s="3">
        <v>2.63596162158934</v>
      </c>
      <c r="CT40" s="3">
        <v>1.1389521640091116</v>
      </c>
      <c r="CU40" s="10">
        <v>-0.14411969110369682</v>
      </c>
      <c r="CV40" s="11">
        <v>-0.25211533010005949</v>
      </c>
      <c r="CW40" s="3">
        <v>0.06</v>
      </c>
      <c r="CX40" s="3">
        <v>276.59089896224611</v>
      </c>
      <c r="CY40" s="3" t="s">
        <v>2916</v>
      </c>
      <c r="CZ40" s="3">
        <v>-0.14411969110369682</v>
      </c>
      <c r="DA40" s="3">
        <v>92.196966320748714</v>
      </c>
      <c r="DB40" s="3" t="s">
        <v>2917</v>
      </c>
      <c r="DC40" s="3">
        <v>-0.13691370654851198</v>
      </c>
      <c r="DD40" s="3">
        <v>46.098483160374357</v>
      </c>
      <c r="DE40" s="3" t="s">
        <v>2918</v>
      </c>
      <c r="DF40" s="3">
        <v>-0.12682532817125319</v>
      </c>
      <c r="DG40" s="3">
        <v>27.659089896224614</v>
      </c>
      <c r="DH40" s="3" t="s">
        <v>2919</v>
      </c>
      <c r="DI40" s="3">
        <v>-0.11529575288295746</v>
      </c>
      <c r="DJ40" s="3">
        <v>13.829544948112307</v>
      </c>
      <c r="DK40" s="3" t="s">
        <v>2920</v>
      </c>
      <c r="DL40" s="3">
        <v>-0.10088378377258778</v>
      </c>
      <c r="DM40" s="3">
        <v>6282800</v>
      </c>
      <c r="DN40" s="3">
        <v>-0.14411969110369682</v>
      </c>
      <c r="DO40" s="3">
        <v>1737765300</v>
      </c>
      <c r="DP40" s="3">
        <v>260013020</v>
      </c>
      <c r="DQ40" s="3">
        <v>1471</v>
      </c>
      <c r="DR40" s="3">
        <v>-0.30495438297037725</v>
      </c>
      <c r="DS40" s="3">
        <v>2.6800774645391692</v>
      </c>
      <c r="DT40" s="12">
        <v>-0.67333333333333334</v>
      </c>
      <c r="DU40" s="3">
        <v>-0.72000000000000008</v>
      </c>
      <c r="DV40" s="3">
        <v>-1.3933333333333335</v>
      </c>
      <c r="DW40" s="3">
        <v>-8.1808219178082187</v>
      </c>
      <c r="DX40" s="3">
        <v>0.3077891472868215</v>
      </c>
      <c r="DY40" s="3">
        <v>-8.0176824211532338</v>
      </c>
      <c r="DZ40" s="3">
        <v>4000</v>
      </c>
      <c r="EA40" s="3">
        <v>-8.0038409955929719</v>
      </c>
      <c r="EB40" s="3">
        <v>8</v>
      </c>
      <c r="EC40" s="3">
        <v>8.9763756051188845E-2</v>
      </c>
      <c r="ED40" s="3">
        <v>0.91793167791826757</v>
      </c>
      <c r="EE40" s="13">
        <v>-2.0613999999999999</v>
      </c>
      <c r="EF40" s="3">
        <v>-2.0470000000000002</v>
      </c>
      <c r="EG40" s="3">
        <v>21.097789147286822</v>
      </c>
      <c r="EH40" s="3" t="s">
        <v>1226</v>
      </c>
      <c r="EI40" s="3">
        <v>0</v>
      </c>
      <c r="EJ40" s="3">
        <v>0</v>
      </c>
      <c r="EK40" s="15">
        <v>45470</v>
      </c>
      <c r="EL40" s="16">
        <v>-0.76</v>
      </c>
      <c r="EM40" s="16">
        <v>-4.3600000000000003</v>
      </c>
      <c r="EN40" s="16">
        <v>-1.37</v>
      </c>
      <c r="EO40" s="16">
        <v>4.62</v>
      </c>
      <c r="EP40" s="16">
        <v>-1.44</v>
      </c>
    </row>
    <row r="41" spans="3:146" ht="96" x14ac:dyDescent="0.25">
      <c r="C41" s="7" t="str">
        <f>""&amp;CHAR(10)&amp;Basic_Fundamental_Information_Constructure(F41)&amp;CHAR(10)&amp;Basic_Fundamental_Information_Concatenate("")</f>
        <v xml:space="preserve">
市值43.099019亿, 利润6528.49万; PE20.54; 平均PE30.31; 平均PEG6.37, PB3.01; ROIC11.2767%; ROE12.8633%; 股利率.0178%; 毛利28.0333%; 净利12.4%; 上一年度营收增-64.62%, 利润增-74.99%; 当季营收增-5.46%, 利润增-19.61%; 过往5年营收增-4.76%, 利润增6.8%
Income profile:
</v>
      </c>
      <c r="D41" s="3" t="s">
        <v>540</v>
      </c>
      <c r="E41" s="3" t="s">
        <v>541</v>
      </c>
      <c r="F41" s="3">
        <v>25.09</v>
      </c>
      <c r="G41" s="3">
        <v>2.41</v>
      </c>
      <c r="H41" s="3" t="s">
        <v>2921</v>
      </c>
      <c r="I41" s="3">
        <v>4309901900</v>
      </c>
      <c r="J41" s="3">
        <v>20.54</v>
      </c>
      <c r="K41" s="3">
        <v>3.01</v>
      </c>
      <c r="L41" s="3" t="s">
        <v>343</v>
      </c>
      <c r="M41" s="3" t="s">
        <v>904</v>
      </c>
      <c r="N41" s="3" t="s">
        <v>1520</v>
      </c>
      <c r="O41" s="3" t="s">
        <v>1424</v>
      </c>
      <c r="P41" s="3">
        <v>44.37</v>
      </c>
      <c r="Q41" s="3" t="s">
        <v>1424</v>
      </c>
      <c r="R41" s="3">
        <v>65284869</v>
      </c>
      <c r="S41" s="5">
        <v>0.94099999999999995</v>
      </c>
      <c r="T41" s="3" t="s">
        <v>2922</v>
      </c>
      <c r="U41" s="3">
        <v>171777680</v>
      </c>
      <c r="V41" s="3">
        <v>171777680</v>
      </c>
      <c r="W41" s="3">
        <v>1.58</v>
      </c>
      <c r="X41" s="3">
        <v>0.3</v>
      </c>
      <c r="Y41" s="3">
        <v>10.26</v>
      </c>
      <c r="Z41" s="3" t="s">
        <v>537</v>
      </c>
      <c r="AA41" s="3" t="s">
        <v>326</v>
      </c>
      <c r="AB41" s="3" t="s">
        <v>2923</v>
      </c>
      <c r="AC41" s="3" t="s">
        <v>2924</v>
      </c>
      <c r="AD41" s="3" t="s">
        <v>4</v>
      </c>
      <c r="AE41" s="3">
        <v>-6662676</v>
      </c>
      <c r="AF41" s="3" t="s">
        <v>1785</v>
      </c>
      <c r="AG41" s="3" t="s">
        <v>2925</v>
      </c>
      <c r="AH41" s="3" t="s">
        <v>1786</v>
      </c>
      <c r="AI41" s="3" t="s">
        <v>2926</v>
      </c>
      <c r="AJ41" s="3" t="s">
        <v>1788</v>
      </c>
      <c r="AK41" s="3" t="s">
        <v>4</v>
      </c>
      <c r="AL41" s="3" t="s">
        <v>1789</v>
      </c>
      <c r="AM41" s="3" t="s">
        <v>4</v>
      </c>
      <c r="AN41" s="3" t="s">
        <v>2927</v>
      </c>
      <c r="AO41" s="3" t="s">
        <v>78</v>
      </c>
      <c r="AP41" s="3" t="s">
        <v>2928</v>
      </c>
      <c r="AQ41" s="3" t="s">
        <v>181</v>
      </c>
      <c r="AR41" s="3" t="s">
        <v>4</v>
      </c>
      <c r="AS41" s="3" t="s">
        <v>2929</v>
      </c>
      <c r="AT41" s="3" t="s">
        <v>2930</v>
      </c>
      <c r="AU41" s="3" t="s">
        <v>2931</v>
      </c>
      <c r="AV41" s="3" t="s">
        <v>2932</v>
      </c>
      <c r="AW41" s="3" t="s">
        <v>2933</v>
      </c>
      <c r="AX41" s="3" t="s">
        <v>1263</v>
      </c>
      <c r="AY41" s="3" t="s">
        <v>335</v>
      </c>
      <c r="AZ41" s="3" t="s">
        <v>542</v>
      </c>
      <c r="BA41" s="3" t="s">
        <v>543</v>
      </c>
      <c r="BB41" s="3" t="s">
        <v>544</v>
      </c>
      <c r="BC41" s="3" t="s">
        <v>298</v>
      </c>
      <c r="BD41" s="3" t="s">
        <v>61</v>
      </c>
      <c r="BE41" s="3" t="s">
        <v>70</v>
      </c>
      <c r="BF41" s="3" t="s">
        <v>195</v>
      </c>
      <c r="BG41" s="3" t="s">
        <v>41</v>
      </c>
      <c r="BH41" s="3" t="s">
        <v>1784</v>
      </c>
      <c r="BI41" s="3" t="s">
        <v>2934</v>
      </c>
      <c r="BJ41" s="3" t="s">
        <v>1263</v>
      </c>
      <c r="BK41" s="3" t="s">
        <v>321</v>
      </c>
      <c r="BL41" s="3" t="s">
        <v>2935</v>
      </c>
      <c r="BM41" s="3" t="s">
        <v>298</v>
      </c>
      <c r="BN41" s="3">
        <v>7.03</v>
      </c>
      <c r="BO41" s="3">
        <v>16.38</v>
      </c>
      <c r="BP41" s="3">
        <v>10.42</v>
      </c>
      <c r="BQ41" s="3">
        <v>8.07</v>
      </c>
      <c r="BR41" s="3">
        <v>18.489999999999998</v>
      </c>
      <c r="BS41" s="3">
        <v>12.03</v>
      </c>
      <c r="BT41" s="3" t="s">
        <v>1790</v>
      </c>
      <c r="BU41" s="3" t="s">
        <v>1002</v>
      </c>
      <c r="BV41" s="3">
        <v>31.81</v>
      </c>
      <c r="BW41" s="3">
        <v>28.59</v>
      </c>
      <c r="BX41" s="3">
        <v>23.7</v>
      </c>
      <c r="BY41" s="3">
        <v>13.33</v>
      </c>
      <c r="BZ41" s="3">
        <v>14.39</v>
      </c>
      <c r="CA41" s="3">
        <v>9.48</v>
      </c>
      <c r="CB41" s="3">
        <v>-0.95</v>
      </c>
      <c r="CC41" s="3">
        <v>-4.96</v>
      </c>
      <c r="CD41" s="3" t="s">
        <v>2936</v>
      </c>
      <c r="CE41" s="3" t="s">
        <v>124</v>
      </c>
      <c r="CF41" s="10">
        <v>-5.4572271386430678E-2</v>
      </c>
      <c r="CG41" s="11">
        <v>-0.19611201136786216</v>
      </c>
      <c r="CH41" s="10">
        <v>-0.6462472677230835</v>
      </c>
      <c r="CI41" s="10">
        <v>0.13819095492362976</v>
      </c>
      <c r="CJ41" s="10">
        <v>0.3333333432674408</v>
      </c>
      <c r="CK41" s="10">
        <v>-9.6822991967201233E-2</v>
      </c>
      <c r="CL41" s="10">
        <v>3.3619962632656097E-2</v>
      </c>
      <c r="CM41" s="11">
        <v>-0.7498663067817688</v>
      </c>
      <c r="CN41" s="11">
        <v>0.72847682237625122</v>
      </c>
      <c r="CO41" s="11">
        <v>0.36036035418510437</v>
      </c>
      <c r="CP41" s="11">
        <v>-0.24489796161651611</v>
      </c>
      <c r="CQ41" s="11">
        <v>0.24576270580291748</v>
      </c>
      <c r="CR41" s="3">
        <v>30.305717820624739</v>
      </c>
      <c r="CS41" s="3">
        <v>6.3687276642730088</v>
      </c>
      <c r="CT41" s="3">
        <v>1.7846201436024341E-2</v>
      </c>
      <c r="CU41" s="10">
        <v>-4.7585199773311618E-2</v>
      </c>
      <c r="CV41" s="11">
        <v>6.7967122793197637E-2</v>
      </c>
      <c r="CW41" s="3">
        <v>0.06</v>
      </c>
      <c r="CX41" s="3">
        <v>56.305545386452302</v>
      </c>
      <c r="CY41" s="3" t="s">
        <v>2937</v>
      </c>
      <c r="CZ41" s="3">
        <v>-4.7585199773311618E-2</v>
      </c>
      <c r="DA41" s="3">
        <v>18.768515128817434</v>
      </c>
      <c r="DB41" s="3" t="s">
        <v>2938</v>
      </c>
      <c r="DC41" s="3">
        <v>-4.5205939784646036E-2</v>
      </c>
      <c r="DD41" s="3">
        <v>9.3842575644087169</v>
      </c>
      <c r="DE41" s="3" t="s">
        <v>2939</v>
      </c>
      <c r="DF41" s="3">
        <v>-4.1874975800514226E-2</v>
      </c>
      <c r="DG41" s="3">
        <v>5.6305545386452307</v>
      </c>
      <c r="DH41" s="3" t="s">
        <v>2940</v>
      </c>
      <c r="DI41" s="3">
        <v>-3.8068159818649298E-2</v>
      </c>
      <c r="DJ41" s="3">
        <v>2.8152772693226153</v>
      </c>
      <c r="DK41" s="3" t="s">
        <v>2941</v>
      </c>
      <c r="DL41" s="3">
        <v>-3.3309639841318128E-2</v>
      </c>
      <c r="DM41" s="3">
        <v>65284900</v>
      </c>
      <c r="DN41" s="3">
        <v>-4.7585199773311618E-2</v>
      </c>
      <c r="DO41" s="3">
        <v>3675901900</v>
      </c>
      <c r="DP41" s="3">
        <v>720227400</v>
      </c>
      <c r="DQ41" s="3">
        <v>1475</v>
      </c>
      <c r="DR41" s="3">
        <v>-6.9870716131190599E-3</v>
      </c>
      <c r="DS41" s="3">
        <v>-0.26407913416105977</v>
      </c>
      <c r="DT41" s="12">
        <v>-0.64</v>
      </c>
      <c r="DU41" s="3">
        <v>-0.13666666666666669</v>
      </c>
      <c r="DV41" s="3">
        <v>-0.77666666666666673</v>
      </c>
      <c r="DW41" s="3">
        <v>-1.0496000000000001</v>
      </c>
      <c r="DX41" s="3">
        <v>0.49551818181817964</v>
      </c>
      <c r="DY41" s="3">
        <v>-1.0062257018181817</v>
      </c>
      <c r="DZ41" s="3">
        <v>1712</v>
      </c>
      <c r="EA41" s="3">
        <v>-1.0041399089585483</v>
      </c>
      <c r="EB41" s="3">
        <v>1</v>
      </c>
      <c r="EC41" s="3">
        <v>8.8414862745846839E-2</v>
      </c>
      <c r="ED41" s="3">
        <v>0.70439884855820611</v>
      </c>
      <c r="EE41" s="13">
        <v>1.1019099999999999</v>
      </c>
      <c r="EF41" s="3">
        <v>1.1230100000000001</v>
      </c>
      <c r="EG41" s="3">
        <v>37.12551818181818</v>
      </c>
      <c r="EH41" s="3" t="s">
        <v>1167</v>
      </c>
      <c r="EI41" s="3">
        <v>0</v>
      </c>
      <c r="EJ41" s="3">
        <v>0</v>
      </c>
      <c r="EK41" s="15">
        <v>45470</v>
      </c>
      <c r="EL41" s="16">
        <v>-0.26</v>
      </c>
      <c r="EM41" s="16">
        <v>-4.03</v>
      </c>
      <c r="EN41" s="16">
        <v>-1.28</v>
      </c>
      <c r="EO41" s="16">
        <v>1.02</v>
      </c>
      <c r="EP41" s="16">
        <v>-2.11</v>
      </c>
    </row>
    <row r="42" spans="3:146" ht="96" x14ac:dyDescent="0.25">
      <c r="C42" s="7" t="str">
        <f>""&amp;CHAR(10)&amp;Basic_Fundamental_Information_Constructure(F42)&amp;CHAR(10)&amp;Basic_Fundamental_Information_Concatenate("")</f>
        <v xml:space="preserve">
市值13.8648亿, 利润-9.51万; PE; 平均PE322.51; 平均PEG57.19, PB1.4; ROIC0%; ROE-1%; 股利率0%; 毛利18.1167%; 净利-10.3%; 上一年度营收增-76.22%, 利润增99.41%; 当季营收增-49.48%, 利润增74.15%; 过往5年营收增-5.64%, 利润增-33.46%
Income profile:
</v>
      </c>
      <c r="D42" s="3" t="s">
        <v>545</v>
      </c>
      <c r="E42" s="3" t="s">
        <v>546</v>
      </c>
      <c r="F42" s="3">
        <v>3.27</v>
      </c>
      <c r="G42" s="3">
        <v>4.1399999999999997</v>
      </c>
      <c r="H42" s="3" t="s">
        <v>2942</v>
      </c>
      <c r="I42" s="3">
        <v>1386480000</v>
      </c>
      <c r="K42" s="3">
        <v>1.4</v>
      </c>
      <c r="L42" s="3" t="s">
        <v>343</v>
      </c>
      <c r="M42" s="3" t="s">
        <v>1791</v>
      </c>
      <c r="N42" s="3" t="s">
        <v>1452</v>
      </c>
      <c r="O42" s="3" t="s">
        <v>1792</v>
      </c>
      <c r="P42" s="3">
        <v>101.45</v>
      </c>
      <c r="Q42" s="3" t="s">
        <v>1792</v>
      </c>
      <c r="R42" s="3">
        <v>-95088</v>
      </c>
      <c r="S42" s="5">
        <v>0.97440000000000004</v>
      </c>
      <c r="T42" s="3" t="s">
        <v>2943</v>
      </c>
      <c r="U42" s="3">
        <v>424000000</v>
      </c>
      <c r="V42" s="3">
        <v>424000000</v>
      </c>
      <c r="W42" s="3">
        <v>1.1100000000000001</v>
      </c>
      <c r="X42" s="3">
        <v>0.04</v>
      </c>
      <c r="Y42" s="3">
        <v>-0.63</v>
      </c>
      <c r="Z42" s="3" t="s">
        <v>2944</v>
      </c>
      <c r="AA42" s="3" t="s">
        <v>2945</v>
      </c>
      <c r="AB42" s="3" t="s">
        <v>2946</v>
      </c>
      <c r="AC42" s="3" t="s">
        <v>2947</v>
      </c>
      <c r="AD42" s="3" t="s">
        <v>4</v>
      </c>
      <c r="AE42" s="3">
        <v>-343556</v>
      </c>
      <c r="AF42" s="3" t="s">
        <v>1794</v>
      </c>
      <c r="AG42" s="3" t="s">
        <v>2183</v>
      </c>
      <c r="AH42" s="3" t="s">
        <v>1795</v>
      </c>
      <c r="AI42" s="3" t="s">
        <v>2948</v>
      </c>
      <c r="AJ42" s="3" t="s">
        <v>1796</v>
      </c>
      <c r="AK42" s="3" t="s">
        <v>2949</v>
      </c>
      <c r="AL42" s="3" t="s">
        <v>1797</v>
      </c>
      <c r="AM42" s="3" t="s">
        <v>4</v>
      </c>
      <c r="AN42" s="3" t="s">
        <v>2950</v>
      </c>
      <c r="AO42" s="3" t="s">
        <v>4</v>
      </c>
      <c r="AP42" s="3" t="s">
        <v>2951</v>
      </c>
      <c r="AQ42" s="3" t="s">
        <v>2952</v>
      </c>
      <c r="AR42" s="3" t="s">
        <v>4</v>
      </c>
      <c r="AS42" s="3" t="s">
        <v>156</v>
      </c>
      <c r="AT42" s="3" t="s">
        <v>4</v>
      </c>
      <c r="AU42" s="3" t="s">
        <v>2953</v>
      </c>
      <c r="AV42" s="3" t="s">
        <v>2954</v>
      </c>
      <c r="AW42" s="3" t="s">
        <v>2955</v>
      </c>
      <c r="AX42" s="3" t="s">
        <v>132</v>
      </c>
      <c r="AY42" s="3" t="s">
        <v>27</v>
      </c>
      <c r="AZ42" s="3" t="s">
        <v>5</v>
      </c>
      <c r="BA42" s="3" t="s">
        <v>549</v>
      </c>
      <c r="BB42" s="3" t="s">
        <v>81</v>
      </c>
      <c r="BC42" s="3" t="s">
        <v>1265</v>
      </c>
      <c r="BD42" s="3" t="s">
        <v>909</v>
      </c>
      <c r="BE42" s="3" t="s">
        <v>547</v>
      </c>
      <c r="BF42" s="3" t="s">
        <v>550</v>
      </c>
      <c r="BG42" s="3" t="s">
        <v>551</v>
      </c>
      <c r="BH42" s="3" t="s">
        <v>62</v>
      </c>
      <c r="BI42" s="3" t="s">
        <v>2956</v>
      </c>
      <c r="BJ42" s="3" t="s">
        <v>132</v>
      </c>
      <c r="BK42" s="3" t="s">
        <v>1793</v>
      </c>
      <c r="BL42" s="3" t="s">
        <v>2957</v>
      </c>
      <c r="BM42" s="3" t="s">
        <v>1265</v>
      </c>
      <c r="BN42" s="3" t="s">
        <v>4</v>
      </c>
      <c r="BO42" s="3" t="s">
        <v>4</v>
      </c>
      <c r="BP42" s="3" t="s">
        <v>4</v>
      </c>
      <c r="BQ42" s="3">
        <v>-0.65</v>
      </c>
      <c r="BR42" s="3">
        <v>-1.58</v>
      </c>
      <c r="BS42" s="3">
        <v>-0.77</v>
      </c>
      <c r="BT42" s="3" t="s">
        <v>1157</v>
      </c>
      <c r="BU42" s="3" t="s">
        <v>1002</v>
      </c>
      <c r="BV42" s="3">
        <v>19.13</v>
      </c>
      <c r="BW42" s="3">
        <v>8.6</v>
      </c>
      <c r="BX42" s="3">
        <v>26.62</v>
      </c>
      <c r="BY42" s="3">
        <v>-15.02</v>
      </c>
      <c r="BZ42" s="3">
        <v>-9.9700000000000006</v>
      </c>
      <c r="CA42" s="3">
        <v>-5.91</v>
      </c>
      <c r="CB42" s="3">
        <v>2.19</v>
      </c>
      <c r="CC42" s="3">
        <v>-13.95</v>
      </c>
      <c r="CD42" s="3" t="s">
        <v>2958</v>
      </c>
      <c r="CE42" s="3" t="s">
        <v>2926</v>
      </c>
      <c r="CF42" s="10">
        <v>-0.49479966899283906</v>
      </c>
      <c r="CG42" s="11">
        <v>0.74153846153846159</v>
      </c>
      <c r="CH42" s="10">
        <v>-0.76216685771942139</v>
      </c>
      <c r="CI42" s="10">
        <v>0.23484848439693451</v>
      </c>
      <c r="CJ42" s="10">
        <v>-0.26666668057441711</v>
      </c>
      <c r="CK42" s="10">
        <v>1.0791558027267456</v>
      </c>
      <c r="CL42" s="10">
        <v>-0.56713199615478516</v>
      </c>
      <c r="CM42" s="11">
        <v>0.99406701326370239</v>
      </c>
      <c r="CN42" s="11">
        <v>-1.0229185819625854</v>
      </c>
      <c r="CO42" s="11">
        <v>-1.4989892244338989</v>
      </c>
      <c r="CP42" s="11">
        <v>4.4903304427862167E-2</v>
      </c>
      <c r="CQ42" s="11">
        <v>-0.19016177952289581</v>
      </c>
      <c r="CR42" s="3">
        <v>322.50721086747507</v>
      </c>
      <c r="CS42" s="3">
        <v>57.189988682346254</v>
      </c>
      <c r="CT42" s="3">
        <v>0</v>
      </c>
      <c r="CU42" s="10">
        <v>-5.6392249464988706E-2</v>
      </c>
      <c r="CV42" s="11">
        <v>-0.33461985364556313</v>
      </c>
      <c r="CW42" s="3">
        <v>0.06</v>
      </c>
      <c r="CX42" s="3" t="e">
        <v>#VALUE!</v>
      </c>
      <c r="CY42" s="3" t="s">
        <v>1005</v>
      </c>
      <c r="CZ42" s="3">
        <v>-5.6392249464988706E-2</v>
      </c>
      <c r="DA42" s="3" t="e">
        <v>#VALUE!</v>
      </c>
      <c r="DB42" s="3" t="s">
        <v>1006</v>
      </c>
      <c r="DC42" s="3">
        <v>-5.3572636991739267E-2</v>
      </c>
      <c r="DD42" s="3" t="e">
        <v>#VALUE!</v>
      </c>
      <c r="DE42" s="3" t="s">
        <v>1006</v>
      </c>
      <c r="DF42" s="3">
        <v>-4.9625179529190058E-2</v>
      </c>
      <c r="DG42" s="3" t="e">
        <v>#VALUE!</v>
      </c>
      <c r="DH42" s="3" t="s">
        <v>1006</v>
      </c>
      <c r="DI42" s="3">
        <v>-4.5113799571990965E-2</v>
      </c>
      <c r="DJ42" s="3" t="e">
        <v>#VALUE!</v>
      </c>
      <c r="DK42" s="3" t="s">
        <v>1006</v>
      </c>
      <c r="DL42" s="3">
        <v>-3.9474574625492094E-2</v>
      </c>
      <c r="DM42" s="3">
        <v>-95100</v>
      </c>
      <c r="DN42" s="3">
        <v>-5.6392249464988706E-2</v>
      </c>
      <c r="DO42" s="3">
        <v>489111299.99999988</v>
      </c>
      <c r="DP42" s="3">
        <v>662947210</v>
      </c>
      <c r="DQ42" s="3">
        <v>1569</v>
      </c>
      <c r="DR42" s="3">
        <v>-0.43840741952785034</v>
      </c>
      <c r="DS42" s="3">
        <v>1.0761583151840246</v>
      </c>
      <c r="DT42" s="12">
        <v>-0.62333333333333341</v>
      </c>
      <c r="DU42" s="3">
        <v>-2.2616666666666667</v>
      </c>
      <c r="DV42" s="3">
        <v>-2.8850000000000002</v>
      </c>
      <c r="DW42" s="3">
        <v>-2.1395</v>
      </c>
      <c r="DX42" s="3">
        <v>0.50117687687687784</v>
      </c>
      <c r="DY42" s="3">
        <v>-2.0238791743243243</v>
      </c>
      <c r="DZ42" s="3">
        <v>4708</v>
      </c>
      <c r="EA42" s="3">
        <v>-2.0018785573538902</v>
      </c>
      <c r="EB42" s="3">
        <v>2</v>
      </c>
      <c r="EC42" s="3">
        <v>0.1344384433962264</v>
      </c>
      <c r="ED42" s="3">
        <v>0.785377358490566</v>
      </c>
      <c r="EE42" s="13">
        <v>-3.0491100000000002</v>
      </c>
      <c r="EF42" s="3">
        <v>-3.0522100000000001</v>
      </c>
      <c r="EG42" s="3">
        <v>33.171176876876878</v>
      </c>
      <c r="EH42" s="3" t="s">
        <v>1465</v>
      </c>
      <c r="EI42" s="3">
        <v>0</v>
      </c>
      <c r="EJ42" s="3">
        <v>0</v>
      </c>
      <c r="EK42" s="15">
        <v>45470</v>
      </c>
      <c r="EL42" s="16">
        <v>-1.55</v>
      </c>
      <c r="EM42" s="16">
        <v>-4.4000000000000004</v>
      </c>
      <c r="EN42" s="16">
        <v>0.66</v>
      </c>
      <c r="EO42" s="16">
        <v>5.56</v>
      </c>
      <c r="EP42" s="16">
        <v>-0.31</v>
      </c>
    </row>
    <row r="43" spans="3:146" ht="96" x14ac:dyDescent="0.25">
      <c r="C43" s="7" t="str">
        <f>""&amp;CHAR(10)&amp;Basic_Fundamental_Information_Constructure(F43)&amp;CHAR(10)&amp;Basic_Fundamental_Information_Concatenate("")</f>
        <v xml:space="preserve">
市值109.980511亿, 利润4947.64万; PE58.87; 平均PE16.4; 平均PEG.97, PB1.33; ROIC7.33%; ROE8.1133%; 股利率1.5625%; 毛利17.6733%; 净利8.94%; 上一年度营收增-62.75%, 利润增-92.72%; 当季营收增-22.85%, 利润增-77.51%; 过往5年营收增-16.88%, 利润增-18.35%
Income profile:
</v>
      </c>
      <c r="D43" s="3" t="s">
        <v>553</v>
      </c>
      <c r="E43" s="3" t="s">
        <v>554</v>
      </c>
      <c r="F43" s="3">
        <v>4.4800000000000004</v>
      </c>
      <c r="G43" s="3">
        <v>0</v>
      </c>
      <c r="H43" s="3" t="s">
        <v>2959</v>
      </c>
      <c r="I43" s="3">
        <v>10998051100</v>
      </c>
      <c r="J43" s="3">
        <v>58.87</v>
      </c>
      <c r="K43" s="3">
        <v>1.33</v>
      </c>
      <c r="L43" s="3" t="s">
        <v>343</v>
      </c>
      <c r="M43" s="3" t="s">
        <v>1799</v>
      </c>
      <c r="N43" s="3" t="s">
        <v>2960</v>
      </c>
      <c r="O43" s="3" t="s">
        <v>1800</v>
      </c>
      <c r="P43" s="3">
        <v>76.87</v>
      </c>
      <c r="Q43" s="3" t="s">
        <v>1800</v>
      </c>
      <c r="R43" s="3">
        <v>49476399</v>
      </c>
      <c r="S43" s="5">
        <v>-0.5252</v>
      </c>
      <c r="T43" s="3" t="s">
        <v>2961</v>
      </c>
      <c r="U43" s="3">
        <v>2442692200</v>
      </c>
      <c r="V43" s="3">
        <v>2454922100</v>
      </c>
      <c r="W43" s="3">
        <v>1.67</v>
      </c>
      <c r="X43" s="3">
        <v>0.18</v>
      </c>
      <c r="Y43" s="3">
        <v>2.35</v>
      </c>
      <c r="Z43" s="3" t="s">
        <v>2962</v>
      </c>
      <c r="AA43" s="3" t="s">
        <v>2963</v>
      </c>
      <c r="AB43" s="3" t="s">
        <v>2964</v>
      </c>
      <c r="AC43" s="3" t="s">
        <v>2965</v>
      </c>
      <c r="AD43" s="3" t="s">
        <v>4</v>
      </c>
      <c r="AE43" s="3">
        <v>3396338</v>
      </c>
      <c r="AF43" s="3" t="s">
        <v>1802</v>
      </c>
      <c r="AG43" s="3" t="s">
        <v>2966</v>
      </c>
      <c r="AH43" s="3" t="s">
        <v>1803</v>
      </c>
      <c r="AI43" s="3" t="s">
        <v>2967</v>
      </c>
      <c r="AJ43" s="3" t="s">
        <v>1805</v>
      </c>
      <c r="AK43" s="3" t="s">
        <v>52</v>
      </c>
      <c r="AL43" s="3" t="s">
        <v>1806</v>
      </c>
      <c r="AM43" s="3" t="s">
        <v>4</v>
      </c>
      <c r="AN43" s="3" t="s">
        <v>2968</v>
      </c>
      <c r="AO43" s="3" t="s">
        <v>2969</v>
      </c>
      <c r="AP43" s="3" t="s">
        <v>2071</v>
      </c>
      <c r="AQ43" s="3" t="s">
        <v>2970</v>
      </c>
      <c r="AR43" s="3" t="s">
        <v>4</v>
      </c>
      <c r="AS43" s="3" t="s">
        <v>2971</v>
      </c>
      <c r="AT43" s="3" t="s">
        <v>120</v>
      </c>
      <c r="AU43" s="3" t="s">
        <v>2972</v>
      </c>
      <c r="AV43" s="3" t="s">
        <v>2973</v>
      </c>
      <c r="AW43" s="3" t="s">
        <v>127</v>
      </c>
      <c r="AX43" s="3" t="s">
        <v>1266</v>
      </c>
      <c r="AY43" s="3" t="s">
        <v>910</v>
      </c>
      <c r="AZ43" s="3" t="s">
        <v>555</v>
      </c>
      <c r="BA43" s="3" t="s">
        <v>557</v>
      </c>
      <c r="BB43" s="3" t="s">
        <v>558</v>
      </c>
      <c r="BC43" s="3" t="s">
        <v>1267</v>
      </c>
      <c r="BD43" s="3" t="s">
        <v>661</v>
      </c>
      <c r="BE43" s="3" t="s">
        <v>113</v>
      </c>
      <c r="BF43" s="3" t="s">
        <v>161</v>
      </c>
      <c r="BG43" s="3" t="s">
        <v>222</v>
      </c>
      <c r="BH43" s="3" t="s">
        <v>1801</v>
      </c>
      <c r="BI43" s="3" t="s">
        <v>2974</v>
      </c>
      <c r="BJ43" s="3" t="s">
        <v>1266</v>
      </c>
      <c r="BK43" s="3" t="s">
        <v>1351</v>
      </c>
      <c r="BL43" s="3" t="s">
        <v>1439</v>
      </c>
      <c r="BM43" s="3" t="s">
        <v>1267</v>
      </c>
      <c r="BN43" s="3">
        <v>3.24</v>
      </c>
      <c r="BO43" s="3">
        <v>7.67</v>
      </c>
      <c r="BP43" s="3">
        <v>11.08</v>
      </c>
      <c r="BQ43" s="3">
        <v>3.68</v>
      </c>
      <c r="BR43" s="3">
        <v>8.3699999999999992</v>
      </c>
      <c r="BS43" s="3">
        <v>12.29</v>
      </c>
      <c r="BT43" s="3" t="s">
        <v>1809</v>
      </c>
      <c r="BU43" s="3" t="s">
        <v>1002</v>
      </c>
      <c r="BV43" s="3">
        <v>10.15</v>
      </c>
      <c r="BW43" s="3">
        <v>19.16</v>
      </c>
      <c r="BX43" s="3">
        <v>23.71</v>
      </c>
      <c r="BY43" s="3">
        <v>3.33</v>
      </c>
      <c r="BZ43" s="3">
        <v>10.199999999999999</v>
      </c>
      <c r="CA43" s="3">
        <v>13.29</v>
      </c>
      <c r="CB43" s="3">
        <v>-4.68</v>
      </c>
      <c r="CC43" s="3">
        <v>-7.82</v>
      </c>
      <c r="CD43" s="3" t="s">
        <v>148</v>
      </c>
      <c r="CE43" s="3" t="s">
        <v>2620</v>
      </c>
      <c r="CF43" s="10">
        <v>-0.22851215174866626</v>
      </c>
      <c r="CG43" s="11">
        <v>-0.77510727727272732</v>
      </c>
      <c r="CH43" s="10">
        <v>-0.62745100259780884</v>
      </c>
      <c r="CI43" s="10">
        <v>-4.4172219932079315E-3</v>
      </c>
      <c r="CJ43" s="10">
        <v>2.5423672050237656E-2</v>
      </c>
      <c r="CK43" s="10">
        <v>0.13612222671508789</v>
      </c>
      <c r="CL43" s="10">
        <v>-0.37347891926765442</v>
      </c>
      <c r="CM43" s="11">
        <v>-0.92724055051803589</v>
      </c>
      <c r="CN43" s="11">
        <v>-0.24778760969638824</v>
      </c>
      <c r="CO43" s="11">
        <v>8.3932854235172272E-2</v>
      </c>
      <c r="CP43" s="11">
        <v>-1.3017751276493073E-2</v>
      </c>
      <c r="CQ43" s="11">
        <v>0.18679775297641754</v>
      </c>
      <c r="CR43" s="3">
        <v>16.396743337841414</v>
      </c>
      <c r="CS43" s="3">
        <v>0.97159985441995422</v>
      </c>
      <c r="CT43" s="3">
        <v>1.5624999999999998</v>
      </c>
      <c r="CU43" s="10">
        <v>-0.16876024901866912</v>
      </c>
      <c r="CV43" s="11">
        <v>-0.18346306085586547</v>
      </c>
      <c r="CW43" s="3">
        <v>0.06</v>
      </c>
      <c r="CX43" s="3">
        <v>154.17554834223995</v>
      </c>
      <c r="CY43" s="3" t="s">
        <v>2975</v>
      </c>
      <c r="CZ43" s="3">
        <v>-0.16876024901866912</v>
      </c>
      <c r="DA43" s="3">
        <v>51.391849447413314</v>
      </c>
      <c r="DB43" s="3" t="s">
        <v>2976</v>
      </c>
      <c r="DC43" s="3">
        <v>-0.16032223656773567</v>
      </c>
      <c r="DD43" s="3">
        <v>25.695924723706657</v>
      </c>
      <c r="DE43" s="3" t="s">
        <v>2977</v>
      </c>
      <c r="DF43" s="3">
        <v>-0.14850901913642883</v>
      </c>
      <c r="DG43" s="3">
        <v>15.417554834223994</v>
      </c>
      <c r="DH43" s="3" t="s">
        <v>2978</v>
      </c>
      <c r="DI43" s="3">
        <v>-0.13500819921493531</v>
      </c>
      <c r="DJ43" s="3">
        <v>7.7087774171119969</v>
      </c>
      <c r="DK43" s="3" t="s">
        <v>2979</v>
      </c>
      <c r="DL43" s="3">
        <v>-0.11813217431306838</v>
      </c>
      <c r="DM43" s="3">
        <v>49476400</v>
      </c>
      <c r="DN43" s="3">
        <v>-0.16876024901866912</v>
      </c>
      <c r="DO43" s="3">
        <v>7628051100</v>
      </c>
      <c r="DP43" s="3">
        <v>950877400</v>
      </c>
      <c r="DQ43" s="3">
        <v>1581</v>
      </c>
      <c r="DR43" s="3">
        <v>-5.9751902729997142E-2</v>
      </c>
      <c r="DS43" s="3">
        <v>-0.59164421641686182</v>
      </c>
      <c r="DT43" s="12">
        <v>-0.87333333333333341</v>
      </c>
      <c r="DU43" s="3">
        <v>-0.82333333333333325</v>
      </c>
      <c r="DV43" s="3">
        <v>-1.6966666666666668</v>
      </c>
      <c r="DW43" s="3">
        <v>-8.5984654731457795</v>
      </c>
      <c r="DX43" s="3">
        <v>0.32488017429193788</v>
      </c>
      <c r="DY43" s="3">
        <v>-8.0867057820570682</v>
      </c>
      <c r="DZ43" s="3">
        <v>3540</v>
      </c>
      <c r="EA43" s="3">
        <v>-8.0266395455635227</v>
      </c>
      <c r="EB43" s="3">
        <v>8</v>
      </c>
      <c r="EC43" s="3">
        <v>5.4176871844528185E-2</v>
      </c>
      <c r="ED43" s="3">
        <v>0.37394261919757049</v>
      </c>
      <c r="EE43" s="13">
        <v>-1.0646100000000001</v>
      </c>
      <c r="EF43" s="3">
        <v>-1.07541</v>
      </c>
      <c r="EG43" s="3">
        <v>18.144880174291938</v>
      </c>
      <c r="EH43" s="3" t="s">
        <v>1015</v>
      </c>
      <c r="EI43" s="3">
        <v>0</v>
      </c>
      <c r="EJ43" s="3">
        <v>0</v>
      </c>
      <c r="EK43" s="15">
        <v>45470</v>
      </c>
      <c r="EL43" s="16">
        <v>-0.21</v>
      </c>
      <c r="EM43" s="16">
        <v>-3.81</v>
      </c>
      <c r="EN43" s="16">
        <v>-3.3</v>
      </c>
      <c r="EO43" s="16">
        <v>5.24</v>
      </c>
      <c r="EP43" s="16">
        <v>-1.08</v>
      </c>
    </row>
    <row r="44" spans="3:146" ht="96" x14ac:dyDescent="0.25">
      <c r="C44" s="7" t="str">
        <f>""&amp;CHAR(10)&amp;Basic_Fundamental_Information_Constructure(F44)&amp;CHAR(10)&amp;Basic_Fundamental_Information_Concatenate("")</f>
        <v xml:space="preserve">
市值55.194038亿, 利润-564.60万; PE43.11; 平均PE-153.32; 平均PEG-116.62, PB1.32; ROIC4.88%; ROE1.3667%; 股利率0%; 毛利18.1833%; 净利2.73%; 上一年度营收增-67.26%, 利润增88.79%; 当季营收增-51.9%, 利润增94.77%; 过往5年营收增-1.31%, 利润增-21.24%
Income profile:
</v>
      </c>
      <c r="D44" s="3" t="s">
        <v>559</v>
      </c>
      <c r="E44" s="3" t="s">
        <v>560</v>
      </c>
      <c r="F44" s="3">
        <v>6</v>
      </c>
      <c r="G44" s="3">
        <v>-0.17</v>
      </c>
      <c r="H44" s="3" t="s">
        <v>2980</v>
      </c>
      <c r="I44" s="3">
        <v>5519403800</v>
      </c>
      <c r="J44" s="3">
        <v>43.11</v>
      </c>
      <c r="K44" s="3">
        <v>1.32</v>
      </c>
      <c r="L44" s="3" t="s">
        <v>343</v>
      </c>
      <c r="M44" s="3" t="s">
        <v>1810</v>
      </c>
      <c r="N44" s="3" t="s">
        <v>2981</v>
      </c>
      <c r="O44" s="3" t="s">
        <v>1471</v>
      </c>
      <c r="P44" s="3">
        <v>21.18</v>
      </c>
      <c r="Q44" s="3" t="s">
        <v>1471</v>
      </c>
      <c r="R44" s="3">
        <v>-5646020</v>
      </c>
      <c r="S44" s="5">
        <v>0.94469999999999998</v>
      </c>
      <c r="T44" s="3" t="s">
        <v>2982</v>
      </c>
      <c r="U44" s="3">
        <v>914382360</v>
      </c>
      <c r="V44" s="3">
        <v>919900630</v>
      </c>
      <c r="W44" s="3">
        <v>1.61</v>
      </c>
      <c r="X44" s="3">
        <v>0.08</v>
      </c>
      <c r="Y44" s="3">
        <v>-1.01</v>
      </c>
      <c r="Z44" s="3" t="s">
        <v>1798</v>
      </c>
      <c r="AA44" s="3" t="s">
        <v>1448</v>
      </c>
      <c r="AB44" s="3" t="s">
        <v>2983</v>
      </c>
      <c r="AC44" s="3" t="s">
        <v>2984</v>
      </c>
      <c r="AD44" s="3" t="s">
        <v>4</v>
      </c>
      <c r="AE44" s="3">
        <v>14071814</v>
      </c>
      <c r="AF44" s="3" t="s">
        <v>1813</v>
      </c>
      <c r="AG44" s="3" t="s">
        <v>2985</v>
      </c>
      <c r="AH44" s="3" t="s">
        <v>1814</v>
      </c>
      <c r="AI44" s="3" t="s">
        <v>1456</v>
      </c>
      <c r="AJ44" s="3" t="s">
        <v>1815</v>
      </c>
      <c r="AK44" s="3" t="s">
        <v>2986</v>
      </c>
      <c r="AL44" s="3" t="s">
        <v>1816</v>
      </c>
      <c r="AM44" s="3" t="s">
        <v>4</v>
      </c>
      <c r="AN44" s="3" t="s">
        <v>1262</v>
      </c>
      <c r="AO44" s="3" t="s">
        <v>98</v>
      </c>
      <c r="AP44" s="3" t="s">
        <v>149</v>
      </c>
      <c r="AQ44" s="3" t="s">
        <v>1053</v>
      </c>
      <c r="AR44" s="3" t="s">
        <v>4</v>
      </c>
      <c r="AS44" s="3" t="s">
        <v>2987</v>
      </c>
      <c r="AT44" s="3" t="s">
        <v>1526</v>
      </c>
      <c r="AU44" s="3" t="s">
        <v>1164</v>
      </c>
      <c r="AV44" s="3" t="s">
        <v>2988</v>
      </c>
      <c r="AW44" s="3" t="s">
        <v>2989</v>
      </c>
      <c r="AX44" s="3" t="s">
        <v>1045</v>
      </c>
      <c r="AY44" s="3" t="s">
        <v>911</v>
      </c>
      <c r="AZ44" s="3" t="s">
        <v>561</v>
      </c>
      <c r="BA44" s="3" t="s">
        <v>563</v>
      </c>
      <c r="BB44" s="3" t="s">
        <v>564</v>
      </c>
      <c r="BC44" s="3" t="s">
        <v>1268</v>
      </c>
      <c r="BD44" s="3" t="s">
        <v>187</v>
      </c>
      <c r="BE44" s="3" t="s">
        <v>562</v>
      </c>
      <c r="BF44" s="3" t="s">
        <v>565</v>
      </c>
      <c r="BG44" s="3" t="s">
        <v>5</v>
      </c>
      <c r="BH44" s="3" t="s">
        <v>1811</v>
      </c>
      <c r="BI44" s="3" t="s">
        <v>1373</v>
      </c>
      <c r="BJ44" s="3" t="s">
        <v>1045</v>
      </c>
      <c r="BK44" s="3" t="s">
        <v>1812</v>
      </c>
      <c r="BL44" s="3" t="s">
        <v>2990</v>
      </c>
      <c r="BM44" s="3" t="s">
        <v>1268</v>
      </c>
      <c r="BN44" s="3" t="s">
        <v>4</v>
      </c>
      <c r="BO44" s="3" t="s">
        <v>4</v>
      </c>
      <c r="BP44" s="3">
        <v>4.88</v>
      </c>
      <c r="BQ44" s="3">
        <v>-2.14</v>
      </c>
      <c r="BR44" s="3">
        <v>-1.36</v>
      </c>
      <c r="BS44" s="3">
        <v>7.6</v>
      </c>
      <c r="BT44" s="3" t="s">
        <v>1157</v>
      </c>
      <c r="BU44" s="3" t="s">
        <v>977</v>
      </c>
      <c r="BV44" s="3">
        <v>12.38</v>
      </c>
      <c r="BW44" s="3">
        <v>16.579999999999998</v>
      </c>
      <c r="BX44" s="3">
        <v>25.59</v>
      </c>
      <c r="BY44" s="3">
        <v>1.32</v>
      </c>
      <c r="BZ44" s="3">
        <v>-3.02</v>
      </c>
      <c r="CA44" s="3">
        <v>9.89</v>
      </c>
      <c r="CB44" s="3">
        <v>-6.54</v>
      </c>
      <c r="CC44" s="3">
        <v>-6.83</v>
      </c>
      <c r="CD44" s="3" t="s">
        <v>2991</v>
      </c>
      <c r="CE44" s="3" t="s">
        <v>133</v>
      </c>
      <c r="CF44" s="10">
        <v>-0.51903114186851207</v>
      </c>
      <c r="CG44" s="11">
        <v>0.94772203703703706</v>
      </c>
      <c r="CH44" s="10">
        <v>-0.67255592346191406</v>
      </c>
      <c r="CI44" s="10">
        <v>-9.632786363363266E-2</v>
      </c>
      <c r="CJ44" s="10">
        <v>0.42781159281730652</v>
      </c>
      <c r="CK44" s="10">
        <v>0.26660251617431641</v>
      </c>
      <c r="CL44" s="10">
        <v>8.7378639727830887E-3</v>
      </c>
      <c r="CM44" s="11">
        <v>0.88786607980728149</v>
      </c>
      <c r="CN44" s="11">
        <v>-1.2692539691925049</v>
      </c>
      <c r="CO44" s="11">
        <v>1.7570849657058716</v>
      </c>
      <c r="CP44" s="11">
        <v>0.11785714328289032</v>
      </c>
      <c r="CQ44" s="11">
        <v>-2.5555555820465088</v>
      </c>
      <c r="CR44" s="3">
        <v>-153.31925656202765</v>
      </c>
      <c r="CS44" s="3">
        <v>-116.62484794360182</v>
      </c>
      <c r="CT44" s="3">
        <v>0</v>
      </c>
      <c r="CU44" s="10">
        <v>-1.3146362826228141E-2</v>
      </c>
      <c r="CV44" s="11">
        <v>-0.21240027248859406</v>
      </c>
      <c r="CW44" s="3">
        <v>0.06</v>
      </c>
      <c r="CX44" s="3" t="e">
        <v>#VALUE!</v>
      </c>
      <c r="CY44" s="3" t="s">
        <v>1005</v>
      </c>
      <c r="CZ44" s="3">
        <v>-1.3146362826228141E-2</v>
      </c>
      <c r="DA44" s="3" t="e">
        <v>#VALUE!</v>
      </c>
      <c r="DB44" s="3" t="s">
        <v>1006</v>
      </c>
      <c r="DC44" s="3">
        <v>-1.2489044684916734E-2</v>
      </c>
      <c r="DD44" s="3" t="e">
        <v>#VALUE!</v>
      </c>
      <c r="DE44" s="3" t="s">
        <v>1006</v>
      </c>
      <c r="DF44" s="3">
        <v>-1.1568799287080765E-2</v>
      </c>
      <c r="DG44" s="3" t="e">
        <v>#VALUE!</v>
      </c>
      <c r="DH44" s="3" t="s">
        <v>1006</v>
      </c>
      <c r="DI44" s="3">
        <v>-1.0517090260982513E-2</v>
      </c>
      <c r="DJ44" s="3" t="e">
        <v>#VALUE!</v>
      </c>
      <c r="DK44" s="3" t="s">
        <v>1006</v>
      </c>
      <c r="DL44" s="3">
        <v>-9.2024539783596981E-3</v>
      </c>
      <c r="DM44" s="3">
        <v>-5646000</v>
      </c>
      <c r="DN44" s="3">
        <v>-1.3146362826228141E-2</v>
      </c>
      <c r="DO44" s="3">
        <v>3798403799.9999995</v>
      </c>
      <c r="DP44" s="3">
        <v>1435111800</v>
      </c>
      <c r="DQ44" s="3">
        <v>1593</v>
      </c>
      <c r="DR44" s="3">
        <v>-0.50588477904228391</v>
      </c>
      <c r="DS44" s="3">
        <v>1.1601223095256312</v>
      </c>
      <c r="DT44" s="12">
        <v>-0.52333333333333332</v>
      </c>
      <c r="DU44" s="3">
        <v>-2.2450000000000001</v>
      </c>
      <c r="DV44" s="3">
        <v>-2.7683333333333335</v>
      </c>
      <c r="DW44" s="3">
        <v>-9.9575402635431924</v>
      </c>
      <c r="DX44" s="3">
        <v>0.34264277566539802</v>
      </c>
      <c r="DY44" s="3">
        <v>-9.0982845904614518</v>
      </c>
      <c r="DZ44" s="3">
        <v>4118</v>
      </c>
      <c r="EA44" s="3">
        <v>-9.0190799048410497</v>
      </c>
      <c r="EB44" s="3">
        <v>9</v>
      </c>
      <c r="EC44" s="3">
        <v>5.8691230595200268E-2</v>
      </c>
      <c r="ED44" s="3">
        <v>0.57180089114625343</v>
      </c>
      <c r="EE44" s="13">
        <v>-1.0656000000000001</v>
      </c>
      <c r="EF44" s="3">
        <v>-1.0454000000000001</v>
      </c>
      <c r="EG44" s="3">
        <v>24.102642775665398</v>
      </c>
      <c r="EH44" s="3" t="s">
        <v>1173</v>
      </c>
      <c r="EI44" s="3">
        <v>0</v>
      </c>
      <c r="EJ44" s="3">
        <v>0</v>
      </c>
      <c r="EK44" s="15">
        <v>45470</v>
      </c>
      <c r="EL44" s="16">
        <v>-0.62</v>
      </c>
      <c r="EM44" s="16">
        <v>-3.42</v>
      </c>
      <c r="EN44" s="16">
        <v>-0.16</v>
      </c>
      <c r="EO44" s="16">
        <v>3.71</v>
      </c>
      <c r="EP44" s="16">
        <v>-2.02</v>
      </c>
    </row>
    <row r="45" spans="3:146" ht="96" x14ac:dyDescent="0.25">
      <c r="C45" s="7" t="str">
        <f>""&amp;CHAR(10)&amp;Basic_Fundamental_Information_Constructure(F45)&amp;CHAR(10)&amp;Basic_Fundamental_Information_Concatenate("")</f>
        <v xml:space="preserve">
市值37.393045亿, 利润3149.31万; PE; 平均PE48.44; 平均PEG6.51, PB1.26; ROIC2.5033%; ROE1.8367%; 股利率0%; 毛利13.2833%; 净利-1.8%; 上一年度营收增-71.63%, 利润增-14.35%; 当季营收增-52.72%, 利润增-29.92%; 过往5年营收增-7.44%, 利润增-23.09%
Income profile:
</v>
      </c>
      <c r="D45" s="3" t="s">
        <v>566</v>
      </c>
      <c r="E45" s="3" t="s">
        <v>567</v>
      </c>
      <c r="F45" s="3">
        <v>6.51</v>
      </c>
      <c r="G45" s="3">
        <v>-2.54</v>
      </c>
      <c r="H45" s="3" t="s">
        <v>79</v>
      </c>
      <c r="I45" s="3">
        <v>3739304500</v>
      </c>
      <c r="K45" s="3">
        <v>1.26</v>
      </c>
      <c r="L45" s="3" t="s">
        <v>343</v>
      </c>
      <c r="M45" s="3" t="s">
        <v>1817</v>
      </c>
      <c r="N45" s="3" t="s">
        <v>2992</v>
      </c>
      <c r="O45" s="3" t="s">
        <v>849</v>
      </c>
      <c r="P45" s="3">
        <v>-4.18</v>
      </c>
      <c r="Q45" s="3" t="s">
        <v>849</v>
      </c>
      <c r="R45" s="3">
        <v>31493077</v>
      </c>
      <c r="S45" s="5">
        <v>0.56469999999999998</v>
      </c>
      <c r="T45" s="3" t="s">
        <v>2993</v>
      </c>
      <c r="U45" s="3">
        <v>521322720</v>
      </c>
      <c r="V45" s="3">
        <v>574393930</v>
      </c>
      <c r="W45" s="3">
        <v>1.54</v>
      </c>
      <c r="X45" s="3">
        <v>0.17</v>
      </c>
      <c r="Y45" s="3">
        <v>4.1100000000000003</v>
      </c>
      <c r="Z45" s="3" t="s">
        <v>2994</v>
      </c>
      <c r="AA45" s="3" t="s">
        <v>1569</v>
      </c>
      <c r="AB45" s="3" t="s">
        <v>2995</v>
      </c>
      <c r="AC45" s="3" t="s">
        <v>2996</v>
      </c>
      <c r="AD45" s="3" t="s">
        <v>4</v>
      </c>
      <c r="AE45" s="3">
        <v>11932611</v>
      </c>
      <c r="AF45" s="3" t="s">
        <v>1819</v>
      </c>
      <c r="AG45" s="3">
        <v>2873.42</v>
      </c>
      <c r="AH45" s="3" t="s">
        <v>1820</v>
      </c>
      <c r="AI45" s="3" t="s">
        <v>2997</v>
      </c>
      <c r="AJ45" s="3" t="s">
        <v>1821</v>
      </c>
      <c r="AK45" s="3" t="s">
        <v>2998</v>
      </c>
      <c r="AL45" s="3" t="s">
        <v>1822</v>
      </c>
      <c r="AM45" s="3" t="s">
        <v>4</v>
      </c>
      <c r="AN45" s="3" t="s">
        <v>2999</v>
      </c>
      <c r="AO45" s="3" t="s">
        <v>1424</v>
      </c>
      <c r="AP45" s="3" t="s">
        <v>41</v>
      </c>
      <c r="AQ45" s="3" t="s">
        <v>1362</v>
      </c>
      <c r="AR45" s="3" t="s">
        <v>3000</v>
      </c>
      <c r="AS45" s="3" t="s">
        <v>1585</v>
      </c>
      <c r="AT45" s="3" t="s">
        <v>1375</v>
      </c>
      <c r="AU45" s="3" t="s">
        <v>3001</v>
      </c>
      <c r="AV45" s="3" t="s">
        <v>3002</v>
      </c>
      <c r="AW45" s="3" t="s">
        <v>552</v>
      </c>
      <c r="AX45" s="3" t="s">
        <v>1270</v>
      </c>
      <c r="AY45" s="3" t="s">
        <v>912</v>
      </c>
      <c r="AZ45" s="3" t="s">
        <v>568</v>
      </c>
      <c r="BA45" s="3" t="s">
        <v>570</v>
      </c>
      <c r="BB45" s="3" t="s">
        <v>571</v>
      </c>
      <c r="BC45" s="3" t="s">
        <v>1271</v>
      </c>
      <c r="BD45" s="3" t="s">
        <v>913</v>
      </c>
      <c r="BE45" s="3" t="s">
        <v>569</v>
      </c>
      <c r="BF45" s="3" t="s">
        <v>120</v>
      </c>
      <c r="BG45" s="3" t="s">
        <v>62</v>
      </c>
      <c r="BH45" s="3" t="s">
        <v>451</v>
      </c>
      <c r="BI45" s="3" t="s">
        <v>3003</v>
      </c>
      <c r="BJ45" s="3" t="s">
        <v>1270</v>
      </c>
      <c r="BK45" s="3" t="s">
        <v>1446</v>
      </c>
      <c r="BL45" s="3" t="s">
        <v>3004</v>
      </c>
      <c r="BM45" s="3" t="s">
        <v>1271</v>
      </c>
      <c r="BN45" s="3">
        <v>2.5499999999999998</v>
      </c>
      <c r="BO45" s="3">
        <v>2.3199999999999998</v>
      </c>
      <c r="BP45" s="3">
        <v>2.64</v>
      </c>
      <c r="BQ45" s="3">
        <v>2.31</v>
      </c>
      <c r="BR45" s="3">
        <v>1.46</v>
      </c>
      <c r="BS45" s="3">
        <v>1.74</v>
      </c>
      <c r="BT45" s="3" t="s">
        <v>1157</v>
      </c>
      <c r="BU45" s="3" t="s">
        <v>1002</v>
      </c>
      <c r="BV45" s="3">
        <v>12.05</v>
      </c>
      <c r="BW45" s="3">
        <v>15.66</v>
      </c>
      <c r="BX45" s="3">
        <v>12.14</v>
      </c>
      <c r="BY45" s="3">
        <v>-8.4600000000000009</v>
      </c>
      <c r="BZ45" s="3">
        <v>1.55</v>
      </c>
      <c r="CA45" s="3">
        <v>1.51</v>
      </c>
      <c r="CB45" s="3">
        <v>25.43</v>
      </c>
      <c r="CC45" s="3">
        <v>17.510000000000002</v>
      </c>
      <c r="CD45" s="3" t="s">
        <v>226</v>
      </c>
      <c r="CE45" s="3" t="s">
        <v>359</v>
      </c>
      <c r="CF45" s="10">
        <v>-0.52716049382716046</v>
      </c>
      <c r="CG45" s="11">
        <v>-0.29918516260253059</v>
      </c>
      <c r="CH45" s="10">
        <v>-0.71629631519317627</v>
      </c>
      <c r="CI45" s="10">
        <v>-0.18330305814743042</v>
      </c>
      <c r="CJ45" s="10">
        <v>6.1316147446632385E-2</v>
      </c>
      <c r="CK45" s="10">
        <v>0.33576333522796631</v>
      </c>
      <c r="CL45" s="10">
        <v>0.13039259612560272</v>
      </c>
      <c r="CM45" s="11">
        <v>-0.143497034907341</v>
      </c>
      <c r="CN45" s="11">
        <v>-0.15103000402450562</v>
      </c>
      <c r="CO45" s="11">
        <v>-0.4557608962059021</v>
      </c>
      <c r="CP45" s="11">
        <v>-0.41912338137626648</v>
      </c>
      <c r="CQ45" s="11">
        <v>1.4814814552664757E-2</v>
      </c>
      <c r="CR45" s="3">
        <v>48.441481134104222</v>
      </c>
      <c r="CS45" s="3">
        <v>6.5087245473261683</v>
      </c>
      <c r="CT45" s="3">
        <v>0</v>
      </c>
      <c r="CU45" s="10">
        <v>-7.4425458908081055E-2</v>
      </c>
      <c r="CV45" s="11">
        <v>-0.2309193003922701</v>
      </c>
      <c r="CW45" s="3">
        <v>0.06</v>
      </c>
      <c r="CX45" s="3">
        <v>79.487395651745942</v>
      </c>
      <c r="CY45" s="3" t="s">
        <v>3005</v>
      </c>
      <c r="CZ45" s="3">
        <v>-7.4425458908081055E-2</v>
      </c>
      <c r="DA45" s="3">
        <v>26.495798550581981</v>
      </c>
      <c r="DB45" s="3" t="s">
        <v>3006</v>
      </c>
      <c r="DC45" s="3">
        <v>-7.0704185962676996E-2</v>
      </c>
      <c r="DD45" s="3">
        <v>13.24789927529099</v>
      </c>
      <c r="DE45" s="3" t="s">
        <v>3007</v>
      </c>
      <c r="DF45" s="3">
        <v>-6.5494403839111329E-2</v>
      </c>
      <c r="DG45" s="3">
        <v>7.948739565174594</v>
      </c>
      <c r="DH45" s="3" t="s">
        <v>3008</v>
      </c>
      <c r="DI45" s="3">
        <v>-5.9540367126464849E-2</v>
      </c>
      <c r="DJ45" s="3">
        <v>3.974369782587297</v>
      </c>
      <c r="DK45" s="3" t="s">
        <v>3009</v>
      </c>
      <c r="DL45" s="3">
        <v>-5.2097821235656733E-2</v>
      </c>
      <c r="DM45" s="3">
        <v>31493100</v>
      </c>
      <c r="DN45" s="3">
        <v>-7.4425458908081055E-2</v>
      </c>
      <c r="DO45" s="3">
        <v>2503304500</v>
      </c>
      <c r="DP45" s="3">
        <v>1366182500</v>
      </c>
      <c r="DQ45" s="3">
        <v>1610</v>
      </c>
      <c r="DR45" s="3">
        <v>-0.4527350349190794</v>
      </c>
      <c r="DS45" s="3">
        <v>-6.8265862210260486E-2</v>
      </c>
      <c r="DT45" s="12">
        <v>-0.80666666666666664</v>
      </c>
      <c r="DU45" s="3">
        <v>-0.62</v>
      </c>
      <c r="DV45" s="3">
        <v>-1.4266666666666667</v>
      </c>
      <c r="DW45" s="3">
        <v>5.6885568226504128</v>
      </c>
      <c r="DX45" s="3">
        <v>1.0320197044334947</v>
      </c>
      <c r="DY45" s="3">
        <v>5.3663257972721405</v>
      </c>
      <c r="DZ45" s="3">
        <v>3414</v>
      </c>
      <c r="EA45" s="3">
        <v>5.1215828869224165</v>
      </c>
      <c r="EB45" s="3">
        <v>5</v>
      </c>
      <c r="EC45" s="3">
        <v>0.56407281323463843</v>
      </c>
      <c r="ED45" s="3">
        <v>1.0602479730243668</v>
      </c>
      <c r="EE45" s="13">
        <v>-3.0749</v>
      </c>
      <c r="EF45" s="3">
        <v>-3.0590999999999999</v>
      </c>
      <c r="EG45" s="3">
        <v>50.532019704433495</v>
      </c>
      <c r="EH45" s="3" t="s">
        <v>1400</v>
      </c>
      <c r="EI45" s="3">
        <v>1</v>
      </c>
      <c r="EJ45" s="3">
        <v>0</v>
      </c>
      <c r="EK45" s="15">
        <v>45470</v>
      </c>
      <c r="EL45" s="16">
        <v>-0.57999999999999996</v>
      </c>
      <c r="EM45" s="16">
        <v>-5.84</v>
      </c>
      <c r="EN45" s="16">
        <v>-0.83</v>
      </c>
      <c r="EO45" s="16">
        <v>5.21</v>
      </c>
      <c r="EP45" s="16">
        <v>-1.58</v>
      </c>
    </row>
    <row r="46" spans="3:146" ht="96" x14ac:dyDescent="0.25">
      <c r="C46" s="7" t="str">
        <f>""&amp;CHAR(10)&amp;Basic_Fundamental_Information_Constructure(F46)&amp;CHAR(10)&amp;Basic_Fundamental_Information_Concatenate("")</f>
        <v xml:space="preserve">
市值39.363197亿, 利润-5854.84万; PE; 平均PE-16.67; 平均PEG-.77, PB3.7; ROIC0%; ROE-26.2833%; 股利率0%; 毛利19.8533%; 净利-20.95%; 上一年度营收增-72.4%, 利润增74.09%; 当季营收增-40.19%, 利润增-22.63%; 过往5年营收增-21.79%, 利润增-277.12%
Income profile:
</v>
      </c>
      <c r="D46" s="3" t="s">
        <v>572</v>
      </c>
      <c r="E46" s="3" t="s">
        <v>573</v>
      </c>
      <c r="F46" s="3">
        <v>3.03</v>
      </c>
      <c r="G46" s="3">
        <v>1</v>
      </c>
      <c r="H46" s="3" t="s">
        <v>3010</v>
      </c>
      <c r="I46" s="3">
        <v>3936319700</v>
      </c>
      <c r="K46" s="3">
        <v>3.7</v>
      </c>
      <c r="L46" s="3" t="s">
        <v>343</v>
      </c>
      <c r="M46" s="3" t="s">
        <v>1824</v>
      </c>
      <c r="N46" s="3" t="s">
        <v>3011</v>
      </c>
      <c r="O46" s="3" t="s">
        <v>1825</v>
      </c>
      <c r="P46" s="3">
        <v>18.309999999999999</v>
      </c>
      <c r="Q46" s="3" t="s">
        <v>1825</v>
      </c>
      <c r="R46" s="3">
        <v>-58548382</v>
      </c>
      <c r="S46" s="5">
        <v>-0.60699999999999998</v>
      </c>
      <c r="T46" s="3" t="s">
        <v>3012</v>
      </c>
      <c r="U46" s="3">
        <v>1299115410</v>
      </c>
      <c r="V46" s="3">
        <v>1299115410</v>
      </c>
      <c r="W46" s="3">
        <v>2.52</v>
      </c>
      <c r="X46" s="3">
        <v>0.1</v>
      </c>
      <c r="Y46" s="3">
        <v>-19.62</v>
      </c>
      <c r="Z46" s="3" t="s">
        <v>3013</v>
      </c>
      <c r="AA46" s="3" t="s">
        <v>207</v>
      </c>
      <c r="AB46" s="3" t="s">
        <v>3014</v>
      </c>
      <c r="AC46" s="3" t="s">
        <v>3015</v>
      </c>
      <c r="AD46" s="3" t="s">
        <v>4</v>
      </c>
      <c r="AE46" s="3">
        <v>13604242</v>
      </c>
      <c r="AF46" s="3" t="s">
        <v>1827</v>
      </c>
      <c r="AG46" s="3" t="s">
        <v>2894</v>
      </c>
      <c r="AH46" s="3" t="s">
        <v>1828</v>
      </c>
      <c r="AI46" s="3" t="s">
        <v>1846</v>
      </c>
      <c r="AJ46" s="3" t="s">
        <v>1829</v>
      </c>
      <c r="AK46" s="3" t="s">
        <v>3016</v>
      </c>
      <c r="AL46" s="3" t="s">
        <v>1830</v>
      </c>
      <c r="AM46" s="3" t="s">
        <v>4</v>
      </c>
      <c r="AN46" s="3" t="s">
        <v>3017</v>
      </c>
      <c r="AO46" s="3" t="s">
        <v>1275</v>
      </c>
      <c r="AP46" s="3" t="s">
        <v>3018</v>
      </c>
      <c r="AQ46" s="3" t="s">
        <v>2573</v>
      </c>
      <c r="AR46" s="3" t="s">
        <v>3019</v>
      </c>
      <c r="AS46" s="3" t="s">
        <v>3020</v>
      </c>
      <c r="AT46" s="3" t="s">
        <v>183</v>
      </c>
      <c r="AU46" s="3" t="s">
        <v>552</v>
      </c>
      <c r="AV46" s="3" t="s">
        <v>3021</v>
      </c>
      <c r="AW46" s="3" t="s">
        <v>3022</v>
      </c>
      <c r="AX46" s="3" t="s">
        <v>1060</v>
      </c>
      <c r="AY46" s="3" t="s">
        <v>322</v>
      </c>
      <c r="AZ46" s="3" t="s">
        <v>574</v>
      </c>
      <c r="BA46" s="3" t="s">
        <v>576</v>
      </c>
      <c r="BB46" s="3" t="s">
        <v>577</v>
      </c>
      <c r="BC46" s="3" t="s">
        <v>1273</v>
      </c>
      <c r="BD46" s="3" t="s">
        <v>306</v>
      </c>
      <c r="BE46" s="3" t="s">
        <v>575</v>
      </c>
      <c r="BF46" s="3" t="s">
        <v>578</v>
      </c>
      <c r="BG46" s="3" t="s">
        <v>579</v>
      </c>
      <c r="BH46" s="3" t="s">
        <v>1826</v>
      </c>
      <c r="BI46" s="3" t="s">
        <v>2860</v>
      </c>
      <c r="BJ46" s="3" t="s">
        <v>1060</v>
      </c>
      <c r="BK46" s="3" t="s">
        <v>861</v>
      </c>
      <c r="BL46" s="3" t="s">
        <v>3023</v>
      </c>
      <c r="BM46" s="3" t="s">
        <v>1273</v>
      </c>
      <c r="BN46" s="3" t="s">
        <v>4</v>
      </c>
      <c r="BO46" s="3" t="s">
        <v>4</v>
      </c>
      <c r="BP46" s="3" t="s">
        <v>4</v>
      </c>
      <c r="BQ46" s="3">
        <v>-16.420000000000002</v>
      </c>
      <c r="BR46" s="3">
        <v>-29.34</v>
      </c>
      <c r="BS46" s="3">
        <v>-33.090000000000003</v>
      </c>
      <c r="BT46" s="3" t="s">
        <v>1157</v>
      </c>
      <c r="BU46" s="3" t="s">
        <v>1002</v>
      </c>
      <c r="BV46" s="3">
        <v>16.920000000000002</v>
      </c>
      <c r="BW46" s="3">
        <v>23.38</v>
      </c>
      <c r="BX46" s="3">
        <v>19.260000000000002</v>
      </c>
      <c r="BY46" s="3">
        <v>-12.58</v>
      </c>
      <c r="BZ46" s="3">
        <v>-14.79</v>
      </c>
      <c r="CA46" s="3">
        <v>-35.479999999999997</v>
      </c>
      <c r="CB46" s="3">
        <v>2.02</v>
      </c>
      <c r="CC46" s="3">
        <v>-17.440000000000001</v>
      </c>
      <c r="CD46" s="3" t="s">
        <v>3024</v>
      </c>
      <c r="CE46" s="3" t="s">
        <v>1048</v>
      </c>
      <c r="CF46" s="10">
        <v>-0.40185471406491502</v>
      </c>
      <c r="CG46" s="11">
        <v>-0.22631105804978688</v>
      </c>
      <c r="CH46" s="10">
        <v>-0.72396576404571533</v>
      </c>
      <c r="CI46" s="10">
        <v>0.44238683581352234</v>
      </c>
      <c r="CJ46" s="10">
        <v>-0.28739002346992493</v>
      </c>
      <c r="CK46" s="10">
        <v>-0.1361621618270874</v>
      </c>
      <c r="CL46" s="10">
        <v>-0.38416534662246704</v>
      </c>
      <c r="CM46" s="11">
        <v>0.740936279296875</v>
      </c>
      <c r="CN46" s="11">
        <v>0.34682080149650574</v>
      </c>
      <c r="CO46" s="11">
        <v>-16.478282928466797</v>
      </c>
      <c r="CP46" s="11">
        <v>0.51639246940612793</v>
      </c>
      <c r="CQ46" s="11">
        <v>1.0179119110107422</v>
      </c>
      <c r="CR46" s="3">
        <v>-16.673986500081543</v>
      </c>
      <c r="CS46" s="3">
        <v>-0.76535576447939058</v>
      </c>
      <c r="CT46" s="3">
        <v>0</v>
      </c>
      <c r="CU46" s="10">
        <v>-0.21785929203033447</v>
      </c>
      <c r="CV46" s="11">
        <v>-2.7712442934513093</v>
      </c>
      <c r="CW46" s="3">
        <v>0.06</v>
      </c>
      <c r="CX46" s="3" t="e">
        <v>#VALUE!</v>
      </c>
      <c r="CY46" s="3" t="s">
        <v>1005</v>
      </c>
      <c r="CZ46" s="3">
        <v>-0.21785929203033447</v>
      </c>
      <c r="DA46" s="3" t="e">
        <v>#VALUE!</v>
      </c>
      <c r="DB46" s="3" t="s">
        <v>1006</v>
      </c>
      <c r="DC46" s="3">
        <v>-0.20696632742881774</v>
      </c>
      <c r="DD46" s="3" t="e">
        <v>#VALUE!</v>
      </c>
      <c r="DE46" s="3" t="s">
        <v>1006</v>
      </c>
      <c r="DF46" s="3">
        <v>-0.19171617698669433</v>
      </c>
      <c r="DG46" s="3" t="e">
        <v>#VALUE!</v>
      </c>
      <c r="DH46" s="3" t="s">
        <v>1006</v>
      </c>
      <c r="DI46" s="3">
        <v>-0.17428743362426757</v>
      </c>
      <c r="DJ46" s="3" t="e">
        <v>#VALUE!</v>
      </c>
      <c r="DK46" s="3" t="s">
        <v>1006</v>
      </c>
      <c r="DL46" s="3">
        <v>-0.15250150442123411</v>
      </c>
      <c r="DM46" s="3">
        <v>-58548400</v>
      </c>
      <c r="DN46" s="3">
        <v>-0.21785929203033447</v>
      </c>
      <c r="DO46" s="3">
        <v>4714319700</v>
      </c>
      <c r="DP46" s="3">
        <v>1653200</v>
      </c>
      <c r="DQ46" s="3">
        <v>1618</v>
      </c>
      <c r="DR46" s="3">
        <v>-0.18399542203458055</v>
      </c>
      <c r="DS46" s="3">
        <v>2.5449332354015226</v>
      </c>
      <c r="DT46" s="12">
        <v>-0.85666666666666658</v>
      </c>
      <c r="DU46" s="3">
        <v>-1.6150000000000002</v>
      </c>
      <c r="DV46" s="3">
        <v>-2.4716666666666667</v>
      </c>
      <c r="DW46" s="3">
        <v>-3.0162857142857145</v>
      </c>
      <c r="DX46" s="3">
        <v>0.23025724020442973</v>
      </c>
      <c r="DY46" s="3">
        <v>-3.0016327607690436</v>
      </c>
      <c r="DZ46" s="3">
        <v>4305</v>
      </c>
      <c r="EA46" s="3">
        <v>-3.0002572157375891</v>
      </c>
      <c r="EB46" s="3">
        <v>3</v>
      </c>
      <c r="EC46" s="3">
        <v>4.5300825120687317E-2</v>
      </c>
      <c r="ED46" s="3">
        <v>0.45184592183384231</v>
      </c>
      <c r="EE46" s="13">
        <v>2.0278100000000001</v>
      </c>
      <c r="EF46" s="3">
        <v>2.0379100000000001</v>
      </c>
      <c r="EG46" s="3">
        <v>13.10025724020443</v>
      </c>
      <c r="EH46" s="3" t="s">
        <v>1831</v>
      </c>
      <c r="EI46" s="3">
        <v>0</v>
      </c>
      <c r="EJ46" s="3">
        <v>0</v>
      </c>
      <c r="EK46" s="15">
        <v>45470</v>
      </c>
      <c r="EL46" s="16">
        <v>0.64</v>
      </c>
      <c r="EM46" s="16">
        <v>-3.83</v>
      </c>
      <c r="EN46" s="16">
        <v>-1.99</v>
      </c>
      <c r="EO46" s="16">
        <v>0.34</v>
      </c>
      <c r="EP46" s="16">
        <v>-1.01</v>
      </c>
    </row>
    <row r="47" spans="3:146" ht="96" x14ac:dyDescent="0.25">
      <c r="C47" s="7" t="str">
        <f>""&amp;CHAR(10)&amp;Basic_Fundamental_Information_Constructure(F47)&amp;CHAR(10)&amp;Basic_Fundamental_Information_Concatenate("")</f>
        <v xml:space="preserve">
市值25.841818亿, 利润201.33万; PE; 平均PE-67.11; 平均PEG-25.27, PB2.63; ROIC5.455%; ROE3.4333%; 股利率0%; 毛利24.5667%; 净利-.1633%; 上一年度营收增-71.93%, 利润增-93.62%; 当季营收增-42.31%, 利润增129.47%; 过往5年营收增-2.66%, 利润增-136.67%
Income profile:
</v>
      </c>
      <c r="D47" s="3" t="s">
        <v>580</v>
      </c>
      <c r="E47" s="3" t="s">
        <v>581</v>
      </c>
      <c r="F47" s="3">
        <v>6.16</v>
      </c>
      <c r="G47" s="3">
        <v>-0.32</v>
      </c>
      <c r="H47" s="3" t="s">
        <v>3025</v>
      </c>
      <c r="I47" s="3">
        <v>2584181800</v>
      </c>
      <c r="K47" s="3">
        <v>2.63</v>
      </c>
      <c r="L47" s="3" t="s">
        <v>343</v>
      </c>
      <c r="M47" s="3" t="s">
        <v>1823</v>
      </c>
      <c r="N47" s="3" t="s">
        <v>1461</v>
      </c>
      <c r="O47" s="3" t="s">
        <v>49</v>
      </c>
      <c r="P47" s="3">
        <v>13.13</v>
      </c>
      <c r="Q47" s="3" t="s">
        <v>49</v>
      </c>
      <c r="R47" s="3">
        <v>2013346</v>
      </c>
      <c r="S47" s="5">
        <v>2.1190000000000002</v>
      </c>
      <c r="T47" s="3" t="s">
        <v>3026</v>
      </c>
      <c r="U47" s="3">
        <v>340758780</v>
      </c>
      <c r="V47" s="3">
        <v>419510030</v>
      </c>
      <c r="W47" s="3">
        <v>1.73</v>
      </c>
      <c r="X47" s="3">
        <v>0.17</v>
      </c>
      <c r="Y47" s="3">
        <v>1.2</v>
      </c>
      <c r="Z47" s="3" t="s">
        <v>1936</v>
      </c>
      <c r="AA47" s="3" t="s">
        <v>1199</v>
      </c>
      <c r="AB47" s="3" t="s">
        <v>3027</v>
      </c>
      <c r="AC47" s="3" t="s">
        <v>3028</v>
      </c>
      <c r="AD47" s="3" t="s">
        <v>4</v>
      </c>
      <c r="AE47" s="3">
        <v>-1735847</v>
      </c>
      <c r="AF47" s="3" t="s">
        <v>1834</v>
      </c>
      <c r="AG47" s="3" t="s">
        <v>3029</v>
      </c>
      <c r="AH47" s="3" t="s">
        <v>1835</v>
      </c>
      <c r="AI47" s="3" t="s">
        <v>48</v>
      </c>
      <c r="AJ47" s="3" t="s">
        <v>1836</v>
      </c>
      <c r="AK47" s="3" t="s">
        <v>3030</v>
      </c>
      <c r="AL47" s="3" t="s">
        <v>1837</v>
      </c>
      <c r="AM47" s="3" t="s">
        <v>4</v>
      </c>
      <c r="AN47" s="3" t="s">
        <v>3031</v>
      </c>
      <c r="AO47" s="3" t="s">
        <v>3032</v>
      </c>
      <c r="AP47" s="3" t="s">
        <v>92</v>
      </c>
      <c r="AQ47" s="3" t="s">
        <v>1429</v>
      </c>
      <c r="AR47" s="3" t="s">
        <v>4</v>
      </c>
      <c r="AS47" s="3" t="s">
        <v>3033</v>
      </c>
      <c r="AT47" s="3" t="s">
        <v>4</v>
      </c>
      <c r="AU47" s="3" t="s">
        <v>3034</v>
      </c>
      <c r="AV47" s="3" t="s">
        <v>3035</v>
      </c>
      <c r="AW47" s="3" t="s">
        <v>3036</v>
      </c>
      <c r="AX47" s="3" t="s">
        <v>1052</v>
      </c>
      <c r="AY47" s="3" t="s">
        <v>318</v>
      </c>
      <c r="AZ47" s="3" t="s">
        <v>582</v>
      </c>
      <c r="BA47" s="3" t="s">
        <v>324</v>
      </c>
      <c r="BB47" s="3" t="s">
        <v>257</v>
      </c>
      <c r="BC47" s="3" t="s">
        <v>1838</v>
      </c>
      <c r="BD47" s="3" t="s">
        <v>914</v>
      </c>
      <c r="BE47" s="3" t="s">
        <v>583</v>
      </c>
      <c r="BF47" s="3" t="s">
        <v>584</v>
      </c>
      <c r="BG47" s="3" t="s">
        <v>585</v>
      </c>
      <c r="BH47" s="3" t="s">
        <v>1832</v>
      </c>
      <c r="BI47" s="3" t="s">
        <v>1376</v>
      </c>
      <c r="BJ47" s="3" t="s">
        <v>1052</v>
      </c>
      <c r="BK47" s="3" t="s">
        <v>1833</v>
      </c>
      <c r="BL47" s="3" t="s">
        <v>3037</v>
      </c>
      <c r="BM47" s="3" t="s">
        <v>1838</v>
      </c>
      <c r="BN47" s="3" t="s">
        <v>4</v>
      </c>
      <c r="BO47" s="3">
        <v>3.97</v>
      </c>
      <c r="BP47" s="3">
        <v>6.94</v>
      </c>
      <c r="BQ47" s="3">
        <v>-2.14</v>
      </c>
      <c r="BR47" s="3">
        <v>4.75</v>
      </c>
      <c r="BS47" s="3">
        <v>7.69</v>
      </c>
      <c r="BT47" s="3" t="s">
        <v>1157</v>
      </c>
      <c r="BU47" s="3" t="s">
        <v>977</v>
      </c>
      <c r="BV47" s="3">
        <v>23.54</v>
      </c>
      <c r="BW47" s="3">
        <v>26.26</v>
      </c>
      <c r="BX47" s="3">
        <v>23.9</v>
      </c>
      <c r="BY47" s="3">
        <v>-6.68</v>
      </c>
      <c r="BZ47" s="3">
        <v>2.54</v>
      </c>
      <c r="CA47" s="3">
        <v>3.65</v>
      </c>
      <c r="CB47" s="3">
        <v>-14.33</v>
      </c>
      <c r="CC47" s="3">
        <v>-39.19</v>
      </c>
      <c r="CD47" s="3" t="s">
        <v>2064</v>
      </c>
      <c r="CE47" s="3" t="s">
        <v>3038</v>
      </c>
      <c r="CF47" s="10">
        <v>-0.42314990512333961</v>
      </c>
      <c r="CG47" s="11">
        <v>1.2946935011709602</v>
      </c>
      <c r="CH47" s="10">
        <v>-0.71929824352264404</v>
      </c>
      <c r="CI47" s="10">
        <v>-0.16884112358093262</v>
      </c>
      <c r="CJ47" s="10">
        <v>0.590964674949646</v>
      </c>
      <c r="CK47" s="10">
        <v>-0.15305067598819733</v>
      </c>
      <c r="CL47" s="10">
        <v>0.31743869185447693</v>
      </c>
      <c r="CM47" s="11">
        <v>-0.93624138832092285</v>
      </c>
      <c r="CN47" s="11">
        <v>-0.33454370498657227</v>
      </c>
      <c r="CO47" s="11">
        <v>1.150162935256958</v>
      </c>
      <c r="CP47" s="11">
        <v>-8.8204078674316406</v>
      </c>
      <c r="CQ47" s="11">
        <v>2.10768723487854</v>
      </c>
      <c r="CR47" s="3">
        <v>-67.112889235164261</v>
      </c>
      <c r="CS47" s="3">
        <v>-25.270942503967788</v>
      </c>
      <c r="CT47" s="3">
        <v>0</v>
      </c>
      <c r="CU47" s="10">
        <v>-2.6557335257530214E-2</v>
      </c>
      <c r="CV47" s="11">
        <v>-1.3666685581207276</v>
      </c>
      <c r="CW47" s="3">
        <v>0.06</v>
      </c>
      <c r="CX47" s="3">
        <v>1168.81825858044</v>
      </c>
      <c r="CY47" s="3" t="s">
        <v>3039</v>
      </c>
      <c r="CZ47" s="3">
        <v>-2.6557335257530214E-2</v>
      </c>
      <c r="DA47" s="3">
        <v>389.60608619348005</v>
      </c>
      <c r="DB47" s="3" t="s">
        <v>3040</v>
      </c>
      <c r="DC47" s="3">
        <v>-2.5229468494653701E-2</v>
      </c>
      <c r="DD47" s="3">
        <v>194.80304309674003</v>
      </c>
      <c r="DE47" s="3" t="s">
        <v>3041</v>
      </c>
      <c r="DF47" s="3">
        <v>-2.3370455026626588E-2</v>
      </c>
      <c r="DG47" s="3">
        <v>116.88182585804401</v>
      </c>
      <c r="DH47" s="3" t="s">
        <v>3042</v>
      </c>
      <c r="DI47" s="3">
        <v>-2.1245868206024171E-2</v>
      </c>
      <c r="DJ47" s="3">
        <v>58.440912929022005</v>
      </c>
      <c r="DK47" s="3" t="s">
        <v>3043</v>
      </c>
      <c r="DL47" s="3">
        <v>-1.859013468027115E-2</v>
      </c>
      <c r="DM47" s="3">
        <v>2013300.0000000002</v>
      </c>
      <c r="DN47" s="3">
        <v>-2.6557335257530214E-2</v>
      </c>
      <c r="DO47" s="3">
        <v>2353181800</v>
      </c>
      <c r="DP47" s="3">
        <v>599125050</v>
      </c>
      <c r="DQ47" s="3">
        <v>1651</v>
      </c>
      <c r="DR47" s="3">
        <v>-0.39659256986580937</v>
      </c>
      <c r="DS47" s="3">
        <v>2.6613620592916876</v>
      </c>
      <c r="DT47" s="12">
        <v>-0.80666666666666664</v>
      </c>
      <c r="DU47" s="3">
        <v>-0.89333333333333342</v>
      </c>
      <c r="DV47" s="3">
        <v>-1.7000000000000002</v>
      </c>
      <c r="DW47" s="3">
        <v>-9.3656545036999237</v>
      </c>
      <c r="DX47" s="3">
        <v>0.24725075528700857</v>
      </c>
      <c r="DY47" s="3">
        <v>-9.0392167216959134</v>
      </c>
      <c r="DZ47" s="3">
        <v>4272</v>
      </c>
      <c r="EA47" s="3">
        <v>-9.0064312353779208</v>
      </c>
      <c r="EB47" s="3">
        <v>9</v>
      </c>
      <c r="EC47" s="3">
        <v>0.33849011905627141</v>
      </c>
      <c r="ED47" s="3">
        <v>3.1560628002148126</v>
      </c>
      <c r="EE47" s="13">
        <v>1.0676000000000001</v>
      </c>
      <c r="EF47" s="3">
        <v>1.0491999999999999</v>
      </c>
      <c r="EG47" s="3">
        <v>14.107250755287009</v>
      </c>
      <c r="EH47" s="3" t="s">
        <v>983</v>
      </c>
      <c r="EI47" s="3">
        <v>0</v>
      </c>
      <c r="EJ47" s="3">
        <v>0</v>
      </c>
      <c r="EK47" s="15">
        <v>45470</v>
      </c>
      <c r="EL47" s="16">
        <v>1.65</v>
      </c>
      <c r="EM47" s="16">
        <v>-5.42</v>
      </c>
      <c r="EN47" s="16">
        <v>-0.86</v>
      </c>
      <c r="EO47" s="16">
        <v>2.31</v>
      </c>
      <c r="EP47" s="16">
        <v>-1.84</v>
      </c>
    </row>
    <row r="48" spans="3:146" ht="96" x14ac:dyDescent="0.25">
      <c r="C48" s="7" t="str">
        <f>""&amp;CHAR(10)&amp;Basic_Fundamental_Information_Constructure(F48)&amp;CHAR(10)&amp;Basic_Fundamental_Information_Concatenate("")</f>
        <v xml:space="preserve">
市值37.733389亿, 利润2418.66万; PE19.78; 平均PE-215.58; 平均PEG-13.23, PB1.45; ROIC7.5967%; ROE9.5267%; 股利率1.8762%; 毛利21.5767%; 净利5.7433%; 上一年度营收增-77.86%, 利润增-86.49%; 当季营收增-52.54%, 利润增-80.01%; 过往5年营收增-16.3%, 利润增-68.22%
Income profile:
</v>
      </c>
      <c r="D48" s="3" t="s">
        <v>586</v>
      </c>
      <c r="E48" s="3" t="s">
        <v>587</v>
      </c>
      <c r="F48" s="3">
        <v>5.33</v>
      </c>
      <c r="G48" s="3">
        <v>0.38</v>
      </c>
      <c r="H48" s="3" t="s">
        <v>3044</v>
      </c>
      <c r="I48" s="3">
        <v>3773338900</v>
      </c>
      <c r="J48" s="3">
        <v>19.78</v>
      </c>
      <c r="K48" s="3">
        <v>1.45</v>
      </c>
      <c r="L48" s="3" t="s">
        <v>343</v>
      </c>
      <c r="M48" s="3" t="s">
        <v>1839</v>
      </c>
      <c r="N48" s="3" t="s">
        <v>3045</v>
      </c>
      <c r="O48" s="3" t="s">
        <v>1840</v>
      </c>
      <c r="P48" s="3">
        <v>12.53</v>
      </c>
      <c r="Q48" s="3" t="s">
        <v>1840</v>
      </c>
      <c r="R48" s="3">
        <v>24186630</v>
      </c>
      <c r="S48" s="5">
        <v>-0.46629999999999999</v>
      </c>
      <c r="T48" s="3" t="s">
        <v>3046</v>
      </c>
      <c r="U48" s="3">
        <v>706641390</v>
      </c>
      <c r="V48" s="3">
        <v>707943510</v>
      </c>
      <c r="W48" s="3">
        <v>2</v>
      </c>
      <c r="X48" s="3">
        <v>0.15</v>
      </c>
      <c r="Y48" s="3">
        <v>3.02</v>
      </c>
      <c r="Z48" s="3" t="s">
        <v>327</v>
      </c>
      <c r="AA48" s="3" t="s">
        <v>1305</v>
      </c>
      <c r="AB48" s="3" t="s">
        <v>3047</v>
      </c>
      <c r="AC48" s="3" t="s">
        <v>3048</v>
      </c>
      <c r="AD48" s="3" t="s">
        <v>4</v>
      </c>
      <c r="AE48" s="3">
        <v>-727667</v>
      </c>
      <c r="AF48" s="3" t="s">
        <v>1842</v>
      </c>
      <c r="AG48" s="3" t="s">
        <v>3049</v>
      </c>
      <c r="AH48" s="3" t="s">
        <v>1843</v>
      </c>
      <c r="AI48" s="3" t="s">
        <v>2040</v>
      </c>
      <c r="AJ48" s="3" t="s">
        <v>1844</v>
      </c>
      <c r="AK48" s="3" t="s">
        <v>3050</v>
      </c>
      <c r="AL48" s="3" t="s">
        <v>1845</v>
      </c>
      <c r="AM48" s="3" t="s">
        <v>4</v>
      </c>
      <c r="AN48" s="3" t="s">
        <v>3051</v>
      </c>
      <c r="AO48" s="3" t="s">
        <v>1587</v>
      </c>
      <c r="AP48" s="3" t="s">
        <v>3052</v>
      </c>
      <c r="AQ48" s="3" t="s">
        <v>2062</v>
      </c>
      <c r="AR48" s="3" t="s">
        <v>3053</v>
      </c>
      <c r="AS48" s="3" t="s">
        <v>3054</v>
      </c>
      <c r="AT48" s="3" t="s">
        <v>526</v>
      </c>
      <c r="AU48" s="3" t="s">
        <v>3055</v>
      </c>
      <c r="AV48" s="3" t="s">
        <v>3056</v>
      </c>
      <c r="AW48" s="3" t="s">
        <v>3057</v>
      </c>
      <c r="AX48" s="3" t="s">
        <v>1051</v>
      </c>
      <c r="AY48" s="3" t="s">
        <v>915</v>
      </c>
      <c r="AZ48" s="3" t="s">
        <v>588</v>
      </c>
      <c r="BA48" s="3" t="s">
        <v>590</v>
      </c>
      <c r="BB48" s="3" t="s">
        <v>591</v>
      </c>
      <c r="BC48" s="3" t="s">
        <v>69</v>
      </c>
      <c r="BD48" s="3" t="s">
        <v>210</v>
      </c>
      <c r="BE48" s="3" t="s">
        <v>589</v>
      </c>
      <c r="BF48" s="3" t="s">
        <v>592</v>
      </c>
      <c r="BG48" s="3" t="s">
        <v>32</v>
      </c>
      <c r="BH48" s="3" t="s">
        <v>1841</v>
      </c>
      <c r="BI48" s="3" t="s">
        <v>3058</v>
      </c>
      <c r="BJ48" s="3" t="s">
        <v>1051</v>
      </c>
      <c r="BK48" s="3" t="s">
        <v>128</v>
      </c>
      <c r="BL48" s="3" t="s">
        <v>124</v>
      </c>
      <c r="BM48" s="3" t="s">
        <v>69</v>
      </c>
      <c r="BN48" s="3">
        <v>5.49</v>
      </c>
      <c r="BO48" s="3">
        <v>6.17</v>
      </c>
      <c r="BP48" s="3">
        <v>11.13</v>
      </c>
      <c r="BQ48" s="3">
        <v>7.76</v>
      </c>
      <c r="BR48" s="3">
        <v>7.85</v>
      </c>
      <c r="BS48" s="3">
        <v>12.97</v>
      </c>
      <c r="BT48" s="3" t="s">
        <v>1159</v>
      </c>
      <c r="BU48" s="3" t="s">
        <v>977</v>
      </c>
      <c r="BV48" s="3">
        <v>22.56</v>
      </c>
      <c r="BW48" s="3">
        <v>21.34</v>
      </c>
      <c r="BX48" s="3">
        <v>20.83</v>
      </c>
      <c r="BY48" s="3">
        <v>5.72</v>
      </c>
      <c r="BZ48" s="3">
        <v>4.96</v>
      </c>
      <c r="CA48" s="3">
        <v>6.55</v>
      </c>
      <c r="CB48" s="3">
        <v>-4.6500000000000004</v>
      </c>
      <c r="CC48" s="3">
        <v>-18.75</v>
      </c>
      <c r="CD48" s="3" t="s">
        <v>3059</v>
      </c>
      <c r="CE48" s="3" t="s">
        <v>2207</v>
      </c>
      <c r="CF48" s="10">
        <v>-0.52535377358490554</v>
      </c>
      <c r="CG48" s="11">
        <v>-0.80011049586776861</v>
      </c>
      <c r="CH48" s="10">
        <v>-0.77860289812088013</v>
      </c>
      <c r="CI48" s="10">
        <v>-0.10773007571697235</v>
      </c>
      <c r="CJ48" s="10">
        <v>0.30441743135452271</v>
      </c>
      <c r="CK48" s="10">
        <v>-0.13077348470687866</v>
      </c>
      <c r="CL48" s="10">
        <v>-0.10217341780662537</v>
      </c>
      <c r="CM48" s="11">
        <v>-0.86487936973571777</v>
      </c>
      <c r="CN48" s="11">
        <v>-0.32706767320632935</v>
      </c>
      <c r="CO48" s="11">
        <v>1.8666293621063232</v>
      </c>
      <c r="CP48" s="11">
        <v>1.1059268712997437</v>
      </c>
      <c r="CQ48" s="11">
        <v>-5.1913871765136719</v>
      </c>
      <c r="CR48" s="3">
        <v>-215.57522412077529</v>
      </c>
      <c r="CS48" s="3">
        <v>-13.227706433422203</v>
      </c>
      <c r="CT48" s="3">
        <v>1.876172607879925</v>
      </c>
      <c r="CU48" s="10">
        <v>-0.16297248899936675</v>
      </c>
      <c r="CV48" s="11">
        <v>-0.68215559720993046</v>
      </c>
      <c r="CW48" s="3">
        <v>0.06</v>
      </c>
      <c r="CX48" s="3">
        <v>163.28623700726848</v>
      </c>
      <c r="CY48" s="3" t="s">
        <v>3060</v>
      </c>
      <c r="CZ48" s="3">
        <v>-0.16297248899936675</v>
      </c>
      <c r="DA48" s="3">
        <v>54.428745669089494</v>
      </c>
      <c r="DB48" s="3" t="s">
        <v>3061</v>
      </c>
      <c r="DC48" s="3">
        <v>-0.15482386454939842</v>
      </c>
      <c r="DD48" s="3">
        <v>27.214372834544747</v>
      </c>
      <c r="DE48" s="3" t="s">
        <v>3062</v>
      </c>
      <c r="DF48" s="3">
        <v>-0.14341579031944274</v>
      </c>
      <c r="DG48" s="3">
        <v>16.328623700726848</v>
      </c>
      <c r="DH48" s="3" t="s">
        <v>3063</v>
      </c>
      <c r="DI48" s="3">
        <v>-0.13037799119949342</v>
      </c>
      <c r="DJ48" s="3">
        <v>8.1643118503634238</v>
      </c>
      <c r="DK48" s="3" t="s">
        <v>3064</v>
      </c>
      <c r="DL48" s="3">
        <v>-0.11408074229955673</v>
      </c>
      <c r="DM48" s="3">
        <v>24186600</v>
      </c>
      <c r="DN48" s="3">
        <v>-0.16297248899936675</v>
      </c>
      <c r="DO48" s="3">
        <v>3949338900</v>
      </c>
      <c r="DP48" s="3">
        <v>924775700</v>
      </c>
      <c r="DQ48" s="3">
        <v>1704</v>
      </c>
      <c r="DR48" s="3">
        <v>-0.36238128458553875</v>
      </c>
      <c r="DS48" s="3">
        <v>-0.11795489865783815</v>
      </c>
      <c r="DT48" s="12">
        <v>-0.64</v>
      </c>
      <c r="DU48" s="3">
        <v>-0.95500000000000007</v>
      </c>
      <c r="DV48" s="3">
        <v>-1.5950000000000002</v>
      </c>
      <c r="DW48" s="3">
        <v>-8.2479999999999993</v>
      </c>
      <c r="DX48" s="3">
        <v>0.31466858789625474</v>
      </c>
      <c r="DY48" s="3">
        <v>-8.0234778097982709</v>
      </c>
      <c r="DZ48" s="3">
        <v>2869</v>
      </c>
      <c r="EA48" s="3">
        <v>-8.0102962371346234</v>
      </c>
      <c r="EB48" s="3">
        <v>8</v>
      </c>
      <c r="EC48" s="3">
        <v>4.6402007414405144E-2</v>
      </c>
      <c r="ED48" s="3">
        <v>0.49015210267271186</v>
      </c>
      <c r="EE48" s="13">
        <v>-2.0089999999999999</v>
      </c>
      <c r="EF48" s="3">
        <v>-2.0141100000000001</v>
      </c>
      <c r="EG48" s="3">
        <v>22.094668587896255</v>
      </c>
      <c r="EH48" s="3" t="s">
        <v>1172</v>
      </c>
      <c r="EI48" s="3">
        <v>0</v>
      </c>
      <c r="EJ48" s="3">
        <v>0</v>
      </c>
      <c r="EK48" s="15">
        <v>45470</v>
      </c>
      <c r="EL48" s="16">
        <v>-0.85</v>
      </c>
      <c r="EM48" s="16">
        <v>-5.63</v>
      </c>
      <c r="EN48" s="16">
        <v>-2.89</v>
      </c>
      <c r="EO48" s="16">
        <v>4.84</v>
      </c>
      <c r="EP48" s="16">
        <v>-2.31</v>
      </c>
    </row>
    <row r="49" spans="1:146" ht="156" x14ac:dyDescent="0.25">
      <c r="A49" s="9" t="s">
        <v>838</v>
      </c>
      <c r="B49" s="9" t="s">
        <v>839</v>
      </c>
      <c r="C49" s="7" t="str">
        <f>"目前，公司 LED 显示屏市场份额全球前三，其中租赁显示市场份额全球第一；高端子品牌 ROE 在虚拟制作领域的视觉解决方案市场份额全球领先，将成为公司智慧显示板块新的增长点"&amp;CHAR(10)&amp;Basic_Fundamental_Information_Constructure(F49)&amp;CHAR(10)&amp;Basic_Fundamental_Information_Concatenate("智慧显示 41.40亿 83.45%（毛利23.65%，增速-4.41%）智能照明 4.12亿 8.30%（毛利32.53%，增速-10.43%）文创灯光 3.72亿 7.50%（毛利43.11%，增速-53.15%）其他 3756.13万 0.76%（毛利67.36%，增速100.86%)")</f>
        <v>目前，公司 LED 显示屏市场份额全球前三，其中租赁显示市场份额全球第一；高端子品牌 ROE 在虚拟制作领域的视觉解决方案市场份额全球领先，将成为公司智慧显示板块新的增长点
市值55.559291亿, 利润1942.67万; PE287.5; 平均PE25.14; 平均PEG5.48, PB1.17; ROIC2.5333%; ROE3.2167%; 股利率.9817%; 毛利26.6233%; 净利1.5967%; 上一年度营收增-78.91%, 利润增-69.47%; 当季营收增-54.77%, 利润增-91.21%; 过往5年营收增-4.59%, 利润增-25.74%
Income profile:
智慧显示 41.40亿 83.45%（毛利23.65%，增速-4.41%）智能照明 4.12亿 8.30%（毛利32.53%，增速-10.43%）文创灯光 3.72亿 7.50%（毛利43.11%，增速-53.15%）其他 3756.13万 0.76%（毛利67.36%，增速100.86%)</v>
      </c>
      <c r="D49" s="3" t="s">
        <v>593</v>
      </c>
      <c r="E49" s="3" t="s">
        <v>594</v>
      </c>
      <c r="F49" s="3">
        <v>5.0999999999999996</v>
      </c>
      <c r="G49" s="3">
        <v>1.19</v>
      </c>
      <c r="H49" s="3" t="s">
        <v>3065</v>
      </c>
      <c r="I49" s="3">
        <v>5555929100</v>
      </c>
      <c r="J49" s="3">
        <v>287.5</v>
      </c>
      <c r="K49" s="3">
        <v>1.17</v>
      </c>
      <c r="L49" s="3" t="s">
        <v>343</v>
      </c>
      <c r="M49" s="3" t="s">
        <v>1847</v>
      </c>
      <c r="N49" s="3" t="s">
        <v>3066</v>
      </c>
      <c r="O49" s="3" t="s">
        <v>1848</v>
      </c>
      <c r="P49" s="3">
        <v>-8.31</v>
      </c>
      <c r="Q49" s="3" t="s">
        <v>1848</v>
      </c>
      <c r="R49" s="3">
        <v>19426695</v>
      </c>
      <c r="S49" s="5">
        <v>-0.86560000000000004</v>
      </c>
      <c r="T49" s="3" t="s">
        <v>3067</v>
      </c>
      <c r="U49" s="3">
        <v>883622870</v>
      </c>
      <c r="V49" s="3">
        <v>1089397860</v>
      </c>
      <c r="W49" s="3">
        <v>2.19</v>
      </c>
      <c r="X49" s="3">
        <v>0.14000000000000001</v>
      </c>
      <c r="Y49" s="3">
        <v>0.82</v>
      </c>
      <c r="Z49" s="3" t="s">
        <v>2016</v>
      </c>
      <c r="AA49" s="3" t="s">
        <v>1461</v>
      </c>
      <c r="AB49" s="3" t="s">
        <v>115</v>
      </c>
      <c r="AC49" s="3" t="s">
        <v>3068</v>
      </c>
      <c r="AD49" s="3" t="s">
        <v>4</v>
      </c>
      <c r="AE49" s="3">
        <v>10453410</v>
      </c>
      <c r="AF49" s="3" t="s">
        <v>1851</v>
      </c>
      <c r="AG49" s="3" t="s">
        <v>3069</v>
      </c>
      <c r="AH49" s="3" t="s">
        <v>1852</v>
      </c>
      <c r="AI49" s="3" t="s">
        <v>3070</v>
      </c>
      <c r="AJ49" s="3" t="s">
        <v>1854</v>
      </c>
      <c r="AK49" s="3" t="s">
        <v>3071</v>
      </c>
      <c r="AL49" s="3" t="s">
        <v>1855</v>
      </c>
      <c r="AM49" s="3" t="s">
        <v>4</v>
      </c>
      <c r="AN49" s="3" t="s">
        <v>3072</v>
      </c>
      <c r="AO49" s="3" t="s">
        <v>141</v>
      </c>
      <c r="AP49" s="3" t="s">
        <v>1826</v>
      </c>
      <c r="AQ49" s="3" t="s">
        <v>3073</v>
      </c>
      <c r="AR49" s="3" t="s">
        <v>4</v>
      </c>
      <c r="AS49" s="3" t="s">
        <v>3074</v>
      </c>
      <c r="AT49" s="3" t="s">
        <v>1518</v>
      </c>
      <c r="AU49" s="3" t="s">
        <v>3075</v>
      </c>
      <c r="AV49" s="3" t="s">
        <v>3076</v>
      </c>
      <c r="AW49" s="3" t="s">
        <v>3077</v>
      </c>
      <c r="AX49" s="3" t="s">
        <v>1277</v>
      </c>
      <c r="AY49" s="3" t="s">
        <v>916</v>
      </c>
      <c r="AZ49" s="3" t="s">
        <v>595</v>
      </c>
      <c r="BA49" s="3" t="s">
        <v>597</v>
      </c>
      <c r="BB49" s="3" t="s">
        <v>598</v>
      </c>
      <c r="BC49" s="3" t="s">
        <v>1278</v>
      </c>
      <c r="BD49" s="3" t="s">
        <v>78</v>
      </c>
      <c r="BE49" s="3" t="s">
        <v>41</v>
      </c>
      <c r="BF49" s="3" t="s">
        <v>250</v>
      </c>
      <c r="BG49" s="3" t="s">
        <v>26</v>
      </c>
      <c r="BH49" s="3" t="s">
        <v>1849</v>
      </c>
      <c r="BI49" s="3" t="s">
        <v>3078</v>
      </c>
      <c r="BJ49" s="3" t="s">
        <v>1277</v>
      </c>
      <c r="BK49" s="3" t="s">
        <v>140</v>
      </c>
      <c r="BL49" s="3" t="s">
        <v>3079</v>
      </c>
      <c r="BM49" s="3" t="s">
        <v>1278</v>
      </c>
      <c r="BN49" s="3">
        <v>2.91</v>
      </c>
      <c r="BO49" s="3">
        <v>1.0900000000000001</v>
      </c>
      <c r="BP49" s="3">
        <v>3.6</v>
      </c>
      <c r="BQ49" s="3">
        <v>4.04</v>
      </c>
      <c r="BR49" s="3">
        <v>1.37</v>
      </c>
      <c r="BS49" s="3">
        <v>4.24</v>
      </c>
      <c r="BT49" s="3" t="s">
        <v>3080</v>
      </c>
      <c r="BU49" s="3" t="s">
        <v>977</v>
      </c>
      <c r="BV49" s="3">
        <v>28.8</v>
      </c>
      <c r="BW49" s="3">
        <v>26.8</v>
      </c>
      <c r="BX49" s="3">
        <v>24.27</v>
      </c>
      <c r="BY49" s="3">
        <v>1.73</v>
      </c>
      <c r="BZ49" s="3">
        <v>0.73</v>
      </c>
      <c r="CA49" s="3">
        <v>2.33</v>
      </c>
      <c r="CB49" s="3">
        <v>-2.2999999999999998</v>
      </c>
      <c r="CC49" s="3">
        <v>-9.41</v>
      </c>
      <c r="CD49" s="3" t="s">
        <v>3081</v>
      </c>
      <c r="CE49" s="3" t="s">
        <v>3082</v>
      </c>
      <c r="CF49" s="10">
        <v>-0.54774173992118824</v>
      </c>
      <c r="CG49" s="11">
        <v>-0.91209640271493209</v>
      </c>
      <c r="CH49" s="10">
        <v>-0.78914636373519897</v>
      </c>
      <c r="CI49" s="10">
        <v>-2.1164743229746819E-2</v>
      </c>
      <c r="CJ49" s="10">
        <v>0.45687231421470642</v>
      </c>
      <c r="CK49" s="10">
        <v>-0.11456101387739182</v>
      </c>
      <c r="CL49" s="10">
        <v>0.2387266606092453</v>
      </c>
      <c r="CM49" s="11">
        <v>-0.69468027353286743</v>
      </c>
      <c r="CN49" s="11">
        <v>-0.65230929851531982</v>
      </c>
      <c r="CO49" s="11">
        <v>0.55084747076034546</v>
      </c>
      <c r="CP49" s="11">
        <v>-0.77735847234725952</v>
      </c>
      <c r="CQ49" s="11">
        <v>0.28640776872634888</v>
      </c>
      <c r="CR49" s="3">
        <v>25.138925025758756</v>
      </c>
      <c r="CS49" s="3">
        <v>5.482309084672047</v>
      </c>
      <c r="CT49" s="3">
        <v>0.98174509803921572</v>
      </c>
      <c r="CU49" s="10">
        <v>-4.585462920367718E-2</v>
      </c>
      <c r="CV49" s="11">
        <v>-0.25741856098175048</v>
      </c>
      <c r="CW49" s="3">
        <v>0.06</v>
      </c>
      <c r="CX49" s="3">
        <v>333.24903869416835</v>
      </c>
      <c r="CY49" s="3" t="s">
        <v>3083</v>
      </c>
      <c r="CZ49" s="3">
        <v>-4.585462920367718E-2</v>
      </c>
      <c r="DA49" s="3">
        <v>111.08301289805611</v>
      </c>
      <c r="DB49" s="3" t="s">
        <v>3084</v>
      </c>
      <c r="DC49" s="3">
        <v>-4.3561897743493318E-2</v>
      </c>
      <c r="DD49" s="3">
        <v>55.541506449028056</v>
      </c>
      <c r="DE49" s="3" t="s">
        <v>3085</v>
      </c>
      <c r="DF49" s="3">
        <v>-4.0352073699235921E-2</v>
      </c>
      <c r="DG49" s="3">
        <v>33.324903869416836</v>
      </c>
      <c r="DH49" s="3" t="s">
        <v>3086</v>
      </c>
      <c r="DI49" s="3">
        <v>-3.6683703362941744E-2</v>
      </c>
      <c r="DJ49" s="3">
        <v>16.662451934708418</v>
      </c>
      <c r="DK49" s="3" t="s">
        <v>3087</v>
      </c>
      <c r="DL49" s="3">
        <v>-3.2098240442574026E-2</v>
      </c>
      <c r="DM49" s="3">
        <v>19426700</v>
      </c>
      <c r="DN49" s="3">
        <v>-4.585462920367718E-2</v>
      </c>
      <c r="DO49" s="3">
        <v>6473929100</v>
      </c>
      <c r="DP49" s="3">
        <v>1450026700</v>
      </c>
      <c r="DQ49" s="3">
        <v>1717</v>
      </c>
      <c r="DR49" s="3">
        <v>-0.50188711071751102</v>
      </c>
      <c r="DS49" s="3">
        <v>-0.65467784173318155</v>
      </c>
      <c r="DT49" s="12">
        <v>-0.54</v>
      </c>
      <c r="DU49" s="3">
        <v>-1.0733333333333333</v>
      </c>
      <c r="DV49" s="3">
        <v>-1.6133333333333333</v>
      </c>
      <c r="DW49" s="3">
        <v>-2.0941000000000001</v>
      </c>
      <c r="DX49" s="3">
        <v>0.29792185886402806</v>
      </c>
      <c r="DY49" s="3">
        <v>-2.010155446919105</v>
      </c>
      <c r="DZ49" s="3">
        <v>3060</v>
      </c>
      <c r="EA49" s="3">
        <v>-2.0040741029714608</v>
      </c>
      <c r="EB49" s="3">
        <v>2</v>
      </c>
      <c r="EC49" s="3">
        <v>5.7557116919616493E-2</v>
      </c>
      <c r="ED49" s="3">
        <v>0.53332214182979942</v>
      </c>
      <c r="EE49" s="13">
        <v>1.0401</v>
      </c>
      <c r="EF49" s="3">
        <v>1.0189999999999999</v>
      </c>
      <c r="EG49" s="3">
        <v>19.107921858864028</v>
      </c>
      <c r="EH49" s="3" t="s">
        <v>983</v>
      </c>
      <c r="EI49" s="3">
        <v>0</v>
      </c>
      <c r="EJ49" s="3">
        <v>0</v>
      </c>
      <c r="EK49" s="15">
        <v>45470</v>
      </c>
      <c r="EL49" s="16">
        <v>-3.6</v>
      </c>
      <c r="EM49" s="16">
        <v>-5.04</v>
      </c>
      <c r="EN49" s="16">
        <v>-2.36</v>
      </c>
      <c r="EO49" s="16">
        <v>4.83</v>
      </c>
      <c r="EP49" s="16">
        <v>-2.11</v>
      </c>
    </row>
    <row r="50" spans="1:146" ht="156" x14ac:dyDescent="0.25">
      <c r="A50" s="7" t="s">
        <v>1083</v>
      </c>
      <c r="C50" s="7" t="str">
        <f>"公司主营业务为LED封装技术的研发和LED封装产品制造、销售，提供从LED封装工艺结构设计、光学设计、驱动设计、散热设计、LED器件封装、技术服务到标准光源模组集成的LED光源整体解决方案。"&amp;CHAR(10)&amp;Basic_Fundamental_Information_Constructure(F50)&amp;CHAR(10)&amp;Basic_Fundamental_Information_Concatenate("显示LED 3.17亿 48.88% 48.93% 14.66%
照明LED 2.12亿 32.63% 12.84% 5.76%
其他LED 1.05亿 16.16% 29.87% 27.06%")</f>
        <v>公司主营业务为LED封装技术的研发和LED封装产品制造、销售，提供从LED封装工艺结构设计、光学设计、驱动设计、散热设计、LED器件封装、技术服务到标准光源模组集成的LED光源整体解决方案。
市值26.431832亿, 利润754.02万; PE; 平均PE125.36; 平均PEG7.16, PB1.26; ROIC2.865%; ROE1.7033%; 股利率0%; 毛利17.7967%; 净利1.4767%; 上一年度营收增-75.37%, 利润增-43.86%; 当季营收增-51.55%, 利润增172.94%; 过往5年营收增-17.5%, 利润增-27.23%
Income profile:
显示LED 3.17亿 48.88% 48.93% 14.66%
照明LED 2.12亿 32.63% 12.84% 5.76%
其他LED 1.05亿 16.16% 29.87% 27.06%</v>
      </c>
      <c r="D50" s="3" t="s">
        <v>599</v>
      </c>
      <c r="E50" s="3" t="s">
        <v>600</v>
      </c>
      <c r="F50" s="3">
        <v>3.85</v>
      </c>
      <c r="G50" s="3">
        <v>-0.26</v>
      </c>
      <c r="H50" s="3" t="s">
        <v>3088</v>
      </c>
      <c r="I50" s="3">
        <v>2643183200</v>
      </c>
      <c r="K50" s="3">
        <v>1.26</v>
      </c>
      <c r="L50" s="3" t="s">
        <v>343</v>
      </c>
      <c r="M50" s="3" t="s">
        <v>1848</v>
      </c>
      <c r="N50" s="3" t="s">
        <v>3089</v>
      </c>
      <c r="O50" s="3" t="s">
        <v>1605</v>
      </c>
      <c r="P50" s="3">
        <v>7.77</v>
      </c>
      <c r="Q50" s="3" t="s">
        <v>1605</v>
      </c>
      <c r="R50" s="3">
        <v>7540250</v>
      </c>
      <c r="S50" s="5">
        <v>1.4790000000000001</v>
      </c>
      <c r="T50" s="3" t="s">
        <v>3090</v>
      </c>
      <c r="U50" s="3">
        <v>571824620</v>
      </c>
      <c r="V50" s="3">
        <v>686541100</v>
      </c>
      <c r="W50" s="3">
        <v>1.54</v>
      </c>
      <c r="X50" s="3">
        <v>0.1</v>
      </c>
      <c r="Y50" s="3">
        <v>2.67</v>
      </c>
      <c r="Z50" s="3" t="s">
        <v>1850</v>
      </c>
      <c r="AA50" s="3" t="s">
        <v>1534</v>
      </c>
      <c r="AB50" s="3" t="s">
        <v>3091</v>
      </c>
      <c r="AC50" s="3" t="s">
        <v>3092</v>
      </c>
      <c r="AD50" s="3" t="s">
        <v>4</v>
      </c>
      <c r="AE50" s="3">
        <v>775867</v>
      </c>
      <c r="AF50" s="3" t="s">
        <v>1858</v>
      </c>
      <c r="AG50" s="3" t="s">
        <v>3093</v>
      </c>
      <c r="AH50" s="3" t="s">
        <v>1859</v>
      </c>
      <c r="AI50" s="3" t="s">
        <v>2248</v>
      </c>
      <c r="AJ50" s="3" t="s">
        <v>1860</v>
      </c>
      <c r="AK50" s="3" t="s">
        <v>3094</v>
      </c>
      <c r="AL50" s="3" t="s">
        <v>1861</v>
      </c>
      <c r="AM50" s="3" t="s">
        <v>4</v>
      </c>
      <c r="AN50" s="3" t="s">
        <v>1436</v>
      </c>
      <c r="AO50" s="3" t="s">
        <v>3095</v>
      </c>
      <c r="AP50" s="3" t="s">
        <v>321</v>
      </c>
      <c r="AQ50" s="3" t="s">
        <v>1488</v>
      </c>
      <c r="AR50" s="3" t="s">
        <v>3096</v>
      </c>
      <c r="AS50" s="3" t="s">
        <v>3097</v>
      </c>
      <c r="AT50" s="3" t="s">
        <v>28</v>
      </c>
      <c r="AU50" s="3" t="s">
        <v>3098</v>
      </c>
      <c r="AV50" s="3" t="s">
        <v>3099</v>
      </c>
      <c r="AW50" s="3" t="s">
        <v>3100</v>
      </c>
      <c r="AX50" s="3" t="s">
        <v>1280</v>
      </c>
      <c r="AY50" s="3" t="s">
        <v>917</v>
      </c>
      <c r="AZ50" s="3" t="s">
        <v>135</v>
      </c>
      <c r="BA50" s="3" t="s">
        <v>602</v>
      </c>
      <c r="BB50" s="3" t="s">
        <v>603</v>
      </c>
      <c r="BC50" s="3" t="s">
        <v>1862</v>
      </c>
      <c r="BD50" s="3" t="s">
        <v>918</v>
      </c>
      <c r="BE50" s="3" t="s">
        <v>601</v>
      </c>
      <c r="BF50" s="3" t="s">
        <v>483</v>
      </c>
      <c r="BG50" s="3" t="s">
        <v>604</v>
      </c>
      <c r="BH50" s="3" t="s">
        <v>1472</v>
      </c>
      <c r="BI50" s="3" t="s">
        <v>1347</v>
      </c>
      <c r="BJ50" s="3" t="s">
        <v>1280</v>
      </c>
      <c r="BK50" s="3" t="s">
        <v>1857</v>
      </c>
      <c r="BL50" s="3" t="s">
        <v>3101</v>
      </c>
      <c r="BM50" s="3" t="s">
        <v>1862</v>
      </c>
      <c r="BN50" s="3" t="s">
        <v>4</v>
      </c>
      <c r="BO50" s="3">
        <v>0.61</v>
      </c>
      <c r="BP50" s="3">
        <v>5.12</v>
      </c>
      <c r="BQ50" s="3">
        <v>-0.87</v>
      </c>
      <c r="BR50" s="3">
        <v>0.64</v>
      </c>
      <c r="BS50" s="3">
        <v>5.34</v>
      </c>
      <c r="BT50" s="3" t="s">
        <v>1157</v>
      </c>
      <c r="BU50" s="3" t="s">
        <v>977</v>
      </c>
      <c r="BV50" s="3">
        <v>18.14</v>
      </c>
      <c r="BW50" s="3">
        <v>15.95</v>
      </c>
      <c r="BX50" s="3">
        <v>19.3</v>
      </c>
      <c r="BY50" s="3">
        <v>-3.12</v>
      </c>
      <c r="BZ50" s="3">
        <v>0.87</v>
      </c>
      <c r="CA50" s="3">
        <v>6.68</v>
      </c>
      <c r="CB50" s="3">
        <v>-6.1</v>
      </c>
      <c r="CC50" s="3">
        <v>-8.11</v>
      </c>
      <c r="CD50" s="3" t="s">
        <v>1046</v>
      </c>
      <c r="CE50" s="3" t="s">
        <v>237</v>
      </c>
      <c r="CF50" s="10">
        <v>-0.51546391752577314</v>
      </c>
      <c r="CG50" s="11">
        <v>1.729372218997872</v>
      </c>
      <c r="CH50" s="10">
        <v>-0.753742516040802</v>
      </c>
      <c r="CI50" s="10">
        <v>-9.2391304671764374E-2</v>
      </c>
      <c r="CJ50" s="10">
        <v>0.19383622705936432</v>
      </c>
      <c r="CK50" s="10">
        <v>-0.10131199657917023</v>
      </c>
      <c r="CL50" s="10">
        <v>-0.12163892388343811</v>
      </c>
      <c r="CM50" s="11">
        <v>-0.43860563635826111</v>
      </c>
      <c r="CN50" s="11">
        <v>-0.86176258325576782</v>
      </c>
      <c r="CO50" s="11">
        <v>1.017781138420105</v>
      </c>
      <c r="CP50" s="11">
        <v>1.3821594715118408</v>
      </c>
      <c r="CQ50" s="11">
        <v>-2.4612576961517334</v>
      </c>
      <c r="CR50" s="3">
        <v>125.35747247274942</v>
      </c>
      <c r="CS50" s="3">
        <v>7.1612502307066173</v>
      </c>
      <c r="CT50" s="3">
        <v>0</v>
      </c>
      <c r="CU50" s="10">
        <v>-0.17504970282316207</v>
      </c>
      <c r="CV50" s="11">
        <v>-0.27233706116676332</v>
      </c>
      <c r="CW50" s="3">
        <v>0.06</v>
      </c>
      <c r="CX50" s="3">
        <v>269.91103684252408</v>
      </c>
      <c r="CY50" s="3" t="s">
        <v>3102</v>
      </c>
      <c r="CZ50" s="3">
        <v>-0.17504970282316207</v>
      </c>
      <c r="DA50" s="3">
        <v>89.97034561417469</v>
      </c>
      <c r="DB50" s="3" t="s">
        <v>3103</v>
      </c>
      <c r="DC50" s="3">
        <v>-0.16629721768200395</v>
      </c>
      <c r="DD50" s="3">
        <v>44.985172807087345</v>
      </c>
      <c r="DE50" s="3" t="s">
        <v>3104</v>
      </c>
      <c r="DF50" s="3">
        <v>-0.15404373848438263</v>
      </c>
      <c r="DG50" s="3">
        <v>26.991103684252408</v>
      </c>
      <c r="DH50" s="3" t="s">
        <v>3105</v>
      </c>
      <c r="DI50" s="3">
        <v>-0.14003976225852965</v>
      </c>
      <c r="DJ50" s="3">
        <v>13.495551842126204</v>
      </c>
      <c r="DK50" s="3" t="s">
        <v>3106</v>
      </c>
      <c r="DL50" s="3">
        <v>-0.12253479197621343</v>
      </c>
      <c r="DM50" s="3">
        <v>7540200</v>
      </c>
      <c r="DN50" s="3">
        <v>-0.17504970282316207</v>
      </c>
      <c r="DO50" s="3">
        <v>2035183200</v>
      </c>
      <c r="DP50" s="3">
        <v>333389770</v>
      </c>
      <c r="DQ50" s="3">
        <v>1726</v>
      </c>
      <c r="DR50" s="3">
        <v>-0.34041421470261107</v>
      </c>
      <c r="DS50" s="3">
        <v>2.0017092801646355</v>
      </c>
      <c r="DT50" s="12">
        <v>-0.64</v>
      </c>
      <c r="DU50" s="3">
        <v>-0.14333333333333331</v>
      </c>
      <c r="DV50" s="3">
        <v>-0.78333333333333333</v>
      </c>
      <c r="DW50" s="3">
        <v>-9.7521578298397031</v>
      </c>
      <c r="DX50" s="3">
        <v>0.44180897250361767</v>
      </c>
      <c r="DY50" s="3">
        <v>-9.1894000902924873</v>
      </c>
      <c r="DZ50" s="3">
        <v>3592</v>
      </c>
      <c r="EA50" s="3">
        <v>-9.0562640581338538</v>
      </c>
      <c r="EB50" s="3">
        <v>9</v>
      </c>
      <c r="EC50" s="3">
        <v>0.25344440412962893</v>
      </c>
      <c r="ED50" s="3">
        <v>1.0064947313423771</v>
      </c>
      <c r="EE50" s="13">
        <v>-3.0030000000000001</v>
      </c>
      <c r="EF50" s="3">
        <v>-3.00461</v>
      </c>
      <c r="EG50" s="3">
        <v>19.251808972503618</v>
      </c>
      <c r="EH50" s="3" t="s">
        <v>1465</v>
      </c>
      <c r="EI50" s="3">
        <v>0</v>
      </c>
      <c r="EJ50" s="3">
        <v>0</v>
      </c>
      <c r="EK50" s="15">
        <v>45470</v>
      </c>
      <c r="EL50" s="16">
        <v>-0.49</v>
      </c>
      <c r="EM50" s="16">
        <v>-5.64</v>
      </c>
      <c r="EN50" s="16">
        <v>-2.86</v>
      </c>
      <c r="EO50" s="16">
        <v>5.35</v>
      </c>
      <c r="EP50" s="16">
        <v>-0.76</v>
      </c>
    </row>
    <row r="51" spans="1:146" ht="96" x14ac:dyDescent="0.25">
      <c r="C51" s="7" t="str">
        <f>""&amp;CHAR(10)&amp;Basic_Fundamental_Information_Constructure(F51)&amp;CHAR(10)&amp;Basic_Fundamental_Information_Concatenate("")</f>
        <v xml:space="preserve">
市值13.947491亿, 利润-227.43万; PE54.63; 平均PE-1.83; 平均PEG-.06, PB16.81; ROIC11.97%; ROE15.2067%; 股利率0%; 毛利27.0167%; 净利.6133%; 上一年度营收增-88.54%, 利润增96.07%; 当季营收增-71.57%, 利润增-108.44%; 过往5年营收增-32.93%, 利润增30.02%
Income profile:
</v>
      </c>
      <c r="D51" s="3" t="s">
        <v>605</v>
      </c>
      <c r="E51" s="3" t="s">
        <v>1281</v>
      </c>
      <c r="F51" s="3">
        <v>2.54</v>
      </c>
      <c r="G51" s="3">
        <v>4.53</v>
      </c>
      <c r="H51" s="3" t="s">
        <v>3107</v>
      </c>
      <c r="I51" s="3">
        <v>1394749100</v>
      </c>
      <c r="J51" s="3">
        <v>54.63</v>
      </c>
      <c r="K51" s="3">
        <v>16.809999999999999</v>
      </c>
      <c r="L51" s="3" t="s">
        <v>343</v>
      </c>
      <c r="M51" s="3" t="s">
        <v>1452</v>
      </c>
      <c r="N51" s="3" t="s">
        <v>3108</v>
      </c>
      <c r="O51" s="3" t="s">
        <v>274</v>
      </c>
      <c r="P51" s="3">
        <v>-36.22</v>
      </c>
      <c r="Q51" s="3" t="s">
        <v>274</v>
      </c>
      <c r="R51" s="3">
        <v>-2274267</v>
      </c>
      <c r="S51" s="5">
        <v>0.88239999999999996</v>
      </c>
      <c r="T51" s="3" t="s">
        <v>3109</v>
      </c>
      <c r="U51" s="3">
        <v>525661000</v>
      </c>
      <c r="V51" s="3">
        <v>549113830</v>
      </c>
      <c r="W51" s="3">
        <v>12</v>
      </c>
      <c r="X51" s="3">
        <v>0.14000000000000001</v>
      </c>
      <c r="Y51" s="3">
        <v>-1.59</v>
      </c>
      <c r="Z51" s="3" t="s">
        <v>274</v>
      </c>
      <c r="AA51" s="3" t="s">
        <v>1164</v>
      </c>
      <c r="AB51" s="3" t="s">
        <v>3110</v>
      </c>
      <c r="AC51" s="3" t="s">
        <v>3111</v>
      </c>
      <c r="AD51" s="3" t="s">
        <v>4</v>
      </c>
      <c r="AE51" s="3">
        <v>2509204</v>
      </c>
      <c r="AF51" s="3" t="s">
        <v>21</v>
      </c>
      <c r="AG51" s="3" t="s">
        <v>3112</v>
      </c>
      <c r="AH51" s="3" t="s">
        <v>1864</v>
      </c>
      <c r="AI51" s="3" t="s">
        <v>127</v>
      </c>
      <c r="AJ51" s="3" t="s">
        <v>1865</v>
      </c>
      <c r="AK51" s="3" t="s">
        <v>3113</v>
      </c>
      <c r="AL51" s="3" t="s">
        <v>1866</v>
      </c>
      <c r="AM51" s="3" t="s">
        <v>4</v>
      </c>
      <c r="AN51" s="3">
        <v>0</v>
      </c>
      <c r="AO51" s="3" t="s">
        <v>155</v>
      </c>
      <c r="AP51" s="3" t="s">
        <v>3114</v>
      </c>
      <c r="AQ51" s="3" t="s">
        <v>3115</v>
      </c>
      <c r="AR51" s="3" t="s">
        <v>3116</v>
      </c>
      <c r="AS51" s="3" t="s">
        <v>3117</v>
      </c>
      <c r="AT51" s="3" t="s">
        <v>4</v>
      </c>
      <c r="AU51" s="3" t="s">
        <v>3118</v>
      </c>
      <c r="AV51" s="3" t="s">
        <v>3119</v>
      </c>
      <c r="AW51" s="3" t="s">
        <v>3120</v>
      </c>
      <c r="AX51" s="3" t="s">
        <v>1245</v>
      </c>
      <c r="AY51" s="3" t="s">
        <v>919</v>
      </c>
      <c r="AZ51" s="3" t="s">
        <v>397</v>
      </c>
      <c r="BA51" s="3" t="s">
        <v>315</v>
      </c>
      <c r="BB51" s="3" t="s">
        <v>606</v>
      </c>
      <c r="BC51" s="3" t="s">
        <v>1868</v>
      </c>
      <c r="BD51" s="3" t="s">
        <v>920</v>
      </c>
      <c r="BE51" s="3" t="s">
        <v>583</v>
      </c>
      <c r="BF51" s="3" t="s">
        <v>607</v>
      </c>
      <c r="BG51" s="3" t="s">
        <v>608</v>
      </c>
      <c r="BH51" s="3" t="s">
        <v>1441</v>
      </c>
      <c r="BI51" s="3" t="s">
        <v>1264</v>
      </c>
      <c r="BJ51" s="3" t="s">
        <v>1245</v>
      </c>
      <c r="BK51" s="3" t="s">
        <v>1863</v>
      </c>
      <c r="BL51" s="3" t="s">
        <v>3121</v>
      </c>
      <c r="BM51" s="3" t="s">
        <v>1868</v>
      </c>
      <c r="BN51" s="3">
        <v>12.39</v>
      </c>
      <c r="BO51" s="3" t="s">
        <v>4</v>
      </c>
      <c r="BP51" s="3">
        <v>11.55</v>
      </c>
      <c r="BQ51" s="3">
        <v>54.07</v>
      </c>
      <c r="BR51" s="3">
        <v>-53.98</v>
      </c>
      <c r="BS51" s="3">
        <v>45.53</v>
      </c>
      <c r="BT51" s="3" t="s">
        <v>1157</v>
      </c>
      <c r="BU51" s="3" t="s">
        <v>977</v>
      </c>
      <c r="BV51" s="3">
        <v>28.15</v>
      </c>
      <c r="BW51" s="3">
        <v>23.63</v>
      </c>
      <c r="BX51" s="3">
        <v>29.27</v>
      </c>
      <c r="BY51" s="3">
        <v>0.66</v>
      </c>
      <c r="BZ51" s="3">
        <v>-4.8</v>
      </c>
      <c r="CA51" s="3">
        <v>5.98</v>
      </c>
      <c r="CB51" s="3">
        <v>1.2</v>
      </c>
      <c r="CC51" s="3">
        <v>-30.03</v>
      </c>
      <c r="CD51" s="3" t="s">
        <v>3122</v>
      </c>
      <c r="CE51" s="3" t="s">
        <v>968</v>
      </c>
      <c r="CF51" s="10">
        <v>-0.71570576540755471</v>
      </c>
      <c r="CG51" s="11">
        <v>-1.0844109372448298</v>
      </c>
      <c r="CH51" s="10">
        <v>-0.88541662693023682</v>
      </c>
      <c r="CI51" s="10">
        <v>0.21047526597976685</v>
      </c>
      <c r="CJ51" s="10">
        <v>-9.1630004346370697E-2</v>
      </c>
      <c r="CK51" s="10">
        <v>-0.6234239935874939</v>
      </c>
      <c r="CL51" s="10">
        <v>-0.25635328888893127</v>
      </c>
      <c r="CM51" s="11">
        <v>0.96071004867553711</v>
      </c>
      <c r="CN51" s="11">
        <v>-1.946428656578064</v>
      </c>
      <c r="CO51" s="11">
        <v>1.1935490369796753</v>
      </c>
      <c r="CP51" s="11">
        <v>0.77118027210235596</v>
      </c>
      <c r="CQ51" s="11">
        <v>0.52181440591812134</v>
      </c>
      <c r="CR51" s="3">
        <v>-1.8255887033802676</v>
      </c>
      <c r="CS51" s="3">
        <v>-5.5443563119191949E-2</v>
      </c>
      <c r="CT51" s="3">
        <v>0</v>
      </c>
      <c r="CU51" s="10">
        <v>-0.32926972955465317</v>
      </c>
      <c r="CV51" s="11">
        <v>0.30016502141952517</v>
      </c>
      <c r="CW51" s="3">
        <v>0.06</v>
      </c>
      <c r="CX51" s="3" t="e">
        <v>#VALUE!</v>
      </c>
      <c r="CY51" s="3" t="s">
        <v>1005</v>
      </c>
      <c r="CZ51" s="3">
        <v>-0.32926972955465317</v>
      </c>
      <c r="DA51" s="3" t="e">
        <v>#VALUE!</v>
      </c>
      <c r="DB51" s="3" t="s">
        <v>1006</v>
      </c>
      <c r="DC51" s="3">
        <v>-0.31280624307692051</v>
      </c>
      <c r="DD51" s="3" t="e">
        <v>#VALUE!</v>
      </c>
      <c r="DE51" s="3" t="s">
        <v>1006</v>
      </c>
      <c r="DF51" s="3">
        <v>-0.28975736200809477</v>
      </c>
      <c r="DG51" s="3" t="e">
        <v>#VALUE!</v>
      </c>
      <c r="DH51" s="3" t="s">
        <v>1006</v>
      </c>
      <c r="DI51" s="3">
        <v>-0.26341578364372253</v>
      </c>
      <c r="DJ51" s="3" t="e">
        <v>#VALUE!</v>
      </c>
      <c r="DK51" s="3" t="s">
        <v>1006</v>
      </c>
      <c r="DL51" s="3">
        <v>-0.23048881068825719</v>
      </c>
      <c r="DM51" s="3">
        <v>-2274300</v>
      </c>
      <c r="DN51" s="3">
        <v>-0.32926972955465317</v>
      </c>
      <c r="DO51" s="3">
        <v>2301936600</v>
      </c>
      <c r="DP51" s="3">
        <v>-239822650.00000012</v>
      </c>
      <c r="DQ51" s="3">
        <v>1754</v>
      </c>
      <c r="DR51" s="3">
        <v>-0.38643603585290154</v>
      </c>
      <c r="DS51" s="3">
        <v>-1.3845759586643549</v>
      </c>
      <c r="DT51" s="12">
        <v>-0.95666666666666667</v>
      </c>
      <c r="DU51" s="3">
        <v>-1.9316666666666666</v>
      </c>
      <c r="DV51" s="3">
        <v>-2.8883333333333332</v>
      </c>
      <c r="DW51" s="3">
        <v>-3.1586726190476191</v>
      </c>
      <c r="DX51" s="3">
        <v>0.46765667015706586</v>
      </c>
      <c r="DY51" s="3">
        <v>-3.0202556181927198</v>
      </c>
      <c r="DZ51" s="3">
        <v>4129</v>
      </c>
      <c r="EA51" s="3">
        <v>-3.0038886030229075</v>
      </c>
      <c r="EB51" s="3">
        <v>3</v>
      </c>
      <c r="EC51" s="3">
        <v>0.1776129004071888</v>
      </c>
      <c r="ED51" s="3">
        <v>1.3913326495528258</v>
      </c>
      <c r="EE51" s="13">
        <v>2.0398999999999998</v>
      </c>
      <c r="EF51" s="3">
        <v>2.0320999999999998</v>
      </c>
      <c r="EG51" s="3">
        <v>34.127656670157066</v>
      </c>
      <c r="EH51" s="3" t="s">
        <v>1174</v>
      </c>
      <c r="EI51" s="3">
        <v>0</v>
      </c>
      <c r="EJ51" s="3">
        <v>0</v>
      </c>
      <c r="EK51" s="15">
        <v>45470</v>
      </c>
      <c r="EL51" s="16">
        <v>-1.95</v>
      </c>
      <c r="EM51" s="16">
        <v>-4.78</v>
      </c>
      <c r="EN51" s="16">
        <v>0.42</v>
      </c>
      <c r="EO51" s="16">
        <v>6.25</v>
      </c>
      <c r="EP51" s="16">
        <v>-0.78</v>
      </c>
    </row>
    <row r="52" spans="1:146" ht="64.75" customHeight="1" x14ac:dyDescent="0.25">
      <c r="C52" s="7" t="str">
        <f>""&amp;CHAR(10)&amp;Basic_Fundamental_Information_Constructure(F52)&amp;CHAR(10)&amp;Basic_Fundamental_Information_Concatenate("")</f>
        <v xml:space="preserve">
市值107.246391亿, 利润1.01亿; PE40.48; 平均PE32.4; 平均PEG2.63, PB1.28; ROIC5.13%; ROE5.7767%; 股利率1.1792%; 毛利30.5633%; 净利4.7033%; 上一年度营收增-77.92%, 利润增-64.06%; 当季营收增-55.2%, 利润增-70.05%; 过往5年营收增-12.31%, 利润增-47.69%
Income profile:
</v>
      </c>
      <c r="D52" s="3" t="s">
        <v>609</v>
      </c>
      <c r="E52" s="3" t="s">
        <v>610</v>
      </c>
      <c r="F52" s="3">
        <v>4.24</v>
      </c>
      <c r="G52" s="3">
        <v>-0.7</v>
      </c>
      <c r="H52" s="3" t="s">
        <v>3123</v>
      </c>
      <c r="I52" s="3">
        <v>10724639100</v>
      </c>
      <c r="J52" s="3">
        <v>40.479999999999997</v>
      </c>
      <c r="K52" s="3">
        <v>1.28</v>
      </c>
      <c r="L52" s="3" t="s">
        <v>343</v>
      </c>
      <c r="M52" s="3" t="s">
        <v>1869</v>
      </c>
      <c r="N52" s="3" t="s">
        <v>3124</v>
      </c>
      <c r="O52" s="3" t="s">
        <v>1870</v>
      </c>
      <c r="P52" s="3">
        <v>1.02</v>
      </c>
      <c r="Q52" s="3" t="s">
        <v>1870</v>
      </c>
      <c r="R52" s="3">
        <v>101223559</v>
      </c>
      <c r="S52" s="5">
        <v>-0.1701</v>
      </c>
      <c r="T52" s="3" t="s">
        <v>104</v>
      </c>
      <c r="U52" s="3">
        <v>2092116100</v>
      </c>
      <c r="V52" s="3">
        <v>2529396000</v>
      </c>
      <c r="W52" s="3">
        <v>1.7</v>
      </c>
      <c r="X52" s="3">
        <v>0.12</v>
      </c>
      <c r="Y52" s="3">
        <v>5.6</v>
      </c>
      <c r="Z52" s="3" t="s">
        <v>3125</v>
      </c>
      <c r="AA52" s="3" t="s">
        <v>3126</v>
      </c>
      <c r="AB52" s="3" t="s">
        <v>32</v>
      </c>
      <c r="AC52" s="3" t="s">
        <v>124</v>
      </c>
      <c r="AD52" s="3" t="s">
        <v>4</v>
      </c>
      <c r="AE52" s="3">
        <v>1269370</v>
      </c>
      <c r="AF52" s="3" t="s">
        <v>1872</v>
      </c>
      <c r="AG52" s="3" t="s">
        <v>3127</v>
      </c>
      <c r="AH52" s="3" t="s">
        <v>1873</v>
      </c>
      <c r="AI52" s="3" t="s">
        <v>2019</v>
      </c>
      <c r="AJ52" s="3" t="s">
        <v>1874</v>
      </c>
      <c r="AK52" s="3" t="s">
        <v>3128</v>
      </c>
      <c r="AL52" s="3" t="s">
        <v>1875</v>
      </c>
      <c r="AM52" s="3" t="s">
        <v>4</v>
      </c>
      <c r="AN52" s="3" t="s">
        <v>3129</v>
      </c>
      <c r="AO52" s="3" t="s">
        <v>48</v>
      </c>
      <c r="AP52" s="3" t="s">
        <v>1030</v>
      </c>
      <c r="AQ52" s="3" t="s">
        <v>3130</v>
      </c>
      <c r="AR52" s="3" t="s">
        <v>4</v>
      </c>
      <c r="AS52" s="3" t="s">
        <v>3131</v>
      </c>
      <c r="AT52" s="3" t="s">
        <v>97</v>
      </c>
      <c r="AU52" s="3" t="s">
        <v>76</v>
      </c>
      <c r="AV52" s="3" t="s">
        <v>3132</v>
      </c>
      <c r="AW52" s="3" t="s">
        <v>3133</v>
      </c>
      <c r="AX52" s="3" t="s">
        <v>1282</v>
      </c>
      <c r="AY52" s="3" t="s">
        <v>921</v>
      </c>
      <c r="AZ52" s="3" t="s">
        <v>611</v>
      </c>
      <c r="BA52" s="3" t="s">
        <v>613</v>
      </c>
      <c r="BB52" s="3" t="s">
        <v>614</v>
      </c>
      <c r="BC52" s="3" t="s">
        <v>233</v>
      </c>
      <c r="BD52" s="3" t="s">
        <v>165</v>
      </c>
      <c r="BE52" s="3" t="s">
        <v>612</v>
      </c>
      <c r="BF52" s="3" t="s">
        <v>295</v>
      </c>
      <c r="BG52" s="3" t="s">
        <v>615</v>
      </c>
      <c r="BH52" s="3" t="s">
        <v>1871</v>
      </c>
      <c r="BI52" s="3" t="s">
        <v>3134</v>
      </c>
      <c r="BJ52" s="3" t="s">
        <v>1282</v>
      </c>
      <c r="BK52" s="3" t="s">
        <v>273</v>
      </c>
      <c r="BL52" s="3" t="s">
        <v>155</v>
      </c>
      <c r="BM52" s="3" t="s">
        <v>233</v>
      </c>
      <c r="BN52" s="3">
        <v>4.55</v>
      </c>
      <c r="BO52" s="3">
        <v>3.53</v>
      </c>
      <c r="BP52" s="3">
        <v>7.31</v>
      </c>
      <c r="BQ52" s="3">
        <v>5.58</v>
      </c>
      <c r="BR52" s="3">
        <v>3.56</v>
      </c>
      <c r="BS52" s="3">
        <v>8.19</v>
      </c>
      <c r="BT52" s="3" t="s">
        <v>1158</v>
      </c>
      <c r="BU52" s="3" t="s">
        <v>977</v>
      </c>
      <c r="BV52" s="3">
        <v>31.01</v>
      </c>
      <c r="BW52" s="3">
        <v>30.5</v>
      </c>
      <c r="BX52" s="3">
        <v>30.18</v>
      </c>
      <c r="BY52" s="3">
        <v>3.7</v>
      </c>
      <c r="BZ52" s="3">
        <v>3.51</v>
      </c>
      <c r="CA52" s="3">
        <v>6.9</v>
      </c>
      <c r="CB52" s="3">
        <v>-5.78</v>
      </c>
      <c r="CC52" s="3">
        <v>-13.82</v>
      </c>
      <c r="CD52" s="3" t="s">
        <v>3135</v>
      </c>
      <c r="CE52" s="3" t="s">
        <v>3136</v>
      </c>
      <c r="CF52" s="10">
        <v>-0.55201592832254853</v>
      </c>
      <c r="CG52" s="11">
        <v>-0.70052201479289944</v>
      </c>
      <c r="CH52" s="10">
        <v>-0.77924942970275879</v>
      </c>
      <c r="CI52" s="10">
        <v>-7.8852221369743347E-2</v>
      </c>
      <c r="CJ52" s="10">
        <v>0.33433824777603149</v>
      </c>
      <c r="CK52" s="10">
        <v>-0.26671826839447021</v>
      </c>
      <c r="CL52" s="10">
        <v>0.17478246986865997</v>
      </c>
      <c r="CM52" s="11">
        <v>-0.64056938886642456</v>
      </c>
      <c r="CN52" s="11">
        <v>-0.54009819030761719</v>
      </c>
      <c r="CO52" s="11">
        <v>1.626024603843689</v>
      </c>
      <c r="CP52" s="11">
        <v>-2.3863637447357178</v>
      </c>
      <c r="CQ52" s="11">
        <v>-0.44347822666168213</v>
      </c>
      <c r="CR52" s="3">
        <v>32.400722356495471</v>
      </c>
      <c r="CS52" s="3">
        <v>2.6312136072776502</v>
      </c>
      <c r="CT52" s="3">
        <v>1.1792452830188678</v>
      </c>
      <c r="CU52" s="10">
        <v>-0.12313984036445617</v>
      </c>
      <c r="CV52" s="11">
        <v>-0.47689698934555053</v>
      </c>
      <c r="CW52" s="3">
        <v>0.06</v>
      </c>
      <c r="CX52" s="3">
        <v>85.144941584158417</v>
      </c>
      <c r="CY52" s="3" t="s">
        <v>3137</v>
      </c>
      <c r="CZ52" s="3">
        <v>-0.12313984036445617</v>
      </c>
      <c r="DA52" s="3">
        <v>28.381647194719474</v>
      </c>
      <c r="DB52" s="3" t="s">
        <v>3138</v>
      </c>
      <c r="DC52" s="3">
        <v>-0.11698284834623336</v>
      </c>
      <c r="DD52" s="3">
        <v>14.190823597359737</v>
      </c>
      <c r="DE52" s="3" t="s">
        <v>3139</v>
      </c>
      <c r="DF52" s="3">
        <v>-0.10836305952072144</v>
      </c>
      <c r="DG52" s="3">
        <v>8.5144941584158413</v>
      </c>
      <c r="DH52" s="3" t="s">
        <v>3140</v>
      </c>
      <c r="DI52" s="3">
        <v>-9.8511872291564939E-2</v>
      </c>
      <c r="DJ52" s="3">
        <v>4.2572470792079207</v>
      </c>
      <c r="DK52" s="3" t="s">
        <v>3141</v>
      </c>
      <c r="DL52" s="3">
        <v>-8.6197888255119315E-2</v>
      </c>
      <c r="DM52" s="3">
        <v>101000000</v>
      </c>
      <c r="DN52" s="3">
        <v>-0.12313984036445617</v>
      </c>
      <c r="DO52" s="3">
        <v>8599639100</v>
      </c>
      <c r="DP52" s="3">
        <v>5700913600</v>
      </c>
      <c r="DQ52" s="3">
        <v>1780</v>
      </c>
      <c r="DR52" s="3">
        <v>-0.42887608795809234</v>
      </c>
      <c r="DS52" s="3">
        <v>-0.22362502544734891</v>
      </c>
      <c r="DT52" s="12">
        <v>-0.65666666666666662</v>
      </c>
      <c r="DU52" s="3">
        <v>-1.1866666666666668</v>
      </c>
      <c r="DV52" s="3">
        <v>-1.8433333333333333</v>
      </c>
      <c r="DW52" s="3">
        <v>-8.4182344428364697</v>
      </c>
      <c r="DX52" s="3">
        <v>0.4305799676898221</v>
      </c>
      <c r="DY52" s="3">
        <v>-8.062977728889086</v>
      </c>
      <c r="DZ52" s="3">
        <v>3740</v>
      </c>
      <c r="EA52" s="3">
        <v>-8.0168844400348434</v>
      </c>
      <c r="EB52" s="3">
        <v>8</v>
      </c>
      <c r="EC52" s="3">
        <v>3.6850299439075571E-2</v>
      </c>
      <c r="ED52" s="3">
        <v>0.24472245547948995</v>
      </c>
      <c r="EE52" s="13">
        <v>-1.1020099999999999</v>
      </c>
      <c r="EF52" s="3">
        <v>-1.11541</v>
      </c>
      <c r="EG52" s="3">
        <v>28.150579967689822</v>
      </c>
      <c r="EH52" s="3" t="s">
        <v>1015</v>
      </c>
      <c r="EI52" s="3">
        <v>0</v>
      </c>
      <c r="EJ52" s="3">
        <v>0</v>
      </c>
      <c r="EK52" s="15">
        <v>45470</v>
      </c>
      <c r="EL52" s="16">
        <v>-1.27</v>
      </c>
      <c r="EM52" s="16">
        <v>-4.09</v>
      </c>
      <c r="EN52" s="16">
        <v>-3.81</v>
      </c>
      <c r="EO52" s="16">
        <v>4.43</v>
      </c>
      <c r="EP52" s="16">
        <v>-1.34</v>
      </c>
    </row>
    <row r="53" spans="1:146" ht="96" x14ac:dyDescent="0.25">
      <c r="C53" s="7" t="str">
        <f>""&amp;CHAR(10)&amp;Basic_Fundamental_Information_Constructure(F53)&amp;CHAR(10)&amp;Basic_Fundamental_Information_Concatenate("")</f>
        <v xml:space="preserve">
市值10.4294358亿, 利润-327.52万; PE; 平均PE-5.52; 平均PEG-.21, PB21.57; ROIC0%; ROE-55.1933%; 股利率0%; 毛利12.72%; 净利-24.93%; 上一年度营收增-81.18%, 利润增98.54%; 当季营收增-57.98%, 利润增93.75%; 过往5年营收增-26.02%, 利润增-121.69%
Income profile:
</v>
      </c>
      <c r="D53" s="3" t="s">
        <v>616</v>
      </c>
      <c r="E53" s="3" t="s">
        <v>1020</v>
      </c>
      <c r="F53" s="3">
        <v>1.32</v>
      </c>
      <c r="G53" s="3">
        <v>1.54</v>
      </c>
      <c r="H53" s="3" t="s">
        <v>3142</v>
      </c>
      <c r="I53" s="3">
        <v>1042943580</v>
      </c>
      <c r="K53" s="3">
        <v>21.57</v>
      </c>
      <c r="L53" s="3" t="s">
        <v>343</v>
      </c>
      <c r="M53" s="3" t="s">
        <v>1876</v>
      </c>
      <c r="N53" s="3" t="s">
        <v>3143</v>
      </c>
      <c r="O53" s="3" t="s">
        <v>120</v>
      </c>
      <c r="P53" s="3">
        <v>-8.75</v>
      </c>
      <c r="Q53" s="3" t="s">
        <v>120</v>
      </c>
      <c r="R53" s="3">
        <v>-3275223</v>
      </c>
      <c r="S53" s="5">
        <v>0.82420000000000004</v>
      </c>
      <c r="T53" s="3" t="s">
        <v>3144</v>
      </c>
      <c r="U53" s="3">
        <v>790108770</v>
      </c>
      <c r="V53" s="3">
        <v>790108770</v>
      </c>
      <c r="W53" s="3">
        <v>16.34</v>
      </c>
      <c r="X53" s="3">
        <v>0.17</v>
      </c>
      <c r="Y53" s="3">
        <v>-2.38</v>
      </c>
      <c r="Z53" s="3" t="s">
        <v>53</v>
      </c>
      <c r="AA53" s="3" t="s">
        <v>3145</v>
      </c>
      <c r="AB53" s="3" t="s">
        <v>3146</v>
      </c>
      <c r="AC53" s="3" t="s">
        <v>3147</v>
      </c>
      <c r="AD53" s="3" t="s">
        <v>4</v>
      </c>
      <c r="AE53" s="3">
        <v>7236541</v>
      </c>
      <c r="AF53" s="3" t="s">
        <v>21</v>
      </c>
      <c r="AG53" s="3">
        <v>7.0000000000000007E-2</v>
      </c>
      <c r="AH53" s="3" t="s">
        <v>1878</v>
      </c>
      <c r="AI53" s="3" t="s">
        <v>3148</v>
      </c>
      <c r="AJ53" s="3" t="s">
        <v>1879</v>
      </c>
      <c r="AK53" s="3" t="s">
        <v>3149</v>
      </c>
      <c r="AL53" s="3" t="s">
        <v>1880</v>
      </c>
      <c r="AM53" s="3" t="s">
        <v>4</v>
      </c>
      <c r="AN53" s="3">
        <v>0</v>
      </c>
      <c r="AO53" s="3" t="s">
        <v>1054</v>
      </c>
      <c r="AP53" s="3" t="s">
        <v>4</v>
      </c>
      <c r="AQ53" s="3" t="s">
        <v>1003</v>
      </c>
      <c r="AR53" s="3" t="s">
        <v>4</v>
      </c>
      <c r="AS53" s="3" t="s">
        <v>3150</v>
      </c>
      <c r="AT53" s="3" t="s">
        <v>4</v>
      </c>
      <c r="AU53" s="3" t="s">
        <v>3151</v>
      </c>
      <c r="AV53" s="3" t="s">
        <v>3152</v>
      </c>
      <c r="AW53" s="3" t="s">
        <v>3153</v>
      </c>
      <c r="AX53" s="3" t="s">
        <v>1207</v>
      </c>
      <c r="AY53" s="3" t="s">
        <v>1283</v>
      </c>
      <c r="AZ53" s="3" t="s">
        <v>318</v>
      </c>
      <c r="BA53" s="3" t="s">
        <v>618</v>
      </c>
      <c r="BB53" s="3" t="s">
        <v>619</v>
      </c>
      <c r="BC53" s="3" t="s">
        <v>1047</v>
      </c>
      <c r="BD53" s="3" t="s">
        <v>1284</v>
      </c>
      <c r="BE53" s="3" t="s">
        <v>617</v>
      </c>
      <c r="BF53" s="3" t="s">
        <v>620</v>
      </c>
      <c r="BG53" s="3" t="s">
        <v>621</v>
      </c>
      <c r="BH53" s="3" t="s">
        <v>235</v>
      </c>
      <c r="BI53" s="3" t="s">
        <v>48</v>
      </c>
      <c r="BJ53" s="3" t="s">
        <v>1207</v>
      </c>
      <c r="BK53" s="3" t="s">
        <v>1877</v>
      </c>
      <c r="BL53" s="3" t="s">
        <v>3154</v>
      </c>
      <c r="BM53" s="3" t="s">
        <v>1047</v>
      </c>
      <c r="BN53" s="3" t="s">
        <v>4</v>
      </c>
      <c r="BO53" s="3" t="s">
        <v>4</v>
      </c>
      <c r="BP53" s="3" t="s">
        <v>4</v>
      </c>
      <c r="BQ53" s="3">
        <v>-53.63</v>
      </c>
      <c r="BR53" s="3">
        <v>-73.86</v>
      </c>
      <c r="BS53" s="3">
        <v>-38.090000000000003</v>
      </c>
      <c r="BT53" s="3" t="s">
        <v>1157</v>
      </c>
      <c r="BU53" s="3" t="s">
        <v>977</v>
      </c>
      <c r="BV53" s="3">
        <v>14.37</v>
      </c>
      <c r="BW53" s="3">
        <v>10.32</v>
      </c>
      <c r="BX53" s="3">
        <v>13.47</v>
      </c>
      <c r="BY53" s="3">
        <v>-26.16</v>
      </c>
      <c r="BZ53" s="3">
        <v>-30.88</v>
      </c>
      <c r="CA53" s="3">
        <v>-17.75</v>
      </c>
      <c r="CB53" s="3">
        <v>6.45</v>
      </c>
      <c r="CC53" s="3">
        <v>-2.2200000000000002</v>
      </c>
      <c r="CD53" s="3" t="s">
        <v>3155</v>
      </c>
      <c r="CE53" s="3" t="s">
        <v>122</v>
      </c>
      <c r="CF53" s="10">
        <v>-0.57975460122699385</v>
      </c>
      <c r="CG53" s="11">
        <v>0.93747020729840047</v>
      </c>
      <c r="CH53" s="10">
        <v>-0.81181317567825317</v>
      </c>
      <c r="CI53" s="10">
        <v>-0.54185020923614502</v>
      </c>
      <c r="CJ53" s="10">
        <v>0.21949337422847748</v>
      </c>
      <c r="CK53" s="10">
        <v>-0.19418676197528839</v>
      </c>
      <c r="CL53" s="10">
        <v>2.731897309422493E-2</v>
      </c>
      <c r="CM53" s="11">
        <v>0.98544353246688843</v>
      </c>
      <c r="CN53" s="11">
        <v>0.20212766528129578</v>
      </c>
      <c r="CO53" s="11">
        <v>-6.451545238494873</v>
      </c>
      <c r="CP53" s="11">
        <v>0.91178435087203979</v>
      </c>
      <c r="CQ53" s="11">
        <v>-1.7324841022491455</v>
      </c>
      <c r="CR53" s="3">
        <v>-5.5176375826996038</v>
      </c>
      <c r="CS53" s="3">
        <v>-0.2120475509833766</v>
      </c>
      <c r="CT53" s="3">
        <v>0</v>
      </c>
      <c r="CU53" s="10">
        <v>-0.26020755991339684</v>
      </c>
      <c r="CV53" s="11">
        <v>-1.216934758424759</v>
      </c>
      <c r="CW53" s="3">
        <v>0.06</v>
      </c>
      <c r="CX53" s="3" t="e">
        <v>#VALUE!</v>
      </c>
      <c r="CY53" s="3" t="s">
        <v>1005</v>
      </c>
      <c r="CZ53" s="3">
        <v>-0.26020755991339684</v>
      </c>
      <c r="DA53" s="3" t="e">
        <v>#VALUE!</v>
      </c>
      <c r="DB53" s="3" t="s">
        <v>1006</v>
      </c>
      <c r="DC53" s="3">
        <v>-0.24719718191772699</v>
      </c>
      <c r="DD53" s="3" t="e">
        <v>#VALUE!</v>
      </c>
      <c r="DE53" s="3" t="s">
        <v>1006</v>
      </c>
      <c r="DF53" s="3">
        <v>-0.2289826527237892</v>
      </c>
      <c r="DG53" s="3" t="e">
        <v>#VALUE!</v>
      </c>
      <c r="DH53" s="3" t="s">
        <v>1006</v>
      </c>
      <c r="DI53" s="3">
        <v>-0.20816604793071747</v>
      </c>
      <c r="DJ53" s="3" t="e">
        <v>#VALUE!</v>
      </c>
      <c r="DK53" s="3" t="s">
        <v>1006</v>
      </c>
      <c r="DL53" s="3">
        <v>-0.18214529193937778</v>
      </c>
      <c r="DM53" s="3">
        <v>-3275200</v>
      </c>
      <c r="DN53" s="3">
        <v>-0.26020755991339684</v>
      </c>
      <c r="DO53" s="3">
        <v>1760812680</v>
      </c>
      <c r="DP53" s="3">
        <v>-426860650</v>
      </c>
      <c r="DQ53" s="3">
        <v>1784</v>
      </c>
      <c r="DR53" s="3">
        <v>-0.31954704131359701</v>
      </c>
      <c r="DS53" s="3">
        <v>2.1544049657231596</v>
      </c>
      <c r="DT53" s="12">
        <v>-0.90666666666666662</v>
      </c>
      <c r="DU53" s="3">
        <v>-2.7316666666666669</v>
      </c>
      <c r="DV53" s="3">
        <v>-3.6383333333333336</v>
      </c>
      <c r="DW53" s="3">
        <v>5.344186046511628</v>
      </c>
      <c r="DX53" s="3">
        <v>0.29221953488372165</v>
      </c>
      <c r="DY53" s="3">
        <v>5.0558337003785834</v>
      </c>
      <c r="DZ53" s="3">
        <v>4817</v>
      </c>
      <c r="EA53" s="3">
        <v>5.0032014235246427</v>
      </c>
      <c r="EB53" s="3">
        <v>5</v>
      </c>
      <c r="EC53" s="3">
        <v>4.4142276765261064E-2</v>
      </c>
      <c r="ED53" s="3">
        <v>0.27211443305457805</v>
      </c>
      <c r="EE53" s="13">
        <v>-3.0373000000000001</v>
      </c>
      <c r="EF53" s="3">
        <v>-3.0133000000000001</v>
      </c>
      <c r="EG53" s="3">
        <v>13.162219534883722</v>
      </c>
      <c r="EH53" s="3" t="s">
        <v>1400</v>
      </c>
      <c r="EI53" s="3">
        <v>1</v>
      </c>
      <c r="EJ53" s="3">
        <v>0</v>
      </c>
      <c r="EK53" s="15">
        <v>45470</v>
      </c>
      <c r="EL53" s="16">
        <v>4.0999999999999996</v>
      </c>
      <c r="EM53" s="16">
        <v>0.79</v>
      </c>
      <c r="EN53" s="16">
        <v>-2.34</v>
      </c>
      <c r="EO53" s="16">
        <v>0</v>
      </c>
      <c r="EP53" s="16">
        <v>-2.4</v>
      </c>
    </row>
    <row r="54" spans="1:146" ht="96" x14ac:dyDescent="0.25">
      <c r="C54" s="7" t="str">
        <f>""&amp;CHAR(10)&amp;Basic_Fundamental_Information_Constructure(F54)&amp;CHAR(10)&amp;Basic_Fundamental_Information_Concatenate("")</f>
        <v xml:space="preserve">
市值62.148477亿, 利润7300.04万; PE25.38; 平均PE28.55; 平均PEG1.91, PB2.02; ROIC6.5067%; ROE7.62%; 股利率2.1598%; 毛利24.7%; 净利9.8%; 上一年度营收增-71.53%, 利润增-61.17%; 当季营收增-44.34%, 利润增-38.14%; 过往5年营收增-14.92%, 利润增-2.27%
Income profile:
</v>
      </c>
      <c r="D54" s="3" t="s">
        <v>622</v>
      </c>
      <c r="E54" s="3" t="s">
        <v>623</v>
      </c>
      <c r="F54" s="3">
        <v>4.63</v>
      </c>
      <c r="G54" s="3">
        <v>0.43</v>
      </c>
      <c r="H54" s="3" t="s">
        <v>3156</v>
      </c>
      <c r="I54" s="3">
        <v>6214847700</v>
      </c>
      <c r="J54" s="3">
        <v>25.38</v>
      </c>
      <c r="K54" s="3">
        <v>2.02</v>
      </c>
      <c r="L54" s="3" t="s">
        <v>343</v>
      </c>
      <c r="M54" s="3" t="s">
        <v>1881</v>
      </c>
      <c r="N54" s="3" t="s">
        <v>3157</v>
      </c>
      <c r="O54" s="3" t="s">
        <v>1385</v>
      </c>
      <c r="P54" s="3">
        <v>19.88</v>
      </c>
      <c r="Q54" s="3" t="s">
        <v>1385</v>
      </c>
      <c r="R54" s="3">
        <v>73000360</v>
      </c>
      <c r="S54" s="5">
        <v>0.25419999999999998</v>
      </c>
      <c r="T54" s="3" t="s">
        <v>3158</v>
      </c>
      <c r="U54" s="3">
        <v>1252498130</v>
      </c>
      <c r="V54" s="3">
        <v>1342299700</v>
      </c>
      <c r="W54" s="3">
        <v>1.75</v>
      </c>
      <c r="X54" s="3">
        <v>0.12</v>
      </c>
      <c r="Y54" s="3">
        <v>11.46</v>
      </c>
      <c r="Z54" s="3" t="s">
        <v>3159</v>
      </c>
      <c r="AA54" s="3" t="s">
        <v>1032</v>
      </c>
      <c r="AB54" s="3" t="s">
        <v>3160</v>
      </c>
      <c r="AC54" s="3" t="s">
        <v>3161</v>
      </c>
      <c r="AD54" s="3" t="s">
        <v>4</v>
      </c>
      <c r="AE54" s="3">
        <v>-2449894</v>
      </c>
      <c r="AF54" s="3" t="s">
        <v>1883</v>
      </c>
      <c r="AG54" s="3" t="s">
        <v>3162</v>
      </c>
      <c r="AH54" s="3" t="s">
        <v>1884</v>
      </c>
      <c r="AI54" s="3" t="s">
        <v>1671</v>
      </c>
      <c r="AJ54" s="3" t="s">
        <v>1885</v>
      </c>
      <c r="AK54" s="3" t="s">
        <v>3163</v>
      </c>
      <c r="AL54" s="3" t="s">
        <v>1887</v>
      </c>
      <c r="AM54" s="3" t="s">
        <v>4</v>
      </c>
      <c r="AN54" s="3" t="s">
        <v>1415</v>
      </c>
      <c r="AO54" s="3" t="s">
        <v>1254</v>
      </c>
      <c r="AP54" s="3" t="s">
        <v>3164</v>
      </c>
      <c r="AQ54" s="3" t="s">
        <v>3165</v>
      </c>
      <c r="AR54" s="3" t="s">
        <v>4</v>
      </c>
      <c r="AS54" s="3" t="s">
        <v>1455</v>
      </c>
      <c r="AT54" s="3" t="s">
        <v>4</v>
      </c>
      <c r="AU54" s="3" t="s">
        <v>3166</v>
      </c>
      <c r="AV54" s="3" t="s">
        <v>27</v>
      </c>
      <c r="AW54" s="3" t="s">
        <v>3167</v>
      </c>
      <c r="AX54" s="3" t="s">
        <v>1285</v>
      </c>
      <c r="AY54" s="3" t="s">
        <v>922</v>
      </c>
      <c r="AZ54" s="3" t="s">
        <v>624</v>
      </c>
      <c r="BA54" s="3" t="s">
        <v>411</v>
      </c>
      <c r="BB54" s="3" t="s">
        <v>325</v>
      </c>
      <c r="BC54" s="3" t="s">
        <v>1041</v>
      </c>
      <c r="BD54" s="3" t="s">
        <v>138</v>
      </c>
      <c r="BE54" s="3" t="s">
        <v>329</v>
      </c>
      <c r="BF54" s="3" t="s">
        <v>146</v>
      </c>
      <c r="BG54" s="3" t="s">
        <v>76</v>
      </c>
      <c r="BH54" s="3" t="s">
        <v>1882</v>
      </c>
      <c r="BI54" s="3" t="s">
        <v>3168</v>
      </c>
      <c r="BJ54" s="3" t="s">
        <v>1285</v>
      </c>
      <c r="BK54" s="3" t="s">
        <v>1199</v>
      </c>
      <c r="BL54" s="3" t="s">
        <v>41</v>
      </c>
      <c r="BM54" s="3" t="s">
        <v>1041</v>
      </c>
      <c r="BN54" s="3">
        <v>5.27</v>
      </c>
      <c r="BO54" s="3">
        <v>5.74</v>
      </c>
      <c r="BP54" s="3">
        <v>8.51</v>
      </c>
      <c r="BQ54" s="3">
        <v>6.15</v>
      </c>
      <c r="BR54" s="3">
        <v>6.51</v>
      </c>
      <c r="BS54" s="3">
        <v>10.199999999999999</v>
      </c>
      <c r="BT54" s="3" t="s">
        <v>1159</v>
      </c>
      <c r="BU54" s="3" t="s">
        <v>977</v>
      </c>
      <c r="BV54" s="3">
        <v>25.68</v>
      </c>
      <c r="BW54" s="3">
        <v>24.2</v>
      </c>
      <c r="BX54" s="3">
        <v>24.22</v>
      </c>
      <c r="BY54" s="3">
        <v>9.1300000000000008</v>
      </c>
      <c r="BZ54" s="3">
        <v>8.57</v>
      </c>
      <c r="CA54" s="3">
        <v>11.7</v>
      </c>
      <c r="CB54" s="3">
        <v>-4.7300000000000004</v>
      </c>
      <c r="CC54" s="3">
        <v>-8.1300000000000008</v>
      </c>
      <c r="CD54" s="3" t="s">
        <v>3169</v>
      </c>
      <c r="CE54" s="3" t="s">
        <v>2157</v>
      </c>
      <c r="CF54" s="10">
        <v>-0.44338807260155577</v>
      </c>
      <c r="CG54" s="11">
        <v>-0.38135288135593221</v>
      </c>
      <c r="CH54" s="10">
        <v>-0.71529620885848999</v>
      </c>
      <c r="CI54" s="10">
        <v>-4.5972134917974472E-2</v>
      </c>
      <c r="CJ54" s="10">
        <v>8.5070179775357246E-3</v>
      </c>
      <c r="CK54" s="10">
        <v>-6.2225766479969025E-2</v>
      </c>
      <c r="CL54" s="10">
        <v>6.9083213806152344E-2</v>
      </c>
      <c r="CM54" s="11">
        <v>-0.61169999837875366</v>
      </c>
      <c r="CN54" s="11">
        <v>-0.30882352590560913</v>
      </c>
      <c r="CO54" s="11">
        <v>-0.10819672048091888</v>
      </c>
      <c r="CP54" s="11">
        <v>-9.7402594983577728E-3</v>
      </c>
      <c r="CQ54" s="11">
        <v>0.92500001192092896</v>
      </c>
      <c r="CR54" s="3">
        <v>28.552124639471778</v>
      </c>
      <c r="CS54" s="3">
        <v>1.9139278842424632</v>
      </c>
      <c r="CT54" s="3">
        <v>2.159827213822894</v>
      </c>
      <c r="CU54" s="10">
        <v>-0.14918077569454907</v>
      </c>
      <c r="CV54" s="11">
        <v>-2.2692098468542098E-2</v>
      </c>
      <c r="CW54" s="3">
        <v>0.06</v>
      </c>
      <c r="CX54" s="3">
        <v>73.202992038399785</v>
      </c>
      <c r="CY54" s="3" t="s">
        <v>3170</v>
      </c>
      <c r="CZ54" s="3">
        <v>-0.14918077569454907</v>
      </c>
      <c r="DA54" s="3">
        <v>24.400997346133263</v>
      </c>
      <c r="DB54" s="3" t="s">
        <v>3171</v>
      </c>
      <c r="DC54" s="3">
        <v>-0.14172173690982162</v>
      </c>
      <c r="DD54" s="3">
        <v>12.200498673066631</v>
      </c>
      <c r="DE54" s="3" t="s">
        <v>3172</v>
      </c>
      <c r="DF54" s="3">
        <v>-0.13127908261120319</v>
      </c>
      <c r="DG54" s="3">
        <v>7.320299203839979</v>
      </c>
      <c r="DH54" s="3" t="s">
        <v>3173</v>
      </c>
      <c r="DI54" s="3">
        <v>-0.11934462055563927</v>
      </c>
      <c r="DJ54" s="3">
        <v>3.6601496019199895</v>
      </c>
      <c r="DK54" s="3" t="s">
        <v>3174</v>
      </c>
      <c r="DL54" s="3">
        <v>-0.10442654298618434</v>
      </c>
      <c r="DM54" s="3">
        <v>73000400</v>
      </c>
      <c r="DN54" s="3">
        <v>-0.14918077569454907</v>
      </c>
      <c r="DO54" s="3">
        <v>5343847700</v>
      </c>
      <c r="DP54" s="3">
        <v>1918480000</v>
      </c>
      <c r="DQ54" s="3">
        <v>1786</v>
      </c>
      <c r="DR54" s="3">
        <v>-0.2942072969070067</v>
      </c>
      <c r="DS54" s="3">
        <v>-0.35866078288739012</v>
      </c>
      <c r="DT54" s="12">
        <v>-0.77333333333333332</v>
      </c>
      <c r="DU54" s="3">
        <v>-0.5033333333333333</v>
      </c>
      <c r="DV54" s="3">
        <v>-1.2766666666666666</v>
      </c>
      <c r="DW54" s="3">
        <v>-8.581795817958179</v>
      </c>
      <c r="DX54" s="3">
        <v>0.3330207906976746</v>
      </c>
      <c r="DY54" s="3">
        <v>-8.0773909397293977</v>
      </c>
      <c r="DZ54" s="3">
        <v>1715</v>
      </c>
      <c r="EA54" s="3">
        <v>-8.0514172681763814</v>
      </c>
      <c r="EB54" s="3">
        <v>8</v>
      </c>
      <c r="EC54" s="3">
        <v>6.8180228305198903E-2</v>
      </c>
      <c r="ED54" s="3">
        <v>0.51255319508750541</v>
      </c>
      <c r="EE54" s="13">
        <v>2.0799999999999999E-2</v>
      </c>
      <c r="EF54" s="3">
        <v>6.0999999999999995E-3</v>
      </c>
      <c r="EG54" s="3">
        <v>20.133020790697675</v>
      </c>
      <c r="EH54" s="3" t="s">
        <v>1004</v>
      </c>
      <c r="EI54" s="3">
        <v>0</v>
      </c>
      <c r="EJ54" s="3">
        <v>0</v>
      </c>
      <c r="EK54" s="15">
        <v>45470</v>
      </c>
      <c r="EL54" s="16">
        <v>-0.81</v>
      </c>
      <c r="EM54" s="16">
        <v>-5.3</v>
      </c>
      <c r="EN54" s="16">
        <v>-3.01</v>
      </c>
      <c r="EO54" s="16">
        <v>5.54</v>
      </c>
      <c r="EP54" s="16">
        <v>-1.47</v>
      </c>
    </row>
    <row r="55" spans="1:146" ht="96" x14ac:dyDescent="0.25">
      <c r="C55" s="7" t="str">
        <f>""&amp;CHAR(10)&amp;Basic_Fundamental_Information_Constructure(F55)&amp;CHAR(10)&amp;Basic_Fundamental_Information_Concatenate("")</f>
        <v xml:space="preserve">
市值68.063019亿, 利润-1.07亿; PE; 平均PE-43.16; 平均PEG-2.91, PB.917; ROIC2.15%; ROE-3.3133%; 股利率0%; 毛利2.81%; 净利-10.8%; 上一年度营收增-64.8%, 利润增27.21%; 当季营收增-27.02%, 利润增70.48%; 过往5年营收增-14.81%, 利润增-48.85%
Income profile:
</v>
      </c>
      <c r="D55" s="3" t="s">
        <v>626</v>
      </c>
      <c r="E55" s="3" t="s">
        <v>627</v>
      </c>
      <c r="F55" s="3">
        <v>4.21</v>
      </c>
      <c r="G55" s="3">
        <v>1.45</v>
      </c>
      <c r="H55" s="3" t="s">
        <v>3175</v>
      </c>
      <c r="I55" s="3">
        <v>6806301900</v>
      </c>
      <c r="K55" s="3">
        <v>0.91700000000000004</v>
      </c>
      <c r="L55" s="3" t="s">
        <v>343</v>
      </c>
      <c r="M55" s="3" t="s">
        <v>1889</v>
      </c>
      <c r="N55" s="3" t="s">
        <v>3176</v>
      </c>
      <c r="O55" s="3" t="s">
        <v>332</v>
      </c>
      <c r="P55" s="3">
        <v>107.51</v>
      </c>
      <c r="Q55" s="3" t="s">
        <v>332</v>
      </c>
      <c r="R55" s="3">
        <v>-107449827</v>
      </c>
      <c r="S55" s="5">
        <v>0.13239999999999999</v>
      </c>
      <c r="T55" s="3" t="s">
        <v>937</v>
      </c>
      <c r="U55" s="3">
        <v>751611220</v>
      </c>
      <c r="V55" s="3">
        <v>1616698800</v>
      </c>
      <c r="W55" s="3">
        <v>1.53</v>
      </c>
      <c r="X55" s="3">
        <v>7.0000000000000007E-2</v>
      </c>
      <c r="Y55" s="3">
        <v>-12.97</v>
      </c>
      <c r="Z55" s="3" t="s">
        <v>3177</v>
      </c>
      <c r="AA55" s="3" t="s">
        <v>3178</v>
      </c>
      <c r="AB55" s="3" t="s">
        <v>3179</v>
      </c>
      <c r="AC55" s="3" t="s">
        <v>3180</v>
      </c>
      <c r="AD55" s="3" t="s">
        <v>4</v>
      </c>
      <c r="AE55" s="3">
        <v>20245422</v>
      </c>
      <c r="AF55" s="3" t="s">
        <v>1892</v>
      </c>
      <c r="AG55" s="3" t="s">
        <v>3181</v>
      </c>
      <c r="AH55" s="3" t="s">
        <v>1893</v>
      </c>
      <c r="AI55" s="3" t="s">
        <v>3182</v>
      </c>
      <c r="AJ55" s="3" t="s">
        <v>1894</v>
      </c>
      <c r="AK55" s="3" t="s">
        <v>1250</v>
      </c>
      <c r="AL55" s="3" t="s">
        <v>1895</v>
      </c>
      <c r="AM55" s="3" t="s">
        <v>4</v>
      </c>
      <c r="AN55" s="3" t="s">
        <v>3183</v>
      </c>
      <c r="AO55" s="3" t="s">
        <v>3184</v>
      </c>
      <c r="AP55" s="3" t="s">
        <v>108</v>
      </c>
      <c r="AQ55" s="3" t="s">
        <v>3082</v>
      </c>
      <c r="AR55" s="3" t="s">
        <v>4</v>
      </c>
      <c r="AS55" s="3" t="s">
        <v>3185</v>
      </c>
      <c r="AT55" s="3" t="s">
        <v>412</v>
      </c>
      <c r="AU55" s="3" t="s">
        <v>3186</v>
      </c>
      <c r="AV55" s="3" t="s">
        <v>3187</v>
      </c>
      <c r="AW55" s="3" t="s">
        <v>664</v>
      </c>
      <c r="AX55" s="3" t="s">
        <v>1286</v>
      </c>
      <c r="AY55" s="3" t="s">
        <v>923</v>
      </c>
      <c r="AZ55" s="3" t="s">
        <v>628</v>
      </c>
      <c r="BA55" s="3" t="s">
        <v>630</v>
      </c>
      <c r="BB55" s="3" t="s">
        <v>631</v>
      </c>
      <c r="BC55" s="3" t="s">
        <v>1287</v>
      </c>
      <c r="BD55" s="3" t="s">
        <v>924</v>
      </c>
      <c r="BE55" s="3" t="s">
        <v>629</v>
      </c>
      <c r="BF55" s="3" t="s">
        <v>632</v>
      </c>
      <c r="BG55" s="3" t="s">
        <v>44</v>
      </c>
      <c r="BH55" s="3" t="s">
        <v>1890</v>
      </c>
      <c r="BI55" s="3" t="s">
        <v>493</v>
      </c>
      <c r="BJ55" s="3" t="s">
        <v>1286</v>
      </c>
      <c r="BK55" s="3" t="s">
        <v>1891</v>
      </c>
      <c r="BL55" s="3" t="s">
        <v>3188</v>
      </c>
      <c r="BM55" s="3" t="s">
        <v>1287</v>
      </c>
      <c r="BN55" s="3" t="s">
        <v>4</v>
      </c>
      <c r="BO55" s="3" t="s">
        <v>4</v>
      </c>
      <c r="BP55" s="3">
        <v>2.15</v>
      </c>
      <c r="BQ55" s="3">
        <v>-9.1</v>
      </c>
      <c r="BR55" s="3">
        <v>-2.31</v>
      </c>
      <c r="BS55" s="3">
        <v>1.47</v>
      </c>
      <c r="BT55" s="3" t="s">
        <v>1157</v>
      </c>
      <c r="BU55" s="3" t="s">
        <v>977</v>
      </c>
      <c r="BV55" s="3">
        <v>-8.5</v>
      </c>
      <c r="BW55" s="3">
        <v>8.16</v>
      </c>
      <c r="BX55" s="3">
        <v>8.77</v>
      </c>
      <c r="BY55" s="3">
        <v>-29.13</v>
      </c>
      <c r="BZ55" s="3">
        <v>-6.24</v>
      </c>
      <c r="CA55" s="3">
        <v>2.97</v>
      </c>
      <c r="CB55" s="3">
        <v>-3.22</v>
      </c>
      <c r="CC55" s="3">
        <v>-14.6</v>
      </c>
      <c r="CD55" s="3" t="s">
        <v>3189</v>
      </c>
      <c r="CE55" s="3" t="s">
        <v>2029</v>
      </c>
      <c r="CF55" s="10">
        <v>-0.27024647887323955</v>
      </c>
      <c r="CG55" s="11">
        <v>0.7048081675824176</v>
      </c>
      <c r="CH55" s="10">
        <v>-0.64798307418823242</v>
      </c>
      <c r="CI55" s="10">
        <v>-0.25380226969718933</v>
      </c>
      <c r="CJ55" s="10">
        <v>0.19364598393440247</v>
      </c>
      <c r="CK55" s="10">
        <v>-2.6509573683142662E-2</v>
      </c>
      <c r="CL55" s="10">
        <v>-5.8565153740346432E-3</v>
      </c>
      <c r="CM55" s="11">
        <v>0.27210885286331177</v>
      </c>
      <c r="CN55" s="11">
        <v>-2.5701169967651367</v>
      </c>
      <c r="CO55" s="11">
        <v>4.1329574584960938</v>
      </c>
      <c r="CP55" s="11">
        <v>1.017404317855835</v>
      </c>
      <c r="CQ55" s="11">
        <v>-5.2950820922851562</v>
      </c>
      <c r="CR55" s="3">
        <v>-43.162696680088615</v>
      </c>
      <c r="CS55" s="3">
        <v>-2.9144077695781307</v>
      </c>
      <c r="CT55" s="3">
        <v>0</v>
      </c>
      <c r="CU55" s="10">
        <v>-0.14810108980163933</v>
      </c>
      <c r="CV55" s="11">
        <v>-0.48854569196701048</v>
      </c>
      <c r="CW55" s="3">
        <v>0.06</v>
      </c>
      <c r="CX55" s="3" t="e">
        <v>#VALUE!</v>
      </c>
      <c r="CY55" s="3" t="s">
        <v>1005</v>
      </c>
      <c r="CZ55" s="3">
        <v>-0.14810108980163933</v>
      </c>
      <c r="DA55" s="3" t="e">
        <v>#VALUE!</v>
      </c>
      <c r="DB55" s="3" t="s">
        <v>1006</v>
      </c>
      <c r="DC55" s="3">
        <v>-0.14069603531155736</v>
      </c>
      <c r="DD55" s="3" t="e">
        <v>#VALUE!</v>
      </c>
      <c r="DE55" s="3" t="s">
        <v>1006</v>
      </c>
      <c r="DF55" s="3">
        <v>-0.13032895902544261</v>
      </c>
      <c r="DG55" s="3" t="e">
        <v>#VALUE!</v>
      </c>
      <c r="DH55" s="3" t="s">
        <v>1006</v>
      </c>
      <c r="DI55" s="3">
        <v>-0.11848087184131147</v>
      </c>
      <c r="DJ55" s="3" t="e">
        <v>#VALUE!</v>
      </c>
      <c r="DK55" s="3" t="s">
        <v>1006</v>
      </c>
      <c r="DL55" s="3">
        <v>-0.10367076286114753</v>
      </c>
      <c r="DM55" s="3">
        <v>-107000000</v>
      </c>
      <c r="DN55" s="3">
        <v>-0.14810108980163933</v>
      </c>
      <c r="DO55" s="3">
        <v>3223301900.000001</v>
      </c>
      <c r="DP55" s="3">
        <v>1623785500</v>
      </c>
      <c r="DQ55" s="3">
        <v>1804</v>
      </c>
      <c r="DR55" s="3">
        <v>-0.12214538907160022</v>
      </c>
      <c r="DS55" s="3">
        <v>1.1933538595494282</v>
      </c>
      <c r="DT55" s="12">
        <v>-0.79</v>
      </c>
      <c r="DU55" s="3">
        <v>-1.7250000000000003</v>
      </c>
      <c r="DV55" s="3">
        <v>-2.5150000000000006</v>
      </c>
      <c r="DW55" s="3">
        <v>-8.2205479452054799</v>
      </c>
      <c r="DX55" s="3">
        <v>0.33156719101123766</v>
      </c>
      <c r="DY55" s="3">
        <v>-8.0268113941819301</v>
      </c>
      <c r="DZ55" s="3">
        <v>4826</v>
      </c>
      <c r="EA55" s="3">
        <v>-8.0014901048821265</v>
      </c>
      <c r="EB55" s="3">
        <v>8</v>
      </c>
      <c r="EC55" s="3">
        <v>3.346164418505166E-2</v>
      </c>
      <c r="ED55" s="3">
        <v>0.2752522609653697</v>
      </c>
      <c r="EE55" s="13">
        <v>4.2009999999999992E-2</v>
      </c>
      <c r="EF55" s="3">
        <v>7.1309999999999998E-2</v>
      </c>
      <c r="EG55" s="3">
        <v>21.121567191011238</v>
      </c>
      <c r="EH55" s="3">
        <v>-1</v>
      </c>
      <c r="EI55" s="3">
        <v>0</v>
      </c>
      <c r="EJ55" s="3">
        <v>0</v>
      </c>
      <c r="EK55" s="15">
        <v>45470</v>
      </c>
      <c r="EL55" s="16">
        <v>-2.15</v>
      </c>
      <c r="EM55" s="16">
        <v>-4.4000000000000004</v>
      </c>
      <c r="EN55" s="16">
        <v>-3.22</v>
      </c>
      <c r="EO55" s="16">
        <v>5.23</v>
      </c>
      <c r="EP55" s="16">
        <v>-2.93</v>
      </c>
    </row>
    <row r="56" spans="1:146" ht="132" x14ac:dyDescent="0.25">
      <c r="C56" s="7" t="str">
        <f>"覆盖领域很多，仅新型显示光学材料部分和汇创达有一定程度重叠，其他的公共安全防伪材料，中大尺寸触控产品，新型光学印材，微纳光学设备。"&amp;CHAR(10)&amp;Basic_Fundamental_Information_Constructure(F56)&amp;CHAR(10)&amp;Basic_Fundamental_Information_Concatenate("微纳光学产品 9.52亿 68.34%（毛利23.39%）反光材料 4.20亿 30.15%（毛利32.12%）")</f>
        <v>覆盖领域很多，仅新型显示光学材料部分和汇创达有一定程度重叠，其他的公共安全防伪材料，中大尺寸触控产品，新型光学印材，微纳光学设备。
市值38.819512亿, 利润1635.98万; PE; 平均PE-58.54; 平均PEG-10.73, PB2.36; ROIC.19%; ROE-11.5767%; 股利率0%; 毛利18.14%; 净利-13.8333%; 上一年度营收增-72.55%, 利润增105.86%; 当季营收增-40.23%, 利润增34.35%; 过往5年营收增-5.46%, 利润增-123.72%
Income profile:
微纳光学产品 9.52亿 68.34%（毛利23.39%）反光材料 4.20亿 30.15%（毛利32.12%）</v>
      </c>
      <c r="D56" s="3" t="s">
        <v>633</v>
      </c>
      <c r="E56" s="3" t="s">
        <v>634</v>
      </c>
      <c r="F56" s="3">
        <v>14.95</v>
      </c>
      <c r="G56" s="3">
        <v>-0.4</v>
      </c>
      <c r="H56" s="3" t="s">
        <v>3190</v>
      </c>
      <c r="I56" s="3">
        <v>3881951200</v>
      </c>
      <c r="K56" s="3">
        <v>2.36</v>
      </c>
      <c r="L56" s="3" t="s">
        <v>343</v>
      </c>
      <c r="M56" s="3" t="s">
        <v>1896</v>
      </c>
      <c r="N56" s="3" t="s">
        <v>1897</v>
      </c>
      <c r="O56" s="3" t="s">
        <v>1393</v>
      </c>
      <c r="P56" s="3">
        <v>19.79</v>
      </c>
      <c r="Q56" s="3" t="s">
        <v>1393</v>
      </c>
      <c r="R56" s="3">
        <v>16359840</v>
      </c>
      <c r="S56" s="5">
        <v>14.42</v>
      </c>
      <c r="T56" s="3" t="s">
        <v>3191</v>
      </c>
      <c r="U56" s="3">
        <v>206176820</v>
      </c>
      <c r="V56" s="3">
        <v>259662290</v>
      </c>
      <c r="W56" s="3">
        <v>1.89</v>
      </c>
      <c r="X56" s="3">
        <v>0.15</v>
      </c>
      <c r="Y56" s="3">
        <v>3.12</v>
      </c>
      <c r="Z56" s="3" t="s">
        <v>1596</v>
      </c>
      <c r="AA56" s="3" t="s">
        <v>1402</v>
      </c>
      <c r="AB56" s="3" t="s">
        <v>3192</v>
      </c>
      <c r="AC56" s="3" t="s">
        <v>3193</v>
      </c>
      <c r="AD56" s="3" t="s">
        <v>4</v>
      </c>
      <c r="AE56" s="3">
        <v>-1449385</v>
      </c>
      <c r="AF56" s="3" t="s">
        <v>1899</v>
      </c>
      <c r="AG56" s="3">
        <v>2705.98</v>
      </c>
      <c r="AH56" s="3" t="s">
        <v>1900</v>
      </c>
      <c r="AI56" s="3" t="s">
        <v>1077</v>
      </c>
      <c r="AJ56" s="3" t="s">
        <v>1901</v>
      </c>
      <c r="AK56" s="3" t="s">
        <v>1902</v>
      </c>
      <c r="AL56" s="3" t="s">
        <v>1903</v>
      </c>
      <c r="AM56" s="3" t="s">
        <v>4</v>
      </c>
      <c r="AN56" s="3" t="s">
        <v>3194</v>
      </c>
      <c r="AO56" s="3" t="s">
        <v>1267</v>
      </c>
      <c r="AP56" s="3" t="s">
        <v>3195</v>
      </c>
      <c r="AQ56" s="3" t="s">
        <v>1438</v>
      </c>
      <c r="AR56" s="3" t="s">
        <v>4</v>
      </c>
      <c r="AS56" s="3" t="s">
        <v>3196</v>
      </c>
      <c r="AT56" s="3" t="s">
        <v>20</v>
      </c>
      <c r="AU56" s="3" t="s">
        <v>3197</v>
      </c>
      <c r="AV56" s="3" t="s">
        <v>3198</v>
      </c>
      <c r="AW56" s="3" t="s">
        <v>330</v>
      </c>
      <c r="AX56" s="3" t="s">
        <v>1288</v>
      </c>
      <c r="AY56" s="3" t="s">
        <v>925</v>
      </c>
      <c r="AZ56" s="3" t="s">
        <v>401</v>
      </c>
      <c r="BA56" s="3" t="s">
        <v>282</v>
      </c>
      <c r="BB56" s="3" t="s">
        <v>444</v>
      </c>
      <c r="BC56" s="3" t="s">
        <v>1042</v>
      </c>
      <c r="BD56" s="3" t="s">
        <v>926</v>
      </c>
      <c r="BE56" s="3" t="s">
        <v>635</v>
      </c>
      <c r="BF56" s="3" t="s">
        <v>104</v>
      </c>
      <c r="BG56" s="3" t="s">
        <v>636</v>
      </c>
      <c r="BH56" s="3" t="s">
        <v>1897</v>
      </c>
      <c r="BI56" s="3" t="s">
        <v>234</v>
      </c>
      <c r="BJ56" s="3" t="s">
        <v>1288</v>
      </c>
      <c r="BK56" s="3" t="s">
        <v>1898</v>
      </c>
      <c r="BL56" s="3" t="s">
        <v>3199</v>
      </c>
      <c r="BM56" s="3" t="s">
        <v>1042</v>
      </c>
      <c r="BN56" s="3">
        <v>0.19</v>
      </c>
      <c r="BO56" s="3" t="s">
        <v>4</v>
      </c>
      <c r="BP56" s="3" t="s">
        <v>4</v>
      </c>
      <c r="BQ56" s="3">
        <v>0.74</v>
      </c>
      <c r="BR56" s="3">
        <v>-15</v>
      </c>
      <c r="BS56" s="3">
        <v>-20.47</v>
      </c>
      <c r="BT56" s="3" t="s">
        <v>1157</v>
      </c>
      <c r="BU56" s="3" t="s">
        <v>1011</v>
      </c>
      <c r="BV56" s="3">
        <v>19.52</v>
      </c>
      <c r="BW56" s="3">
        <v>15.33</v>
      </c>
      <c r="BX56" s="3">
        <v>19.57</v>
      </c>
      <c r="BY56" s="3">
        <v>-3.42</v>
      </c>
      <c r="BZ56" s="3">
        <v>-17.309999999999999</v>
      </c>
      <c r="CA56" s="3">
        <v>-20.77</v>
      </c>
      <c r="CB56" s="3">
        <v>-7.03</v>
      </c>
      <c r="CC56" s="3">
        <v>-11.9</v>
      </c>
      <c r="CD56" s="3" t="s">
        <v>3200</v>
      </c>
      <c r="CE56" s="3" t="s">
        <v>106</v>
      </c>
      <c r="CF56" s="10">
        <v>-0.40228426395939088</v>
      </c>
      <c r="CG56" s="11">
        <v>0.34351435915545009</v>
      </c>
      <c r="CH56" s="10">
        <v>-0.7255244255065918</v>
      </c>
      <c r="CI56" s="10">
        <v>-1.2089774012565613E-2</v>
      </c>
      <c r="CJ56" s="10">
        <v>0.24784478545188904</v>
      </c>
      <c r="CK56" s="10">
        <v>7.3246002197265625E-2</v>
      </c>
      <c r="CL56" s="10">
        <v>0.14373892545700073</v>
      </c>
      <c r="CM56" s="11">
        <v>1.058637261390686</v>
      </c>
      <c r="CN56" s="11">
        <v>0.20285713672637939</v>
      </c>
      <c r="CO56" s="11">
        <v>-7.626591682434082</v>
      </c>
      <c r="CP56" s="11">
        <v>-0.47705444693565369</v>
      </c>
      <c r="CQ56" s="11">
        <v>0.65639209747314453</v>
      </c>
      <c r="CR56" s="3">
        <v>-58.544412572879814</v>
      </c>
      <c r="CS56" s="3">
        <v>-10.730891140972405</v>
      </c>
      <c r="CT56" s="3">
        <v>0</v>
      </c>
      <c r="CU56" s="10">
        <v>-5.4556897282600401E-2</v>
      </c>
      <c r="CV56" s="11">
        <v>-1.2371519267559052</v>
      </c>
      <c r="CW56" s="3">
        <v>0.06</v>
      </c>
      <c r="CX56" s="3">
        <v>215.64757515373049</v>
      </c>
      <c r="CY56" s="3" t="s">
        <v>3201</v>
      </c>
      <c r="CZ56" s="3">
        <v>-5.4556897282600401E-2</v>
      </c>
      <c r="DA56" s="3">
        <v>71.882525051243491</v>
      </c>
      <c r="DB56" s="3" t="s">
        <v>3202</v>
      </c>
      <c r="DC56" s="3">
        <v>-5.1829052418470377E-2</v>
      </c>
      <c r="DD56" s="3">
        <v>35.941262525621745</v>
      </c>
      <c r="DE56" s="3" t="s">
        <v>3203</v>
      </c>
      <c r="DF56" s="3">
        <v>-4.8010069608688352E-2</v>
      </c>
      <c r="DG56" s="3">
        <v>21.564757515373049</v>
      </c>
      <c r="DH56" s="3" t="s">
        <v>3204</v>
      </c>
      <c r="DI56" s="3">
        <v>-4.3645517826080324E-2</v>
      </c>
      <c r="DJ56" s="3">
        <v>10.782378757686525</v>
      </c>
      <c r="DK56" s="3" t="s">
        <v>3205</v>
      </c>
      <c r="DL56" s="3">
        <v>-3.8189828097820282E-2</v>
      </c>
      <c r="DM56" s="3">
        <v>16359800</v>
      </c>
      <c r="DN56" s="3">
        <v>-5.4556897282600401E-2</v>
      </c>
      <c r="DO56" s="3">
        <v>3527951200</v>
      </c>
      <c r="DP56" s="3">
        <v>777797200</v>
      </c>
      <c r="DQ56" s="3">
        <v>1810</v>
      </c>
      <c r="DR56" s="3">
        <v>-0.34772736667679049</v>
      </c>
      <c r="DS56" s="3">
        <v>1.5806662859113554</v>
      </c>
      <c r="DT56" s="12">
        <v>-0.64</v>
      </c>
      <c r="DU56" s="3">
        <v>6.6666666666666763E-2</v>
      </c>
      <c r="DV56" s="3">
        <v>-0.57333333333333325</v>
      </c>
      <c r="DW56" s="3">
        <v>-9.5907563025210081</v>
      </c>
      <c r="DX56" s="3">
        <v>0.34580377358490622</v>
      </c>
      <c r="DY56" s="3">
        <v>-9.0625042460757896</v>
      </c>
      <c r="DZ56" s="3">
        <v>4177</v>
      </c>
      <c r="EA56" s="3">
        <v>-9.0114122234028784</v>
      </c>
      <c r="EB56" s="3">
        <v>9</v>
      </c>
      <c r="EC56" s="3">
        <v>6.4787228056873411E-2</v>
      </c>
      <c r="ED56" s="3">
        <v>0.61233381250700669</v>
      </c>
      <c r="EE56" s="13">
        <v>1.0125999999999999</v>
      </c>
      <c r="EF56" s="3">
        <v>1.0101100000000001</v>
      </c>
      <c r="EG56" s="3">
        <v>24.105803773584906</v>
      </c>
      <c r="EH56" s="3" t="s">
        <v>1167</v>
      </c>
      <c r="EI56" s="3">
        <v>0</v>
      </c>
      <c r="EJ56" s="3">
        <v>0</v>
      </c>
      <c r="EK56" s="15">
        <v>45470</v>
      </c>
      <c r="EL56" s="16">
        <v>-1.2</v>
      </c>
      <c r="EM56" s="16">
        <v>-5.08</v>
      </c>
      <c r="EN56" s="16">
        <v>-3.31</v>
      </c>
      <c r="EO56" s="16">
        <v>7.25</v>
      </c>
      <c r="EP56" s="16">
        <v>-2.27</v>
      </c>
    </row>
    <row r="57" spans="1:146" ht="96" x14ac:dyDescent="0.25">
      <c r="C57" s="7" t="str">
        <f>""&amp;CHAR(10)&amp;Basic_Fundamental_Information_Constructure(F57)&amp;CHAR(10)&amp;Basic_Fundamental_Information_Concatenate("")</f>
        <v xml:space="preserve">
市值43.300737亿, 利润7096.50万; PE14.08; 平均PE44.74; 平均PEG10.09, PB2.84; ROIC11.5867%; ROE11.7167%; 股利率2.5532%; 毛利28.3467%; 净利5.4267%; 上一年度营收增-69.1%, 利润增-65.04%; 当季营收增-45.73%, 利润增-50.37%; 过往5年营收增-4.43%, 利润增86.58%
Income profile:
</v>
      </c>
      <c r="D57" s="3" t="s">
        <v>638</v>
      </c>
      <c r="E57" s="3" t="s">
        <v>639</v>
      </c>
      <c r="F57" s="3">
        <v>11.75</v>
      </c>
      <c r="G57" s="3">
        <v>-0.51</v>
      </c>
      <c r="H57" s="3" t="s">
        <v>3206</v>
      </c>
      <c r="I57" s="3">
        <v>4330073700</v>
      </c>
      <c r="J57" s="3">
        <v>14.08</v>
      </c>
      <c r="K57" s="3">
        <v>2.84</v>
      </c>
      <c r="L57" s="3" t="s">
        <v>343</v>
      </c>
      <c r="M57" s="3" t="s">
        <v>1904</v>
      </c>
      <c r="N57" s="3" t="s">
        <v>2024</v>
      </c>
      <c r="O57" s="3" t="s">
        <v>693</v>
      </c>
      <c r="P57" s="3">
        <v>21.87</v>
      </c>
      <c r="Q57" s="3" t="s">
        <v>693</v>
      </c>
      <c r="R57" s="3">
        <v>70965039</v>
      </c>
      <c r="S57" s="5">
        <v>-0.1028</v>
      </c>
      <c r="T57" s="3" t="s">
        <v>3207</v>
      </c>
      <c r="U57" s="3">
        <v>232817520</v>
      </c>
      <c r="V57" s="3">
        <v>368516910</v>
      </c>
      <c r="W57" s="3">
        <v>2.58</v>
      </c>
      <c r="X57" s="3">
        <v>0.22</v>
      </c>
      <c r="Y57" s="3">
        <v>7.84</v>
      </c>
      <c r="Z57" s="3" t="s">
        <v>3208</v>
      </c>
      <c r="AA57" s="3" t="s">
        <v>3209</v>
      </c>
      <c r="AB57" s="3" t="s">
        <v>68</v>
      </c>
      <c r="AC57" s="3" t="s">
        <v>3210</v>
      </c>
      <c r="AD57" s="3" t="s">
        <v>4</v>
      </c>
      <c r="AE57" s="3">
        <v>-8906144</v>
      </c>
      <c r="AF57" s="3" t="s">
        <v>1906</v>
      </c>
      <c r="AG57" s="3" t="s">
        <v>3211</v>
      </c>
      <c r="AH57" s="3" t="s">
        <v>1907</v>
      </c>
      <c r="AI57" s="3" t="s">
        <v>196</v>
      </c>
      <c r="AJ57" s="3" t="s">
        <v>1908</v>
      </c>
      <c r="AK57" s="3" t="s">
        <v>3212</v>
      </c>
      <c r="AL57" s="3" t="s">
        <v>3213</v>
      </c>
      <c r="AM57" s="3" t="s">
        <v>4</v>
      </c>
      <c r="AN57" s="3" t="s">
        <v>3214</v>
      </c>
      <c r="AO57" s="3" t="s">
        <v>4</v>
      </c>
      <c r="AP57" s="3" t="s">
        <v>3215</v>
      </c>
      <c r="AQ57" s="3" t="s">
        <v>1380</v>
      </c>
      <c r="AR57" s="3" t="s">
        <v>4</v>
      </c>
      <c r="AS57" s="3" t="s">
        <v>1736</v>
      </c>
      <c r="AT57" s="3" t="s">
        <v>4</v>
      </c>
      <c r="AU57" s="3" t="s">
        <v>3216</v>
      </c>
      <c r="AV57" s="3" t="s">
        <v>3217</v>
      </c>
      <c r="AW57" s="3" t="s">
        <v>3218</v>
      </c>
      <c r="AX57" s="3" t="s">
        <v>1289</v>
      </c>
      <c r="AY57" s="3" t="s">
        <v>885</v>
      </c>
      <c r="AZ57" s="3" t="s">
        <v>640</v>
      </c>
      <c r="BA57" s="3" t="s">
        <v>339</v>
      </c>
      <c r="BB57" s="3" t="s">
        <v>642</v>
      </c>
      <c r="BC57" s="3" t="s">
        <v>867</v>
      </c>
      <c r="BD57" s="3" t="s">
        <v>928</v>
      </c>
      <c r="BE57" s="3" t="s">
        <v>641</v>
      </c>
      <c r="BF57" s="3" t="s">
        <v>129</v>
      </c>
      <c r="BG57" s="3" t="s">
        <v>131</v>
      </c>
      <c r="BH57" s="3" t="s">
        <v>1905</v>
      </c>
      <c r="BI57" s="3" t="s">
        <v>335</v>
      </c>
      <c r="BJ57" s="3" t="s">
        <v>1289</v>
      </c>
      <c r="BK57" s="3" t="s">
        <v>277</v>
      </c>
      <c r="BL57" s="3" t="s">
        <v>274</v>
      </c>
      <c r="BM57" s="3" t="s">
        <v>867</v>
      </c>
      <c r="BN57" s="3">
        <v>16.53</v>
      </c>
      <c r="BO57" s="3">
        <v>16.05</v>
      </c>
      <c r="BP57" s="3">
        <v>2.1800000000000002</v>
      </c>
      <c r="BQ57" s="3">
        <v>17.239999999999998</v>
      </c>
      <c r="BR57" s="3">
        <v>15.43</v>
      </c>
      <c r="BS57" s="3">
        <v>2.48</v>
      </c>
      <c r="BT57" s="3" t="s">
        <v>1162</v>
      </c>
      <c r="BU57" s="3" t="s">
        <v>977</v>
      </c>
      <c r="BV57" s="3">
        <v>29.57</v>
      </c>
      <c r="BW57" s="3">
        <v>31.37</v>
      </c>
      <c r="BX57" s="3">
        <v>24.1</v>
      </c>
      <c r="BY57" s="3">
        <v>7.72</v>
      </c>
      <c r="BZ57" s="3">
        <v>7.28</v>
      </c>
      <c r="CA57" s="3">
        <v>1.28</v>
      </c>
      <c r="CB57" s="3">
        <v>-4.32</v>
      </c>
      <c r="CC57" s="3">
        <v>-14.23</v>
      </c>
      <c r="CD57" s="3" t="s">
        <v>3219</v>
      </c>
      <c r="CE57" s="3" t="s">
        <v>8</v>
      </c>
      <c r="CF57" s="10">
        <v>-0.457286432160804</v>
      </c>
      <c r="CG57" s="11">
        <v>-0.50374098601398598</v>
      </c>
      <c r="CH57" s="10">
        <v>-0.69098711013793945</v>
      </c>
      <c r="CI57" s="10">
        <v>0.2010309249162674</v>
      </c>
      <c r="CJ57" s="10">
        <v>0.41778320074081421</v>
      </c>
      <c r="CK57" s="10">
        <v>-0.24713431298732758</v>
      </c>
      <c r="CL57" s="10">
        <v>9.7634553909301758E-2</v>
      </c>
      <c r="CM57" s="11">
        <v>-0.65041869878768921</v>
      </c>
      <c r="CN57" s="11">
        <v>5.7797966003417969</v>
      </c>
      <c r="CO57" s="11">
        <v>1.4208313226699829</v>
      </c>
      <c r="CP57" s="11">
        <v>-1.6649477481842041</v>
      </c>
      <c r="CQ57" s="11">
        <v>-0.55601662397384644</v>
      </c>
      <c r="CR57" s="3">
        <v>44.735439835043024</v>
      </c>
      <c r="CS57" s="3">
        <v>10.090424090221944</v>
      </c>
      <c r="CT57" s="3">
        <v>2.5531914893617023</v>
      </c>
      <c r="CU57" s="10">
        <v>-4.4334548711776736E-2</v>
      </c>
      <c r="CV57" s="11">
        <v>0.86584897041320796</v>
      </c>
      <c r="CW57" s="3">
        <v>0.06</v>
      </c>
      <c r="CX57" s="3">
        <v>74.840748256182621</v>
      </c>
      <c r="CY57" s="3" t="s">
        <v>3220</v>
      </c>
      <c r="CZ57" s="3">
        <v>-4.4334548711776736E-2</v>
      </c>
      <c r="DA57" s="3">
        <v>24.946916085394207</v>
      </c>
      <c r="DB57" s="3" t="s">
        <v>3221</v>
      </c>
      <c r="DC57" s="3">
        <v>-4.2117821276187899E-2</v>
      </c>
      <c r="DD57" s="3">
        <v>12.473458042697104</v>
      </c>
      <c r="DE57" s="3" t="s">
        <v>3222</v>
      </c>
      <c r="DF57" s="3">
        <v>-3.9014402866363526E-2</v>
      </c>
      <c r="DG57" s="3">
        <v>7.4840748256182623</v>
      </c>
      <c r="DH57" s="3" t="s">
        <v>3223</v>
      </c>
      <c r="DI57" s="3">
        <v>-3.5467638969421393E-2</v>
      </c>
      <c r="DJ57" s="3">
        <v>3.7420374128091312</v>
      </c>
      <c r="DK57" s="3" t="s">
        <v>3224</v>
      </c>
      <c r="DL57" s="3">
        <v>-3.1034184098243715E-2</v>
      </c>
      <c r="DM57" s="3">
        <v>70965000</v>
      </c>
      <c r="DN57" s="3">
        <v>-4.4334548711776736E-2</v>
      </c>
      <c r="DO57" s="3">
        <v>5311073700</v>
      </c>
      <c r="DP57" s="3">
        <v>501609900</v>
      </c>
      <c r="DQ57" s="3">
        <v>1862</v>
      </c>
      <c r="DR57" s="3">
        <v>-0.41295188344902728</v>
      </c>
      <c r="DS57" s="3">
        <v>-1.3695899564271938</v>
      </c>
      <c r="DT57" s="12">
        <v>-0.60666666666666669</v>
      </c>
      <c r="DU57" s="3">
        <v>-0.72000000000000008</v>
      </c>
      <c r="DV57" s="3">
        <v>-1.3266666666666667</v>
      </c>
      <c r="DW57" s="3">
        <v>-8.3035839775122984</v>
      </c>
      <c r="DX57" s="3">
        <v>0.31604354838709653</v>
      </c>
      <c r="DY57" s="3">
        <v>-8.0413006415342423</v>
      </c>
      <c r="DZ57" s="3">
        <v>1839</v>
      </c>
      <c r="EA57" s="3">
        <v>-8.0264372599723099</v>
      </c>
      <c r="EB57" s="3">
        <v>8</v>
      </c>
      <c r="EC57" s="3">
        <v>4.5776461112734285E-2</v>
      </c>
      <c r="ED57" s="3">
        <v>0.33648388075326041</v>
      </c>
      <c r="EE57" s="13">
        <v>2.0015100000000001</v>
      </c>
      <c r="EF57" s="3">
        <v>2.0276100000000001</v>
      </c>
      <c r="EG57" s="3">
        <v>18.136043548387097</v>
      </c>
      <c r="EH57" s="3" t="s">
        <v>1831</v>
      </c>
      <c r="EI57" s="3">
        <v>0</v>
      </c>
      <c r="EJ57" s="3">
        <v>0</v>
      </c>
      <c r="EK57" s="15">
        <v>45470</v>
      </c>
      <c r="EL57" s="16">
        <v>-0.16</v>
      </c>
      <c r="EM57" s="16">
        <v>-5.89</v>
      </c>
      <c r="EN57" s="16">
        <v>-0.43</v>
      </c>
      <c r="EO57" s="16">
        <v>5.6</v>
      </c>
      <c r="EP57" s="16">
        <v>-2.61</v>
      </c>
    </row>
    <row r="58" spans="1:146" ht="96" x14ac:dyDescent="0.25">
      <c r="A58" s="3"/>
      <c r="B58" s="3"/>
      <c r="C58" s="7" t="str">
        <f>""&amp;CHAR(10)&amp;Basic_Fundamental_Information_Constructure(F58)&amp;CHAR(10)&amp;Basic_Fundamental_Information_Concatenate("")</f>
        <v xml:space="preserve">
市值29.59966亿, 利润-4155.18万; PE; 平均PE-74.52; 平均PEG-1.56, PB129.1; ROIC1.72%; ROE-29.0767%; 股利率0%; 毛利21.7267%; 净利-11.8067%; 上一年度营收增-75%, 利润增63.55%; 当季营收增-51.15%, 利润增60.05%; 过往5年营收增47.64%, 利润增-2427.45%
Income profile:
</v>
      </c>
      <c r="D58" s="3" t="s">
        <v>3225</v>
      </c>
      <c r="E58" s="3" t="s">
        <v>3226</v>
      </c>
      <c r="F58" s="3">
        <v>21.5</v>
      </c>
      <c r="G58" s="3">
        <v>2.97</v>
      </c>
      <c r="H58" s="3" t="s">
        <v>3227</v>
      </c>
      <c r="I58" s="3">
        <v>2959966000</v>
      </c>
      <c r="K58" s="3">
        <v>129.1</v>
      </c>
      <c r="L58" s="3" t="s">
        <v>343</v>
      </c>
      <c r="M58" s="3" t="s">
        <v>3228</v>
      </c>
      <c r="N58" s="3" t="s">
        <v>3229</v>
      </c>
      <c r="O58" s="3" t="s">
        <v>95</v>
      </c>
      <c r="P58" s="5">
        <v>-2</v>
      </c>
      <c r="Q58" s="3" t="s">
        <v>95</v>
      </c>
      <c r="R58" s="3">
        <v>-41551781</v>
      </c>
      <c r="S58" s="3">
        <v>0.22239999999999999</v>
      </c>
      <c r="T58" s="3" t="s">
        <v>3230</v>
      </c>
      <c r="U58" s="3">
        <v>137163930</v>
      </c>
      <c r="V58" s="3">
        <v>137672840</v>
      </c>
      <c r="W58" s="3">
        <v>151.91999999999999</v>
      </c>
      <c r="X58" s="3">
        <v>7.0000000000000007E-2</v>
      </c>
      <c r="Y58" s="3">
        <v>-17.72</v>
      </c>
      <c r="Z58" s="3" t="s">
        <v>211</v>
      </c>
      <c r="AA58" s="3" t="s">
        <v>1014</v>
      </c>
      <c r="AB58" s="3" t="s">
        <v>3231</v>
      </c>
      <c r="AC58" s="3" t="s">
        <v>3232</v>
      </c>
      <c r="AD58" s="3" t="s">
        <v>4</v>
      </c>
      <c r="AE58" s="3">
        <v>31269985</v>
      </c>
      <c r="AF58" s="3" t="s">
        <v>21</v>
      </c>
      <c r="AG58" s="3" t="s">
        <v>3233</v>
      </c>
      <c r="AH58" s="3" t="s">
        <v>3234</v>
      </c>
      <c r="AI58" s="3" t="s">
        <v>3235</v>
      </c>
      <c r="AJ58" s="3" t="s">
        <v>3236</v>
      </c>
      <c r="AK58" s="3" t="s">
        <v>3237</v>
      </c>
      <c r="AL58" s="3" t="s">
        <v>3238</v>
      </c>
      <c r="AM58" s="3" t="s">
        <v>4</v>
      </c>
      <c r="AN58" s="3" t="s">
        <v>1031</v>
      </c>
      <c r="AO58" s="3" t="s">
        <v>5</v>
      </c>
      <c r="AP58" s="3" t="s">
        <v>3239</v>
      </c>
      <c r="AQ58" s="3" t="s">
        <v>3240</v>
      </c>
      <c r="AR58" s="3" t="s">
        <v>4</v>
      </c>
      <c r="AS58" s="3" t="s">
        <v>3241</v>
      </c>
      <c r="AT58" s="3" t="s">
        <v>2620</v>
      </c>
      <c r="AU58" s="3" t="s">
        <v>3242</v>
      </c>
      <c r="AV58" s="3" t="s">
        <v>3243</v>
      </c>
      <c r="AW58" s="3" t="s">
        <v>3244</v>
      </c>
      <c r="AX58" s="3" t="s">
        <v>3245</v>
      </c>
      <c r="AY58" s="3" t="s">
        <v>3246</v>
      </c>
      <c r="AZ58" s="3" t="s">
        <v>286</v>
      </c>
      <c r="BA58" s="3" t="s">
        <v>33</v>
      </c>
      <c r="BB58" s="3" t="s">
        <v>195</v>
      </c>
      <c r="BC58" s="3" t="s">
        <v>3247</v>
      </c>
      <c r="BD58" s="3" t="s">
        <v>3248</v>
      </c>
      <c r="BE58" s="3" t="s">
        <v>3249</v>
      </c>
      <c r="BF58" s="3" t="s">
        <v>1073</v>
      </c>
      <c r="BG58" s="3" t="s">
        <v>3250</v>
      </c>
      <c r="BH58" s="3" t="s">
        <v>1219</v>
      </c>
      <c r="BI58" s="3" t="s">
        <v>1448</v>
      </c>
      <c r="BJ58" s="3" t="s">
        <v>3245</v>
      </c>
      <c r="BK58" s="3" t="s">
        <v>3251</v>
      </c>
      <c r="BL58" s="3" t="s">
        <v>3021</v>
      </c>
      <c r="BM58" s="3" t="s">
        <v>3247</v>
      </c>
      <c r="BN58" s="3" t="s">
        <v>4</v>
      </c>
      <c r="BO58" s="3" t="s">
        <v>4</v>
      </c>
      <c r="BP58" s="3">
        <v>1.72</v>
      </c>
      <c r="BQ58" s="3">
        <v>-55.58</v>
      </c>
      <c r="BR58" s="3">
        <v>-32.74</v>
      </c>
      <c r="BS58" s="3">
        <v>1.0900000000000001</v>
      </c>
      <c r="BT58" s="3" t="s">
        <v>1157</v>
      </c>
      <c r="BU58" s="3" t="s">
        <v>1011</v>
      </c>
      <c r="BV58" s="3">
        <v>18.48</v>
      </c>
      <c r="BW58" s="3">
        <v>20.260000000000002</v>
      </c>
      <c r="BX58" s="3">
        <v>26.44</v>
      </c>
      <c r="BY58" s="3">
        <v>-23.83</v>
      </c>
      <c r="BZ58" s="3">
        <v>-12.17</v>
      </c>
      <c r="CA58" s="3">
        <v>0.57999999999999996</v>
      </c>
      <c r="CB58" s="3">
        <v>6.07</v>
      </c>
      <c r="CC58" s="10">
        <v>1.7</v>
      </c>
      <c r="CD58" s="11" t="s">
        <v>3252</v>
      </c>
      <c r="CE58" s="10" t="s">
        <v>202</v>
      </c>
      <c r="CF58" s="10">
        <v>-0.51148225469728603</v>
      </c>
      <c r="CG58" s="10">
        <v>0.60046364423076926</v>
      </c>
      <c r="CH58" s="10">
        <v>-0.75</v>
      </c>
      <c r="CI58" s="10">
        <v>0.29281768202781677</v>
      </c>
      <c r="CJ58" s="11">
        <v>0.74457830190658569</v>
      </c>
      <c r="CK58" s="11">
        <v>2.2170543670654297</v>
      </c>
      <c r="CL58" s="11">
        <v>-0.12244898080825806</v>
      </c>
      <c r="CM58" s="11">
        <v>0.63551050424575806</v>
      </c>
      <c r="CN58" s="11">
        <v>-27.979057312011719</v>
      </c>
      <c r="CO58" s="3">
        <v>-0.82253479957580566</v>
      </c>
      <c r="CP58" s="3">
        <v>1.2125920057296753</v>
      </c>
      <c r="CQ58" s="3">
        <v>-94.418960571289063</v>
      </c>
      <c r="CR58" s="10">
        <v>-74.521702387281493</v>
      </c>
      <c r="CS58" s="11">
        <v>-1.5642665726361029</v>
      </c>
      <c r="CT58" s="3">
        <v>0</v>
      </c>
      <c r="CU58" s="3">
        <v>0.47640027403831481</v>
      </c>
      <c r="CV58" s="3">
        <v>-24.274490034580232</v>
      </c>
      <c r="CW58" s="3">
        <v>0.06</v>
      </c>
      <c r="CX58" s="3" t="e">
        <v>#VALUE!</v>
      </c>
      <c r="CY58" s="3" t="s">
        <v>1005</v>
      </c>
      <c r="CZ58" s="3">
        <v>0.47640027403831481</v>
      </c>
      <c r="DA58" s="3" t="e">
        <v>#VALUE!</v>
      </c>
      <c r="DB58" s="3" t="s">
        <v>1006</v>
      </c>
      <c r="DC58" s="3">
        <v>0.45258026033639903</v>
      </c>
      <c r="DD58" s="3" t="e">
        <v>#VALUE!</v>
      </c>
      <c r="DE58" s="3" t="s">
        <v>1006</v>
      </c>
      <c r="DF58" s="3">
        <v>0.41923224115371704</v>
      </c>
      <c r="DG58" s="3" t="e">
        <v>#VALUE!</v>
      </c>
      <c r="DH58" s="3" t="s">
        <v>1006</v>
      </c>
      <c r="DI58" s="3">
        <v>0.38112021923065187</v>
      </c>
      <c r="DJ58" s="3" t="e">
        <v>#VALUE!</v>
      </c>
      <c r="DK58" s="3" t="s">
        <v>1006</v>
      </c>
      <c r="DL58" s="3">
        <v>0.33348019182682037</v>
      </c>
      <c r="DM58" s="3">
        <v>-41551800</v>
      </c>
      <c r="DN58" s="3">
        <v>0.47640027403831481</v>
      </c>
      <c r="DO58" s="3">
        <v>6210028700</v>
      </c>
      <c r="DP58" s="3">
        <v>-680341429.99999976</v>
      </c>
      <c r="DQ58" s="12">
        <v>1960</v>
      </c>
      <c r="DR58" s="3">
        <v>-0.98788252873560078</v>
      </c>
      <c r="DS58" s="3">
        <v>24.874953678811</v>
      </c>
      <c r="DT58" s="3">
        <v>0.10166666666666679</v>
      </c>
      <c r="DU58" s="3">
        <v>-2.3483333333333336</v>
      </c>
      <c r="DV58" s="3">
        <v>-2.246666666666667</v>
      </c>
      <c r="DW58" s="3">
        <v>5.2800658978583197</v>
      </c>
      <c r="DX58" s="3">
        <v>0.40428301886792295</v>
      </c>
      <c r="DY58" s="3">
        <v>5.0516113891392873</v>
      </c>
      <c r="DZ58" s="3">
        <v>4704</v>
      </c>
      <c r="EA58" s="3">
        <v>5.0041006309179163</v>
      </c>
      <c r="EB58" s="13">
        <v>5</v>
      </c>
      <c r="EC58" s="13">
        <v>0.14188709988113851</v>
      </c>
      <c r="ED58" s="3">
        <v>0.76994126074540192</v>
      </c>
      <c r="EE58" s="3">
        <v>2.1343000000000001</v>
      </c>
      <c r="EF58" s="3">
        <v>2.0760000000000001</v>
      </c>
      <c r="EG58" s="3">
        <v>22.184283018867923</v>
      </c>
      <c r="EH58" s="15" t="s">
        <v>1174</v>
      </c>
      <c r="EI58" s="3">
        <v>1</v>
      </c>
      <c r="EJ58" s="3">
        <v>0</v>
      </c>
      <c r="EK58" s="3">
        <v>45470</v>
      </c>
      <c r="EL58" s="3">
        <v>0.74</v>
      </c>
      <c r="EM58" s="3">
        <v>2.68</v>
      </c>
      <c r="EN58" s="16">
        <v>0.9</v>
      </c>
      <c r="EO58" s="16">
        <v>3.99</v>
      </c>
      <c r="EP58" s="16">
        <v>-5.83</v>
      </c>
    </row>
    <row r="59" spans="1:146" ht="96" x14ac:dyDescent="0.25">
      <c r="C59" s="7" t="str">
        <f>""&amp;CHAR(10)&amp;Basic_Fundamental_Information_Constructure(F59)&amp;CHAR(10)&amp;Basic_Fundamental_Information_Concatenate("")</f>
        <v xml:space="preserve">
市值41.113186亿, 利润4573.34万; PE22.6; 平均PE63.97; 平均PEG13.56, PB2.45; ROIC4.1633%; ROE5.1%; 股利率.6485%; 毛利31.2933%; 净利8.1433%; 上一年度营收增-64.21%, 利润增-40.56%; 当季营收增-36.2%, 利润增-41.19%; 过往5年营收增-4.72%, 利润增23.56%
Income profile:
</v>
      </c>
      <c r="D59" s="3" t="s">
        <v>643</v>
      </c>
      <c r="E59" s="3" t="s">
        <v>644</v>
      </c>
      <c r="F59" s="3">
        <v>23.13</v>
      </c>
      <c r="G59" s="3">
        <v>1.89</v>
      </c>
      <c r="H59" s="3" t="s">
        <v>3253</v>
      </c>
      <c r="I59" s="3">
        <v>4111318600</v>
      </c>
      <c r="J59" s="3">
        <v>22.6</v>
      </c>
      <c r="K59" s="3">
        <v>2.4500000000000002</v>
      </c>
      <c r="L59" s="3" t="s">
        <v>343</v>
      </c>
      <c r="M59" s="3" t="s">
        <v>602</v>
      </c>
      <c r="N59" s="3" t="s">
        <v>3125</v>
      </c>
      <c r="O59" s="3" t="s">
        <v>1909</v>
      </c>
      <c r="P59" s="3">
        <v>30.61</v>
      </c>
      <c r="Q59" s="3" t="s">
        <v>1909</v>
      </c>
      <c r="R59" s="3">
        <v>45733398</v>
      </c>
      <c r="S59" s="5">
        <v>0.1125</v>
      </c>
      <c r="T59" s="3" t="s">
        <v>3254</v>
      </c>
      <c r="U59" s="3">
        <v>111935129</v>
      </c>
      <c r="V59" s="3">
        <v>177748320</v>
      </c>
      <c r="W59" s="3">
        <v>1.83</v>
      </c>
      <c r="X59" s="3">
        <v>0.11</v>
      </c>
      <c r="Y59" s="3">
        <v>13.03</v>
      </c>
      <c r="Z59" s="3" t="s">
        <v>2116</v>
      </c>
      <c r="AA59" s="3" t="s">
        <v>108</v>
      </c>
      <c r="AB59" s="3" t="s">
        <v>3255</v>
      </c>
      <c r="AC59" s="3" t="s">
        <v>3256</v>
      </c>
      <c r="AD59" s="3" t="s">
        <v>4</v>
      </c>
      <c r="AE59" s="3">
        <v>1989271</v>
      </c>
      <c r="AF59" s="3" t="s">
        <v>21</v>
      </c>
      <c r="AG59" s="3" t="s">
        <v>3257</v>
      </c>
      <c r="AH59" s="3" t="s">
        <v>1910</v>
      </c>
      <c r="AI59" s="3" t="s">
        <v>1635</v>
      </c>
      <c r="AJ59" s="3" t="s">
        <v>1911</v>
      </c>
      <c r="AK59" s="3" t="s">
        <v>3258</v>
      </c>
      <c r="AL59" s="3" t="s">
        <v>1912</v>
      </c>
      <c r="AM59" s="3" t="s">
        <v>4</v>
      </c>
      <c r="AN59" s="3" t="s">
        <v>1169</v>
      </c>
      <c r="AO59" s="3" t="s">
        <v>96</v>
      </c>
      <c r="AP59" s="3" t="s">
        <v>1353</v>
      </c>
      <c r="AQ59" s="3" t="s">
        <v>1339</v>
      </c>
      <c r="AR59" s="3" t="s">
        <v>4</v>
      </c>
      <c r="AS59" s="3" t="s">
        <v>2968</v>
      </c>
      <c r="AT59" s="3" t="s">
        <v>1913</v>
      </c>
      <c r="AU59" s="3" t="s">
        <v>3259</v>
      </c>
      <c r="AV59" s="3" t="s">
        <v>3260</v>
      </c>
      <c r="AW59" s="3" t="s">
        <v>3261</v>
      </c>
      <c r="AX59" s="3" t="s">
        <v>328</v>
      </c>
      <c r="AY59" s="3" t="s">
        <v>241</v>
      </c>
      <c r="AZ59" s="3" t="s">
        <v>645</v>
      </c>
      <c r="BA59" s="3" t="s">
        <v>647</v>
      </c>
      <c r="BB59" s="3" t="s">
        <v>648</v>
      </c>
      <c r="BC59" s="3" t="s">
        <v>1914</v>
      </c>
      <c r="BD59" s="3" t="s">
        <v>929</v>
      </c>
      <c r="BE59" s="3" t="s">
        <v>646</v>
      </c>
      <c r="BF59" s="3" t="s">
        <v>649</v>
      </c>
      <c r="BG59" s="3" t="s">
        <v>650</v>
      </c>
      <c r="BH59" s="3" t="s">
        <v>1349</v>
      </c>
      <c r="BI59" s="3" t="s">
        <v>3262</v>
      </c>
      <c r="BJ59" s="3" t="s">
        <v>328</v>
      </c>
      <c r="BK59" s="3" t="s">
        <v>36</v>
      </c>
      <c r="BL59" s="3" t="s">
        <v>3263</v>
      </c>
      <c r="BM59" s="3" t="s">
        <v>1914</v>
      </c>
      <c r="BN59" s="3">
        <v>6.29</v>
      </c>
      <c r="BO59" s="3">
        <v>4.28</v>
      </c>
      <c r="BP59" s="3">
        <v>1.92</v>
      </c>
      <c r="BQ59" s="3">
        <v>8.1999999999999993</v>
      </c>
      <c r="BR59" s="3">
        <v>5.26</v>
      </c>
      <c r="BS59" s="3">
        <v>1.84</v>
      </c>
      <c r="BT59" s="3" t="s">
        <v>1915</v>
      </c>
      <c r="BU59" s="3" t="s">
        <v>1002</v>
      </c>
      <c r="BV59" s="3">
        <v>35.11</v>
      </c>
      <c r="BW59" s="3">
        <v>31.3</v>
      </c>
      <c r="BX59" s="3">
        <v>27.47</v>
      </c>
      <c r="BY59" s="3">
        <v>14.57</v>
      </c>
      <c r="BZ59" s="3">
        <v>7.69</v>
      </c>
      <c r="CA59" s="3">
        <v>2.17</v>
      </c>
      <c r="CB59" s="3">
        <v>-5.78</v>
      </c>
      <c r="CC59" s="3">
        <v>-3.99</v>
      </c>
      <c r="CD59" s="3" t="s">
        <v>3264</v>
      </c>
      <c r="CE59" s="3" t="s">
        <v>51</v>
      </c>
      <c r="CF59" s="10">
        <v>-0.36197440585009139</v>
      </c>
      <c r="CG59" s="11">
        <v>-0.41186549400013633</v>
      </c>
      <c r="CH59" s="10">
        <v>-0.64205127954483032</v>
      </c>
      <c r="CI59" s="10">
        <v>9.9210821092128754E-2</v>
      </c>
      <c r="CJ59" s="10">
        <v>0.13427110016345978</v>
      </c>
      <c r="CK59" s="10">
        <v>0.13497823476791382</v>
      </c>
      <c r="CL59" s="10">
        <v>3.7650603801012039E-2</v>
      </c>
      <c r="CM59" s="11">
        <v>-0.40559273958206177</v>
      </c>
      <c r="CN59" s="11">
        <v>2.4129352569580078</v>
      </c>
      <c r="CO59" s="11">
        <v>-0.6965489387512207</v>
      </c>
      <c r="CP59" s="11">
        <v>-8.1306770443916321E-2</v>
      </c>
      <c r="CQ59" s="11">
        <v>-5.1660411059856415E-2</v>
      </c>
      <c r="CR59" s="3">
        <v>63.965749625624767</v>
      </c>
      <c r="CS59" s="3">
        <v>13.555482055699846</v>
      </c>
      <c r="CT59" s="3">
        <v>0.64850843060959795</v>
      </c>
      <c r="CU59" s="10">
        <v>-4.7188103944063184E-2</v>
      </c>
      <c r="CV59" s="11">
        <v>0.23556527942419053</v>
      </c>
      <c r="CW59" s="3">
        <v>0.06</v>
      </c>
      <c r="CX59" s="3">
        <v>82.463114485255858</v>
      </c>
      <c r="CY59" s="3" t="s">
        <v>3265</v>
      </c>
      <c r="CZ59" s="3">
        <v>-4.7188103944063184E-2</v>
      </c>
      <c r="DA59" s="3">
        <v>27.487704828418618</v>
      </c>
      <c r="DB59" s="3" t="s">
        <v>3266</v>
      </c>
      <c r="DC59" s="3">
        <v>-4.4828698746860025E-2</v>
      </c>
      <c r="DD59" s="3">
        <v>13.743852414209309</v>
      </c>
      <c r="DE59" s="3" t="s">
        <v>3267</v>
      </c>
      <c r="DF59" s="3">
        <v>-4.1525531470775603E-2</v>
      </c>
      <c r="DG59" s="3">
        <v>8.2463114485255851</v>
      </c>
      <c r="DH59" s="3" t="s">
        <v>3268</v>
      </c>
      <c r="DI59" s="3">
        <v>-3.775048315525055E-2</v>
      </c>
      <c r="DJ59" s="3">
        <v>4.1231557242627925</v>
      </c>
      <c r="DK59" s="3" t="s">
        <v>3269</v>
      </c>
      <c r="DL59" s="3">
        <v>-3.3031672760844226E-2</v>
      </c>
      <c r="DM59" s="3">
        <v>45733400</v>
      </c>
      <c r="DN59" s="3">
        <v>-4.7188103944063184E-2</v>
      </c>
      <c r="DO59" s="3">
        <v>3771318600</v>
      </c>
      <c r="DP59" s="3">
        <v>992252300</v>
      </c>
      <c r="DQ59" s="3">
        <v>2013</v>
      </c>
      <c r="DR59" s="3">
        <v>-0.31478630190602819</v>
      </c>
      <c r="DS59" s="3">
        <v>-0.64743077342432687</v>
      </c>
      <c r="DT59" s="12">
        <v>-0.77333333333333332</v>
      </c>
      <c r="DU59" s="3">
        <v>-0.32000000000000006</v>
      </c>
      <c r="DV59" s="3">
        <v>-1.0933333333333333</v>
      </c>
      <c r="DW59" s="3">
        <v>-4.6903114186851207</v>
      </c>
      <c r="DX59" s="3">
        <v>0.40240482758620533</v>
      </c>
      <c r="DY59" s="3">
        <v>-4.0844974501849425</v>
      </c>
      <c r="DZ59" s="3">
        <v>1305</v>
      </c>
      <c r="EA59" s="3">
        <v>-4.0629183557639346</v>
      </c>
      <c r="EB59" s="3">
        <v>4</v>
      </c>
      <c r="EC59" s="3">
        <v>9.9852983139306184E-2</v>
      </c>
      <c r="ED59" s="3">
        <v>0.81576017146041102</v>
      </c>
      <c r="EE59" s="13">
        <v>-1.0463</v>
      </c>
      <c r="EF59" s="3">
        <v>-1.0297000000000001</v>
      </c>
      <c r="EG59" s="3">
        <v>28.122404827586205</v>
      </c>
      <c r="EH59" s="3" t="s">
        <v>1173</v>
      </c>
      <c r="EI59" s="3">
        <v>0</v>
      </c>
      <c r="EJ59" s="3">
        <v>1</v>
      </c>
      <c r="EK59" s="15">
        <v>45470</v>
      </c>
      <c r="EL59" s="16">
        <v>-0.85</v>
      </c>
      <c r="EM59" s="16">
        <v>-5.0599999999999996</v>
      </c>
      <c r="EN59" s="16">
        <v>-1.93</v>
      </c>
      <c r="EO59" s="16">
        <v>5.56</v>
      </c>
      <c r="EP59" s="16">
        <v>-1.66</v>
      </c>
    </row>
    <row r="60" spans="1:146" ht="96" x14ac:dyDescent="0.25">
      <c r="C60" s="7" t="str">
        <f>""&amp;CHAR(10)&amp;Basic_Fundamental_Information_Constructure(F60)&amp;CHAR(10)&amp;Basic_Fundamental_Information_Concatenate("")</f>
        <v xml:space="preserve">
市值34.497395亿, 利润4918.25万; PE20.86; 平均PE44.11; 平均PEG13.87, PB1.84; ROIC5.0733%; ROE7.2733%; 股利率1.1468%; 毛利18.73%; 净利5.1333%; 上一年度营收增-72.84%, 利润增-13.39%; 当季营收增-44.93%, 利润增-1.59%; 过往5年营收增3.18%, 利润增16.95%
Income profile:
</v>
      </c>
      <c r="D60" s="3" t="s">
        <v>651</v>
      </c>
      <c r="E60" s="3" t="s">
        <v>652</v>
      </c>
      <c r="F60" s="3">
        <v>13.08</v>
      </c>
      <c r="G60" s="3">
        <v>1.1599999999999999</v>
      </c>
      <c r="H60" s="3" t="s">
        <v>3270</v>
      </c>
      <c r="I60" s="3">
        <v>3449739500</v>
      </c>
      <c r="J60" s="3">
        <v>20.86</v>
      </c>
      <c r="K60" s="3">
        <v>1.84</v>
      </c>
      <c r="L60" s="3" t="s">
        <v>343</v>
      </c>
      <c r="M60" s="3" t="s">
        <v>1916</v>
      </c>
      <c r="N60" s="3" t="s">
        <v>3271</v>
      </c>
      <c r="O60" s="3" t="s">
        <v>1917</v>
      </c>
      <c r="P60" s="3">
        <v>29.71</v>
      </c>
      <c r="Q60" s="3" t="s">
        <v>1917</v>
      </c>
      <c r="R60" s="3">
        <v>49182545</v>
      </c>
      <c r="S60" s="5">
        <v>0.74470000000000003</v>
      </c>
      <c r="T60" s="3" t="s">
        <v>3272</v>
      </c>
      <c r="U60" s="3">
        <v>228223530</v>
      </c>
      <c r="V60" s="3">
        <v>263741550</v>
      </c>
      <c r="W60" s="3">
        <v>1.98</v>
      </c>
      <c r="X60" s="3">
        <v>0.14000000000000001</v>
      </c>
      <c r="Y60" s="3">
        <v>9.0399999999999991</v>
      </c>
      <c r="Z60" s="3" t="s">
        <v>326</v>
      </c>
      <c r="AA60" s="3" t="s">
        <v>3273</v>
      </c>
      <c r="AB60" s="3" t="s">
        <v>3274</v>
      </c>
      <c r="AC60" s="3" t="s">
        <v>3275</v>
      </c>
      <c r="AD60" s="3" t="s">
        <v>4</v>
      </c>
      <c r="AE60" s="3">
        <v>455602</v>
      </c>
      <c r="AF60" s="3" t="s">
        <v>1919</v>
      </c>
      <c r="AG60" s="3" t="s">
        <v>3276</v>
      </c>
      <c r="AH60" s="3" t="s">
        <v>1920</v>
      </c>
      <c r="AI60" s="3" t="s">
        <v>1683</v>
      </c>
      <c r="AJ60" s="3" t="s">
        <v>1921</v>
      </c>
      <c r="AK60" s="3" t="s">
        <v>92</v>
      </c>
      <c r="AL60" s="3" t="s">
        <v>1922</v>
      </c>
      <c r="AM60" s="3" t="s">
        <v>4</v>
      </c>
      <c r="AN60" s="3" t="s">
        <v>274</v>
      </c>
      <c r="AO60" s="3" t="s">
        <v>1393</v>
      </c>
      <c r="AP60" s="3" t="s">
        <v>280</v>
      </c>
      <c r="AQ60" s="3" t="s">
        <v>1415</v>
      </c>
      <c r="AR60" s="3" t="s">
        <v>4</v>
      </c>
      <c r="AS60" s="3" t="s">
        <v>619</v>
      </c>
      <c r="AT60" s="3" t="s">
        <v>907</v>
      </c>
      <c r="AU60" s="3" t="s">
        <v>3277</v>
      </c>
      <c r="AV60" s="3" t="s">
        <v>1969</v>
      </c>
      <c r="AW60" s="3" t="s">
        <v>3278</v>
      </c>
      <c r="AX60" s="3" t="s">
        <v>1290</v>
      </c>
      <c r="AY60" s="3" t="s">
        <v>930</v>
      </c>
      <c r="AZ60" s="3" t="s">
        <v>654</v>
      </c>
      <c r="BA60" s="3" t="s">
        <v>188</v>
      </c>
      <c r="BB60" s="3" t="s">
        <v>655</v>
      </c>
      <c r="BC60" s="3" t="s">
        <v>1291</v>
      </c>
      <c r="BD60" s="3" t="s">
        <v>118</v>
      </c>
      <c r="BE60" s="3" t="s">
        <v>120</v>
      </c>
      <c r="BF60" s="3" t="s">
        <v>656</v>
      </c>
      <c r="BG60" s="3" t="s">
        <v>657</v>
      </c>
      <c r="BH60" s="3" t="s">
        <v>1918</v>
      </c>
      <c r="BI60" s="3" t="s">
        <v>3097</v>
      </c>
      <c r="BJ60" s="3" t="s">
        <v>1290</v>
      </c>
      <c r="BK60" s="3" t="s">
        <v>140</v>
      </c>
      <c r="BL60" s="3" t="s">
        <v>3279</v>
      </c>
      <c r="BM60" s="3" t="s">
        <v>1291</v>
      </c>
      <c r="BN60" s="3">
        <v>3.58</v>
      </c>
      <c r="BO60" s="3">
        <v>3.37</v>
      </c>
      <c r="BP60" s="3">
        <v>8.27</v>
      </c>
      <c r="BQ60" s="3">
        <v>5.19</v>
      </c>
      <c r="BR60" s="3">
        <v>3.35</v>
      </c>
      <c r="BS60" s="3">
        <v>13.28</v>
      </c>
      <c r="BT60" s="3" t="s">
        <v>1915</v>
      </c>
      <c r="BU60" s="3" t="s">
        <v>1011</v>
      </c>
      <c r="BV60" s="3">
        <v>19.73</v>
      </c>
      <c r="BW60" s="3">
        <v>14.7</v>
      </c>
      <c r="BX60" s="3">
        <v>21.76</v>
      </c>
      <c r="BY60" s="3">
        <v>5.91</v>
      </c>
      <c r="BZ60" s="3">
        <v>2.85</v>
      </c>
      <c r="CA60" s="3">
        <v>6.64</v>
      </c>
      <c r="CB60" s="3">
        <v>-6.5</v>
      </c>
      <c r="CC60" s="3">
        <v>-10.53</v>
      </c>
      <c r="CD60" s="3" t="s">
        <v>3280</v>
      </c>
      <c r="CE60" s="3" t="s">
        <v>74</v>
      </c>
      <c r="CF60" s="10">
        <v>-0.44933469805527126</v>
      </c>
      <c r="CG60" s="11">
        <v>-1.5892474107986106E-2</v>
      </c>
      <c r="CH60" s="10">
        <v>-0.7284199595451355</v>
      </c>
      <c r="CI60" s="10">
        <v>2.9090909287333488E-2</v>
      </c>
      <c r="CJ60" s="10">
        <v>0.35563376545906067</v>
      </c>
      <c r="CK60" s="10">
        <v>0.29562044143676758</v>
      </c>
      <c r="CL60" s="10">
        <v>0.20704846084117889</v>
      </c>
      <c r="CM60" s="11">
        <v>-0.13394320011138916</v>
      </c>
      <c r="CN60" s="11">
        <v>-0.52278149127960205</v>
      </c>
      <c r="CO60" s="11">
        <v>-0.13138686120510101</v>
      </c>
      <c r="CP60" s="11">
        <v>1.1188243627548218</v>
      </c>
      <c r="CQ60" s="11">
        <v>0.51671212911605835</v>
      </c>
      <c r="CR60" s="3">
        <v>44.108609563937485</v>
      </c>
      <c r="CS60" s="3">
        <v>13.872933843789269</v>
      </c>
      <c r="CT60" s="3">
        <v>1.1467889908256881</v>
      </c>
      <c r="CU60" s="10">
        <v>3.1794723495841025E-2</v>
      </c>
      <c r="CV60" s="11">
        <v>0.16948498785495758</v>
      </c>
      <c r="CW60" s="3">
        <v>0.06</v>
      </c>
      <c r="CX60" s="3">
        <v>76.090436779668963</v>
      </c>
      <c r="CY60" s="3">
        <v>47873815.083334155</v>
      </c>
      <c r="CZ60" s="3">
        <v>3.1794723495841025E-2</v>
      </c>
      <c r="DA60" s="3">
        <v>26.130217534738676</v>
      </c>
      <c r="DB60" s="3">
        <v>139407163.18787548</v>
      </c>
      <c r="DC60" s="3">
        <v>3.0204987321048971E-2</v>
      </c>
      <c r="DD60" s="3">
        <v>13.724473191469327</v>
      </c>
      <c r="DE60" s="3">
        <v>265419258.66154227</v>
      </c>
      <c r="DF60" s="3">
        <v>2.7979356676340102E-2</v>
      </c>
      <c r="DG60" s="3">
        <v>8.8478183558290198</v>
      </c>
      <c r="DH60" s="3">
        <v>411710475.22693902</v>
      </c>
      <c r="DI60" s="3">
        <v>2.5435778796672821E-2</v>
      </c>
      <c r="DJ60" s="3">
        <v>5.302386239125199</v>
      </c>
      <c r="DK60" s="3">
        <v>687000028.99090731</v>
      </c>
      <c r="DL60" s="3">
        <v>2.2256306447088717E-2</v>
      </c>
      <c r="DM60" s="3">
        <v>49182500</v>
      </c>
      <c r="DN60" s="3">
        <v>3.1794723495841025E-2</v>
      </c>
      <c r="DO60" s="3">
        <v>3642739500</v>
      </c>
      <c r="DP60" s="3">
        <v>703174400</v>
      </c>
      <c r="DQ60" s="3">
        <v>2034</v>
      </c>
      <c r="DR60" s="3">
        <v>-0.48112942155111227</v>
      </c>
      <c r="DS60" s="3">
        <v>-0.18537746196294369</v>
      </c>
      <c r="DT60" s="12">
        <v>-0.42333333333333339</v>
      </c>
      <c r="DU60" s="3">
        <v>0.18333333333333335</v>
      </c>
      <c r="DV60" s="3">
        <v>-0.24000000000000005</v>
      </c>
      <c r="DW60" s="3">
        <v>-9.6172839506172849</v>
      </c>
      <c r="DX60" s="3">
        <v>0.29952553191489517</v>
      </c>
      <c r="DY60" s="3">
        <v>-9.0861268715524037</v>
      </c>
      <c r="DZ60" s="3">
        <v>191</v>
      </c>
      <c r="EA60" s="3">
        <v>-9.0829076479777449</v>
      </c>
      <c r="EB60" s="3">
        <v>9</v>
      </c>
      <c r="EC60" s="3">
        <v>7.4592342389737221E-2</v>
      </c>
      <c r="ED60" s="3">
        <v>0.53461428432493852</v>
      </c>
      <c r="EE60" s="13">
        <v>-4.0350999999999999</v>
      </c>
      <c r="EF60" s="3">
        <v>-4.0102000000000002</v>
      </c>
      <c r="EG60" s="3">
        <v>16.139525531914895</v>
      </c>
      <c r="EH60" s="3" t="s">
        <v>1464</v>
      </c>
      <c r="EI60" s="3">
        <v>0</v>
      </c>
      <c r="EJ60" s="3">
        <v>1</v>
      </c>
      <c r="EK60" s="15">
        <v>45470</v>
      </c>
      <c r="EL60" s="16">
        <v>-0.35</v>
      </c>
      <c r="EM60" s="16">
        <v>-6.06</v>
      </c>
      <c r="EN60" s="16">
        <v>-1.41</v>
      </c>
      <c r="EO60" s="16">
        <v>5.64</v>
      </c>
      <c r="EP60" s="16">
        <v>-2.4900000000000002</v>
      </c>
    </row>
    <row r="61" spans="1:146" ht="96" x14ac:dyDescent="0.25">
      <c r="C61" s="7" t="str">
        <f>""&amp;CHAR(10)&amp;Basic_Fundamental_Information_Constructure(F61)&amp;CHAR(10)&amp;Basic_Fundamental_Information_Concatenate("")</f>
        <v xml:space="preserve">
市值24.14688亿, 利润184.00万; PE; 平均PE20.01; 平均PEG12.82, PB1.66; ROIC10.83%; ROE7.2533%; 股利率0%; 毛利33.0633%; 净利6.5333%; 上一年度营收增-57.91%, 利润增-99.09%; 当季营收增-41.27%, 利润增102.86%; 过往5年营收增-1.56%, 利润增5.58%
Income profile:
</v>
      </c>
      <c r="D61" s="3" t="s">
        <v>658</v>
      </c>
      <c r="E61" s="3" t="s">
        <v>659</v>
      </c>
      <c r="F61" s="3">
        <v>8.08</v>
      </c>
      <c r="G61" s="3">
        <v>0.5</v>
      </c>
      <c r="H61" s="3" t="s">
        <v>3281</v>
      </c>
      <c r="I61" s="3">
        <v>2414688000</v>
      </c>
      <c r="K61" s="3">
        <v>1.66</v>
      </c>
      <c r="L61" s="3" t="s">
        <v>343</v>
      </c>
      <c r="M61" s="3" t="s">
        <v>1196</v>
      </c>
      <c r="N61" s="3" t="s">
        <v>3282</v>
      </c>
      <c r="O61" s="3" t="s">
        <v>1923</v>
      </c>
      <c r="P61" s="3">
        <v>135.41</v>
      </c>
      <c r="Q61" s="3" t="s">
        <v>1923</v>
      </c>
      <c r="R61" s="3">
        <v>1840010</v>
      </c>
      <c r="S61" s="5">
        <v>1.1240000000000001</v>
      </c>
      <c r="T61" s="3" t="s">
        <v>3283</v>
      </c>
      <c r="U61" s="3">
        <v>221608630</v>
      </c>
      <c r="V61" s="3">
        <v>298847530</v>
      </c>
      <c r="W61" s="3">
        <v>2.4500000000000002</v>
      </c>
      <c r="X61" s="3">
        <v>0.17</v>
      </c>
      <c r="Y61" s="3">
        <v>0.28999999999999998</v>
      </c>
      <c r="Z61" s="3" t="s">
        <v>3136</v>
      </c>
      <c r="AA61" s="3" t="s">
        <v>189</v>
      </c>
      <c r="AB61" s="3" t="s">
        <v>3284</v>
      </c>
      <c r="AC61" s="3" t="s">
        <v>3285</v>
      </c>
      <c r="AD61" s="3" t="s">
        <v>4</v>
      </c>
      <c r="AE61" s="3">
        <v>8050976</v>
      </c>
      <c r="AF61" s="3" t="s">
        <v>1925</v>
      </c>
      <c r="AG61" s="3" t="s">
        <v>2336</v>
      </c>
      <c r="AH61" s="3" t="s">
        <v>1926</v>
      </c>
      <c r="AI61" s="3" t="s">
        <v>1272</v>
      </c>
      <c r="AJ61" s="3" t="s">
        <v>1927</v>
      </c>
      <c r="AK61" s="3" t="s">
        <v>3286</v>
      </c>
      <c r="AL61" s="3" t="s">
        <v>1928</v>
      </c>
      <c r="AM61" s="3" t="s">
        <v>4</v>
      </c>
      <c r="AN61" s="3" t="s">
        <v>144</v>
      </c>
      <c r="AO61" s="3" t="s">
        <v>2702</v>
      </c>
      <c r="AP61" s="3" t="s">
        <v>3287</v>
      </c>
      <c r="AQ61" s="3" t="s">
        <v>2141</v>
      </c>
      <c r="AR61" s="3" t="s">
        <v>3288</v>
      </c>
      <c r="AS61" s="3" t="s">
        <v>1977</v>
      </c>
      <c r="AT61" s="3" t="s">
        <v>1856</v>
      </c>
      <c r="AU61" s="3" t="s">
        <v>3289</v>
      </c>
      <c r="AV61" s="3" t="s">
        <v>3290</v>
      </c>
      <c r="AW61" s="3" t="s">
        <v>3291</v>
      </c>
      <c r="AX61" s="3" t="s">
        <v>1253</v>
      </c>
      <c r="AY61" s="3" t="s">
        <v>931</v>
      </c>
      <c r="AZ61" s="3" t="s">
        <v>660</v>
      </c>
      <c r="BA61" s="3" t="s">
        <v>340</v>
      </c>
      <c r="BB61" s="3" t="s">
        <v>662</v>
      </c>
      <c r="BC61" s="3" t="s">
        <v>99</v>
      </c>
      <c r="BD61" s="3" t="s">
        <v>162</v>
      </c>
      <c r="BE61" s="3" t="s">
        <v>199</v>
      </c>
      <c r="BF61" s="3" t="s">
        <v>202</v>
      </c>
      <c r="BG61" s="3" t="s">
        <v>663</v>
      </c>
      <c r="BH61" s="3" t="s">
        <v>1924</v>
      </c>
      <c r="BI61" s="3" t="s">
        <v>1052</v>
      </c>
      <c r="BJ61" s="3" t="s">
        <v>1253</v>
      </c>
      <c r="BK61" s="3" t="s">
        <v>875</v>
      </c>
      <c r="BL61" s="3" t="s">
        <v>3292</v>
      </c>
      <c r="BM61" s="3" t="s">
        <v>99</v>
      </c>
      <c r="BN61" s="3" t="s">
        <v>4</v>
      </c>
      <c r="BO61" s="3">
        <v>10.33</v>
      </c>
      <c r="BP61" s="3">
        <v>11.33</v>
      </c>
      <c r="BQ61" s="3">
        <v>-4.9800000000000004</v>
      </c>
      <c r="BR61" s="3">
        <v>13.05</v>
      </c>
      <c r="BS61" s="3">
        <v>13.69</v>
      </c>
      <c r="BT61" s="3" t="s">
        <v>1157</v>
      </c>
      <c r="BU61" s="3" t="s">
        <v>977</v>
      </c>
      <c r="BV61" s="3">
        <v>30.36</v>
      </c>
      <c r="BW61" s="3">
        <v>35.58</v>
      </c>
      <c r="BX61" s="3">
        <v>33.25</v>
      </c>
      <c r="BY61" s="3">
        <v>-6.59</v>
      </c>
      <c r="BZ61" s="3">
        <v>13.34</v>
      </c>
      <c r="CA61" s="3">
        <v>12.85</v>
      </c>
      <c r="CB61" s="3">
        <v>-5.61</v>
      </c>
      <c r="CC61" s="3">
        <v>-11.69</v>
      </c>
      <c r="CD61" s="3" t="s">
        <v>3293</v>
      </c>
      <c r="CE61" s="3" t="s">
        <v>2579</v>
      </c>
      <c r="CF61" s="10">
        <v>-0.41274238227146814</v>
      </c>
      <c r="CG61" s="11">
        <v>1.0286468931523398</v>
      </c>
      <c r="CH61" s="10">
        <v>-0.57908672094345093</v>
      </c>
      <c r="CI61" s="10">
        <v>6.7090444266796112E-2</v>
      </c>
      <c r="CJ61" s="10">
        <v>0.34472933411598206</v>
      </c>
      <c r="CK61" s="10">
        <v>4.3607532978057861E-2</v>
      </c>
      <c r="CL61" s="10">
        <v>4.5595854520797729E-2</v>
      </c>
      <c r="CM61" s="11">
        <v>-0.99089109897613525</v>
      </c>
      <c r="CN61" s="11">
        <v>0.10989011079072952</v>
      </c>
      <c r="CO61" s="11">
        <v>0.12345679104328156</v>
      </c>
      <c r="CP61" s="11">
        <v>0.5283018946647644</v>
      </c>
      <c r="CQ61" s="11">
        <v>0.50821632146835327</v>
      </c>
      <c r="CR61" s="3">
        <v>20.007863319107823</v>
      </c>
      <c r="CS61" s="3">
        <v>12.815111548061029</v>
      </c>
      <c r="CT61" s="3">
        <v>0</v>
      </c>
      <c r="CU61" s="10">
        <v>-1.5612711012363435E-2</v>
      </c>
      <c r="CV61" s="11">
        <v>5.5794803798198699E-2</v>
      </c>
      <c r="CW61" s="3">
        <v>0.06</v>
      </c>
      <c r="CX61" s="3">
        <v>1796.5695652173913</v>
      </c>
      <c r="CY61" s="3" t="s">
        <v>3294</v>
      </c>
      <c r="CZ61" s="3">
        <v>-1.5612711012363435E-2</v>
      </c>
      <c r="DA61" s="3">
        <v>598.85652173913047</v>
      </c>
      <c r="DB61" s="3" t="s">
        <v>3295</v>
      </c>
      <c r="DC61" s="3">
        <v>-1.4832075461745262E-2</v>
      </c>
      <c r="DD61" s="3">
        <v>299.42826086956524</v>
      </c>
      <c r="DE61" s="3" t="s">
        <v>3296</v>
      </c>
      <c r="DF61" s="3">
        <v>-1.3739185690879823E-2</v>
      </c>
      <c r="DG61" s="3">
        <v>179.65695652173912</v>
      </c>
      <c r="DH61" s="3" t="s">
        <v>3297</v>
      </c>
      <c r="DI61" s="3">
        <v>-1.2490168809890748E-2</v>
      </c>
      <c r="DJ61" s="3">
        <v>89.828478260869559</v>
      </c>
      <c r="DK61" s="3" t="s">
        <v>3298</v>
      </c>
      <c r="DL61" s="3">
        <v>-1.0928897708654404E-2</v>
      </c>
      <c r="DM61" s="3">
        <v>1840000</v>
      </c>
      <c r="DN61" s="3">
        <v>-1.5612711012363435E-2</v>
      </c>
      <c r="DO61" s="3">
        <v>3305688000</v>
      </c>
      <c r="DP61" s="3">
        <v>551776600</v>
      </c>
      <c r="DQ61" s="3">
        <v>2049</v>
      </c>
      <c r="DR61" s="3">
        <v>-0.3971296712591047</v>
      </c>
      <c r="DS61" s="3">
        <v>0.97285208935414114</v>
      </c>
      <c r="DT61" s="12">
        <v>-0.47333333333333333</v>
      </c>
      <c r="DU61" s="3">
        <v>-0.1166666666666667</v>
      </c>
      <c r="DV61" s="3">
        <v>-0.59000000000000008</v>
      </c>
      <c r="DW61" s="3">
        <v>-8.4798973481608204</v>
      </c>
      <c r="DX61" s="3">
        <v>0.31197725118483488</v>
      </c>
      <c r="DY61" s="3">
        <v>-8.0393406654531159</v>
      </c>
      <c r="DZ61" s="3">
        <v>2887</v>
      </c>
      <c r="EA61" s="3">
        <v>-8.0171143442861599</v>
      </c>
      <c r="EB61" s="3">
        <v>8</v>
      </c>
      <c r="EC61" s="3">
        <v>5.7879681990344711E-2</v>
      </c>
      <c r="ED61" s="3">
        <v>0.70604565478590375</v>
      </c>
      <c r="EE61" s="13">
        <v>-4.10311</v>
      </c>
      <c r="EF61" s="3">
        <v>-4.1242099999999997</v>
      </c>
      <c r="EG61" s="3">
        <v>23.081977251184835</v>
      </c>
      <c r="EH61" s="3" t="s">
        <v>1511</v>
      </c>
      <c r="EI61" s="3">
        <v>0</v>
      </c>
      <c r="EJ61" s="3">
        <v>0</v>
      </c>
      <c r="EK61" s="15">
        <v>45470</v>
      </c>
      <c r="EL61" s="16">
        <v>-1.69</v>
      </c>
      <c r="EM61" s="16">
        <v>-4.9400000000000004</v>
      </c>
      <c r="EN61" s="16">
        <v>-1.0900000000000001</v>
      </c>
      <c r="EO61" s="16">
        <v>4.4000000000000004</v>
      </c>
      <c r="EP61" s="16">
        <v>-2.11</v>
      </c>
    </row>
    <row r="62" spans="1:146" ht="96" x14ac:dyDescent="0.25">
      <c r="C62" s="7" t="str">
        <f>""&amp;CHAR(10)&amp;Basic_Fundamental_Information_Constructure(F62)&amp;CHAR(10)&amp;Basic_Fundamental_Information_Concatenate("")</f>
        <v xml:space="preserve">
市值28.38003亿, 利润1419.53万; PE13.69; 平均PE21.4; 平均PEG1.23, PB1.28; ROIC3.76%; ROE3.6733%; 股利率5.9055%; 毛利30.74%; 净利4.63%; 上一年度营收增-82.46%, 利润增-85.09%; 当季营收增-60.58%, 利润增-81.61%; 过往5年营收增-17.35%, 利润增23.89%
Income profile:
</v>
      </c>
      <c r="D62" s="3" t="s">
        <v>665</v>
      </c>
      <c r="E62" s="3" t="s">
        <v>666</v>
      </c>
      <c r="F62" s="3">
        <v>10.16</v>
      </c>
      <c r="G62" s="3">
        <v>0.4</v>
      </c>
      <c r="H62" s="3" t="s">
        <v>3299</v>
      </c>
      <c r="I62" s="3">
        <v>2838003000</v>
      </c>
      <c r="J62" s="3">
        <v>13.69</v>
      </c>
      <c r="K62" s="3">
        <v>1.28</v>
      </c>
      <c r="L62" s="3" t="s">
        <v>343</v>
      </c>
      <c r="M62" s="3" t="s">
        <v>1931</v>
      </c>
      <c r="N62" s="3" t="s">
        <v>3300</v>
      </c>
      <c r="O62" s="3" t="s">
        <v>872</v>
      </c>
      <c r="P62" s="3">
        <v>1.9</v>
      </c>
      <c r="Q62" s="3" t="s">
        <v>872</v>
      </c>
      <c r="R62" s="3">
        <v>14195321</v>
      </c>
      <c r="S62" s="5">
        <v>0.21199999999999999</v>
      </c>
      <c r="T62" s="3" t="s">
        <v>3301</v>
      </c>
      <c r="U62" s="3">
        <v>158969710</v>
      </c>
      <c r="V62" s="3">
        <v>279331000</v>
      </c>
      <c r="W62" s="3">
        <v>1.47</v>
      </c>
      <c r="X62" s="3">
        <v>0.12</v>
      </c>
      <c r="Y62" s="3">
        <v>3.57</v>
      </c>
      <c r="Z62" s="3" t="s">
        <v>228</v>
      </c>
      <c r="AA62" s="3" t="s">
        <v>1321</v>
      </c>
      <c r="AB62" s="3" t="s">
        <v>3302</v>
      </c>
      <c r="AC62" s="3" t="s">
        <v>3303</v>
      </c>
      <c r="AD62" s="3" t="s">
        <v>4</v>
      </c>
      <c r="AE62" s="3">
        <v>-553784</v>
      </c>
      <c r="AF62" s="3" t="s">
        <v>1932</v>
      </c>
      <c r="AG62" s="3" t="s">
        <v>3304</v>
      </c>
      <c r="AH62" s="3" t="s">
        <v>1933</v>
      </c>
      <c r="AI62" s="3" t="s">
        <v>1434</v>
      </c>
      <c r="AJ62" s="3" t="s">
        <v>1934</v>
      </c>
      <c r="AK62" s="3" t="s">
        <v>82</v>
      </c>
      <c r="AL62" s="3" t="s">
        <v>1935</v>
      </c>
      <c r="AM62" s="3" t="s">
        <v>4</v>
      </c>
      <c r="AN62" s="3" t="s">
        <v>3305</v>
      </c>
      <c r="AO62" s="3" t="s">
        <v>3306</v>
      </c>
      <c r="AP62" s="3" t="s">
        <v>1384</v>
      </c>
      <c r="AQ62" s="3" t="s">
        <v>187</v>
      </c>
      <c r="AR62" s="3" t="s">
        <v>4</v>
      </c>
      <c r="AS62" s="3" t="s">
        <v>3307</v>
      </c>
      <c r="AT62" s="3" t="s">
        <v>4</v>
      </c>
      <c r="AU62" s="3" t="s">
        <v>3308</v>
      </c>
      <c r="AV62" s="3" t="s">
        <v>3309</v>
      </c>
      <c r="AW62" s="3" t="s">
        <v>2101</v>
      </c>
      <c r="AX62" s="3" t="s">
        <v>1050</v>
      </c>
      <c r="AY62" s="3" t="s">
        <v>932</v>
      </c>
      <c r="AZ62" s="3" t="s">
        <v>667</v>
      </c>
      <c r="BA62" s="3" t="s">
        <v>668</v>
      </c>
      <c r="BB62" s="3" t="s">
        <v>669</v>
      </c>
      <c r="BC62" s="3" t="s">
        <v>1292</v>
      </c>
      <c r="BD62" s="3" t="s">
        <v>933</v>
      </c>
      <c r="BE62" s="3" t="s">
        <v>80</v>
      </c>
      <c r="BF62" s="3" t="s">
        <v>89</v>
      </c>
      <c r="BG62" s="3" t="s">
        <v>5</v>
      </c>
      <c r="BH62" s="3" t="s">
        <v>1440</v>
      </c>
      <c r="BI62" s="3" t="s">
        <v>3310</v>
      </c>
      <c r="BJ62" s="3" t="s">
        <v>1050</v>
      </c>
      <c r="BK62" s="3" t="s">
        <v>91</v>
      </c>
      <c r="BL62" s="3" t="s">
        <v>3311</v>
      </c>
      <c r="BM62" s="3" t="s">
        <v>1292</v>
      </c>
      <c r="BN62" s="3">
        <v>6.47</v>
      </c>
      <c r="BO62" s="3">
        <v>4.0999999999999996</v>
      </c>
      <c r="BP62" s="3">
        <v>0.71</v>
      </c>
      <c r="BQ62" s="3">
        <v>5.51</v>
      </c>
      <c r="BR62" s="3">
        <v>4.37</v>
      </c>
      <c r="BS62" s="3">
        <v>1.1399999999999999</v>
      </c>
      <c r="BT62" s="3" t="s">
        <v>1293</v>
      </c>
      <c r="BU62" s="3" t="s">
        <v>977</v>
      </c>
      <c r="BV62" s="3">
        <v>34.770000000000003</v>
      </c>
      <c r="BW62" s="3">
        <v>29.52</v>
      </c>
      <c r="BX62" s="3">
        <v>27.93</v>
      </c>
      <c r="BY62" s="3">
        <v>8.7100000000000009</v>
      </c>
      <c r="BZ62" s="3">
        <v>4.21</v>
      </c>
      <c r="CA62" s="3">
        <v>0.97</v>
      </c>
      <c r="CB62" s="3">
        <v>-3.15</v>
      </c>
      <c r="CC62" s="3">
        <v>-14.55</v>
      </c>
      <c r="CD62" s="3" t="s">
        <v>3312</v>
      </c>
      <c r="CE62" s="3" t="s">
        <v>3313</v>
      </c>
      <c r="CF62" s="10">
        <v>-0.605759682224429</v>
      </c>
      <c r="CG62" s="11">
        <v>-0.81610849288804832</v>
      </c>
      <c r="CH62" s="10">
        <v>-0.82464665174484253</v>
      </c>
      <c r="CI62" s="10">
        <v>-0.16426724195480347</v>
      </c>
      <c r="CJ62" s="10">
        <v>0.15670357644557953</v>
      </c>
      <c r="CK62" s="10">
        <v>-6.4696431159973145E-2</v>
      </c>
      <c r="CL62" s="10">
        <v>2.9182106256484985E-2</v>
      </c>
      <c r="CM62" s="11">
        <v>-0.85093158483505249</v>
      </c>
      <c r="CN62" s="11">
        <v>2.6130526065826416</v>
      </c>
      <c r="CO62" s="11">
        <v>-0.88784551620483398</v>
      </c>
      <c r="CP62" s="11">
        <v>-4.0816325694322586E-2</v>
      </c>
      <c r="CQ62" s="11">
        <v>0.3611111044883728</v>
      </c>
      <c r="CR62" s="3">
        <v>21.397942115285122</v>
      </c>
      <c r="CS62" s="3">
        <v>1.2329914972842186</v>
      </c>
      <c r="CT62" s="3">
        <v>5.9055118110236222</v>
      </c>
      <c r="CU62" s="10">
        <v>-0.17354492843151093</v>
      </c>
      <c r="CV62" s="11">
        <v>0.23891405686736106</v>
      </c>
      <c r="CW62" s="3">
        <v>0.06</v>
      </c>
      <c r="CX62" s="3">
        <v>127.43675723655012</v>
      </c>
      <c r="CY62" s="3" t="s">
        <v>3314</v>
      </c>
      <c r="CZ62" s="3">
        <v>-0.17354492843151093</v>
      </c>
      <c r="DA62" s="3">
        <v>42.478919078850041</v>
      </c>
      <c r="DB62" s="3" t="s">
        <v>3315</v>
      </c>
      <c r="DC62" s="3">
        <v>-0.16486768200993537</v>
      </c>
      <c r="DD62" s="3">
        <v>21.23945953942502</v>
      </c>
      <c r="DE62" s="3" t="s">
        <v>3316</v>
      </c>
      <c r="DF62" s="3">
        <v>-0.15271953701972962</v>
      </c>
      <c r="DG62" s="3">
        <v>12.743675723655013</v>
      </c>
      <c r="DH62" s="3" t="s">
        <v>3317</v>
      </c>
      <c r="DI62" s="3">
        <v>-0.13883594274520875</v>
      </c>
      <c r="DJ62" s="3">
        <v>6.3718378618275064</v>
      </c>
      <c r="DK62" s="3" t="s">
        <v>3318</v>
      </c>
      <c r="DL62" s="3">
        <v>-0.12148144990205764</v>
      </c>
      <c r="DM62" s="3">
        <v>14195300</v>
      </c>
      <c r="DN62" s="3">
        <v>-0.17354492843151093</v>
      </c>
      <c r="DO62" s="3">
        <v>1809003000</v>
      </c>
      <c r="DP62" s="3">
        <v>1273672100</v>
      </c>
      <c r="DQ62" s="3">
        <v>2092</v>
      </c>
      <c r="DR62" s="3">
        <v>-0.43221475379291807</v>
      </c>
      <c r="DS62" s="3">
        <v>-1.0550225497554093</v>
      </c>
      <c r="DT62" s="12">
        <v>-0.79</v>
      </c>
      <c r="DU62" s="3">
        <v>-0.62333333333333341</v>
      </c>
      <c r="DV62" s="3">
        <v>-1.4133333333333336</v>
      </c>
      <c r="DW62" s="3">
        <v>-8.216494845360824</v>
      </c>
      <c r="DX62" s="3">
        <v>0.36498831394033715</v>
      </c>
      <c r="DY62" s="3">
        <v>-8.0248943772448147</v>
      </c>
      <c r="DZ62" s="3">
        <v>1016</v>
      </c>
      <c r="EA62" s="3">
        <v>-8.0199447319843973</v>
      </c>
      <c r="EB62" s="3">
        <v>8</v>
      </c>
      <c r="EC62" s="3">
        <v>2.2932291797186852E-2</v>
      </c>
      <c r="ED62" s="3">
        <v>0.19943149883113581</v>
      </c>
      <c r="EE62" s="13">
        <v>-1.0503</v>
      </c>
      <c r="EF62" s="3">
        <v>-1.0370999999999999</v>
      </c>
      <c r="EG62" s="3">
        <v>25.114988313940337</v>
      </c>
      <c r="EH62" s="3" t="s">
        <v>1173</v>
      </c>
      <c r="EI62" s="3">
        <v>0</v>
      </c>
      <c r="EJ62" s="3">
        <v>1</v>
      </c>
      <c r="EK62" s="15">
        <v>45470</v>
      </c>
      <c r="EL62" s="16">
        <v>-0.47</v>
      </c>
      <c r="EM62" s="16">
        <v>-5.19</v>
      </c>
      <c r="EN62" s="16">
        <v>2.09</v>
      </c>
      <c r="EO62" s="16">
        <v>3.22</v>
      </c>
      <c r="EP62" s="16">
        <v>-1.32</v>
      </c>
    </row>
    <row r="63" spans="1:146" ht="96" x14ac:dyDescent="0.25">
      <c r="C63" s="7" t="str">
        <f>""&amp;CHAR(10)&amp;Basic_Fundamental_Information_Constructure(F63)&amp;CHAR(10)&amp;Basic_Fundamental_Information_Concatenate("")</f>
        <v xml:space="preserve">
市值28.290336亿, 利润2332.83万; PE33.97; 平均PE29.09; 平均PEG2.29, PB1.49; ROIC3.5933%; ROE3.65%; 股利率2.1916%; 毛利28.1033%; 净利8.08%; 上一年度营收增-75.18%, 利润增-55.58%; 当季营收增-58.59%, 利润增-71.3%; 过往5年营收增-12.73%, 利润增-21.46%
Income profile:
</v>
      </c>
      <c r="D63" s="3" t="s">
        <v>670</v>
      </c>
      <c r="E63" s="3" t="s">
        <v>671</v>
      </c>
      <c r="F63" s="3">
        <v>9.27</v>
      </c>
      <c r="G63" s="3">
        <v>0.54</v>
      </c>
      <c r="H63" s="3" t="s">
        <v>3319</v>
      </c>
      <c r="I63" s="3">
        <v>2829033600</v>
      </c>
      <c r="J63" s="3">
        <v>33.97</v>
      </c>
      <c r="K63" s="3">
        <v>1.49</v>
      </c>
      <c r="L63" s="3" t="s">
        <v>343</v>
      </c>
      <c r="M63" s="3" t="s">
        <v>294</v>
      </c>
      <c r="N63" s="3" t="s">
        <v>3320</v>
      </c>
      <c r="O63" s="3" t="s">
        <v>91</v>
      </c>
      <c r="P63" s="3">
        <v>-10.17</v>
      </c>
      <c r="Q63" s="3" t="s">
        <v>91</v>
      </c>
      <c r="R63" s="3">
        <v>23328256</v>
      </c>
      <c r="S63" s="5">
        <v>-0.20480000000000001</v>
      </c>
      <c r="T63" s="3" t="s">
        <v>3321</v>
      </c>
      <c r="U63" s="3">
        <v>221210560</v>
      </c>
      <c r="V63" s="3">
        <v>305181620</v>
      </c>
      <c r="W63" s="3">
        <v>1.34</v>
      </c>
      <c r="X63" s="3">
        <v>0.08</v>
      </c>
      <c r="Y63" s="3">
        <v>11.57</v>
      </c>
      <c r="Z63" s="3" t="s">
        <v>1014</v>
      </c>
      <c r="AA63" s="3" t="s">
        <v>68</v>
      </c>
      <c r="AB63" s="3" t="s">
        <v>3322</v>
      </c>
      <c r="AC63" s="3" t="s">
        <v>3323</v>
      </c>
      <c r="AD63" s="3" t="s">
        <v>4</v>
      </c>
      <c r="AE63" s="3">
        <v>-662511</v>
      </c>
      <c r="AF63" s="3" t="s">
        <v>1938</v>
      </c>
      <c r="AG63" s="3" t="s">
        <v>3324</v>
      </c>
      <c r="AH63" s="3" t="s">
        <v>1939</v>
      </c>
      <c r="AI63" s="3" t="s">
        <v>1615</v>
      </c>
      <c r="AJ63" s="3" t="s">
        <v>1940</v>
      </c>
      <c r="AK63" s="3" t="s">
        <v>3325</v>
      </c>
      <c r="AL63" s="3" t="s">
        <v>1941</v>
      </c>
      <c r="AM63" s="3" t="s">
        <v>4</v>
      </c>
      <c r="AN63" s="3" t="s">
        <v>3326</v>
      </c>
      <c r="AO63" s="3" t="s">
        <v>867</v>
      </c>
      <c r="AP63" s="3" t="s">
        <v>3327</v>
      </c>
      <c r="AQ63" s="3" t="s">
        <v>68</v>
      </c>
      <c r="AR63" s="3" t="s">
        <v>4</v>
      </c>
      <c r="AS63" s="3" t="s">
        <v>280</v>
      </c>
      <c r="AT63" s="3" t="s">
        <v>3328</v>
      </c>
      <c r="AU63" s="3" t="s">
        <v>3329</v>
      </c>
      <c r="AV63" s="3" t="s">
        <v>3330</v>
      </c>
      <c r="AW63" s="3" t="s">
        <v>3331</v>
      </c>
      <c r="AX63" s="3" t="s">
        <v>1294</v>
      </c>
      <c r="AY63" s="3" t="s">
        <v>479</v>
      </c>
      <c r="AZ63" s="3" t="s">
        <v>64</v>
      </c>
      <c r="BA63" s="3" t="s">
        <v>279</v>
      </c>
      <c r="BB63" s="3" t="s">
        <v>672</v>
      </c>
      <c r="BC63" s="3" t="s">
        <v>1295</v>
      </c>
      <c r="BD63" s="3" t="s">
        <v>934</v>
      </c>
      <c r="BE63" s="3" t="s">
        <v>62</v>
      </c>
      <c r="BF63" s="3" t="s">
        <v>145</v>
      </c>
      <c r="BG63" s="3" t="s">
        <v>118</v>
      </c>
      <c r="BH63" s="3" t="s">
        <v>1807</v>
      </c>
      <c r="BI63" s="3" t="s">
        <v>197</v>
      </c>
      <c r="BJ63" s="3" t="s">
        <v>1294</v>
      </c>
      <c r="BK63" s="3" t="s">
        <v>1937</v>
      </c>
      <c r="BL63" s="3" t="s">
        <v>3332</v>
      </c>
      <c r="BM63" s="3" t="s">
        <v>1295</v>
      </c>
      <c r="BN63" s="3">
        <v>4.34</v>
      </c>
      <c r="BO63" s="3">
        <v>2.62</v>
      </c>
      <c r="BP63" s="3">
        <v>3.82</v>
      </c>
      <c r="BQ63" s="3">
        <v>4.18</v>
      </c>
      <c r="BR63" s="3">
        <v>2.63</v>
      </c>
      <c r="BS63" s="3">
        <v>4.1399999999999997</v>
      </c>
      <c r="BT63" s="3" t="s">
        <v>3333</v>
      </c>
      <c r="BU63" s="3" t="s">
        <v>977</v>
      </c>
      <c r="BV63" s="3">
        <v>28.76</v>
      </c>
      <c r="BW63" s="3">
        <v>28.47</v>
      </c>
      <c r="BX63" s="3">
        <v>27.08</v>
      </c>
      <c r="BY63" s="3">
        <v>9.8699999999999992</v>
      </c>
      <c r="BZ63" s="3">
        <v>6.31</v>
      </c>
      <c r="CA63" s="3">
        <v>8.06</v>
      </c>
      <c r="CB63" s="3">
        <v>-6.83</v>
      </c>
      <c r="CC63" s="3">
        <v>-11.69</v>
      </c>
      <c r="CD63" s="3" t="s">
        <v>3334</v>
      </c>
      <c r="CE63" s="3" t="s">
        <v>144</v>
      </c>
      <c r="CF63" s="10">
        <v>-0.58585858585858586</v>
      </c>
      <c r="CG63" s="11">
        <v>-0.71295366063738153</v>
      </c>
      <c r="CH63" s="10">
        <v>-0.75181597471237183</v>
      </c>
      <c r="CI63" s="10">
        <v>-0.18540434539318085</v>
      </c>
      <c r="CJ63" s="10">
        <v>5.1867220550775528E-2</v>
      </c>
      <c r="CK63" s="10">
        <v>-1.9328586757183075E-2</v>
      </c>
      <c r="CL63" s="10">
        <v>0.26838710904121399</v>
      </c>
      <c r="CM63" s="11">
        <v>-0.55576229095458984</v>
      </c>
      <c r="CN63" s="11">
        <v>-0.34840726852416992</v>
      </c>
      <c r="CO63" s="11">
        <v>-0.40302294492721558</v>
      </c>
      <c r="CP63" s="11">
        <v>-0.2196531742811203</v>
      </c>
      <c r="CQ63" s="11">
        <v>0.45378151535987854</v>
      </c>
      <c r="CR63" s="3">
        <v>29.09364549469494</v>
      </c>
      <c r="CS63" s="3">
        <v>2.2861773881121308</v>
      </c>
      <c r="CT63" s="3">
        <v>2.1916407766990291</v>
      </c>
      <c r="CU63" s="10">
        <v>-0.12725891545414925</v>
      </c>
      <c r="CV63" s="11">
        <v>-0.21461283266544343</v>
      </c>
      <c r="CW63" s="3">
        <v>0.06</v>
      </c>
      <c r="CX63" s="3">
        <v>68.630530300107594</v>
      </c>
      <c r="CY63" s="3" t="s">
        <v>3335</v>
      </c>
      <c r="CZ63" s="3">
        <v>-0.12725891545414925</v>
      </c>
      <c r="DA63" s="3">
        <v>22.876843433369199</v>
      </c>
      <c r="DB63" s="3" t="s">
        <v>3336</v>
      </c>
      <c r="DC63" s="3">
        <v>-0.12089596968144178</v>
      </c>
      <c r="DD63" s="3">
        <v>11.4384217166846</v>
      </c>
      <c r="DE63" s="3" t="s">
        <v>3337</v>
      </c>
      <c r="DF63" s="3">
        <v>-0.11198784559965133</v>
      </c>
      <c r="DG63" s="3">
        <v>6.8630530300107591</v>
      </c>
      <c r="DH63" s="3" t="s">
        <v>3338</v>
      </c>
      <c r="DI63" s="3">
        <v>-0.1018071323633194</v>
      </c>
      <c r="DJ63" s="3">
        <v>3.4315265150053795</v>
      </c>
      <c r="DK63" s="3" t="s">
        <v>3339</v>
      </c>
      <c r="DL63" s="3">
        <v>-8.9081240817904472E-2</v>
      </c>
      <c r="DM63" s="3">
        <v>23328300</v>
      </c>
      <c r="DN63" s="3">
        <v>-0.12725891545414925</v>
      </c>
      <c r="DO63" s="3">
        <v>1601033600</v>
      </c>
      <c r="DP63" s="3">
        <v>1292438000</v>
      </c>
      <c r="DQ63" s="3">
        <v>2099</v>
      </c>
      <c r="DR63" s="3">
        <v>-0.45859967040443661</v>
      </c>
      <c r="DS63" s="3">
        <v>-0.49834082797193813</v>
      </c>
      <c r="DT63" s="12">
        <v>-0.82333333333333325</v>
      </c>
      <c r="DU63" s="3">
        <v>-0.90666666666666662</v>
      </c>
      <c r="DV63" s="3">
        <v>-1.73</v>
      </c>
      <c r="DW63" s="3">
        <v>-9.58426005132592</v>
      </c>
      <c r="DX63" s="3">
        <v>0.19534940476190521</v>
      </c>
      <c r="DY63" s="3">
        <v>-9.0381810465803092</v>
      </c>
      <c r="DZ63" s="3">
        <v>3163</v>
      </c>
      <c r="EA63" s="3">
        <v>-9.0145476512117142</v>
      </c>
      <c r="EB63" s="3">
        <v>9</v>
      </c>
      <c r="EC63" s="3">
        <v>3.597431588442318E-2</v>
      </c>
      <c r="ED63" s="3">
        <v>0.55049186776058134</v>
      </c>
      <c r="EE63" s="13">
        <v>-3.0228999999999999</v>
      </c>
      <c r="EF63" s="3">
        <v>-3.0057</v>
      </c>
      <c r="EG63" s="3">
        <v>13.065349404761905</v>
      </c>
      <c r="EH63" s="3" t="s">
        <v>1400</v>
      </c>
      <c r="EI63" s="3">
        <v>0</v>
      </c>
      <c r="EJ63" s="3">
        <v>0</v>
      </c>
      <c r="EK63" s="15">
        <v>45470</v>
      </c>
      <c r="EL63" s="16">
        <v>-0.3</v>
      </c>
      <c r="EM63" s="16">
        <v>-6.13</v>
      </c>
      <c r="EN63" s="16">
        <v>-1.37</v>
      </c>
      <c r="EO63" s="16">
        <v>5.34</v>
      </c>
      <c r="EP63" s="16">
        <v>-1.72</v>
      </c>
    </row>
    <row r="64" spans="1:146" ht="96" x14ac:dyDescent="0.25">
      <c r="C64" s="7" t="str">
        <f>""&amp;CHAR(10)&amp;Basic_Fundamental_Information_Constructure(F64)&amp;CHAR(10)&amp;Basic_Fundamental_Information_Concatenate("")</f>
        <v xml:space="preserve">
市值22.760177亿, 利润1229.03万; PE37.36; 平均PE27.6; 平均PEG11.93, PB2.44; ROIC9.21%; ROE9.47%; 股利率.6211%; 毛利41.8967%; 净利25.5567%; 上一年度营收增-62.18%, 利润增-71.4%; 当季营收增-28.92%, 利润增-47.73%; 过往5年营收增-2.31%, 利润增-9.25%
Income profile:
</v>
      </c>
      <c r="D64" s="3" t="s">
        <v>673</v>
      </c>
      <c r="E64" s="3" t="s">
        <v>674</v>
      </c>
      <c r="F64" s="3">
        <v>8.0500000000000007</v>
      </c>
      <c r="G64" s="3">
        <v>-1.23</v>
      </c>
      <c r="H64" s="3" t="s">
        <v>3340</v>
      </c>
      <c r="I64" s="3">
        <v>2276017700</v>
      </c>
      <c r="J64" s="3">
        <v>37.36</v>
      </c>
      <c r="K64" s="3">
        <v>2.44</v>
      </c>
      <c r="L64" s="3" t="s">
        <v>343</v>
      </c>
      <c r="M64" s="3" t="s">
        <v>3341</v>
      </c>
      <c r="N64" s="3" t="s">
        <v>3177</v>
      </c>
      <c r="O64" s="3" t="s">
        <v>3342</v>
      </c>
      <c r="P64" s="3">
        <v>58.93</v>
      </c>
      <c r="Q64" s="3" t="s">
        <v>3342</v>
      </c>
      <c r="R64" s="3">
        <v>12290250</v>
      </c>
      <c r="S64" s="5">
        <v>0.57389999999999997</v>
      </c>
      <c r="T64" s="3" t="s">
        <v>3343</v>
      </c>
      <c r="U64" s="3">
        <v>240840510</v>
      </c>
      <c r="V64" s="3">
        <v>282735120</v>
      </c>
      <c r="W64" s="3">
        <v>1.26</v>
      </c>
      <c r="X64" s="3">
        <v>0.08</v>
      </c>
      <c r="Y64" s="3">
        <v>13.56</v>
      </c>
      <c r="Z64" s="3" t="s">
        <v>3344</v>
      </c>
      <c r="AA64" s="3" t="s">
        <v>3345</v>
      </c>
      <c r="AB64" s="3" t="s">
        <v>3346</v>
      </c>
      <c r="AC64" s="3" t="s">
        <v>3347</v>
      </c>
      <c r="AD64" s="3" t="s">
        <v>4</v>
      </c>
      <c r="AE64" s="3">
        <v>-414548</v>
      </c>
      <c r="AF64" s="3" t="s">
        <v>3348</v>
      </c>
      <c r="AG64" s="3" t="s">
        <v>3349</v>
      </c>
      <c r="AH64" s="3" t="s">
        <v>3350</v>
      </c>
      <c r="AI64" s="3" t="s">
        <v>207</v>
      </c>
      <c r="AJ64" s="3" t="s">
        <v>3351</v>
      </c>
      <c r="AK64" s="3" t="s">
        <v>3352</v>
      </c>
      <c r="AL64" s="3" t="s">
        <v>3353</v>
      </c>
      <c r="AM64" s="3" t="s">
        <v>4</v>
      </c>
      <c r="AN64" s="3" t="s">
        <v>3354</v>
      </c>
      <c r="AO64" s="3" t="s">
        <v>3355</v>
      </c>
      <c r="AP64" s="3" t="s">
        <v>4</v>
      </c>
      <c r="AQ64" s="3" t="s">
        <v>3356</v>
      </c>
      <c r="AR64" s="3" t="s">
        <v>4</v>
      </c>
      <c r="AS64" s="3" t="s">
        <v>183</v>
      </c>
      <c r="AT64" s="3" t="s">
        <v>3357</v>
      </c>
      <c r="AU64" s="3" t="s">
        <v>3358</v>
      </c>
      <c r="AV64" s="3" t="s">
        <v>3359</v>
      </c>
      <c r="AW64" s="3" t="s">
        <v>3360</v>
      </c>
      <c r="AX64" s="3" t="s">
        <v>134</v>
      </c>
      <c r="AY64" s="3" t="s">
        <v>147</v>
      </c>
      <c r="AZ64" s="3" t="s">
        <v>54</v>
      </c>
      <c r="BA64" s="3" t="s">
        <v>91</v>
      </c>
      <c r="BB64" s="3" t="s">
        <v>78</v>
      </c>
      <c r="BC64" s="3" t="s">
        <v>1296</v>
      </c>
      <c r="BD64" s="3" t="s">
        <v>65</v>
      </c>
      <c r="BE64" s="3" t="s">
        <v>37</v>
      </c>
      <c r="BF64" s="3" t="s">
        <v>675</v>
      </c>
      <c r="BG64" s="3" t="s">
        <v>676</v>
      </c>
      <c r="BH64" s="3" t="s">
        <v>291</v>
      </c>
      <c r="BI64" s="3" t="s">
        <v>148</v>
      </c>
      <c r="BJ64" s="3" t="s">
        <v>134</v>
      </c>
      <c r="BK64" s="3" t="s">
        <v>3361</v>
      </c>
      <c r="BL64" s="3" t="s">
        <v>1451</v>
      </c>
      <c r="BM64" s="3" t="s">
        <v>1296</v>
      </c>
      <c r="BN64" s="3">
        <v>4.3499999999999996</v>
      </c>
      <c r="BO64" s="3">
        <v>5.67</v>
      </c>
      <c r="BP64" s="3">
        <v>17.61</v>
      </c>
      <c r="BQ64" s="3">
        <v>4.87</v>
      </c>
      <c r="BR64" s="3">
        <v>5.75</v>
      </c>
      <c r="BS64" s="3">
        <v>17.79</v>
      </c>
      <c r="BT64" s="3" t="s">
        <v>3362</v>
      </c>
      <c r="BU64" s="3" t="s">
        <v>1011</v>
      </c>
      <c r="BV64" s="3">
        <v>38.26</v>
      </c>
      <c r="BW64" s="3">
        <v>37.72</v>
      </c>
      <c r="BX64" s="3">
        <v>49.71</v>
      </c>
      <c r="BY64" s="3">
        <v>19.14</v>
      </c>
      <c r="BZ64" s="3">
        <v>17.2</v>
      </c>
      <c r="CA64" s="3">
        <v>40.33</v>
      </c>
      <c r="CB64" s="3">
        <v>-4.28</v>
      </c>
      <c r="CC64" s="3">
        <v>-5.07</v>
      </c>
      <c r="CD64" s="3" t="s">
        <v>3363</v>
      </c>
      <c r="CE64" s="3" t="s">
        <v>117</v>
      </c>
      <c r="CF64" s="10">
        <v>-0.28918421052631577</v>
      </c>
      <c r="CG64" s="11">
        <v>-0.47729089934758395</v>
      </c>
      <c r="CH64" s="10">
        <v>-0.62184602022171021</v>
      </c>
      <c r="CI64" s="10">
        <v>-0.19614148139953613</v>
      </c>
      <c r="CJ64" s="10">
        <v>-9.5930233597755432E-2</v>
      </c>
      <c r="CK64" s="10">
        <v>0.67804878950119019</v>
      </c>
      <c r="CL64" s="10">
        <v>0.12021858245134354</v>
      </c>
      <c r="CM64" s="11">
        <v>-0.71404939889907837</v>
      </c>
      <c r="CN64" s="11">
        <v>-0.65888494253158569</v>
      </c>
      <c r="CO64" s="11">
        <v>-0.21739129722118378</v>
      </c>
      <c r="CP64" s="11">
        <v>0.95982956886291504</v>
      </c>
      <c r="CQ64" s="11">
        <v>0.16821925342082977</v>
      </c>
      <c r="CR64" s="3">
        <v>27.602507976387667</v>
      </c>
      <c r="CS64" s="3">
        <v>11.933601934647276</v>
      </c>
      <c r="CT64" s="3">
        <v>0.6211180124223602</v>
      </c>
      <c r="CU64" s="10">
        <v>-2.3130072653293608E-2</v>
      </c>
      <c r="CV64" s="11">
        <v>-9.2455363273620611E-2</v>
      </c>
      <c r="CW64" s="3">
        <v>0.06</v>
      </c>
      <c r="CX64" s="3">
        <v>133.44000553281856</v>
      </c>
      <c r="CY64" s="3" t="s">
        <v>3364</v>
      </c>
      <c r="CZ64" s="3">
        <v>-2.3130072653293608E-2</v>
      </c>
      <c r="DA64" s="3">
        <v>44.480001844272856</v>
      </c>
      <c r="DB64" s="3" t="s">
        <v>3365</v>
      </c>
      <c r="DC64" s="3">
        <v>-2.1973569020628927E-2</v>
      </c>
      <c r="DD64" s="3">
        <v>22.240000922136428</v>
      </c>
      <c r="DE64" s="3" t="s">
        <v>3366</v>
      </c>
      <c r="DF64" s="3">
        <v>-2.0354463934898374E-2</v>
      </c>
      <c r="DG64" s="3">
        <v>13.344000553281857</v>
      </c>
      <c r="DH64" s="3" t="s">
        <v>3367</v>
      </c>
      <c r="DI64" s="3">
        <v>-1.8504058122634889E-2</v>
      </c>
      <c r="DJ64" s="3">
        <v>6.6720002766409285</v>
      </c>
      <c r="DK64" s="3" t="s">
        <v>3368</v>
      </c>
      <c r="DL64" s="3">
        <v>-1.6191050857305524E-2</v>
      </c>
      <c r="DM64" s="3">
        <v>12290300</v>
      </c>
      <c r="DN64" s="3">
        <v>-2.3130072653293608E-2</v>
      </c>
      <c r="DO64" s="3">
        <v>1640017700</v>
      </c>
      <c r="DP64" s="3">
        <v>382968840</v>
      </c>
      <c r="DQ64" s="3">
        <v>2167</v>
      </c>
      <c r="DR64" s="3">
        <v>-0.26605413787302218</v>
      </c>
      <c r="DS64" s="3">
        <v>-0.38483553607396337</v>
      </c>
      <c r="DT64" s="12">
        <v>-0.69</v>
      </c>
      <c r="DU64" s="3">
        <v>-0.65333333333333332</v>
      </c>
      <c r="DV64" s="3">
        <v>-1.3433333333333333</v>
      </c>
      <c r="DW64" s="3">
        <v>-8.8441814595660748</v>
      </c>
      <c r="DX64" s="3">
        <v>0.43531636363636306</v>
      </c>
      <c r="DY64" s="3">
        <v>-8.1902078967186664</v>
      </c>
      <c r="DZ64" s="3">
        <v>2001</v>
      </c>
      <c r="EA64" s="3">
        <v>-8.1157253132873457</v>
      </c>
      <c r="EB64" s="3">
        <v>8</v>
      </c>
      <c r="EC64" s="3">
        <v>0.13149126999150301</v>
      </c>
      <c r="ED64" s="3">
        <v>0.58358508840359136</v>
      </c>
      <c r="EE64" s="13">
        <v>-4.0414000000000003</v>
      </c>
      <c r="EF64" s="3">
        <v>-4.0221</v>
      </c>
      <c r="EG64" s="3">
        <v>21.225316363636363</v>
      </c>
      <c r="EH64" s="3" t="s">
        <v>1464</v>
      </c>
      <c r="EI64" s="3">
        <v>0</v>
      </c>
      <c r="EJ64" s="3">
        <v>0</v>
      </c>
      <c r="EK64" s="15">
        <v>45470</v>
      </c>
      <c r="EL64" s="16">
        <v>1.44</v>
      </c>
      <c r="EM64" s="16">
        <v>-4.2699999999999996</v>
      </c>
      <c r="EN64" s="16">
        <v>-2.11</v>
      </c>
      <c r="EO64" s="16">
        <v>5.0599999999999996</v>
      </c>
      <c r="EP64" s="16">
        <v>-1.93</v>
      </c>
    </row>
    <row r="65" spans="1:146" ht="96" x14ac:dyDescent="0.25">
      <c r="C65" s="7" t="str">
        <f>""&amp;CHAR(10)&amp;Basic_Fundamental_Information_Constructure(F65)&amp;CHAR(10)&amp;Basic_Fundamental_Information_Concatenate("")</f>
        <v xml:space="preserve">
市值57.587178亿, 利润4810.76万; PE32.56; 平均PE163.21; 平均PEG8.09, PB2.22; ROIC5.32%; ROE4.79%; 股利率1.8779%; 毛利12.1467%; 净利3.52%; 上一年度营收增-70.43%, 利润增176%; 当季营收增-49.96%, 利润增91.87%; 过往5年营收增20.18%, 利润增174.15%
Income profile:
</v>
      </c>
      <c r="D65" s="3" t="s">
        <v>677</v>
      </c>
      <c r="E65" s="3" t="s">
        <v>678</v>
      </c>
      <c r="F65" s="3">
        <v>8.52</v>
      </c>
      <c r="G65" s="3">
        <v>-0.35</v>
      </c>
      <c r="H65" s="3" t="s">
        <v>3369</v>
      </c>
      <c r="I65" s="3">
        <v>5758717800</v>
      </c>
      <c r="J65" s="3">
        <v>32.56</v>
      </c>
      <c r="K65" s="3">
        <v>2.2200000000000002</v>
      </c>
      <c r="L65" s="3" t="s">
        <v>343</v>
      </c>
      <c r="M65" s="3" t="s">
        <v>1942</v>
      </c>
      <c r="N65" s="3" t="s">
        <v>3370</v>
      </c>
      <c r="O65" s="3" t="s">
        <v>1314</v>
      </c>
      <c r="P65" s="3">
        <v>10.55</v>
      </c>
      <c r="Q65" s="3" t="s">
        <v>1314</v>
      </c>
      <c r="R65" s="3">
        <v>48107582</v>
      </c>
      <c r="S65" s="5">
        <v>7.335</v>
      </c>
      <c r="T65" s="3" t="s">
        <v>3371</v>
      </c>
      <c r="U65" s="3">
        <v>503443220</v>
      </c>
      <c r="V65" s="3">
        <v>675905850</v>
      </c>
      <c r="W65" s="3">
        <v>1.75</v>
      </c>
      <c r="X65" s="3">
        <v>0.13</v>
      </c>
      <c r="Y65" s="3">
        <v>8.01</v>
      </c>
      <c r="Z65" s="3" t="s">
        <v>2670</v>
      </c>
      <c r="AA65" s="3" t="s">
        <v>1635</v>
      </c>
      <c r="AB65" s="3" t="s">
        <v>3372</v>
      </c>
      <c r="AC65" s="3" t="s">
        <v>3373</v>
      </c>
      <c r="AD65" s="3" t="s">
        <v>4</v>
      </c>
      <c r="AE65" s="3">
        <v>-14112824</v>
      </c>
      <c r="AF65" s="3" t="s">
        <v>1944</v>
      </c>
      <c r="AG65" s="3" t="s">
        <v>3374</v>
      </c>
      <c r="AH65" s="3" t="s">
        <v>1945</v>
      </c>
      <c r="AI65" s="3" t="s">
        <v>3375</v>
      </c>
      <c r="AJ65" s="3" t="s">
        <v>1946</v>
      </c>
      <c r="AK65" s="3" t="s">
        <v>216</v>
      </c>
      <c r="AL65" s="3" t="s">
        <v>1947</v>
      </c>
      <c r="AM65" s="3" t="s">
        <v>4</v>
      </c>
      <c r="AN65" s="3" t="s">
        <v>3376</v>
      </c>
      <c r="AO65" s="3" t="s">
        <v>2727</v>
      </c>
      <c r="AP65" s="3" t="s">
        <v>3377</v>
      </c>
      <c r="AQ65" s="3" t="s">
        <v>2789</v>
      </c>
      <c r="AR65" s="3" t="s">
        <v>4</v>
      </c>
      <c r="AS65" s="3" t="s">
        <v>759</v>
      </c>
      <c r="AT65" s="3" t="s">
        <v>4</v>
      </c>
      <c r="AU65" s="3" t="s">
        <v>3378</v>
      </c>
      <c r="AV65" s="3" t="s">
        <v>3379</v>
      </c>
      <c r="AW65" s="3" t="s">
        <v>890</v>
      </c>
      <c r="AX65" s="3" t="s">
        <v>1297</v>
      </c>
      <c r="AY65" s="3" t="s">
        <v>733</v>
      </c>
      <c r="AZ65" s="3" t="s">
        <v>679</v>
      </c>
      <c r="BA65" s="3" t="s">
        <v>682</v>
      </c>
      <c r="BB65" s="3" t="s">
        <v>114</v>
      </c>
      <c r="BC65" s="3" t="s">
        <v>1948</v>
      </c>
      <c r="BD65" s="3" t="s">
        <v>36</v>
      </c>
      <c r="BE65" s="3" t="s">
        <v>680</v>
      </c>
      <c r="BF65" s="3" t="s">
        <v>683</v>
      </c>
      <c r="BG65" s="3" t="s">
        <v>684</v>
      </c>
      <c r="BH65" s="3" t="s">
        <v>1943</v>
      </c>
      <c r="BI65" s="3" t="s">
        <v>3380</v>
      </c>
      <c r="BJ65" s="3" t="s">
        <v>1297</v>
      </c>
      <c r="BK65" s="3" t="s">
        <v>124</v>
      </c>
      <c r="BL65" s="3" t="s">
        <v>3381</v>
      </c>
      <c r="BM65" s="3" t="s">
        <v>1948</v>
      </c>
      <c r="BN65" s="3">
        <v>0.86</v>
      </c>
      <c r="BO65" s="3" t="s">
        <v>4</v>
      </c>
      <c r="BP65" s="3">
        <v>9.7799999999999994</v>
      </c>
      <c r="BQ65" s="3">
        <v>4.25</v>
      </c>
      <c r="BR65" s="3">
        <v>-3.9</v>
      </c>
      <c r="BS65" s="3">
        <v>14.02</v>
      </c>
      <c r="BT65" s="3" t="s">
        <v>1949</v>
      </c>
      <c r="BU65" s="3" t="s">
        <v>977</v>
      </c>
      <c r="BV65" s="3">
        <v>10.44</v>
      </c>
      <c r="BW65" s="3">
        <v>9.11</v>
      </c>
      <c r="BX65" s="3">
        <v>16.89</v>
      </c>
      <c r="BY65" s="3">
        <v>4.88</v>
      </c>
      <c r="BZ65" s="3">
        <v>-3.13</v>
      </c>
      <c r="CA65" s="3">
        <v>8.81</v>
      </c>
      <c r="CB65" s="3">
        <v>-5.33</v>
      </c>
      <c r="CC65" s="3">
        <v>-7.49</v>
      </c>
      <c r="CD65" s="3" t="s">
        <v>3382</v>
      </c>
      <c r="CE65" s="3" t="s">
        <v>1053</v>
      </c>
      <c r="CF65" s="10">
        <v>-0.49958298582151794</v>
      </c>
      <c r="CG65" s="11">
        <v>0.9187389370824609</v>
      </c>
      <c r="CH65" s="10">
        <v>-0.7042878270149231</v>
      </c>
      <c r="CI65" s="10">
        <v>9.955202229321003E-3</v>
      </c>
      <c r="CJ65" s="10">
        <v>0.42786058783531189</v>
      </c>
      <c r="CK65" s="10">
        <v>0.23097111284732819</v>
      </c>
      <c r="CL65" s="10">
        <v>1.0447227954864502</v>
      </c>
      <c r="CM65" s="11">
        <v>1.760029673576355</v>
      </c>
      <c r="CN65" s="11">
        <v>-1.3576101064682007</v>
      </c>
      <c r="CO65" s="11">
        <v>7.2807407379150391</v>
      </c>
      <c r="CP65" s="11">
        <v>1.6245226860046387</v>
      </c>
      <c r="CQ65" s="11">
        <v>-0.60021305084228516</v>
      </c>
      <c r="CR65" s="3">
        <v>163.21246245891621</v>
      </c>
      <c r="CS65" s="3">
        <v>8.0860545677224067</v>
      </c>
      <c r="CT65" s="3">
        <v>1.8779342723004697</v>
      </c>
      <c r="CU65" s="10">
        <v>0.20184437427669763</v>
      </c>
      <c r="CV65" s="11">
        <v>1.7414939880371094</v>
      </c>
      <c r="CW65" s="3">
        <v>0.06</v>
      </c>
      <c r="CX65" s="3">
        <v>92.505359748983338</v>
      </c>
      <c r="CY65" s="3">
        <v>54545140.018824197</v>
      </c>
      <c r="CZ65" s="3">
        <v>0.20184437427669763</v>
      </c>
      <c r="DA65" s="3">
        <v>27.532341880155066</v>
      </c>
      <c r="DB65" s="3">
        <v>183265114.96782205</v>
      </c>
      <c r="DC65" s="3">
        <v>0.19175215556286274</v>
      </c>
      <c r="DD65" s="3">
        <v>11.901923307730707</v>
      </c>
      <c r="DE65" s="3">
        <v>423941380.69454992</v>
      </c>
      <c r="DF65" s="3">
        <v>0.17762304936349391</v>
      </c>
      <c r="DG65" s="3">
        <v>6.1300930845624118</v>
      </c>
      <c r="DH65" s="3">
        <v>823106228.63244522</v>
      </c>
      <c r="DI65" s="3">
        <v>0.16147549942135811</v>
      </c>
      <c r="DJ65" s="3">
        <v>2.2080170073413488</v>
      </c>
      <c r="DK65" s="3">
        <v>2285180677.1522555</v>
      </c>
      <c r="DL65" s="3">
        <v>0.14129106199368832</v>
      </c>
      <c r="DM65" s="3">
        <v>48107600</v>
      </c>
      <c r="DN65" s="3">
        <v>0.20184437427669763</v>
      </c>
      <c r="DO65" s="3">
        <v>5045717800</v>
      </c>
      <c r="DP65" s="3">
        <v>1065730900</v>
      </c>
      <c r="DQ65" s="3">
        <v>2173</v>
      </c>
      <c r="DR65" s="3">
        <v>-0.7014273600982156</v>
      </c>
      <c r="DS65" s="3">
        <v>-0.82275505095464851</v>
      </c>
      <c r="DT65" s="12">
        <v>-0.32333333333333331</v>
      </c>
      <c r="DU65" s="3">
        <v>0.45166666666666666</v>
      </c>
      <c r="DV65" s="3">
        <v>0.12833333333333335</v>
      </c>
      <c r="DW65" s="3">
        <v>-8.711615487316422</v>
      </c>
      <c r="DX65" s="3">
        <v>0.33004503464203139</v>
      </c>
      <c r="DY65" s="3">
        <v>-8.064077441207214</v>
      </c>
      <c r="DZ65" s="3">
        <v>439</v>
      </c>
      <c r="EA65" s="3">
        <v>-8.0585725494870637</v>
      </c>
      <c r="EB65" s="3">
        <v>8</v>
      </c>
      <c r="EC65" s="3">
        <v>5.7684809208264728E-2</v>
      </c>
      <c r="ED65" s="3">
        <v>0.64062176707007346</v>
      </c>
      <c r="EE65" s="13">
        <v>1.0988100000000001</v>
      </c>
      <c r="EF65" s="3">
        <v>1.10781</v>
      </c>
      <c r="EG65" s="3">
        <v>24.090045034642031</v>
      </c>
      <c r="EH65" s="3" t="s">
        <v>1167</v>
      </c>
      <c r="EI65" s="3">
        <v>0</v>
      </c>
      <c r="EJ65" s="3">
        <v>1</v>
      </c>
      <c r="EK65" s="15">
        <v>45470</v>
      </c>
      <c r="EL65" s="16">
        <v>0.87</v>
      </c>
      <c r="EM65" s="16">
        <v>-5.69</v>
      </c>
      <c r="EN65" s="16">
        <v>-1.82</v>
      </c>
      <c r="EO65" s="16">
        <v>3.13</v>
      </c>
      <c r="EP65" s="16">
        <v>-0.9</v>
      </c>
    </row>
    <row r="66" spans="1:146" ht="141" customHeight="1" x14ac:dyDescent="0.25">
      <c r="C66" s="7" t="str">
        <f>""&amp;CHAR(10)&amp;Basic_Fundamental_Information_Constructure(F66)&amp;CHAR(10)&amp;Basic_Fundamental_Information_Concatenate("")</f>
        <v xml:space="preserve">
市值29.428609亿, 利润2015.37万; PE37.27; 平均PE-140.05; 平均PEG-8.07, PB2.68; ROIC0%; ROE-15.9033%; 股利率0%; 毛利8.44%; 净利-9.1067%; 上一年度营收增-76.36%, 利润增106.11%; 当季营收增-25.81%, 利润增272.69%; 过往5年营收增-17.35%, 利润增-108.99%
Income profile:
</v>
      </c>
      <c r="D66" s="3" t="s">
        <v>685</v>
      </c>
      <c r="E66" s="3" t="s">
        <v>686</v>
      </c>
      <c r="F66" s="3">
        <v>12.93</v>
      </c>
      <c r="G66" s="3">
        <v>0.08</v>
      </c>
      <c r="H66" s="3" t="s">
        <v>3383</v>
      </c>
      <c r="I66" s="3">
        <v>2942860900</v>
      </c>
      <c r="J66" s="3">
        <v>37.270000000000003</v>
      </c>
      <c r="K66" s="3">
        <v>2.68</v>
      </c>
      <c r="L66" s="3" t="s">
        <v>343</v>
      </c>
      <c r="M66" s="3" t="s">
        <v>1077</v>
      </c>
      <c r="N66" s="3" t="s">
        <v>3384</v>
      </c>
      <c r="O66" s="3" t="s">
        <v>35</v>
      </c>
      <c r="P66" s="3">
        <v>89.63</v>
      </c>
      <c r="Q66" s="3" t="s">
        <v>35</v>
      </c>
      <c r="R66" s="3">
        <v>20153705</v>
      </c>
      <c r="S66" s="5">
        <v>2.5339999999999998</v>
      </c>
      <c r="T66" s="3" t="s">
        <v>3385</v>
      </c>
      <c r="U66" s="3">
        <v>156365040</v>
      </c>
      <c r="V66" s="3">
        <v>227599450</v>
      </c>
      <c r="W66" s="3">
        <v>1.62</v>
      </c>
      <c r="X66" s="3">
        <v>0.17</v>
      </c>
      <c r="Y66" s="3">
        <v>6.81</v>
      </c>
      <c r="Z66" s="3" t="s">
        <v>2125</v>
      </c>
      <c r="AA66" s="3" t="s">
        <v>1355</v>
      </c>
      <c r="AB66" s="3" t="s">
        <v>3386</v>
      </c>
      <c r="AC66" s="3" t="s">
        <v>3387</v>
      </c>
      <c r="AD66" s="3" t="s">
        <v>4</v>
      </c>
      <c r="AE66" s="3">
        <v>804</v>
      </c>
      <c r="AF66" s="3" t="s">
        <v>21</v>
      </c>
      <c r="AG66" s="3">
        <v>0.14000000000000001</v>
      </c>
      <c r="AH66" s="3" t="s">
        <v>1951</v>
      </c>
      <c r="AI66" s="3" t="s">
        <v>3388</v>
      </c>
      <c r="AJ66" s="3" t="s">
        <v>1952</v>
      </c>
      <c r="AK66" s="3" t="s">
        <v>3389</v>
      </c>
      <c r="AL66" s="3" t="s">
        <v>1953</v>
      </c>
      <c r="AM66" s="3" t="s">
        <v>4</v>
      </c>
      <c r="AN66" s="3" t="s">
        <v>3390</v>
      </c>
      <c r="AO66" s="3" t="s">
        <v>1954</v>
      </c>
      <c r="AP66" s="3" t="s">
        <v>59</v>
      </c>
      <c r="AQ66" s="3" t="s">
        <v>126</v>
      </c>
      <c r="AR66" s="3" t="s">
        <v>3391</v>
      </c>
      <c r="AS66" s="3" t="s">
        <v>522</v>
      </c>
      <c r="AT66" s="3" t="s">
        <v>4</v>
      </c>
      <c r="AU66" s="3" t="s">
        <v>3379</v>
      </c>
      <c r="AV66" s="3" t="s">
        <v>3392</v>
      </c>
      <c r="AW66" s="3" t="s">
        <v>3393</v>
      </c>
      <c r="AX66" s="3" t="s">
        <v>1298</v>
      </c>
      <c r="AY66" s="3" t="s">
        <v>936</v>
      </c>
      <c r="AZ66" s="3" t="s">
        <v>687</v>
      </c>
      <c r="BA66" s="3" t="s">
        <v>296</v>
      </c>
      <c r="BB66" s="3" t="s">
        <v>312</v>
      </c>
      <c r="BC66" s="3" t="s">
        <v>1299</v>
      </c>
      <c r="BD66" s="3" t="s">
        <v>937</v>
      </c>
      <c r="BE66" s="3" t="s">
        <v>167</v>
      </c>
      <c r="BF66" s="3" t="s">
        <v>688</v>
      </c>
      <c r="BG66" s="3" t="s">
        <v>199</v>
      </c>
      <c r="BH66" s="3" t="s">
        <v>414</v>
      </c>
      <c r="BI66" s="3" t="s">
        <v>1018</v>
      </c>
      <c r="BJ66" s="3" t="s">
        <v>1298</v>
      </c>
      <c r="BK66" s="3" t="s">
        <v>1950</v>
      </c>
      <c r="BL66" s="3" t="s">
        <v>3394</v>
      </c>
      <c r="BM66" s="3" t="s">
        <v>1299</v>
      </c>
      <c r="BN66" s="3" t="s">
        <v>4</v>
      </c>
      <c r="BO66" s="3" t="s">
        <v>4</v>
      </c>
      <c r="BP66" s="3" t="s">
        <v>4</v>
      </c>
      <c r="BQ66" s="3">
        <v>0.12</v>
      </c>
      <c r="BR66" s="3">
        <v>-35.880000000000003</v>
      </c>
      <c r="BS66" s="3">
        <v>-11.95</v>
      </c>
      <c r="BT66" s="3" t="s">
        <v>1157</v>
      </c>
      <c r="BU66" s="3" t="s">
        <v>977</v>
      </c>
      <c r="BV66" s="3">
        <v>13.06</v>
      </c>
      <c r="BW66" s="3">
        <v>6.4</v>
      </c>
      <c r="BX66" s="3">
        <v>5.86</v>
      </c>
      <c r="BY66" s="3">
        <v>4.45</v>
      </c>
      <c r="BZ66" s="3">
        <v>-26.35</v>
      </c>
      <c r="CA66" s="3">
        <v>-5.42</v>
      </c>
      <c r="CB66" s="3">
        <v>-4.79</v>
      </c>
      <c r="CC66" s="3">
        <v>-16.850000000000001</v>
      </c>
      <c r="CD66" s="3" t="s">
        <v>3395</v>
      </c>
      <c r="CE66" s="3" t="s">
        <v>84</v>
      </c>
      <c r="CF66" s="10">
        <v>-0.25814536340852129</v>
      </c>
      <c r="CG66" s="11">
        <v>2.7268930208645732</v>
      </c>
      <c r="CH66" s="10">
        <v>-0.76357829570770264</v>
      </c>
      <c r="CI66" s="10">
        <v>-0.36639675498008728</v>
      </c>
      <c r="CJ66" s="10">
        <v>-1.7892643809318542E-2</v>
      </c>
      <c r="CK66" s="10">
        <v>0.18283358216285706</v>
      </c>
      <c r="CL66" s="10">
        <v>9.7419396042823792E-2</v>
      </c>
      <c r="CM66" s="11">
        <v>1.0610717535018921</v>
      </c>
      <c r="CN66" s="11">
        <v>-2.0841121673583984</v>
      </c>
      <c r="CO66" s="11">
        <v>-3.4622550010681152</v>
      </c>
      <c r="CP66" s="11">
        <v>-0.49063286185264587</v>
      </c>
      <c r="CQ66" s="11">
        <v>-0.47337096929550171</v>
      </c>
      <c r="CR66" s="3">
        <v>-140.05142441521522</v>
      </c>
      <c r="CS66" s="3">
        <v>-8.0710609090321501</v>
      </c>
      <c r="CT66" s="3">
        <v>0</v>
      </c>
      <c r="CU66" s="10">
        <v>-0.17352294325828552</v>
      </c>
      <c r="CV66" s="11">
        <v>-1.0898598492145539</v>
      </c>
      <c r="CW66" s="3">
        <v>0.06</v>
      </c>
      <c r="CX66" s="3">
        <v>125.87569031989163</v>
      </c>
      <c r="CY66" s="3" t="s">
        <v>3396</v>
      </c>
      <c r="CZ66" s="3">
        <v>-0.17352294325828552</v>
      </c>
      <c r="DA66" s="3">
        <v>41.958563439963875</v>
      </c>
      <c r="DB66" s="3" t="s">
        <v>3397</v>
      </c>
      <c r="DC66" s="3">
        <v>-0.16484679609537123</v>
      </c>
      <c r="DD66" s="3">
        <v>20.979281719981937</v>
      </c>
      <c r="DE66" s="3" t="s">
        <v>3398</v>
      </c>
      <c r="DF66" s="3">
        <v>-0.15270019006729127</v>
      </c>
      <c r="DG66" s="3">
        <v>12.587569031989164</v>
      </c>
      <c r="DH66" s="3" t="s">
        <v>3399</v>
      </c>
      <c r="DI66" s="3">
        <v>-0.13881835460662842</v>
      </c>
      <c r="DJ66" s="3">
        <v>6.2937845159945818</v>
      </c>
      <c r="DK66" s="3" t="s">
        <v>3400</v>
      </c>
      <c r="DL66" s="3">
        <v>-0.12146606028079986</v>
      </c>
      <c r="DM66" s="3">
        <v>20153700</v>
      </c>
      <c r="DN66" s="3">
        <v>-0.17352294325828552</v>
      </c>
      <c r="DO66" s="3">
        <v>2536860900</v>
      </c>
      <c r="DP66" s="3">
        <v>478687320</v>
      </c>
      <c r="DQ66" s="3">
        <v>2212</v>
      </c>
      <c r="DR66" s="3">
        <v>-8.4622420150235772E-2</v>
      </c>
      <c r="DS66" s="3">
        <v>3.8167528700791271</v>
      </c>
      <c r="DT66" s="12">
        <v>-0.80666666666666664</v>
      </c>
      <c r="DU66" s="3">
        <v>-0.68333333333333357</v>
      </c>
      <c r="DV66" s="3">
        <v>-1.4900000000000002</v>
      </c>
      <c r="DW66" s="3">
        <v>-8.284272997032641</v>
      </c>
      <c r="DX66" s="3">
        <v>0.38050414746543937</v>
      </c>
      <c r="DY66" s="3">
        <v>-8.0342560751548628</v>
      </c>
      <c r="DZ66" s="3">
        <v>80</v>
      </c>
      <c r="EA66" s="3">
        <v>-8.0337197765223021</v>
      </c>
      <c r="EB66" s="3">
        <v>8</v>
      </c>
      <c r="EC66" s="3">
        <v>0.11489219328078341</v>
      </c>
      <c r="ED66" s="3">
        <v>0.95342936900770192</v>
      </c>
      <c r="EE66" s="13">
        <v>1.05951</v>
      </c>
      <c r="EF66" s="3">
        <v>1.06751</v>
      </c>
      <c r="EG66" s="3">
        <v>26.120504147465439</v>
      </c>
      <c r="EH66" s="3" t="s">
        <v>1167</v>
      </c>
      <c r="EI66" s="3">
        <v>0</v>
      </c>
      <c r="EJ66" s="3">
        <v>1</v>
      </c>
      <c r="EK66" s="15">
        <v>45470</v>
      </c>
      <c r="EL66" s="16">
        <v>-0.88</v>
      </c>
      <c r="EM66" s="16">
        <v>-1.65</v>
      </c>
      <c r="EN66" s="16">
        <v>-4.3</v>
      </c>
      <c r="EO66" s="16">
        <v>-0.12</v>
      </c>
      <c r="EP66" s="16">
        <v>-0.8</v>
      </c>
    </row>
    <row r="67" spans="1:146" ht="96" x14ac:dyDescent="0.25">
      <c r="C67" s="7" t="str">
        <f>""&amp;CHAR(10)&amp;Basic_Fundamental_Information_Constructure(F67)&amp;CHAR(10)&amp;Basic_Fundamental_Information_Concatenate("")</f>
        <v xml:space="preserve">
市值26.896亿, 利润-21.35万; PE57.81; 平均PE86.11; 平均PEG3.36, PB2.55; ROIC2.23%; ROE.7133%; 股利率1.1154%; 毛利13.8133%; 净利1.54%; 上一年度营收增-79.45%, 利润增99.22%; 当季营收增-60.61%, 利润增96.28%; 过往5年营收增-25.66%, 利润增-93.71%
Income profile:
</v>
      </c>
      <c r="D67" s="3" t="s">
        <v>689</v>
      </c>
      <c r="E67" s="3" t="s">
        <v>690</v>
      </c>
      <c r="F67" s="3">
        <v>16.809999999999999</v>
      </c>
      <c r="G67" s="3">
        <v>3.32</v>
      </c>
      <c r="H67" s="3" t="s">
        <v>3401</v>
      </c>
      <c r="I67" s="3">
        <v>2689600000</v>
      </c>
      <c r="J67" s="3">
        <v>57.81</v>
      </c>
      <c r="K67" s="3">
        <v>2.5499999999999998</v>
      </c>
      <c r="L67" s="3" t="s">
        <v>343</v>
      </c>
      <c r="M67" s="3" t="s">
        <v>1170</v>
      </c>
      <c r="N67" s="3" t="s">
        <v>1955</v>
      </c>
      <c r="O67" s="3" t="s">
        <v>97</v>
      </c>
      <c r="P67" s="3">
        <v>-9.26</v>
      </c>
      <c r="Q67" s="3" t="s">
        <v>97</v>
      </c>
      <c r="R67" s="3">
        <v>-213454</v>
      </c>
      <c r="S67" s="5">
        <v>0.96060000000000001</v>
      </c>
      <c r="T67" s="3" t="s">
        <v>3402</v>
      </c>
      <c r="U67" s="3">
        <v>105199439</v>
      </c>
      <c r="V67" s="3">
        <v>160000000</v>
      </c>
      <c r="W67" s="3">
        <v>1.28</v>
      </c>
      <c r="X67" s="3">
        <v>0.08</v>
      </c>
      <c r="Y67" s="3">
        <v>-0.2</v>
      </c>
      <c r="Z67" s="3" t="s">
        <v>1164</v>
      </c>
      <c r="AA67" s="3" t="s">
        <v>3403</v>
      </c>
      <c r="AB67" s="3" t="s">
        <v>3404</v>
      </c>
      <c r="AC67" s="3" t="s">
        <v>3405</v>
      </c>
      <c r="AD67" s="3" t="s">
        <v>4</v>
      </c>
      <c r="AE67" s="3">
        <v>28768</v>
      </c>
      <c r="AF67" s="3" t="s">
        <v>1957</v>
      </c>
      <c r="AG67" s="3">
        <v>1.8</v>
      </c>
      <c r="AH67" s="3" t="s">
        <v>1958</v>
      </c>
      <c r="AI67" s="3" t="s">
        <v>6</v>
      </c>
      <c r="AJ67" s="3" t="s">
        <v>1959</v>
      </c>
      <c r="AK67" s="3" t="s">
        <v>4</v>
      </c>
      <c r="AL67" s="3" t="s">
        <v>1960</v>
      </c>
      <c r="AM67" s="3" t="s">
        <v>4</v>
      </c>
      <c r="AN67" s="3" t="s">
        <v>1623</v>
      </c>
      <c r="AO67" s="3" t="s">
        <v>3406</v>
      </c>
      <c r="AP67" s="3" t="s">
        <v>4</v>
      </c>
      <c r="AQ67" s="3" t="s">
        <v>3407</v>
      </c>
      <c r="AR67" s="3" t="s">
        <v>4</v>
      </c>
      <c r="AS67" s="3" t="s">
        <v>106</v>
      </c>
      <c r="AT67" s="3" t="s">
        <v>65</v>
      </c>
      <c r="AU67" s="3" t="s">
        <v>3408</v>
      </c>
      <c r="AV67" s="3" t="s">
        <v>3409</v>
      </c>
      <c r="AW67" s="3" t="s">
        <v>3410</v>
      </c>
      <c r="AX67" s="3" t="s">
        <v>38</v>
      </c>
      <c r="AY67" s="3" t="s">
        <v>240</v>
      </c>
      <c r="AZ67" s="3" t="s">
        <v>214</v>
      </c>
      <c r="BA67" s="3" t="s">
        <v>692</v>
      </c>
      <c r="BB67" s="3" t="s">
        <v>303</v>
      </c>
      <c r="BC67" s="3" t="s">
        <v>1300</v>
      </c>
      <c r="BD67" s="3" t="s">
        <v>938</v>
      </c>
      <c r="BE67" s="3" t="s">
        <v>691</v>
      </c>
      <c r="BF67" s="3" t="s">
        <v>694</v>
      </c>
      <c r="BG67" s="3" t="s">
        <v>695</v>
      </c>
      <c r="BH67" s="3" t="s">
        <v>1372</v>
      </c>
      <c r="BI67" s="3" t="s">
        <v>1321</v>
      </c>
      <c r="BJ67" s="3" t="s">
        <v>38</v>
      </c>
      <c r="BK67" s="3" t="s">
        <v>1956</v>
      </c>
      <c r="BL67" s="3" t="s">
        <v>3411</v>
      </c>
      <c r="BM67" s="3" t="s">
        <v>1300</v>
      </c>
      <c r="BN67" s="3">
        <v>3.05</v>
      </c>
      <c r="BO67" s="3" t="s">
        <v>4</v>
      </c>
      <c r="BP67" s="3">
        <v>1.41</v>
      </c>
      <c r="BQ67" s="3">
        <v>3.92</v>
      </c>
      <c r="BR67" s="3">
        <v>-2.5499999999999998</v>
      </c>
      <c r="BS67" s="3">
        <v>0.77</v>
      </c>
      <c r="BT67" s="3" t="s">
        <v>1961</v>
      </c>
      <c r="BU67" s="3" t="s">
        <v>977</v>
      </c>
      <c r="BV67" s="3">
        <v>15.78</v>
      </c>
      <c r="BW67" s="3">
        <v>7.6</v>
      </c>
      <c r="BX67" s="3">
        <v>18.059999999999999</v>
      </c>
      <c r="BY67" s="3">
        <v>8.68</v>
      </c>
      <c r="BZ67" s="3">
        <v>-5.38</v>
      </c>
      <c r="CA67" s="3">
        <v>1.32</v>
      </c>
      <c r="CB67" s="3">
        <v>3.19</v>
      </c>
      <c r="CC67" s="3">
        <v>-2.56</v>
      </c>
      <c r="CD67" s="3" t="s">
        <v>3412</v>
      </c>
      <c r="CE67" s="3" t="s">
        <v>3413</v>
      </c>
      <c r="CF67" s="10">
        <v>-0.60606060606060608</v>
      </c>
      <c r="CG67" s="11">
        <v>0.96284461000191479</v>
      </c>
      <c r="CH67" s="10">
        <v>-0.79446637630462646</v>
      </c>
      <c r="CI67" s="10">
        <v>-0.19554848968982697</v>
      </c>
      <c r="CJ67" s="10">
        <v>-0.10906515270471573</v>
      </c>
      <c r="CK67" s="10">
        <v>-0.19772727787494659</v>
      </c>
      <c r="CL67" s="10">
        <v>1.3824884779751301E-2</v>
      </c>
      <c r="CM67" s="11">
        <v>0.99216127395629883</v>
      </c>
      <c r="CN67" s="11">
        <v>-4.2685108184814453</v>
      </c>
      <c r="CO67" s="11">
        <v>-0.78265124559402466</v>
      </c>
      <c r="CP67" s="11">
        <v>-0.51552700996398926</v>
      </c>
      <c r="CQ67" s="11">
        <v>-0.11120787262916565</v>
      </c>
      <c r="CR67" s="3">
        <v>86.114873193800094</v>
      </c>
      <c r="CS67" s="3">
        <v>3.356042623895398</v>
      </c>
      <c r="CT67" s="3">
        <v>1.1154074955383702</v>
      </c>
      <c r="CU67" s="10">
        <v>-0.25659648235887289</v>
      </c>
      <c r="CV67" s="11">
        <v>-0.93714713454246523</v>
      </c>
      <c r="CW67" s="3">
        <v>0.06</v>
      </c>
      <c r="CX67" s="3" t="e">
        <v>#VALUE!</v>
      </c>
      <c r="CY67" s="3" t="s">
        <v>1005</v>
      </c>
      <c r="CZ67" s="3">
        <v>-0.25659648235887289</v>
      </c>
      <c r="DA67" s="3" t="e">
        <v>#VALUE!</v>
      </c>
      <c r="DB67" s="3" t="s">
        <v>1006</v>
      </c>
      <c r="DC67" s="3">
        <v>-0.24376665824092925</v>
      </c>
      <c r="DD67" s="3" t="e">
        <v>#VALUE!</v>
      </c>
      <c r="DE67" s="3" t="s">
        <v>1006</v>
      </c>
      <c r="DF67" s="3">
        <v>-0.22580490447580814</v>
      </c>
      <c r="DG67" s="3" t="e">
        <v>#VALUE!</v>
      </c>
      <c r="DH67" s="3" t="s">
        <v>1006</v>
      </c>
      <c r="DI67" s="3">
        <v>-0.20527718588709831</v>
      </c>
      <c r="DJ67" s="3" t="e">
        <v>#VALUE!</v>
      </c>
      <c r="DK67" s="3" t="s">
        <v>1006</v>
      </c>
      <c r="DL67" s="3">
        <v>-0.17961753765121102</v>
      </c>
      <c r="DM67" s="3">
        <v>-213500</v>
      </c>
      <c r="DN67" s="3">
        <v>-0.25659648235887289</v>
      </c>
      <c r="DO67" s="3">
        <v>1943600000</v>
      </c>
      <c r="DP67" s="3">
        <v>339992180</v>
      </c>
      <c r="DQ67" s="3">
        <v>2265</v>
      </c>
      <c r="DR67" s="3">
        <v>-0.34946412370173319</v>
      </c>
      <c r="DS67" s="3">
        <v>1.8999917445443799</v>
      </c>
      <c r="DT67" s="12">
        <v>-1.04</v>
      </c>
      <c r="DU67" s="3">
        <v>-2.0816666666666666</v>
      </c>
      <c r="DV67" s="3">
        <v>-3.1216666666666666</v>
      </c>
      <c r="DW67" s="3">
        <v>4.8025078369905954</v>
      </c>
      <c r="DX67" s="3">
        <v>0.31416147184926235</v>
      </c>
      <c r="DY67" s="3">
        <v>4.1156907109511307</v>
      </c>
      <c r="DZ67" s="3">
        <v>4927</v>
      </c>
      <c r="EA67" s="3">
        <v>4.0041431311358231</v>
      </c>
      <c r="EB67" s="3">
        <v>4</v>
      </c>
      <c r="EC67" s="3">
        <v>5.1108124999999997E-2</v>
      </c>
      <c r="ED67" s="3">
        <v>0.35452</v>
      </c>
      <c r="EE67" s="13">
        <v>-2.02121</v>
      </c>
      <c r="EF67" s="3">
        <v>-2.0546099999999998</v>
      </c>
      <c r="EG67" s="3">
        <v>17.144161471849262</v>
      </c>
      <c r="EH67" s="3" t="s">
        <v>1172</v>
      </c>
      <c r="EI67" s="3">
        <v>0</v>
      </c>
      <c r="EJ67" s="3">
        <v>0</v>
      </c>
      <c r="EK67" s="15">
        <v>45470</v>
      </c>
      <c r="EL67" s="16">
        <v>-6.02</v>
      </c>
      <c r="EM67" s="16">
        <v>-8.9700000000000006</v>
      </c>
      <c r="EN67" s="16">
        <v>3.09</v>
      </c>
      <c r="EO67" s="16">
        <v>-3.49</v>
      </c>
      <c r="EP67" s="16">
        <v>-3.34</v>
      </c>
    </row>
    <row r="68" spans="1:146" ht="132" x14ac:dyDescent="0.25">
      <c r="A68" s="7" t="s">
        <v>842</v>
      </c>
      <c r="C68" s="7" t="str">
        <f>"公司专注于景观照明领域的技术研发、产品设计与生产制造，在智能控制系统和景观照明产品领域具备较
强的产品开发和制造能力，能够满足客户大规模的定制化需求，已成为国内大型景观照明项目所需产品的核心供应商之一；"&amp;CHAR(10)&amp;Basic_Fundamental_Information_Constructure(F68)&amp;CHAR(10)&amp;Basic_Fundamental_Information_Concatenate("")</f>
        <v xml:space="preserve">公司专注于景观照明领域的技术研发、产品设计与生产制造，在智能控制系统和景观照明产品领域具备较
强的产品开发和制造能力，能够满足客户大规模的定制化需求，已成为国内大型景观照明项目所需产品的核心供应商之一；
市值15.9744亿, 利润-3504.08万; PE97.71; 平均PE25.25; 平均PEG1.76, PB1.02; ROIC1.995%; ROE1.7133%; 股利率.293%; 毛利30.4667%; 净利3.5967%; 上一年度营收增-81.1%, 利润增-197.2%; 当季营收增-58.39%, 利润增-168.63%; 过往5年营收增-14.33%, 利润增-52.27%
Income profile:
</v>
      </c>
      <c r="D68" s="3" t="s">
        <v>696</v>
      </c>
      <c r="E68" s="3" t="s">
        <v>697</v>
      </c>
      <c r="F68" s="3">
        <v>10.24</v>
      </c>
      <c r="G68" s="3">
        <v>1.89</v>
      </c>
      <c r="H68" s="3" t="s">
        <v>3414</v>
      </c>
      <c r="I68" s="3">
        <v>1597440000</v>
      </c>
      <c r="J68" s="3">
        <v>97.71</v>
      </c>
      <c r="K68" s="3">
        <v>1.02</v>
      </c>
      <c r="L68" s="3" t="s">
        <v>343</v>
      </c>
      <c r="M68" s="3" t="s">
        <v>762</v>
      </c>
      <c r="N68" s="3" t="s">
        <v>3415</v>
      </c>
      <c r="O68" s="3" t="s">
        <v>1003</v>
      </c>
      <c r="P68" s="3">
        <v>0.48</v>
      </c>
      <c r="Q68" s="3" t="s">
        <v>1003</v>
      </c>
      <c r="R68" s="3">
        <v>-35040755</v>
      </c>
      <c r="S68" s="5">
        <v>-1.0529999999999999</v>
      </c>
      <c r="T68" s="3" t="s">
        <v>3416</v>
      </c>
      <c r="U68" s="3">
        <v>100220250</v>
      </c>
      <c r="V68" s="3">
        <v>156000000</v>
      </c>
      <c r="W68" s="3">
        <v>1.62</v>
      </c>
      <c r="X68" s="3">
        <v>0.06</v>
      </c>
      <c r="Y68" s="3">
        <v>-20.86</v>
      </c>
      <c r="Z68" s="3" t="s">
        <v>40</v>
      </c>
      <c r="AA68" s="3" t="s">
        <v>77</v>
      </c>
      <c r="AB68" s="3" t="s">
        <v>3417</v>
      </c>
      <c r="AC68" s="3" t="s">
        <v>3418</v>
      </c>
      <c r="AD68" s="3" t="s">
        <v>4</v>
      </c>
      <c r="AE68" s="3">
        <v>135898</v>
      </c>
      <c r="AF68" s="3" t="s">
        <v>1965</v>
      </c>
      <c r="AG68" s="3" t="s">
        <v>3419</v>
      </c>
      <c r="AH68" s="3" t="s">
        <v>1966</v>
      </c>
      <c r="AI68" s="3" t="s">
        <v>1018</v>
      </c>
      <c r="AJ68" s="3" t="s">
        <v>1967</v>
      </c>
      <c r="AK68" s="3" t="s">
        <v>3420</v>
      </c>
      <c r="AL68" s="3" t="s">
        <v>1968</v>
      </c>
      <c r="AM68" s="3" t="s">
        <v>4</v>
      </c>
      <c r="AN68" s="3" t="s">
        <v>3421</v>
      </c>
      <c r="AO68" s="3" t="s">
        <v>76</v>
      </c>
      <c r="AP68" s="3" t="s">
        <v>190</v>
      </c>
      <c r="AQ68" s="3" t="s">
        <v>139</v>
      </c>
      <c r="AR68" s="3" t="s">
        <v>4</v>
      </c>
      <c r="AS68" s="3" t="s">
        <v>655</v>
      </c>
      <c r="AT68" s="3" t="s">
        <v>3422</v>
      </c>
      <c r="AU68" s="3" t="s">
        <v>3423</v>
      </c>
      <c r="AV68" s="3" t="s">
        <v>3424</v>
      </c>
      <c r="AW68" s="3" t="s">
        <v>3425</v>
      </c>
      <c r="AX68" s="3" t="s">
        <v>1301</v>
      </c>
      <c r="AY68" s="3" t="s">
        <v>939</v>
      </c>
      <c r="AZ68" s="3" t="s">
        <v>192</v>
      </c>
      <c r="BA68" s="3" t="s">
        <v>700</v>
      </c>
      <c r="BB68" s="3" t="s">
        <v>236</v>
      </c>
      <c r="BC68" s="3" t="s">
        <v>1970</v>
      </c>
      <c r="BD68" s="3" t="s">
        <v>940</v>
      </c>
      <c r="BE68" s="3" t="s">
        <v>699</v>
      </c>
      <c r="BF68" s="3" t="s">
        <v>120</v>
      </c>
      <c r="BG68" s="3" t="s">
        <v>24</v>
      </c>
      <c r="BH68" s="3" t="s">
        <v>1962</v>
      </c>
      <c r="BI68" s="3" t="s">
        <v>3426</v>
      </c>
      <c r="BJ68" s="3" t="s">
        <v>1301</v>
      </c>
      <c r="BK68" s="3" t="s">
        <v>1963</v>
      </c>
      <c r="BL68" s="3" t="s">
        <v>3427</v>
      </c>
      <c r="BM68" s="3" t="s">
        <v>1970</v>
      </c>
      <c r="BN68" s="3" t="s">
        <v>4</v>
      </c>
      <c r="BO68" s="3">
        <v>1.74</v>
      </c>
      <c r="BP68" s="3">
        <v>2.25</v>
      </c>
      <c r="BQ68" s="3">
        <v>0.37</v>
      </c>
      <c r="BR68" s="3">
        <v>2.31</v>
      </c>
      <c r="BS68" s="3">
        <v>2.46</v>
      </c>
      <c r="BT68" s="3" t="s">
        <v>1161</v>
      </c>
      <c r="BU68" s="3" t="s">
        <v>977</v>
      </c>
      <c r="BV68" s="3">
        <v>30.79</v>
      </c>
      <c r="BW68" s="3">
        <v>30.88</v>
      </c>
      <c r="BX68" s="3">
        <v>29.73</v>
      </c>
      <c r="BY68" s="3">
        <v>3.13</v>
      </c>
      <c r="BZ68" s="3">
        <v>4.1500000000000004</v>
      </c>
      <c r="CA68" s="3">
        <v>3.51</v>
      </c>
      <c r="CB68" s="3">
        <v>-8.73</v>
      </c>
      <c r="CC68" s="3">
        <v>-7.16</v>
      </c>
      <c r="CD68" s="3" t="s">
        <v>3428</v>
      </c>
      <c r="CE68" s="3" t="s">
        <v>77</v>
      </c>
      <c r="CF68" s="10">
        <v>-0.58394160583941612</v>
      </c>
      <c r="CG68" s="11">
        <v>-1.6862680537242034</v>
      </c>
      <c r="CH68" s="10">
        <v>-0.8110496997833252</v>
      </c>
      <c r="CI68" s="10">
        <v>-0.2005300372838974</v>
      </c>
      <c r="CJ68" s="10">
        <v>0.13883300125598907</v>
      </c>
      <c r="CK68" s="10">
        <v>-0.11957479268312454</v>
      </c>
      <c r="CL68" s="10">
        <v>0.27570614218711853</v>
      </c>
      <c r="CM68" s="11">
        <v>-1.9719516038894653</v>
      </c>
      <c r="CN68" s="11">
        <v>-5.1517751067876816E-2</v>
      </c>
      <c r="CO68" s="11">
        <v>-0.6145748496055603</v>
      </c>
      <c r="CP68" s="11">
        <v>-0.28015404939651489</v>
      </c>
      <c r="CQ68" s="11">
        <v>0.30476191639900208</v>
      </c>
      <c r="CR68" s="3">
        <v>25.246634775075247</v>
      </c>
      <c r="CS68" s="3">
        <v>1.7615191675671809</v>
      </c>
      <c r="CT68" s="3">
        <v>0.29296875</v>
      </c>
      <c r="CU68" s="10">
        <v>-0.14332307726144791</v>
      </c>
      <c r="CV68" s="11">
        <v>-0.52268726751208305</v>
      </c>
      <c r="CW68" s="3">
        <v>0.06</v>
      </c>
      <c r="CX68" s="3" t="e">
        <v>#VALUE!</v>
      </c>
      <c r="CY68" s="3" t="s">
        <v>1005</v>
      </c>
      <c r="CZ68" s="3">
        <v>-0.14332307726144791</v>
      </c>
      <c r="DA68" s="3" t="e">
        <v>#VALUE!</v>
      </c>
      <c r="DB68" s="3" t="s">
        <v>1006</v>
      </c>
      <c r="DC68" s="3">
        <v>-0.13615692339837551</v>
      </c>
      <c r="DD68" s="3" t="e">
        <v>#VALUE!</v>
      </c>
      <c r="DE68" s="3" t="s">
        <v>1006</v>
      </c>
      <c r="DF68" s="3">
        <v>-0.12612430799007415</v>
      </c>
      <c r="DG68" s="3" t="e">
        <v>#VALUE!</v>
      </c>
      <c r="DH68" s="3" t="s">
        <v>1006</v>
      </c>
      <c r="DI68" s="3">
        <v>-0.11465846180915834</v>
      </c>
      <c r="DJ68" s="3" t="e">
        <v>#VALUE!</v>
      </c>
      <c r="DK68" s="3" t="s">
        <v>1006</v>
      </c>
      <c r="DL68" s="3">
        <v>-0.10032615408301353</v>
      </c>
      <c r="DM68" s="3">
        <v>-35040800</v>
      </c>
      <c r="DN68" s="3">
        <v>-0.14332307726144791</v>
      </c>
      <c r="DO68" s="3">
        <v>1106440000</v>
      </c>
      <c r="DP68" s="3">
        <v>789147500</v>
      </c>
      <c r="DQ68" s="3">
        <v>2345</v>
      </c>
      <c r="DR68" s="3">
        <v>-0.44061852857796824</v>
      </c>
      <c r="DS68" s="3">
        <v>-1.1635807862121204</v>
      </c>
      <c r="DT68" s="12">
        <v>-0.82333333333333325</v>
      </c>
      <c r="DU68" s="3">
        <v>-1.9316666666666669</v>
      </c>
      <c r="DV68" s="3">
        <v>-2.7549999999999999</v>
      </c>
      <c r="DW68" s="3">
        <v>-5.8201603665521189</v>
      </c>
      <c r="DX68" s="3">
        <v>0.37948999999999955</v>
      </c>
      <c r="DY68" s="3">
        <v>-5.2128234135166096</v>
      </c>
      <c r="DZ68" s="3">
        <v>2714</v>
      </c>
      <c r="EA68" s="3">
        <v>-5.0997896083729541</v>
      </c>
      <c r="EB68" s="3">
        <v>5</v>
      </c>
      <c r="EC68" s="3">
        <v>0.21624166666666667</v>
      </c>
      <c r="ED68" s="3">
        <v>0.83333333333333337</v>
      </c>
      <c r="EE68" s="13">
        <v>1.08511</v>
      </c>
      <c r="EF68" s="3">
        <v>1.1080099999999999</v>
      </c>
      <c r="EG68" s="3">
        <v>12.25949</v>
      </c>
      <c r="EH68" s="3" t="s">
        <v>1167</v>
      </c>
      <c r="EI68" s="3">
        <v>0</v>
      </c>
      <c r="EJ68" s="3">
        <v>0</v>
      </c>
      <c r="EK68" s="15">
        <v>45470</v>
      </c>
      <c r="EL68" s="16">
        <v>-1.89</v>
      </c>
      <c r="EM68" s="16">
        <v>-3.74</v>
      </c>
      <c r="EN68" s="16">
        <v>0.96</v>
      </c>
      <c r="EO68" s="16">
        <v>2.38</v>
      </c>
      <c r="EP68" s="16">
        <v>-2.29</v>
      </c>
    </row>
    <row r="69" spans="1:146" ht="144" x14ac:dyDescent="0.25">
      <c r="A69" s="9" t="s">
        <v>840</v>
      </c>
      <c r="B69" s="9" t="s">
        <v>841</v>
      </c>
      <c r="C69" s="7" t="str">
        <f>"下游客户主要为笔记本电脑、手机等消费电子产业链的制造商，公司生产的导光结构件及组件和精密按键开关结构件及组件在经过下游制造商的进一步加工后形成可供出售的终端消费电子产品"&amp;CHAR(10)&amp;Basic_Fundamental_Information_Constructure(F69)&amp;CHAR(10)&amp;Basic_Fundamental_Information_Concatenate("导光结构件及组件 4.92亿 80.83%(毛利39.23%）精密按键开关结构件及组件9.46%
配件及其他9.25% ")</f>
        <v xml:space="preserve">下游客户主要为笔记本电脑、手机等消费电子产业链的制造商，公司生产的导光结构件及组件和精密按键开关结构件及组件在经过下游制造商的进一步加工后形成可供出售的终端消费电子产品
市值34.88865亿, 利润1281.59万; PE36.17; 平均PE39.78; 平均PEG3.64, PB1.79; ROIC8.02%; ROE8.5567%; 股利率.7437%; 毛利30.6167%; 净利13.19%; 上一年度营收增-65.22%, 利润增-90.07%; 当季营收增-43.64%, 利润增-46.68%; 过往5年营收增10.93%, 利润增.56%
Income profile:
导光结构件及组件 4.92亿 80.83%(毛利39.23%）精密按键开关结构件及组件9.46%
配件及其他9.25% </v>
      </c>
      <c r="D69" s="3" t="s">
        <v>701</v>
      </c>
      <c r="E69" s="3" t="s">
        <v>702</v>
      </c>
      <c r="F69" s="3">
        <v>20.170000000000002</v>
      </c>
      <c r="G69" s="3">
        <v>0.95</v>
      </c>
      <c r="H69" s="3" t="s">
        <v>3429</v>
      </c>
      <c r="I69" s="3">
        <v>3488865000</v>
      </c>
      <c r="J69" s="3">
        <v>36.17</v>
      </c>
      <c r="K69" s="3">
        <v>1.79</v>
      </c>
      <c r="L69" s="3" t="s">
        <v>343</v>
      </c>
      <c r="M69" s="3" t="s">
        <v>1971</v>
      </c>
      <c r="N69" s="3" t="s">
        <v>3430</v>
      </c>
      <c r="O69" s="3" t="s">
        <v>851</v>
      </c>
      <c r="P69" s="3">
        <v>39.26</v>
      </c>
      <c r="Q69" s="3" t="s">
        <v>851</v>
      </c>
      <c r="R69" s="3">
        <v>12815947</v>
      </c>
      <c r="S69" s="5">
        <v>0.26579999999999998</v>
      </c>
      <c r="T69" s="3" t="s">
        <v>3431</v>
      </c>
      <c r="U69" s="3">
        <v>114240662</v>
      </c>
      <c r="V69" s="3">
        <v>172972980</v>
      </c>
      <c r="W69" s="3">
        <v>1.37</v>
      </c>
      <c r="X69" s="3">
        <v>0.11</v>
      </c>
      <c r="Y69" s="3">
        <v>4.29</v>
      </c>
      <c r="Z69" s="3" t="s">
        <v>149</v>
      </c>
      <c r="AA69" s="3" t="s">
        <v>91</v>
      </c>
      <c r="AB69" s="3" t="s">
        <v>3432</v>
      </c>
      <c r="AC69" s="3" t="s">
        <v>3433</v>
      </c>
      <c r="AD69" s="3" t="s">
        <v>4</v>
      </c>
      <c r="AE69" s="3">
        <v>331364</v>
      </c>
      <c r="AF69" s="3" t="s">
        <v>1973</v>
      </c>
      <c r="AG69" s="3" t="s">
        <v>3434</v>
      </c>
      <c r="AH69" s="3" t="s">
        <v>1974</v>
      </c>
      <c r="AI69" s="3" t="s">
        <v>3435</v>
      </c>
      <c r="AJ69" s="3" t="s">
        <v>1975</v>
      </c>
      <c r="AK69" s="3" t="s">
        <v>3436</v>
      </c>
      <c r="AL69" s="3" t="s">
        <v>1976</v>
      </c>
      <c r="AM69" s="3" t="s">
        <v>4</v>
      </c>
      <c r="AN69" s="3" t="s">
        <v>77</v>
      </c>
      <c r="AO69" s="3" t="s">
        <v>2164</v>
      </c>
      <c r="AP69" s="3" t="s">
        <v>88</v>
      </c>
      <c r="AQ69" s="3" t="s">
        <v>95</v>
      </c>
      <c r="AR69" s="3" t="s">
        <v>4</v>
      </c>
      <c r="AS69" s="3" t="s">
        <v>1032</v>
      </c>
      <c r="AT69" s="3" t="s">
        <v>3437</v>
      </c>
      <c r="AU69" s="3" t="s">
        <v>199</v>
      </c>
      <c r="AV69" s="3" t="s">
        <v>3438</v>
      </c>
      <c r="AW69" s="3" t="s">
        <v>3439</v>
      </c>
      <c r="AX69" s="3" t="s">
        <v>863</v>
      </c>
      <c r="AY69" s="3" t="s">
        <v>380</v>
      </c>
      <c r="AZ69" s="3" t="s">
        <v>359</v>
      </c>
      <c r="BA69" s="3" t="s">
        <v>109</v>
      </c>
      <c r="BB69" s="3" t="s">
        <v>71</v>
      </c>
      <c r="BC69" s="3" t="s">
        <v>33</v>
      </c>
      <c r="BD69" s="3" t="s">
        <v>72</v>
      </c>
      <c r="BE69" s="3" t="s">
        <v>703</v>
      </c>
      <c r="BF69" s="3" t="s">
        <v>704</v>
      </c>
      <c r="BG69" s="3" t="s">
        <v>705</v>
      </c>
      <c r="BH69" s="3" t="s">
        <v>1804</v>
      </c>
      <c r="BI69" s="3" t="s">
        <v>281</v>
      </c>
      <c r="BJ69" s="3" t="s">
        <v>863</v>
      </c>
      <c r="BK69" s="3" t="s">
        <v>1972</v>
      </c>
      <c r="BL69" s="3" t="s">
        <v>3440</v>
      </c>
      <c r="BM69" s="3" t="s">
        <v>33</v>
      </c>
      <c r="BN69" s="3">
        <v>3.14</v>
      </c>
      <c r="BO69" s="3">
        <v>9.2799999999999994</v>
      </c>
      <c r="BP69" s="3">
        <v>11.64</v>
      </c>
      <c r="BQ69" s="3">
        <v>3.56</v>
      </c>
      <c r="BR69" s="3">
        <v>9.74</v>
      </c>
      <c r="BS69" s="3">
        <v>12.37</v>
      </c>
      <c r="BT69" s="3" t="s">
        <v>1915</v>
      </c>
      <c r="BU69" s="3" t="s">
        <v>1002</v>
      </c>
      <c r="BV69" s="3">
        <v>25.51</v>
      </c>
      <c r="BW69" s="3">
        <v>31.79</v>
      </c>
      <c r="BX69" s="3">
        <v>34.549999999999997</v>
      </c>
      <c r="BY69" s="3">
        <v>6.42</v>
      </c>
      <c r="BZ69" s="3">
        <v>15.13</v>
      </c>
      <c r="CA69" s="3">
        <v>18.02</v>
      </c>
      <c r="CB69" s="3">
        <v>-9.7100000000000009</v>
      </c>
      <c r="CC69" s="3">
        <v>-14.35</v>
      </c>
      <c r="CD69" s="3" t="s">
        <v>3441</v>
      </c>
      <c r="CE69" s="3" t="s">
        <v>118</v>
      </c>
      <c r="CF69" s="10">
        <v>-0.43639921722113512</v>
      </c>
      <c r="CG69" s="11">
        <v>-0.46678203960041781</v>
      </c>
      <c r="CH69" s="10">
        <v>-0.65217393636703491</v>
      </c>
      <c r="CI69" s="10">
        <v>1.2091898825019598E-3</v>
      </c>
      <c r="CJ69" s="10">
        <v>0.35796388983726501</v>
      </c>
      <c r="CK69" s="10">
        <v>0.49631449580192566</v>
      </c>
      <c r="CL69" s="10">
        <v>0.34323433041572571</v>
      </c>
      <c r="CM69" s="11">
        <v>-0.90065193176269531</v>
      </c>
      <c r="CN69" s="11">
        <v>-0.1342281848192215</v>
      </c>
      <c r="CO69" s="11">
        <v>0.57457190752029419</v>
      </c>
      <c r="CP69" s="11">
        <v>0.18948663771152496</v>
      </c>
      <c r="CQ69" s="11">
        <v>0.2987561821937561</v>
      </c>
      <c r="CR69" s="3">
        <v>39.777768698925513</v>
      </c>
      <c r="CS69" s="3">
        <v>3.6390006837087889</v>
      </c>
      <c r="CT69" s="3">
        <v>0.74367873078829938</v>
      </c>
      <c r="CU69" s="10">
        <v>0.10930959391407669</v>
      </c>
      <c r="CV69" s="11">
        <v>5.5869221687316895E-3</v>
      </c>
      <c r="CW69" s="3">
        <v>0.06</v>
      </c>
      <c r="CX69" s="3">
        <v>171.92453704234165</v>
      </c>
      <c r="CY69" s="3">
        <v>13412076.249663597</v>
      </c>
      <c r="CZ69" s="3">
        <v>0.10930959391407669</v>
      </c>
      <c r="DA69" s="3">
        <v>55.274138531445558</v>
      </c>
      <c r="DB69" s="3">
        <v>41716887.160316199</v>
      </c>
      <c r="DC69" s="3">
        <v>0.10384411421837285</v>
      </c>
      <c r="DD69" s="3">
        <v>26.618683387842744</v>
      </c>
      <c r="DE69" s="3">
        <v>86625809.639147371</v>
      </c>
      <c r="DF69" s="3">
        <v>9.6192442644387491E-2</v>
      </c>
      <c r="DG69" s="3">
        <v>15.590169705374635</v>
      </c>
      <c r="DH69" s="3">
        <v>147905060.91829547</v>
      </c>
      <c r="DI69" s="3">
        <v>8.7447675131261351E-2</v>
      </c>
      <c r="DJ69" s="3">
        <v>7.6176935666064294</v>
      </c>
      <c r="DK69" s="3">
        <v>302698576.65424955</v>
      </c>
      <c r="DL69" s="3">
        <v>7.6516715739853677E-2</v>
      </c>
      <c r="DM69" s="3">
        <v>12815900</v>
      </c>
      <c r="DN69" s="3">
        <v>0.10930959391407669</v>
      </c>
      <c r="DO69" s="3">
        <v>2305865000</v>
      </c>
      <c r="DP69" s="3">
        <v>936898700</v>
      </c>
      <c r="DQ69" s="3">
        <v>2365</v>
      </c>
      <c r="DR69" s="3">
        <v>-0.54570881113521175</v>
      </c>
      <c r="DS69" s="3">
        <v>-0.4723689617691495</v>
      </c>
      <c r="DT69" s="12">
        <v>-0.42333333333333339</v>
      </c>
      <c r="DU69" s="3">
        <v>-0.20333333333333339</v>
      </c>
      <c r="DV69" s="3">
        <v>-0.62666666666666682</v>
      </c>
      <c r="DW69" s="3">
        <v>-9.6766550522648078</v>
      </c>
      <c r="DX69" s="3">
        <v>0.29317815126050473</v>
      </c>
      <c r="DY69" s="3">
        <v>-9.0562829162884668</v>
      </c>
      <c r="DZ69" s="3">
        <v>1093</v>
      </c>
      <c r="EA69" s="3">
        <v>-9.0442443199081737</v>
      </c>
      <c r="EB69" s="3">
        <v>9</v>
      </c>
      <c r="EC69" s="3">
        <v>5.7223966425276364E-2</v>
      </c>
      <c r="ED69" s="3">
        <v>0.68796872205127069</v>
      </c>
      <c r="EE69" s="13">
        <v>3.0502099999999999</v>
      </c>
      <c r="EF69" s="3">
        <v>3.0748099999999998</v>
      </c>
      <c r="EG69" s="3">
        <v>21.083178151260505</v>
      </c>
      <c r="EH69" s="3" t="s">
        <v>2716</v>
      </c>
      <c r="EI69" s="3">
        <v>0</v>
      </c>
      <c r="EJ69" s="3">
        <v>1</v>
      </c>
      <c r="EK69" s="15">
        <v>45470</v>
      </c>
      <c r="EL69" s="16">
        <v>-0.42</v>
      </c>
      <c r="EM69" s="16">
        <v>-2.84</v>
      </c>
      <c r="EN69" s="16">
        <v>0.57999999999999996</v>
      </c>
      <c r="EO69" s="16">
        <v>4.95</v>
      </c>
      <c r="EP69" s="16">
        <v>-2.46</v>
      </c>
    </row>
    <row r="70" spans="1:146" ht="96" x14ac:dyDescent="0.25">
      <c r="C70" s="7" t="str">
        <f>""&amp;CHAR(10)&amp;Basic_Fundamental_Information_Constructure(F70)&amp;CHAR(10)&amp;Basic_Fundamental_Information_Concatenate("")</f>
        <v xml:space="preserve">
市值32.82亿, 利润2408.11万; PE28.63; 平均PE36.79; 平均PEG4.45, PB2.42; ROIC11.0267%; ROE10.1933%; 股利率1.4625%; 毛利26.7967%; 净利12.15%; 上一年度营收增-79.71%, 利润增-84.85%; 当季营收增-55.47%, 利润增-65.28%; 过往5年营收增-8.27%, 利润增1.56%
Income profile:
</v>
      </c>
      <c r="D70" s="3" t="s">
        <v>706</v>
      </c>
      <c r="E70" s="3" t="s">
        <v>707</v>
      </c>
      <c r="F70" s="3">
        <v>27.35</v>
      </c>
      <c r="G70" s="3">
        <v>0.92</v>
      </c>
      <c r="H70" s="3" t="s">
        <v>3442</v>
      </c>
      <c r="I70" s="3">
        <v>3282000000</v>
      </c>
      <c r="J70" s="3">
        <v>28.63</v>
      </c>
      <c r="K70" s="3">
        <v>2.42</v>
      </c>
      <c r="L70" s="3" t="s">
        <v>343</v>
      </c>
      <c r="M70" s="3" t="s">
        <v>146</v>
      </c>
      <c r="N70" s="3" t="s">
        <v>3443</v>
      </c>
      <c r="O70" s="3" t="s">
        <v>186</v>
      </c>
      <c r="P70" s="3">
        <v>-7.53</v>
      </c>
      <c r="Q70" s="3" t="s">
        <v>186</v>
      </c>
      <c r="R70" s="3">
        <v>24081105</v>
      </c>
      <c r="S70" s="5">
        <v>-0.24179999999999999</v>
      </c>
      <c r="T70" s="3" t="s">
        <v>3444</v>
      </c>
      <c r="U70" s="3">
        <v>120000000</v>
      </c>
      <c r="V70" s="3">
        <v>120000000</v>
      </c>
      <c r="W70" s="3">
        <v>1.18</v>
      </c>
      <c r="X70" s="3">
        <v>0.14000000000000001</v>
      </c>
      <c r="Y70" s="3">
        <v>10.63</v>
      </c>
      <c r="Z70" s="3" t="s">
        <v>3379</v>
      </c>
      <c r="AA70" s="3" t="s">
        <v>37</v>
      </c>
      <c r="AB70" s="3" t="s">
        <v>3445</v>
      </c>
      <c r="AC70" s="3" t="s">
        <v>3446</v>
      </c>
      <c r="AD70" s="3" t="s">
        <v>4</v>
      </c>
      <c r="AE70" s="3">
        <v>-1636017</v>
      </c>
      <c r="AF70" s="3" t="s">
        <v>1978</v>
      </c>
      <c r="AG70" s="3" t="s">
        <v>3447</v>
      </c>
      <c r="AH70" s="3" t="s">
        <v>1979</v>
      </c>
      <c r="AI70" s="3" t="s">
        <v>134</v>
      </c>
      <c r="AJ70" s="3" t="s">
        <v>1980</v>
      </c>
      <c r="AK70" s="3" t="s">
        <v>3448</v>
      </c>
      <c r="AL70" s="3" t="s">
        <v>1981</v>
      </c>
      <c r="AM70" s="3" t="s">
        <v>4</v>
      </c>
      <c r="AN70" s="3" t="s">
        <v>3449</v>
      </c>
      <c r="AO70" s="3" t="s">
        <v>4</v>
      </c>
      <c r="AP70" s="3" t="s">
        <v>3450</v>
      </c>
      <c r="AQ70" s="3" t="s">
        <v>62</v>
      </c>
      <c r="AR70" s="3" t="s">
        <v>4</v>
      </c>
      <c r="AS70" s="3" t="s">
        <v>80</v>
      </c>
      <c r="AT70" s="3" t="s">
        <v>4</v>
      </c>
      <c r="AU70" s="3" t="s">
        <v>3451</v>
      </c>
      <c r="AV70" s="3" t="s">
        <v>1439</v>
      </c>
      <c r="AW70" s="3" t="s">
        <v>3452</v>
      </c>
      <c r="AX70" s="3" t="s">
        <v>1302</v>
      </c>
      <c r="AY70" s="3" t="s">
        <v>762</v>
      </c>
      <c r="AZ70" s="3" t="s">
        <v>201</v>
      </c>
      <c r="BA70" s="3" t="s">
        <v>305</v>
      </c>
      <c r="BB70" s="3" t="s">
        <v>533</v>
      </c>
      <c r="BC70" s="3" t="s">
        <v>106</v>
      </c>
      <c r="BD70" s="3" t="s">
        <v>111</v>
      </c>
      <c r="BE70" s="3" t="s">
        <v>708</v>
      </c>
      <c r="BF70" s="3" t="s">
        <v>709</v>
      </c>
      <c r="BG70" s="3" t="s">
        <v>710</v>
      </c>
      <c r="BH70" s="3" t="s">
        <v>1237</v>
      </c>
      <c r="BI70" s="3" t="s">
        <v>1264</v>
      </c>
      <c r="BJ70" s="3" t="s">
        <v>1302</v>
      </c>
      <c r="BK70" s="3" t="s">
        <v>42</v>
      </c>
      <c r="BL70" s="3" t="s">
        <v>3453</v>
      </c>
      <c r="BM70" s="3" t="s">
        <v>106</v>
      </c>
      <c r="BN70" s="3">
        <v>6.91</v>
      </c>
      <c r="BO70" s="3">
        <v>12.58</v>
      </c>
      <c r="BP70" s="3">
        <v>13.59</v>
      </c>
      <c r="BQ70" s="3">
        <v>7.42</v>
      </c>
      <c r="BR70" s="3">
        <v>12.99</v>
      </c>
      <c r="BS70" s="3">
        <v>10.17</v>
      </c>
      <c r="BT70" s="3" t="s">
        <v>1255</v>
      </c>
      <c r="BU70" s="3" t="s">
        <v>1002</v>
      </c>
      <c r="BV70" s="3">
        <v>28.2</v>
      </c>
      <c r="BW70" s="3">
        <v>27.79</v>
      </c>
      <c r="BX70" s="3">
        <v>24.4</v>
      </c>
      <c r="BY70" s="3">
        <v>12.21</v>
      </c>
      <c r="BZ70" s="3">
        <v>14.37</v>
      </c>
      <c r="CA70" s="3">
        <v>9.8699999999999992</v>
      </c>
      <c r="CB70" s="3">
        <v>-9.26</v>
      </c>
      <c r="CC70" s="3">
        <v>-3.43</v>
      </c>
      <c r="CD70" s="3" t="s">
        <v>3454</v>
      </c>
      <c r="CE70" s="3" t="s">
        <v>3455</v>
      </c>
      <c r="CF70" s="10">
        <v>-0.55467196819085485</v>
      </c>
      <c r="CG70" s="11">
        <v>-0.65278887994947787</v>
      </c>
      <c r="CH70" s="10">
        <v>-0.79710143804550171</v>
      </c>
      <c r="CI70" s="10">
        <v>-6.3006873242557049E-3</v>
      </c>
      <c r="CJ70" s="10">
        <v>0.34830105304718018</v>
      </c>
      <c r="CK70" s="10">
        <v>2.8714107349514961E-2</v>
      </c>
      <c r="CL70" s="10">
        <v>1.2642225250601768E-2</v>
      </c>
      <c r="CM70" s="11">
        <v>-0.84854650497436523</v>
      </c>
      <c r="CN70" s="11">
        <v>0.44545453786849976</v>
      </c>
      <c r="CO70" s="11">
        <v>0.31981688737869263</v>
      </c>
      <c r="CP70" s="11">
        <v>-3.6996215581893921E-2</v>
      </c>
      <c r="CQ70" s="11">
        <v>0.19837214052677155</v>
      </c>
      <c r="CR70" s="3">
        <v>36.794196337733055</v>
      </c>
      <c r="CS70" s="3">
        <v>4.4464850915584524</v>
      </c>
      <c r="CT70" s="3">
        <v>1.4625228519195612</v>
      </c>
      <c r="CU70" s="10">
        <v>-8.2748947944492099E-2</v>
      </c>
      <c r="CV70" s="11">
        <v>1.5620169043540955E-2</v>
      </c>
      <c r="CW70" s="3">
        <v>0.06</v>
      </c>
      <c r="CX70" s="3">
        <v>92.603743184489076</v>
      </c>
      <c r="CY70" s="3" t="s">
        <v>3456</v>
      </c>
      <c r="CZ70" s="3">
        <v>-8.2748947944492099E-2</v>
      </c>
      <c r="DA70" s="3">
        <v>30.867914394829693</v>
      </c>
      <c r="DB70" s="3" t="s">
        <v>3457</v>
      </c>
      <c r="DC70" s="3">
        <v>-7.8611500547267496E-2</v>
      </c>
      <c r="DD70" s="3">
        <v>15.433957197414847</v>
      </c>
      <c r="DE70" s="3" t="s">
        <v>3458</v>
      </c>
      <c r="DF70" s="3">
        <v>-7.2819074191153049E-2</v>
      </c>
      <c r="DG70" s="3">
        <v>9.2603743184489087</v>
      </c>
      <c r="DH70" s="3" t="s">
        <v>3459</v>
      </c>
      <c r="DI70" s="3">
        <v>-6.6199158355593687E-2</v>
      </c>
      <c r="DJ70" s="3">
        <v>4.6301871592244543</v>
      </c>
      <c r="DK70" s="3" t="s">
        <v>3460</v>
      </c>
      <c r="DL70" s="3">
        <v>-5.7924263561144468E-2</v>
      </c>
      <c r="DM70" s="3">
        <v>24081100</v>
      </c>
      <c r="DN70" s="3">
        <v>-8.2748947944492099E-2</v>
      </c>
      <c r="DO70" s="3">
        <v>2230000000</v>
      </c>
      <c r="DP70" s="3">
        <v>1133194700</v>
      </c>
      <c r="DQ70" s="3">
        <v>2392</v>
      </c>
      <c r="DR70" s="3">
        <v>-0.47192302024636273</v>
      </c>
      <c r="DS70" s="3">
        <v>-0.66840904899301878</v>
      </c>
      <c r="DT70" s="12">
        <v>-0.64</v>
      </c>
      <c r="DU70" s="3">
        <v>-0.39000000000000007</v>
      </c>
      <c r="DV70" s="3">
        <v>-1.03</v>
      </c>
      <c r="DW70" s="3">
        <v>-5.370410367170626</v>
      </c>
      <c r="DX70" s="3">
        <v>0.38366288677417626</v>
      </c>
      <c r="DY70" s="3">
        <v>-5.0606224299822271</v>
      </c>
      <c r="DZ70" s="3">
        <v>619</v>
      </c>
      <c r="EA70" s="3">
        <v>-5.0532789301468064</v>
      </c>
      <c r="EB70" s="3">
        <v>5</v>
      </c>
      <c r="EC70" s="3">
        <v>0.11967166666666666</v>
      </c>
      <c r="ED70" s="3">
        <v>0.73120833333333335</v>
      </c>
      <c r="EE70" s="13">
        <v>7.9210000000000003E-2</v>
      </c>
      <c r="EF70" s="3">
        <v>0.10021000000000001</v>
      </c>
      <c r="EG70" s="3">
        <v>22.163662886774176</v>
      </c>
      <c r="EH70" s="3">
        <v>-1</v>
      </c>
      <c r="EI70" s="3">
        <v>0</v>
      </c>
      <c r="EJ70" s="3">
        <v>1</v>
      </c>
      <c r="EK70" s="15">
        <v>45470</v>
      </c>
      <c r="EL70" s="16">
        <v>-1.25</v>
      </c>
      <c r="EM70" s="16">
        <v>-4.1900000000000004</v>
      </c>
      <c r="EN70" s="16">
        <v>0.81</v>
      </c>
      <c r="EO70" s="16">
        <v>3.03</v>
      </c>
      <c r="EP70" s="16">
        <v>-2.1</v>
      </c>
    </row>
    <row r="71" spans="1:146" ht="96" x14ac:dyDescent="0.25">
      <c r="C71" s="7" t="str">
        <f>""&amp;CHAR(10)&amp;Basic_Fundamental_Information_Constructure(F71)&amp;CHAR(10)&amp;Basic_Fundamental_Information_Concatenate("")</f>
        <v xml:space="preserve">
市值27.140349亿, 利润-1113.42万; PE; 平均PE86.48; 平均PEG4.3, PB2.59; ROIC5.85%; ROE-4.4267%; 股利率0%; 毛利6.2733%; 净利-22.5733%; 上一年度营收增-92.08%, 利润增75.52%; 当季营收增-79.16%, 利润增85.85%; 过往5年营收增-20.13%, 利润增-27.1%
Income profile:
</v>
      </c>
      <c r="D71" s="3" t="s">
        <v>711</v>
      </c>
      <c r="E71" s="3" t="s">
        <v>712</v>
      </c>
      <c r="F71" s="3">
        <v>12.19</v>
      </c>
      <c r="G71" s="3">
        <v>0.83</v>
      </c>
      <c r="H71" s="3" t="s">
        <v>3461</v>
      </c>
      <c r="I71" s="3">
        <v>2714034900</v>
      </c>
      <c r="K71" s="3">
        <v>2.59</v>
      </c>
      <c r="L71" s="3" t="s">
        <v>343</v>
      </c>
      <c r="M71" s="3" t="s">
        <v>154</v>
      </c>
      <c r="N71" s="3" t="s">
        <v>3462</v>
      </c>
      <c r="O71" s="3" t="s">
        <v>1982</v>
      </c>
      <c r="P71" s="3">
        <v>-46.04</v>
      </c>
      <c r="Q71" s="3" t="s">
        <v>1982</v>
      </c>
      <c r="R71" s="3">
        <v>-11134195</v>
      </c>
      <c r="S71" s="5">
        <v>0.63180000000000003</v>
      </c>
      <c r="T71" s="3" t="s">
        <v>3463</v>
      </c>
      <c r="U71" s="3">
        <v>147447550</v>
      </c>
      <c r="V71" s="3">
        <v>222644370</v>
      </c>
      <c r="W71" s="3">
        <v>1.34</v>
      </c>
      <c r="X71" s="3">
        <v>0.03</v>
      </c>
      <c r="Y71" s="3">
        <v>-21.89</v>
      </c>
      <c r="Z71" s="3" t="s">
        <v>3464</v>
      </c>
      <c r="AA71" s="3" t="s">
        <v>3465</v>
      </c>
      <c r="AB71" s="3" t="s">
        <v>3466</v>
      </c>
      <c r="AC71" s="3" t="s">
        <v>3467</v>
      </c>
      <c r="AD71" s="3" t="s">
        <v>4</v>
      </c>
      <c r="AE71" s="3">
        <v>-1248198</v>
      </c>
      <c r="AF71" s="3" t="s">
        <v>1984</v>
      </c>
      <c r="AG71" s="3" t="s">
        <v>4</v>
      </c>
      <c r="AH71" s="3" t="s">
        <v>1985</v>
      </c>
      <c r="AI71" s="3" t="s">
        <v>1383</v>
      </c>
      <c r="AJ71" s="3" t="s">
        <v>1986</v>
      </c>
      <c r="AK71" s="3" t="s">
        <v>3468</v>
      </c>
      <c r="AL71" s="3" t="s">
        <v>1987</v>
      </c>
      <c r="AM71" s="3" t="s">
        <v>4</v>
      </c>
      <c r="AN71" s="3">
        <v>0</v>
      </c>
      <c r="AO71" s="3" t="s">
        <v>3469</v>
      </c>
      <c r="AP71" s="3" t="s">
        <v>3470</v>
      </c>
      <c r="AQ71" s="3" t="s">
        <v>52</v>
      </c>
      <c r="AR71" s="3" t="s">
        <v>4</v>
      </c>
      <c r="AS71" s="3" t="s">
        <v>23</v>
      </c>
      <c r="AT71" s="3" t="s">
        <v>4</v>
      </c>
      <c r="AU71" s="3" t="s">
        <v>3471</v>
      </c>
      <c r="AV71" s="3" t="s">
        <v>3472</v>
      </c>
      <c r="AW71" s="3" t="s">
        <v>3473</v>
      </c>
      <c r="AX71" s="3" t="s">
        <v>1276</v>
      </c>
      <c r="AY71" s="3" t="s">
        <v>941</v>
      </c>
      <c r="AZ71" s="3" t="s">
        <v>713</v>
      </c>
      <c r="BA71" s="3" t="s">
        <v>192</v>
      </c>
      <c r="BB71" s="3" t="s">
        <v>307</v>
      </c>
      <c r="BC71" s="3" t="s">
        <v>1988</v>
      </c>
      <c r="BD71" s="3" t="s">
        <v>942</v>
      </c>
      <c r="BE71" s="3" t="s">
        <v>714</v>
      </c>
      <c r="BF71" s="3" t="s">
        <v>715</v>
      </c>
      <c r="BG71" s="3" t="s">
        <v>716</v>
      </c>
      <c r="BH71" s="3" t="s">
        <v>337</v>
      </c>
      <c r="BI71" s="3" t="s">
        <v>44</v>
      </c>
      <c r="BJ71" s="3" t="s">
        <v>1276</v>
      </c>
      <c r="BK71" s="3" t="s">
        <v>1983</v>
      </c>
      <c r="BL71" s="3" t="s">
        <v>3474</v>
      </c>
      <c r="BM71" s="3" t="s">
        <v>1988</v>
      </c>
      <c r="BN71" s="3" t="s">
        <v>4</v>
      </c>
      <c r="BO71" s="3" t="s">
        <v>4</v>
      </c>
      <c r="BP71" s="3">
        <v>5.85</v>
      </c>
      <c r="BQ71" s="3">
        <v>-13.09</v>
      </c>
      <c r="BR71" s="3">
        <v>-5.34</v>
      </c>
      <c r="BS71" s="3">
        <v>5.15</v>
      </c>
      <c r="BT71" s="3" t="s">
        <v>1157</v>
      </c>
      <c r="BU71" s="3" t="s">
        <v>977</v>
      </c>
      <c r="BV71" s="3">
        <v>-3.47</v>
      </c>
      <c r="BW71" s="3">
        <v>8.7100000000000009</v>
      </c>
      <c r="BX71" s="3">
        <v>13.58</v>
      </c>
      <c r="BY71" s="3">
        <v>-65.09</v>
      </c>
      <c r="BZ71" s="3">
        <v>-7.09</v>
      </c>
      <c r="CA71" s="3">
        <v>4.46</v>
      </c>
      <c r="CB71" s="3">
        <v>-4.32</v>
      </c>
      <c r="CC71" s="3">
        <v>-14.99</v>
      </c>
      <c r="CD71" s="3" t="s">
        <v>3475</v>
      </c>
      <c r="CE71" s="3" t="s">
        <v>3476</v>
      </c>
      <c r="CF71" s="10">
        <v>-0.79155286885245901</v>
      </c>
      <c r="CG71" s="11">
        <v>0.85852734552191112</v>
      </c>
      <c r="CH71" s="10">
        <v>-0.9207770824432373</v>
      </c>
      <c r="CI71" s="10">
        <v>-0.31919404864311218</v>
      </c>
      <c r="CJ71" s="10">
        <v>-0.10869564861059189</v>
      </c>
      <c r="CK71" s="10">
        <v>6.4386315643787384E-2</v>
      </c>
      <c r="CL71" s="10">
        <v>0.27763494849205017</v>
      </c>
      <c r="CM71" s="11">
        <v>0.75518310070037842</v>
      </c>
      <c r="CN71" s="11">
        <v>-2.0818326473236084</v>
      </c>
      <c r="CO71" s="11">
        <v>-0.39656072854995728</v>
      </c>
      <c r="CP71" s="11">
        <v>-0.12740616500377655</v>
      </c>
      <c r="CQ71" s="11">
        <v>0.49570333957672119</v>
      </c>
      <c r="CR71" s="3">
        <v>86.476001678092928</v>
      </c>
      <c r="CS71" s="3">
        <v>4.2952558940220005</v>
      </c>
      <c r="CT71" s="3">
        <v>0</v>
      </c>
      <c r="CU71" s="10">
        <v>-0.20132910311222077</v>
      </c>
      <c r="CV71" s="11">
        <v>-0.27098262012004853</v>
      </c>
      <c r="CW71" s="3">
        <v>0.06</v>
      </c>
      <c r="CX71" s="3" t="e">
        <v>#VALUE!</v>
      </c>
      <c r="CY71" s="3" t="s">
        <v>1005</v>
      </c>
      <c r="CZ71" s="3">
        <v>-0.20132910311222077</v>
      </c>
      <c r="DA71" s="3" t="e">
        <v>#VALUE!</v>
      </c>
      <c r="DB71" s="3" t="s">
        <v>1006</v>
      </c>
      <c r="DC71" s="3">
        <v>-0.19126264795660972</v>
      </c>
      <c r="DD71" s="3" t="e">
        <v>#VALUE!</v>
      </c>
      <c r="DE71" s="3" t="s">
        <v>1006</v>
      </c>
      <c r="DF71" s="3">
        <v>-0.17716961073875429</v>
      </c>
      <c r="DG71" s="3" t="e">
        <v>#VALUE!</v>
      </c>
      <c r="DH71" s="3" t="s">
        <v>1006</v>
      </c>
      <c r="DI71" s="3">
        <v>-0.16106328248977664</v>
      </c>
      <c r="DJ71" s="3" t="e">
        <v>#VALUE!</v>
      </c>
      <c r="DK71" s="3" t="s">
        <v>1006</v>
      </c>
      <c r="DL71" s="3">
        <v>-0.14093037217855453</v>
      </c>
      <c r="DM71" s="3">
        <v>-11134200</v>
      </c>
      <c r="DN71" s="3">
        <v>-0.20132910311222077</v>
      </c>
      <c r="DO71" s="3">
        <v>2119034900</v>
      </c>
      <c r="DP71" s="3">
        <v>463082000</v>
      </c>
      <c r="DQ71" s="3">
        <v>2393</v>
      </c>
      <c r="DR71" s="3">
        <v>-0.59022376574023827</v>
      </c>
      <c r="DS71" s="3">
        <v>1.1295099656419596</v>
      </c>
      <c r="DT71" s="12">
        <v>-0.82333333333333325</v>
      </c>
      <c r="DU71" s="3">
        <v>-1.5116666666666667</v>
      </c>
      <c r="DV71" s="3">
        <v>-2.335</v>
      </c>
      <c r="DW71" s="3">
        <v>-8.2881921280853899</v>
      </c>
      <c r="DX71" s="3">
        <v>0.32052403132955348</v>
      </c>
      <c r="DY71" s="3">
        <v>-8.0376159983551485</v>
      </c>
      <c r="DZ71" s="3">
        <v>2485</v>
      </c>
      <c r="EA71" s="3">
        <v>-8.0193232868262747</v>
      </c>
      <c r="EB71" s="3">
        <v>8</v>
      </c>
      <c r="EC71" s="3">
        <v>3.8412379347387046E-2</v>
      </c>
      <c r="ED71" s="3">
        <v>0.29429354086070086</v>
      </c>
      <c r="EE71" s="13">
        <v>6.1800000000000001E-2</v>
      </c>
      <c r="EF71" s="3">
        <v>7.980000000000001E-2</v>
      </c>
      <c r="EG71" s="3">
        <v>19.130524031329553</v>
      </c>
      <c r="EH71" s="3" t="s">
        <v>1004</v>
      </c>
      <c r="EI71" s="3">
        <v>0</v>
      </c>
      <c r="EJ71" s="3">
        <v>0</v>
      </c>
      <c r="EK71" s="15">
        <v>45470</v>
      </c>
      <c r="EL71" s="16">
        <v>1.1100000000000001</v>
      </c>
      <c r="EM71" s="16">
        <v>-5.67</v>
      </c>
      <c r="EN71" s="16">
        <v>-3.31</v>
      </c>
      <c r="EO71" s="16">
        <v>11.19</v>
      </c>
      <c r="EP71" s="16">
        <v>1.8</v>
      </c>
    </row>
    <row r="72" spans="1:146" ht="96" x14ac:dyDescent="0.25">
      <c r="C72" s="7" t="str">
        <f>""&amp;CHAR(10)&amp;Basic_Fundamental_Information_Constructure(F72)&amp;CHAR(10)&amp;Basic_Fundamental_Information_Concatenate("")</f>
        <v xml:space="preserve">
市值18.677211亿, 利润597.00万; PE72.32; 平均PE25.11; 平均PEG36.48, PB2.37; ROIC10.5367%; ROE11.9567%; 股利率.6579%; 毛利27.7733%; 净利8.4633%; 上一年度营收增-75.4%, 利润增-92.34%; 当季营收增-49.59%, 利润增-54.86%; 过往5年营收增.69%, 利润增-3.22%
Income profile:
</v>
      </c>
      <c r="D72" s="3" t="s">
        <v>717</v>
      </c>
      <c r="E72" s="3" t="s">
        <v>718</v>
      </c>
      <c r="F72" s="3">
        <v>15.2</v>
      </c>
      <c r="G72" s="3">
        <v>-1.43</v>
      </c>
      <c r="H72" s="3" t="s">
        <v>3477</v>
      </c>
      <c r="I72" s="3">
        <v>1867721100</v>
      </c>
      <c r="J72" s="3">
        <v>72.319999999999993</v>
      </c>
      <c r="K72" s="3">
        <v>2.37</v>
      </c>
      <c r="L72" s="3" t="s">
        <v>343</v>
      </c>
      <c r="M72" s="3" t="s">
        <v>1367</v>
      </c>
      <c r="N72" s="3" t="s">
        <v>582</v>
      </c>
      <c r="O72" s="3" t="s">
        <v>78</v>
      </c>
      <c r="P72" s="3">
        <v>9.52</v>
      </c>
      <c r="Q72" s="3" t="s">
        <v>78</v>
      </c>
      <c r="R72" s="3">
        <v>5970010</v>
      </c>
      <c r="S72" s="5">
        <v>0.36520000000000002</v>
      </c>
      <c r="T72" s="3" t="s">
        <v>3478</v>
      </c>
      <c r="U72" s="3">
        <v>73323618</v>
      </c>
      <c r="V72" s="3">
        <v>122876391</v>
      </c>
      <c r="W72" s="3">
        <v>1.81</v>
      </c>
      <c r="X72" s="3">
        <v>0.12</v>
      </c>
      <c r="Y72" s="3">
        <v>1.22</v>
      </c>
      <c r="Z72" s="3" t="s">
        <v>143</v>
      </c>
      <c r="AA72" s="3" t="s">
        <v>27</v>
      </c>
      <c r="AB72" s="3" t="s">
        <v>3479</v>
      </c>
      <c r="AC72" s="3" t="s">
        <v>3480</v>
      </c>
      <c r="AD72" s="3" t="s">
        <v>4</v>
      </c>
      <c r="AE72" s="3">
        <v>1099399</v>
      </c>
      <c r="AF72" s="3" t="s">
        <v>1991</v>
      </c>
      <c r="AG72" s="3" t="s">
        <v>3481</v>
      </c>
      <c r="AH72" s="3" t="s">
        <v>1992</v>
      </c>
      <c r="AI72" s="3" t="s">
        <v>3482</v>
      </c>
      <c r="AJ72" s="3" t="s">
        <v>1993</v>
      </c>
      <c r="AK72" s="3" t="s">
        <v>3483</v>
      </c>
      <c r="AL72" s="3" t="s">
        <v>1994</v>
      </c>
      <c r="AM72" s="3" t="s">
        <v>4</v>
      </c>
      <c r="AN72" s="3" t="s">
        <v>3484</v>
      </c>
      <c r="AO72" s="3" t="s">
        <v>3485</v>
      </c>
      <c r="AP72" s="3" t="s">
        <v>4</v>
      </c>
      <c r="AQ72" s="3" t="s">
        <v>3379</v>
      </c>
      <c r="AR72" s="3" t="s">
        <v>4</v>
      </c>
      <c r="AS72" s="3" t="s">
        <v>224</v>
      </c>
      <c r="AT72" s="3" t="s">
        <v>3486</v>
      </c>
      <c r="AU72" s="3" t="s">
        <v>3487</v>
      </c>
      <c r="AV72" s="3" t="s">
        <v>3488</v>
      </c>
      <c r="AW72" s="3" t="s">
        <v>3489</v>
      </c>
      <c r="AX72" s="3" t="s">
        <v>1303</v>
      </c>
      <c r="AY72" s="3" t="s">
        <v>943</v>
      </c>
      <c r="AZ72" s="3" t="s">
        <v>258</v>
      </c>
      <c r="BA72" s="3" t="s">
        <v>246</v>
      </c>
      <c r="BB72" s="3" t="s">
        <v>204</v>
      </c>
      <c r="BC72" s="3" t="s">
        <v>1304</v>
      </c>
      <c r="BD72" s="3" t="s">
        <v>33</v>
      </c>
      <c r="BE72" s="3" t="s">
        <v>719</v>
      </c>
      <c r="BF72" s="3" t="s">
        <v>720</v>
      </c>
      <c r="BG72" s="3" t="s">
        <v>721</v>
      </c>
      <c r="BH72" s="3" t="s">
        <v>424</v>
      </c>
      <c r="BI72" s="3" t="s">
        <v>1274</v>
      </c>
      <c r="BJ72" s="3" t="s">
        <v>1303</v>
      </c>
      <c r="BK72" s="3" t="s">
        <v>1990</v>
      </c>
      <c r="BL72" s="3" t="s">
        <v>3490</v>
      </c>
      <c r="BM72" s="3" t="s">
        <v>1304</v>
      </c>
      <c r="BN72" s="3">
        <v>1.86</v>
      </c>
      <c r="BO72" s="3">
        <v>7.59</v>
      </c>
      <c r="BP72" s="3">
        <v>22.16</v>
      </c>
      <c r="BQ72" s="3">
        <v>2.27</v>
      </c>
      <c r="BR72" s="3">
        <v>10.050000000000001</v>
      </c>
      <c r="BS72" s="3">
        <v>23.55</v>
      </c>
      <c r="BT72" s="3" t="s">
        <v>1159</v>
      </c>
      <c r="BU72" s="3" t="s">
        <v>977</v>
      </c>
      <c r="BV72" s="3">
        <v>28.73</v>
      </c>
      <c r="BW72" s="3">
        <v>28.75</v>
      </c>
      <c r="BX72" s="3">
        <v>25.84</v>
      </c>
      <c r="BY72" s="3">
        <v>3.18</v>
      </c>
      <c r="BZ72" s="3">
        <v>10.48</v>
      </c>
      <c r="CA72" s="3">
        <v>11.73</v>
      </c>
      <c r="CB72" s="3">
        <v>-9.9</v>
      </c>
      <c r="CC72" s="3">
        <v>0.86</v>
      </c>
      <c r="CD72" s="3" t="s">
        <v>3491</v>
      </c>
      <c r="CE72" s="3" t="s">
        <v>121</v>
      </c>
      <c r="CF72" s="10">
        <v>-0.49586776859504134</v>
      </c>
      <c r="CG72" s="11">
        <v>-0.54861560562528355</v>
      </c>
      <c r="CH72" s="10">
        <v>-0.75403225421905518</v>
      </c>
      <c r="CI72" s="10">
        <v>-0.32425063848495483</v>
      </c>
      <c r="CJ72" s="10">
        <v>0.62869811058044434</v>
      </c>
      <c r="CK72" s="10">
        <v>0.19014084339141846</v>
      </c>
      <c r="CL72" s="10">
        <v>0.2938496470451355</v>
      </c>
      <c r="CM72" s="11">
        <v>-0.92341667413711548</v>
      </c>
      <c r="CN72" s="11">
        <v>-0.39570307731628418</v>
      </c>
      <c r="CO72" s="11">
        <v>0.29660627245903015</v>
      </c>
      <c r="CP72" s="11">
        <v>0.1859707236289978</v>
      </c>
      <c r="CQ72" s="11">
        <v>0.67567873001098633</v>
      </c>
      <c r="CR72" s="3">
        <v>25.105617279760413</v>
      </c>
      <c r="CS72" s="3">
        <v>36.484668548856689</v>
      </c>
      <c r="CT72" s="3">
        <v>0.65789473684210531</v>
      </c>
      <c r="CU72" s="10">
        <v>6.8811416625976559E-3</v>
      </c>
      <c r="CV72" s="11">
        <v>-3.2172805070877074E-2</v>
      </c>
      <c r="CW72" s="3">
        <v>0.06</v>
      </c>
      <c r="CX72" s="3">
        <v>301.31760694160198</v>
      </c>
      <c r="CY72" s="3">
        <v>5670830.5808733087</v>
      </c>
      <c r="CZ72" s="3">
        <v>6.8811416625976559E-3</v>
      </c>
      <c r="DA72" s="3">
        <v>105.71585260096174</v>
      </c>
      <c r="DB72" s="3">
        <v>16163338.401571527</v>
      </c>
      <c r="DC72" s="3">
        <v>6.5370845794677727E-3</v>
      </c>
      <c r="DD72" s="3">
        <v>57.044406755358651</v>
      </c>
      <c r="DE72" s="3">
        <v>29954226.841696199</v>
      </c>
      <c r="DF72" s="3">
        <v>6.0554046630859372E-3</v>
      </c>
      <c r="DG72" s="3">
        <v>37.825729506590584</v>
      </c>
      <c r="DH72" s="3">
        <v>45173513.433555335</v>
      </c>
      <c r="DI72" s="3">
        <v>5.5049133300781247E-3</v>
      </c>
      <c r="DJ72" s="3">
        <v>23.93436673845358</v>
      </c>
      <c r="DK72" s="3">
        <v>71391949.437071338</v>
      </c>
      <c r="DL72" s="3">
        <v>4.8167991638183591E-3</v>
      </c>
      <c r="DM72" s="3">
        <v>5970000</v>
      </c>
      <c r="DN72" s="3">
        <v>6.8811416625976559E-3</v>
      </c>
      <c r="DO72" s="3">
        <v>1708721100</v>
      </c>
      <c r="DP72" s="3">
        <v>481932680</v>
      </c>
      <c r="DQ72" s="3">
        <v>2452</v>
      </c>
      <c r="DR72" s="3">
        <v>-0.50274891025763901</v>
      </c>
      <c r="DS72" s="3">
        <v>-0.5164428005544065</v>
      </c>
      <c r="DT72" s="12">
        <v>-0.44</v>
      </c>
      <c r="DU72" s="3">
        <v>-0.2533333333333333</v>
      </c>
      <c r="DV72" s="3">
        <v>-0.69333333333333336</v>
      </c>
      <c r="DW72" s="3">
        <v>-5.0868686868686872</v>
      </c>
      <c r="DX72" s="3">
        <v>0.37442233009708803</v>
      </c>
      <c r="DY72" s="3">
        <v>-5.0194952731195448</v>
      </c>
      <c r="DZ72" s="3">
        <v>3205</v>
      </c>
      <c r="EA72" s="3">
        <v>-5.0072678072979908</v>
      </c>
      <c r="EB72" s="3">
        <v>5</v>
      </c>
      <c r="EC72" s="3">
        <v>0.18811994567776652</v>
      </c>
      <c r="ED72" s="3">
        <v>0.83824076506283451</v>
      </c>
      <c r="EE72" s="13">
        <v>-7.1460999999999997</v>
      </c>
      <c r="EF72" s="3">
        <v>-7.1426999999999996</v>
      </c>
      <c r="EG72" s="3">
        <v>15.224422330097088</v>
      </c>
      <c r="EH72" s="3" t="s">
        <v>2042</v>
      </c>
      <c r="EI72" s="3">
        <v>0</v>
      </c>
      <c r="EJ72" s="3">
        <v>0</v>
      </c>
      <c r="EK72" s="15">
        <v>45470</v>
      </c>
      <c r="EL72" s="16">
        <v>-1.28</v>
      </c>
      <c r="EM72" s="16">
        <v>-4.83</v>
      </c>
      <c r="EN72" s="16">
        <v>1.8</v>
      </c>
      <c r="EO72" s="16">
        <v>6.39</v>
      </c>
      <c r="EP72" s="16">
        <v>-0.34</v>
      </c>
    </row>
    <row r="73" spans="1:146" ht="96" x14ac:dyDescent="0.25">
      <c r="C73" s="7" t="str">
        <f>""&amp;CHAR(10)&amp;Basic_Fundamental_Information_Constructure(F73)&amp;CHAR(10)&amp;Basic_Fundamental_Information_Concatenate("")</f>
        <v xml:space="preserve">
市值19.327776亿, 利润515.01万; PE198; 平均PE31.92; 平均PEG2.56, PB1.96; ROIC5.9167%; ROE7.3267%; 股利率.6849%; 毛利20.05%; 净利5.3433%; 上一年度营收增-76.72%, 利润增-81.1%; 当季营收增-46.29%, 利润增-28.33%; 过往5年营收增-12.45%, 利润增-9.94%
Income profile:
</v>
      </c>
      <c r="D73" s="3" t="s">
        <v>722</v>
      </c>
      <c r="E73" s="3" t="s">
        <v>723</v>
      </c>
      <c r="F73" s="3">
        <v>17.52</v>
      </c>
      <c r="G73" s="3">
        <v>0.81</v>
      </c>
      <c r="H73" s="3" t="s">
        <v>3492</v>
      </c>
      <c r="I73" s="3">
        <v>1932777600</v>
      </c>
      <c r="J73" s="3">
        <v>198</v>
      </c>
      <c r="K73" s="3">
        <v>1.96</v>
      </c>
      <c r="L73" s="3" t="s">
        <v>343</v>
      </c>
      <c r="M73" s="3" t="s">
        <v>867</v>
      </c>
      <c r="N73" s="3" t="s">
        <v>3493</v>
      </c>
      <c r="O73" s="3" t="s">
        <v>231</v>
      </c>
      <c r="P73" s="3">
        <v>11.71</v>
      </c>
      <c r="Q73" s="3" t="s">
        <v>231</v>
      </c>
      <c r="R73" s="3">
        <v>5150127</v>
      </c>
      <c r="S73" s="5">
        <v>0.21820000000000001</v>
      </c>
      <c r="T73" s="3" t="s">
        <v>3494</v>
      </c>
      <c r="U73" s="3">
        <v>55320611</v>
      </c>
      <c r="V73" s="3">
        <v>110318358</v>
      </c>
      <c r="W73" s="3">
        <v>1.2</v>
      </c>
      <c r="X73" s="3">
        <v>0.12</v>
      </c>
      <c r="Y73" s="3">
        <v>3.07</v>
      </c>
      <c r="Z73" s="3" t="s">
        <v>195</v>
      </c>
      <c r="AA73" s="3" t="s">
        <v>56</v>
      </c>
      <c r="AB73" s="3" t="s">
        <v>3495</v>
      </c>
      <c r="AC73" s="3" t="s">
        <v>3496</v>
      </c>
      <c r="AD73" s="3" t="s">
        <v>4</v>
      </c>
      <c r="AE73" s="3">
        <v>-2803406</v>
      </c>
      <c r="AF73" s="3" t="s">
        <v>1996</v>
      </c>
      <c r="AG73" s="3">
        <v>0.69</v>
      </c>
      <c r="AH73" s="3" t="s">
        <v>1997</v>
      </c>
      <c r="AI73" s="3" t="s">
        <v>1469</v>
      </c>
      <c r="AJ73" s="3" t="s">
        <v>1998</v>
      </c>
      <c r="AK73" s="3" t="s">
        <v>4</v>
      </c>
      <c r="AL73" s="3" t="s">
        <v>1999</v>
      </c>
      <c r="AM73" s="3" t="s">
        <v>4</v>
      </c>
      <c r="AN73" s="3" t="s">
        <v>3497</v>
      </c>
      <c r="AO73" s="3" t="s">
        <v>1375</v>
      </c>
      <c r="AP73" s="3" t="s">
        <v>4</v>
      </c>
      <c r="AQ73" s="3" t="s">
        <v>428</v>
      </c>
      <c r="AR73" s="3" t="s">
        <v>4</v>
      </c>
      <c r="AS73" s="3" t="s">
        <v>40</v>
      </c>
      <c r="AT73" s="3" t="s">
        <v>4</v>
      </c>
      <c r="AU73" s="3" t="s">
        <v>3498</v>
      </c>
      <c r="AV73" s="3" t="s">
        <v>3499</v>
      </c>
      <c r="AW73" s="3" t="s">
        <v>3500</v>
      </c>
      <c r="AX73" s="3" t="s">
        <v>1305</v>
      </c>
      <c r="AY73" s="3" t="s">
        <v>681</v>
      </c>
      <c r="AZ73" s="3" t="s">
        <v>253</v>
      </c>
      <c r="BA73" s="3" t="s">
        <v>724</v>
      </c>
      <c r="BB73" s="3" t="s">
        <v>86</v>
      </c>
      <c r="BC73" s="3" t="s">
        <v>2000</v>
      </c>
      <c r="BD73" s="3" t="s">
        <v>944</v>
      </c>
      <c r="BE73" s="3" t="s">
        <v>70</v>
      </c>
      <c r="BF73" s="3" t="s">
        <v>725</v>
      </c>
      <c r="BG73" s="3" t="s">
        <v>726</v>
      </c>
      <c r="BH73" s="3" t="s">
        <v>219</v>
      </c>
      <c r="BI73" s="3" t="s">
        <v>1348</v>
      </c>
      <c r="BJ73" s="3" t="s">
        <v>1305</v>
      </c>
      <c r="BK73" s="3" t="s">
        <v>1995</v>
      </c>
      <c r="BL73" s="3" t="s">
        <v>3501</v>
      </c>
      <c r="BM73" s="3" t="s">
        <v>2000</v>
      </c>
      <c r="BN73" s="3">
        <v>0.83</v>
      </c>
      <c r="BO73" s="3">
        <v>2.88</v>
      </c>
      <c r="BP73" s="3">
        <v>14.04</v>
      </c>
      <c r="BQ73" s="3">
        <v>1.66</v>
      </c>
      <c r="BR73" s="3">
        <v>3.24</v>
      </c>
      <c r="BS73" s="3">
        <v>17.079999999999998</v>
      </c>
      <c r="BT73" s="3" t="s">
        <v>1535</v>
      </c>
      <c r="BU73" s="3" t="s">
        <v>1002</v>
      </c>
      <c r="BV73" s="3">
        <v>17.5</v>
      </c>
      <c r="BW73" s="3">
        <v>18.760000000000002</v>
      </c>
      <c r="BX73" s="3">
        <v>23.89</v>
      </c>
      <c r="BY73" s="3">
        <v>1.48</v>
      </c>
      <c r="BZ73" s="3">
        <v>4.17</v>
      </c>
      <c r="CA73" s="3">
        <v>10.38</v>
      </c>
      <c r="CB73" s="3">
        <v>-8.08</v>
      </c>
      <c r="CC73" s="3">
        <v>-13.44</v>
      </c>
      <c r="CD73" s="3" t="s">
        <v>3502</v>
      </c>
      <c r="CE73" s="3" t="s">
        <v>3503</v>
      </c>
      <c r="CF73" s="10">
        <v>-0.4628975265017668</v>
      </c>
      <c r="CG73" s="11">
        <v>-0.28331102143055942</v>
      </c>
      <c r="CH73" s="10">
        <v>-0.76722818613052368</v>
      </c>
      <c r="CI73" s="10">
        <v>-0.26629212498664856</v>
      </c>
      <c r="CJ73" s="10">
        <v>0.24301676452159882</v>
      </c>
      <c r="CK73" s="10">
        <v>0.1222570538520813</v>
      </c>
      <c r="CL73" s="10">
        <v>4.5901637524366379E-2</v>
      </c>
      <c r="CM73" s="11">
        <v>-0.81096732616424561</v>
      </c>
      <c r="CN73" s="11">
        <v>-0.70494621992111206</v>
      </c>
      <c r="CO73" s="11">
        <v>-0.16813153028488159</v>
      </c>
      <c r="CP73" s="11">
        <v>0.34101855754852295</v>
      </c>
      <c r="CQ73" s="11">
        <v>0.84608888626098633</v>
      </c>
      <c r="CR73" s="3">
        <v>31.91668451028756</v>
      </c>
      <c r="CS73" s="3">
        <v>2.5642281962023925</v>
      </c>
      <c r="CT73" s="3">
        <v>0.68493150684931503</v>
      </c>
      <c r="CU73" s="10">
        <v>-0.12446897104382515</v>
      </c>
      <c r="CV73" s="11">
        <v>-9.9387526512145996E-2</v>
      </c>
      <c r="CW73" s="3">
        <v>0.06</v>
      </c>
      <c r="CX73" s="3">
        <v>205.58389157492087</v>
      </c>
      <c r="CY73" s="3" t="s">
        <v>3504</v>
      </c>
      <c r="CZ73" s="3">
        <v>-0.12446897104382515</v>
      </c>
      <c r="DA73" s="3">
        <v>68.527963858306961</v>
      </c>
      <c r="DB73" s="3" t="s">
        <v>3505</v>
      </c>
      <c r="DC73" s="3">
        <v>-0.11824552249163389</v>
      </c>
      <c r="DD73" s="3">
        <v>34.263981929153481</v>
      </c>
      <c r="DE73" s="3" t="s">
        <v>3506</v>
      </c>
      <c r="DF73" s="3">
        <v>-0.10953269451856613</v>
      </c>
      <c r="DG73" s="3">
        <v>20.558389157492087</v>
      </c>
      <c r="DH73" s="3" t="s">
        <v>3507</v>
      </c>
      <c r="DI73" s="3">
        <v>-9.957517683506012E-2</v>
      </c>
      <c r="DJ73" s="3">
        <v>10.279194578746043</v>
      </c>
      <c r="DK73" s="3" t="s">
        <v>3508</v>
      </c>
      <c r="DL73" s="3">
        <v>-8.7128279730677605E-2</v>
      </c>
      <c r="DM73" s="3">
        <v>5150100</v>
      </c>
      <c r="DN73" s="3">
        <v>-0.12446897104382515</v>
      </c>
      <c r="DO73" s="3">
        <v>1058777600</v>
      </c>
      <c r="DP73" s="3">
        <v>736754500</v>
      </c>
      <c r="DQ73" s="3">
        <v>2492</v>
      </c>
      <c r="DR73" s="3">
        <v>-0.33842855545794165</v>
      </c>
      <c r="DS73" s="3">
        <v>-0.18392349491841342</v>
      </c>
      <c r="DT73" s="12">
        <v>-0.79</v>
      </c>
      <c r="DU73" s="3">
        <v>-0.67</v>
      </c>
      <c r="DV73" s="3">
        <v>-1.46</v>
      </c>
      <c r="DW73" s="3">
        <v>-9.6011904761904763</v>
      </c>
      <c r="DX73" s="3">
        <v>0.28825570977731091</v>
      </c>
      <c r="DY73" s="3">
        <v>-9.0530584921875512</v>
      </c>
      <c r="DZ73" s="3">
        <v>1197</v>
      </c>
      <c r="EA73" s="3">
        <v>-9.0406297220997818</v>
      </c>
      <c r="EB73" s="3">
        <v>9</v>
      </c>
      <c r="EC73" s="3">
        <v>5.947060959699927E-2</v>
      </c>
      <c r="ED73" s="3">
        <v>0.67384432969896091</v>
      </c>
      <c r="EE73" s="13">
        <v>-1.1168</v>
      </c>
      <c r="EF73" s="3">
        <v>-1.1076999999999999</v>
      </c>
      <c r="EG73" s="3">
        <v>20.088255709777311</v>
      </c>
      <c r="EH73" s="3" t="s">
        <v>1173</v>
      </c>
      <c r="EI73" s="3">
        <v>0</v>
      </c>
      <c r="EJ73" s="3">
        <v>1</v>
      </c>
      <c r="EK73" s="15">
        <v>45470</v>
      </c>
      <c r="EL73" s="16">
        <v>-0.42</v>
      </c>
      <c r="EM73" s="16">
        <v>-4.5199999999999996</v>
      </c>
      <c r="EN73" s="16">
        <v>2.3199999999999998</v>
      </c>
      <c r="EO73" s="16">
        <v>3.21</v>
      </c>
      <c r="EP73" s="16">
        <v>-0.91</v>
      </c>
    </row>
    <row r="74" spans="1:146" ht="96" x14ac:dyDescent="0.25">
      <c r="C74" s="7" t="str">
        <f>""&amp;CHAR(10)&amp;Basic_Fundamental_Information_Constructure(F74)&amp;CHAR(10)&amp;Basic_Fundamental_Information_Concatenate("")</f>
        <v xml:space="preserve">
市值26.462196亿, 利润2155.52万; PE32.7; 平均PE42.53; 平均PEG12.17, PB2.25; ROIC11.1%; ROE11.0367%; 股利率1.5361%; 毛利24.5833%; 净利13.5667%; 上一年度营收增-74.25%, 利润增-76.25%; 当季营收增-38.95%, 利润增39.32%; 过往5年营收增-3.49%, 利润增10.21%
Income profile:
</v>
      </c>
      <c r="D74" s="3" t="s">
        <v>945</v>
      </c>
      <c r="E74" s="3" t="s">
        <v>946</v>
      </c>
      <c r="F74" s="3">
        <v>26.04</v>
      </c>
      <c r="G74" s="3">
        <v>-0.53</v>
      </c>
      <c r="H74" s="3" t="s">
        <v>3509</v>
      </c>
      <c r="I74" s="3">
        <v>2646219600</v>
      </c>
      <c r="J74" s="3">
        <v>32.700000000000003</v>
      </c>
      <c r="K74" s="3">
        <v>2.25</v>
      </c>
      <c r="L74" s="3" t="s">
        <v>343</v>
      </c>
      <c r="M74" s="3" t="s">
        <v>99</v>
      </c>
      <c r="N74" s="3" t="s">
        <v>3510</v>
      </c>
      <c r="O74" s="3" t="s">
        <v>132</v>
      </c>
      <c r="P74" s="3">
        <v>38.71</v>
      </c>
      <c r="Q74" s="3" t="s">
        <v>132</v>
      </c>
      <c r="R74" s="3">
        <v>54500000</v>
      </c>
      <c r="S74" s="5">
        <v>0.86099999999999999</v>
      </c>
      <c r="T74" s="3" t="s">
        <v>3511</v>
      </c>
      <c r="U74" s="3">
        <v>29185334</v>
      </c>
      <c r="V74" s="3">
        <v>101621335</v>
      </c>
      <c r="W74" s="3">
        <v>1.17</v>
      </c>
      <c r="X74" s="3">
        <v>0.12</v>
      </c>
      <c r="Y74" s="3">
        <v>13.25</v>
      </c>
      <c r="Z74" s="3" t="s">
        <v>120</v>
      </c>
      <c r="AA74" s="3" t="s">
        <v>124</v>
      </c>
      <c r="AB74" s="3" t="s">
        <v>3512</v>
      </c>
      <c r="AC74" s="3" t="s">
        <v>3513</v>
      </c>
      <c r="AD74" s="3" t="s">
        <v>4</v>
      </c>
      <c r="AE74" s="3">
        <v>-2934997</v>
      </c>
      <c r="AF74" s="3" t="s">
        <v>2002</v>
      </c>
      <c r="AG74" s="3">
        <v>3762</v>
      </c>
      <c r="AH74" s="3" t="s">
        <v>2003</v>
      </c>
      <c r="AI74" s="3" t="s">
        <v>1553</v>
      </c>
      <c r="AJ74" s="3" t="s">
        <v>2004</v>
      </c>
      <c r="AK74" s="3" t="s">
        <v>3514</v>
      </c>
      <c r="AL74" s="3" t="s">
        <v>2005</v>
      </c>
      <c r="AM74" s="3" t="s">
        <v>4</v>
      </c>
      <c r="AN74" s="3" t="s">
        <v>3515</v>
      </c>
      <c r="AO74" s="3" t="s">
        <v>4</v>
      </c>
      <c r="AP74" s="3" t="s">
        <v>3516</v>
      </c>
      <c r="AQ74" s="3" t="s">
        <v>62</v>
      </c>
      <c r="AR74" s="3" t="s">
        <v>4</v>
      </c>
      <c r="AS74" s="3" t="s">
        <v>82</v>
      </c>
      <c r="AT74" s="3" t="s">
        <v>4</v>
      </c>
      <c r="AU74" s="3" t="s">
        <v>3517</v>
      </c>
      <c r="AV74" s="3" t="s">
        <v>3518</v>
      </c>
      <c r="AW74" s="3" t="s">
        <v>3519</v>
      </c>
      <c r="AX74" s="3" t="s">
        <v>1248</v>
      </c>
      <c r="AY74" s="3" t="s">
        <v>947</v>
      </c>
      <c r="AZ74" s="3" t="s">
        <v>83</v>
      </c>
      <c r="BA74" s="3" t="s">
        <v>949</v>
      </c>
      <c r="BB74" s="3" t="s">
        <v>60</v>
      </c>
      <c r="BC74" s="3" t="s">
        <v>1306</v>
      </c>
      <c r="BD74" s="3" t="s">
        <v>948</v>
      </c>
      <c r="BE74" s="3" t="s">
        <v>950</v>
      </c>
      <c r="BF74" s="3" t="s">
        <v>951</v>
      </c>
      <c r="BG74" s="3" t="s">
        <v>952</v>
      </c>
      <c r="BH74" s="3" t="s">
        <v>1930</v>
      </c>
      <c r="BI74" s="3" t="s">
        <v>63</v>
      </c>
      <c r="BJ74" s="3" t="s">
        <v>1248</v>
      </c>
      <c r="BK74" s="3" t="s">
        <v>2001</v>
      </c>
      <c r="BL74" s="3" t="s">
        <v>3520</v>
      </c>
      <c r="BM74" s="3" t="s">
        <v>1306</v>
      </c>
      <c r="BN74" s="3">
        <v>3.74</v>
      </c>
      <c r="BO74" s="3">
        <v>10.98</v>
      </c>
      <c r="BP74" s="3">
        <v>18.579999999999998</v>
      </c>
      <c r="BQ74" s="3">
        <v>5.13</v>
      </c>
      <c r="BR74" s="3">
        <v>8.74</v>
      </c>
      <c r="BS74" s="3">
        <v>19.239999999999998</v>
      </c>
      <c r="BT74" s="3" t="s">
        <v>2006</v>
      </c>
      <c r="BU74" s="3" t="s">
        <v>1002</v>
      </c>
      <c r="BV74" s="3">
        <v>23.59</v>
      </c>
      <c r="BW74" s="3">
        <v>23.07</v>
      </c>
      <c r="BX74" s="3">
        <v>27.09</v>
      </c>
      <c r="BY74" s="3">
        <v>12.44</v>
      </c>
      <c r="BZ74" s="3">
        <v>14.35</v>
      </c>
      <c r="CA74" s="3">
        <v>13.91</v>
      </c>
      <c r="CB74" s="3">
        <v>-9.43</v>
      </c>
      <c r="CC74" s="3">
        <v>4.88</v>
      </c>
      <c r="CD74" s="3" t="s">
        <v>3521</v>
      </c>
      <c r="CE74" s="3" t="s">
        <v>158</v>
      </c>
      <c r="CF74" s="10">
        <v>-0.38951310861423222</v>
      </c>
      <c r="CG74" s="11">
        <v>0.39319914311861875</v>
      </c>
      <c r="CH74" s="10">
        <v>-0.7424960732460022</v>
      </c>
      <c r="CI74" s="10">
        <v>0.12035398185253143</v>
      </c>
      <c r="CJ74" s="10">
        <v>0.24449339509010315</v>
      </c>
      <c r="CK74" s="10">
        <v>6.6518848761916161E-3</v>
      </c>
      <c r="CL74" s="10">
        <v>0.19628646969795227</v>
      </c>
      <c r="CM74" s="11">
        <v>-0.76252341270446777</v>
      </c>
      <c r="CN74" s="11">
        <v>0.15530951321125031</v>
      </c>
      <c r="CO74" s="11">
        <v>0.22163543105125427</v>
      </c>
      <c r="CP74" s="11">
        <v>-0.19499936699867249</v>
      </c>
      <c r="CQ74" s="11">
        <v>1.0908870697021484</v>
      </c>
      <c r="CR74" s="3">
        <v>42.532338208502068</v>
      </c>
      <c r="CS74" s="3">
        <v>12.172244009006965</v>
      </c>
      <c r="CT74" s="3">
        <v>1.5360983102918588</v>
      </c>
      <c r="CU74" s="10">
        <v>-3.4942068345844748E-2</v>
      </c>
      <c r="CV74" s="11">
        <v>0.10206184685230255</v>
      </c>
      <c r="CW74" s="3">
        <v>0.06</v>
      </c>
      <c r="CX74" s="3">
        <v>77.532085065320672</v>
      </c>
      <c r="CY74" s="3" t="s">
        <v>3522</v>
      </c>
      <c r="CZ74" s="3">
        <v>-3.4942068345844748E-2</v>
      </c>
      <c r="DA74" s="3">
        <v>25.844028355106889</v>
      </c>
      <c r="DB74" s="3" t="s">
        <v>3523</v>
      </c>
      <c r="DC74" s="3">
        <v>-3.3194964928552506E-2</v>
      </c>
      <c r="DD74" s="3">
        <v>12.922014177553445</v>
      </c>
      <c r="DE74" s="3" t="s">
        <v>3524</v>
      </c>
      <c r="DF74" s="3">
        <v>-3.0749020144343379E-2</v>
      </c>
      <c r="DG74" s="3">
        <v>7.7532085065320668</v>
      </c>
      <c r="DH74" s="3" t="s">
        <v>3525</v>
      </c>
      <c r="DI74" s="3">
        <v>-2.79536546766758E-2</v>
      </c>
      <c r="DJ74" s="3">
        <v>3.8766042532660334</v>
      </c>
      <c r="DK74" s="3" t="s">
        <v>3526</v>
      </c>
      <c r="DL74" s="3">
        <v>-2.4459447842091323E-2</v>
      </c>
      <c r="DM74" s="3">
        <v>21555200</v>
      </c>
      <c r="DN74" s="3">
        <v>-3.4942068345844748E-2</v>
      </c>
      <c r="DO74" s="3">
        <v>1671219600</v>
      </c>
      <c r="DP74" s="3">
        <v>847548820</v>
      </c>
      <c r="DQ74" s="3">
        <v>2547</v>
      </c>
      <c r="DR74" s="3">
        <v>-0.35457104026838748</v>
      </c>
      <c r="DS74" s="3">
        <v>0.29113729626631624</v>
      </c>
      <c r="DT74" s="12">
        <v>-0.54</v>
      </c>
      <c r="DU74" s="3">
        <v>0.47333333333333338</v>
      </c>
      <c r="DV74" s="3">
        <v>-6.6666666666666652E-2</v>
      </c>
      <c r="DW74" s="3">
        <v>-5.5174973488865326</v>
      </c>
      <c r="DX74" s="3">
        <v>0.34473021582733909</v>
      </c>
      <c r="DY74" s="3">
        <v>-5.0334977150835005</v>
      </c>
      <c r="DZ74" s="3">
        <v>4143</v>
      </c>
      <c r="EA74" s="3">
        <v>-5.0063390000950578</v>
      </c>
      <c r="EB74" s="3">
        <v>5</v>
      </c>
      <c r="EC74" s="3">
        <v>8.8539478447119402E-2</v>
      </c>
      <c r="ED74" s="3">
        <v>1.3678230068518584</v>
      </c>
      <c r="EE74" s="13">
        <v>-1.0349999999999999</v>
      </c>
      <c r="EF74" s="3">
        <v>-1.0203</v>
      </c>
      <c r="EG74" s="3">
        <v>28.064730215827339</v>
      </c>
      <c r="EH74" s="3" t="s">
        <v>1173</v>
      </c>
      <c r="EI74" s="3">
        <v>0</v>
      </c>
      <c r="EJ74" s="3">
        <v>0</v>
      </c>
      <c r="EK74" s="15">
        <v>45470</v>
      </c>
      <c r="EL74" s="16">
        <v>1.31</v>
      </c>
      <c r="EM74" s="16">
        <v>4.97</v>
      </c>
      <c r="EN74" s="16">
        <v>-3.08</v>
      </c>
      <c r="EO74" s="16">
        <v>2.38</v>
      </c>
      <c r="EP74" s="16">
        <v>-1.47</v>
      </c>
    </row>
    <row r="75" spans="1:146" ht="96" x14ac:dyDescent="0.25">
      <c r="C75" s="7" t="str">
        <f>""&amp;CHAR(10)&amp;Basic_Fundamental_Information_Constructure(F75)&amp;CHAR(10)&amp;Basic_Fundamental_Information_Concatenate("")</f>
        <v xml:space="preserve">
市值31.4亿, 利润786.84万; PE; 平均PE100.16; 平均PEG6.75, PB3.89; ROIC9.47%; ROE6.2833%; 股利率0%; 毛利18.46%; 净利4.5433%; 上一年度营收增-59.8%, 利润增-55.37%; 当季营收增-13.99%, 利润增197.65%; 过往5年营收增14.84%, 利润增70.92%
Income profile:
</v>
      </c>
      <c r="D75" s="3" t="s">
        <v>1021</v>
      </c>
      <c r="E75" s="3" t="s">
        <v>1022</v>
      </c>
      <c r="F75" s="3">
        <v>39.25</v>
      </c>
      <c r="G75" s="3">
        <v>0.59</v>
      </c>
      <c r="H75" s="3" t="s">
        <v>3527</v>
      </c>
      <c r="I75" s="3">
        <v>3140000000</v>
      </c>
      <c r="K75" s="3">
        <v>3.89</v>
      </c>
      <c r="L75" s="3" t="s">
        <v>343</v>
      </c>
      <c r="M75" s="3" t="s">
        <v>291</v>
      </c>
      <c r="N75" s="3" t="s">
        <v>3528</v>
      </c>
      <c r="O75" s="3" t="s">
        <v>29</v>
      </c>
      <c r="P75" s="3">
        <v>105.34</v>
      </c>
      <c r="Q75" s="3" t="s">
        <v>29</v>
      </c>
      <c r="R75" s="3">
        <v>7868432</v>
      </c>
      <c r="S75" s="5">
        <v>2.786</v>
      </c>
      <c r="T75" s="3" t="s">
        <v>3529</v>
      </c>
      <c r="U75" s="3">
        <v>46088000</v>
      </c>
      <c r="V75" s="3">
        <v>80000000</v>
      </c>
      <c r="W75" s="3">
        <v>1.44</v>
      </c>
      <c r="X75" s="3">
        <v>0.11</v>
      </c>
      <c r="Y75" s="3">
        <v>6.4</v>
      </c>
      <c r="Z75" s="3" t="s">
        <v>6</v>
      </c>
      <c r="AA75" s="3" t="s">
        <v>3530</v>
      </c>
      <c r="AB75" s="3" t="s">
        <v>3531</v>
      </c>
      <c r="AC75" s="3" t="s">
        <v>3532</v>
      </c>
      <c r="AD75" s="3" t="s">
        <v>4</v>
      </c>
      <c r="AE75" s="3">
        <v>-1955080</v>
      </c>
      <c r="AF75" s="3" t="s">
        <v>2009</v>
      </c>
      <c r="AG75" s="3" t="s">
        <v>3533</v>
      </c>
      <c r="AH75" s="3" t="s">
        <v>2010</v>
      </c>
      <c r="AI75" s="3" t="s">
        <v>1909</v>
      </c>
      <c r="AJ75" s="3" t="s">
        <v>2011</v>
      </c>
      <c r="AK75" s="3" t="s">
        <v>3534</v>
      </c>
      <c r="AL75" s="3" t="s">
        <v>2012</v>
      </c>
      <c r="AM75" s="3" t="s">
        <v>4</v>
      </c>
      <c r="AN75" s="3" t="s">
        <v>3535</v>
      </c>
      <c r="AO75" s="3" t="s">
        <v>3536</v>
      </c>
      <c r="AP75" s="3" t="s">
        <v>3537</v>
      </c>
      <c r="AQ75" s="3" t="s">
        <v>187</v>
      </c>
      <c r="AR75" s="3" t="s">
        <v>4</v>
      </c>
      <c r="AS75" s="3" t="s">
        <v>1220</v>
      </c>
      <c r="AT75" s="3" t="s">
        <v>4</v>
      </c>
      <c r="AU75" s="3" t="s">
        <v>3538</v>
      </c>
      <c r="AV75" s="3" t="s">
        <v>3539</v>
      </c>
      <c r="AW75" s="3" t="s">
        <v>3540</v>
      </c>
      <c r="AX75" s="3" t="s">
        <v>1307</v>
      </c>
      <c r="AY75" s="3" t="s">
        <v>1016</v>
      </c>
      <c r="AZ75" s="3" t="s">
        <v>93</v>
      </c>
      <c r="BA75" s="3" t="s">
        <v>47</v>
      </c>
      <c r="BB75" s="3" t="s">
        <v>68</v>
      </c>
      <c r="BC75" s="3" t="s">
        <v>2014</v>
      </c>
      <c r="BD75" s="3" t="s">
        <v>1023</v>
      </c>
      <c r="BE75" s="3" t="s">
        <v>1025</v>
      </c>
      <c r="BF75" s="3" t="s">
        <v>1026</v>
      </c>
      <c r="BG75" s="3" t="s">
        <v>1027</v>
      </c>
      <c r="BH75" s="3" t="s">
        <v>301</v>
      </c>
      <c r="BI75" s="3" t="s">
        <v>274</v>
      </c>
      <c r="BJ75" s="3" t="s">
        <v>1307</v>
      </c>
      <c r="BK75" s="3" t="s">
        <v>2008</v>
      </c>
      <c r="BL75" s="3" t="s">
        <v>3541</v>
      </c>
      <c r="BM75" s="3" t="s">
        <v>2014</v>
      </c>
      <c r="BN75" s="3" t="s">
        <v>4</v>
      </c>
      <c r="BO75" s="3">
        <v>1.86</v>
      </c>
      <c r="BP75" s="3">
        <v>17.079999999999998</v>
      </c>
      <c r="BQ75" s="3">
        <v>-1.73</v>
      </c>
      <c r="BR75" s="3">
        <v>2.64</v>
      </c>
      <c r="BS75" s="3">
        <v>17.940000000000001</v>
      </c>
      <c r="BT75" s="3" t="s">
        <v>1157</v>
      </c>
      <c r="BU75" s="3" t="s">
        <v>1011</v>
      </c>
      <c r="BV75" s="3">
        <v>4.87</v>
      </c>
      <c r="BW75" s="3">
        <v>20.329999999999998</v>
      </c>
      <c r="BX75" s="3">
        <v>30.18</v>
      </c>
      <c r="BY75" s="3">
        <v>-9.25</v>
      </c>
      <c r="BZ75" s="3">
        <v>5.74</v>
      </c>
      <c r="CA75" s="3">
        <v>17.14</v>
      </c>
      <c r="CB75" s="3">
        <v>-9.27</v>
      </c>
      <c r="CC75" s="3">
        <v>-5.28</v>
      </c>
      <c r="CD75" s="3" t="s">
        <v>3542</v>
      </c>
      <c r="CE75" s="3" t="s">
        <v>1474</v>
      </c>
      <c r="CF75" s="10">
        <v>-0.13986013986013987</v>
      </c>
      <c r="CG75" s="11">
        <v>1.9764987961974732</v>
      </c>
      <c r="CH75" s="10">
        <v>-0.59803920984268188</v>
      </c>
      <c r="CI75" s="10">
        <v>-0.2406947910785675</v>
      </c>
      <c r="CJ75" s="10">
        <v>-0.12008733302354813</v>
      </c>
      <c r="CK75" s="10">
        <v>0.61267608404159546</v>
      </c>
      <c r="CL75" s="10">
        <v>1.0882352590560913</v>
      </c>
      <c r="CM75" s="11">
        <v>-0.55366724729537964</v>
      </c>
      <c r="CN75" s="11">
        <v>-0.74502682685852051</v>
      </c>
      <c r="CO75" s="11">
        <v>1.9912701100111008E-2</v>
      </c>
      <c r="CP75" s="11">
        <v>2.4151487350463867</v>
      </c>
      <c r="CQ75" s="11">
        <v>2.4095399379730225</v>
      </c>
      <c r="CR75" s="3">
        <v>100.15917014618773</v>
      </c>
      <c r="CS75" s="3">
        <v>6.7484515968973531</v>
      </c>
      <c r="CT75" s="3">
        <v>0</v>
      </c>
      <c r="CU75" s="10">
        <v>0.14841800183057785</v>
      </c>
      <c r="CV75" s="11">
        <v>0.70918145999312399</v>
      </c>
      <c r="CW75" s="3">
        <v>0.06</v>
      </c>
      <c r="CX75" s="3">
        <v>308.27961280861558</v>
      </c>
      <c r="CY75" s="3">
        <v>8524728.4958525635</v>
      </c>
      <c r="CZ75" s="3">
        <v>0.14841800183057785</v>
      </c>
      <c r="DA75" s="3">
        <v>95.912624930894765</v>
      </c>
      <c r="DB75" s="3">
        <v>27399938.244766831</v>
      </c>
      <c r="DC75" s="3">
        <v>0.14099710173904895</v>
      </c>
      <c r="DD75" s="3">
        <v>44.150520402293004</v>
      </c>
      <c r="DE75" s="3">
        <v>59523647.197225608</v>
      </c>
      <c r="DF75" s="3">
        <v>0.13060784161090852</v>
      </c>
      <c r="DG75" s="3">
        <v>24.53156266820784</v>
      </c>
      <c r="DH75" s="3">
        <v>107127297.00688037</v>
      </c>
      <c r="DI75" s="3">
        <v>0.11873440146446229</v>
      </c>
      <c r="DJ75" s="3">
        <v>10.613718842081189</v>
      </c>
      <c r="DK75" s="3">
        <v>247604071.58898219</v>
      </c>
      <c r="DL75" s="3">
        <v>0.10389260128140448</v>
      </c>
      <c r="DM75" s="3">
        <v>7868400</v>
      </c>
      <c r="DN75" s="3">
        <v>0.14841800183057785</v>
      </c>
      <c r="DO75" s="3">
        <v>2628000000</v>
      </c>
      <c r="DP75" s="3">
        <v>484567640</v>
      </c>
      <c r="DQ75" s="3">
        <v>2610</v>
      </c>
      <c r="DR75" s="3">
        <v>-0.28827814169071775</v>
      </c>
      <c r="DS75" s="3">
        <v>1.2673173362043491</v>
      </c>
      <c r="DT75" s="12">
        <v>-0.32333333333333342</v>
      </c>
      <c r="DU75" s="3">
        <v>0.82533333333333314</v>
      </c>
      <c r="DV75" s="3">
        <v>0.50199999999999978</v>
      </c>
      <c r="DW75" s="3">
        <v>-5.5695792880258903</v>
      </c>
      <c r="DX75" s="3">
        <v>0.29406878306878415</v>
      </c>
      <c r="DY75" s="3">
        <v>-5.0763628020068152</v>
      </c>
      <c r="DZ75" s="3">
        <v>4094</v>
      </c>
      <c r="EA75" s="3">
        <v>-5.015182897620142</v>
      </c>
      <c r="EB75" s="3">
        <v>5</v>
      </c>
      <c r="EC75" s="3">
        <v>0.31673750000000001</v>
      </c>
      <c r="ED75" s="3">
        <v>2.3624999999999998</v>
      </c>
      <c r="EE75" s="13">
        <v>-4.1142000000000003</v>
      </c>
      <c r="EF75" s="3">
        <v>-4.0579999999999998</v>
      </c>
      <c r="EG75" s="3">
        <v>16.134068783068784</v>
      </c>
      <c r="EH75" s="3" t="s">
        <v>1464</v>
      </c>
      <c r="EI75" s="3">
        <v>0</v>
      </c>
      <c r="EJ75" s="3">
        <v>0</v>
      </c>
      <c r="EK75" s="15">
        <v>45470</v>
      </c>
      <c r="EL75" s="16">
        <v>-1.27</v>
      </c>
      <c r="EM75" s="16">
        <v>19.98</v>
      </c>
      <c r="EN75" s="16">
        <v>0.87</v>
      </c>
      <c r="EO75" s="16">
        <v>-0.86</v>
      </c>
      <c r="EP75" s="16">
        <v>-5.62</v>
      </c>
    </row>
    <row r="76" spans="1:146" ht="96" x14ac:dyDescent="0.25">
      <c r="C76" s="7" t="str">
        <f>""&amp;CHAR(10)&amp;Basic_Fundamental_Information_Constructure(F76)&amp;CHAR(10)&amp;Basic_Fundamental_Information_Concatenate("")</f>
        <v xml:space="preserve">
市值19.855328亿, 利润-1504.49万; PE56.95; 平均PE29.07; 平均PEG1.53, PB1.65; ROIC6.055%; ROE3.82%; 股利率0%; 毛利14.8967%; 净利1.9233%; 上一年度营收增-78.75%, 利润增72.32%; 当季营收增-54.51%, 利润增-119.05%; 过往5年营收增-19.03%, 利润增-.22%
Income profile:
</v>
      </c>
      <c r="D76" s="3" t="s">
        <v>1028</v>
      </c>
      <c r="E76" s="3" t="s">
        <v>976</v>
      </c>
      <c r="F76" s="3">
        <v>10.65</v>
      </c>
      <c r="G76" s="3">
        <v>0.56999999999999995</v>
      </c>
      <c r="H76" s="3" t="s">
        <v>3543</v>
      </c>
      <c r="I76" s="3">
        <v>1985532800</v>
      </c>
      <c r="J76" s="3">
        <v>56.95</v>
      </c>
      <c r="K76" s="3">
        <v>1.65</v>
      </c>
      <c r="L76" s="3" t="s">
        <v>343</v>
      </c>
      <c r="M76" s="3" t="s">
        <v>2015</v>
      </c>
      <c r="N76" s="3" t="s">
        <v>282</v>
      </c>
      <c r="O76" s="3" t="s">
        <v>337</v>
      </c>
      <c r="P76" s="3">
        <v>1.1200000000000001</v>
      </c>
      <c r="Q76" s="3" t="s">
        <v>337</v>
      </c>
      <c r="R76" s="3">
        <v>-15044864</v>
      </c>
      <c r="S76" s="5">
        <v>-5.9569999999999999</v>
      </c>
      <c r="T76" s="3" t="s">
        <v>3544</v>
      </c>
      <c r="U76" s="3">
        <v>147586610</v>
      </c>
      <c r="V76" s="3">
        <v>186435000</v>
      </c>
      <c r="W76" s="3">
        <v>3.62</v>
      </c>
      <c r="X76" s="3">
        <v>0.1</v>
      </c>
      <c r="Y76" s="3">
        <v>-3.24</v>
      </c>
      <c r="Z76" s="3" t="s">
        <v>3545</v>
      </c>
      <c r="AA76" s="3" t="s">
        <v>3546</v>
      </c>
      <c r="AB76" s="3" t="s">
        <v>3547</v>
      </c>
      <c r="AC76" s="3" t="s">
        <v>3548</v>
      </c>
      <c r="AD76" s="3" t="s">
        <v>4</v>
      </c>
      <c r="AE76" s="3">
        <v>7012037</v>
      </c>
      <c r="AF76" s="3" t="s">
        <v>2020</v>
      </c>
      <c r="AG76" s="3" t="s">
        <v>3549</v>
      </c>
      <c r="AH76" s="3" t="s">
        <v>2021</v>
      </c>
      <c r="AI76" s="3" t="s">
        <v>294</v>
      </c>
      <c r="AJ76" s="3" t="s">
        <v>2022</v>
      </c>
      <c r="AK76" s="3" t="s">
        <v>3550</v>
      </c>
      <c r="AL76" s="3" t="s">
        <v>2023</v>
      </c>
      <c r="AM76" s="3" t="s">
        <v>4</v>
      </c>
      <c r="AN76" s="3" t="s">
        <v>3551</v>
      </c>
      <c r="AO76" s="3" t="s">
        <v>1311</v>
      </c>
      <c r="AP76" s="3" t="s">
        <v>224</v>
      </c>
      <c r="AQ76" s="3" t="s">
        <v>3552</v>
      </c>
      <c r="AR76" s="3" t="s">
        <v>4</v>
      </c>
      <c r="AS76" s="3" t="s">
        <v>3553</v>
      </c>
      <c r="AT76" s="3" t="s">
        <v>3554</v>
      </c>
      <c r="AU76" s="3" t="s">
        <v>3555</v>
      </c>
      <c r="AV76" s="3" t="s">
        <v>3556</v>
      </c>
      <c r="AW76" s="3" t="s">
        <v>3557</v>
      </c>
      <c r="AX76" s="3" t="s">
        <v>1308</v>
      </c>
      <c r="AY76" s="3" t="s">
        <v>978</v>
      </c>
      <c r="AZ76" s="3" t="s">
        <v>979</v>
      </c>
      <c r="BA76" s="3" t="s">
        <v>980</v>
      </c>
      <c r="BB76" s="3" t="s">
        <v>981</v>
      </c>
      <c r="BC76" s="3" t="s">
        <v>1309</v>
      </c>
      <c r="BD76" s="3" t="s">
        <v>125</v>
      </c>
      <c r="BE76" s="3" t="s">
        <v>137</v>
      </c>
      <c r="BF76" s="3" t="s">
        <v>42</v>
      </c>
      <c r="BG76" s="3" t="s">
        <v>982</v>
      </c>
      <c r="BH76" s="3" t="s">
        <v>2017</v>
      </c>
      <c r="BI76" s="3" t="s">
        <v>919</v>
      </c>
      <c r="BJ76" s="3" t="s">
        <v>1308</v>
      </c>
      <c r="BK76" s="3" t="s">
        <v>2018</v>
      </c>
      <c r="BL76" s="3" t="s">
        <v>3558</v>
      </c>
      <c r="BM76" s="3" t="s">
        <v>1309</v>
      </c>
      <c r="BN76" s="3">
        <v>4.0199999999999996</v>
      </c>
      <c r="BO76" s="3" t="s">
        <v>4</v>
      </c>
      <c r="BP76" s="3">
        <v>8.09</v>
      </c>
      <c r="BQ76" s="3">
        <v>5.76</v>
      </c>
      <c r="BR76" s="3">
        <v>-4.0999999999999996</v>
      </c>
      <c r="BS76" s="3">
        <v>9.8000000000000007</v>
      </c>
      <c r="BT76" s="3" t="s">
        <v>1157</v>
      </c>
      <c r="BU76" s="3" t="s">
        <v>1002</v>
      </c>
      <c r="BV76" s="3">
        <v>14.83</v>
      </c>
      <c r="BW76" s="3">
        <v>14.32</v>
      </c>
      <c r="BX76" s="3">
        <v>15.54</v>
      </c>
      <c r="BY76" s="3">
        <v>2.4700000000000002</v>
      </c>
      <c r="BZ76" s="3">
        <v>-1.9</v>
      </c>
      <c r="CA76" s="3">
        <v>5.2</v>
      </c>
      <c r="CB76" s="3">
        <v>-7.47</v>
      </c>
      <c r="CC76" s="3">
        <v>-24.52</v>
      </c>
      <c r="CD76" s="3" t="s">
        <v>3559</v>
      </c>
      <c r="CE76" s="3" t="s">
        <v>65</v>
      </c>
      <c r="CF76" s="10">
        <v>-0.54510184287099905</v>
      </c>
      <c r="CG76" s="11">
        <v>-1.1905389978406651</v>
      </c>
      <c r="CH76" s="10">
        <v>-0.78749436140060425</v>
      </c>
      <c r="CI76" s="10">
        <v>-0.24027535319328308</v>
      </c>
      <c r="CJ76" s="10">
        <v>0.17802111804485321</v>
      </c>
      <c r="CK76" s="10">
        <v>3.6134399473667145E-2</v>
      </c>
      <c r="CL76" s="10">
        <v>-0.13768115639686584</v>
      </c>
      <c r="CM76" s="11">
        <v>0.72320222854614258</v>
      </c>
      <c r="CN76" s="11">
        <v>-1.4246360063552856</v>
      </c>
      <c r="CO76" s="11">
        <v>-0.16339869797229767</v>
      </c>
      <c r="CP76" s="11">
        <v>0.25409835577011108</v>
      </c>
      <c r="CQ76" s="11">
        <v>0.599559485912323</v>
      </c>
      <c r="CR76" s="3">
        <v>29.065602075961632</v>
      </c>
      <c r="CS76" s="3">
        <v>1.5276854853685575</v>
      </c>
      <c r="CT76" s="3">
        <v>0</v>
      </c>
      <c r="CU76" s="10">
        <v>-0.19025907069444656</v>
      </c>
      <c r="CV76" s="11">
        <v>-2.2349268198013305E-3</v>
      </c>
      <c r="CW76" s="3">
        <v>0.06</v>
      </c>
      <c r="CX76" s="3" t="e">
        <v>#VALUE!</v>
      </c>
      <c r="CY76" s="3" t="s">
        <v>1005</v>
      </c>
      <c r="CZ76" s="3">
        <v>-0.19025907069444656</v>
      </c>
      <c r="DA76" s="3" t="e">
        <v>#VALUE!</v>
      </c>
      <c r="DB76" s="3" t="s">
        <v>1006</v>
      </c>
      <c r="DC76" s="3">
        <v>-0.18074611715972422</v>
      </c>
      <c r="DD76" s="3" t="e">
        <v>#VALUE!</v>
      </c>
      <c r="DE76" s="3" t="s">
        <v>1006</v>
      </c>
      <c r="DF76" s="3">
        <v>-0.16742798221111296</v>
      </c>
      <c r="DG76" s="3" t="e">
        <v>#VALUE!</v>
      </c>
      <c r="DH76" s="3" t="s">
        <v>1006</v>
      </c>
      <c r="DI76" s="3">
        <v>-0.15220725655555725</v>
      </c>
      <c r="DJ76" s="3" t="e">
        <v>#VALUE!</v>
      </c>
      <c r="DK76" s="3" t="s">
        <v>1006</v>
      </c>
      <c r="DL76" s="3">
        <v>-0.13318134948611257</v>
      </c>
      <c r="DM76" s="3">
        <v>-15044900</v>
      </c>
      <c r="DN76" s="3">
        <v>-0.19025907069444656</v>
      </c>
      <c r="DO76" s="3">
        <v>3929532800</v>
      </c>
      <c r="DP76" s="3">
        <v>210490499.99999976</v>
      </c>
      <c r="DQ76" s="3">
        <v>2725</v>
      </c>
      <c r="DR76" s="3">
        <v>-0.35484277217655247</v>
      </c>
      <c r="DS76" s="3">
        <v>-1.1883040710208637</v>
      </c>
      <c r="DT76" s="12">
        <v>-0.79</v>
      </c>
      <c r="DU76" s="3">
        <v>-1.615</v>
      </c>
      <c r="DV76" s="3">
        <v>-2.4050000000000002</v>
      </c>
      <c r="DW76" s="3">
        <v>-9.3046492659053825</v>
      </c>
      <c r="DX76" s="3">
        <v>0.31184523809523879</v>
      </c>
      <c r="DY76" s="3">
        <v>-9.02798058436262</v>
      </c>
      <c r="DZ76" s="3">
        <v>1816</v>
      </c>
      <c r="EA76" s="3">
        <v>-9.0180367993914814</v>
      </c>
      <c r="EB76" s="3">
        <v>9</v>
      </c>
      <c r="EC76" s="3">
        <v>6.2072572210153672E-2</v>
      </c>
      <c r="ED76" s="3">
        <v>0.67583876418054545</v>
      </c>
      <c r="EE76" s="13">
        <v>1.0401</v>
      </c>
      <c r="EF76" s="3">
        <v>1.0482</v>
      </c>
      <c r="EG76" s="3">
        <v>22.091845238095239</v>
      </c>
      <c r="EH76" s="3" t="s">
        <v>983</v>
      </c>
      <c r="EI76" s="3">
        <v>0</v>
      </c>
      <c r="EJ76" s="3">
        <v>0</v>
      </c>
      <c r="EK76" s="15">
        <v>45470</v>
      </c>
      <c r="EL76" s="16">
        <v>-2.94</v>
      </c>
      <c r="EM76" s="16">
        <v>-5.64</v>
      </c>
      <c r="EN76" s="16">
        <v>4.66</v>
      </c>
      <c r="EO76" s="16">
        <v>2.78</v>
      </c>
      <c r="EP76" s="16">
        <v>0.81</v>
      </c>
    </row>
    <row r="77" spans="1:146" ht="96" x14ac:dyDescent="0.25">
      <c r="A77" s="3"/>
      <c r="B77" s="3"/>
      <c r="C77" s="7" t="str">
        <f>""&amp;CHAR(10)&amp;Basic_Fundamental_Information_Constructure(F77)&amp;CHAR(10)&amp;Basic_Fundamental_Information_Concatenate("")</f>
        <v xml:space="preserve">
市值34.174755亿, 利润5090.45万; PE14.47; 平均PE21.21; 平均PEG7, PB1.32; ROIC17.4833%; ROE18.14%; 股利率5.9001%; 毛利31.0367%; 净利14.28%; 上一年度营收增-76.18%, 利润增-79.22%; 当季营收增-53.4%, 利润增-56.86%; 过往5年营收增-3.03%, 利润增2.83%
Income profile:
</v>
      </c>
      <c r="D77" s="3" t="s">
        <v>1387</v>
      </c>
      <c r="E77" s="3" t="s">
        <v>1388</v>
      </c>
      <c r="F77" s="3">
        <v>32.65</v>
      </c>
      <c r="G77" s="3">
        <v>2.0299999999999998</v>
      </c>
      <c r="H77" s="3" t="s">
        <v>3560</v>
      </c>
      <c r="I77" s="3">
        <v>3417475500</v>
      </c>
      <c r="J77" s="3">
        <v>14.47</v>
      </c>
      <c r="K77" s="3">
        <v>1.32</v>
      </c>
      <c r="L77" s="3" t="s">
        <v>343</v>
      </c>
      <c r="M77" s="3" t="s">
        <v>1062</v>
      </c>
      <c r="N77" s="3" t="s">
        <v>3561</v>
      </c>
      <c r="O77" s="3" t="s">
        <v>1909</v>
      </c>
      <c r="P77" s="5">
        <v>-0.18</v>
      </c>
      <c r="Q77" s="3" t="s">
        <v>1909</v>
      </c>
      <c r="R77" s="3">
        <v>50904481</v>
      </c>
      <c r="S77" s="3">
        <v>0.1353</v>
      </c>
      <c r="T77" s="3" t="s">
        <v>791</v>
      </c>
      <c r="U77" s="3">
        <v>25387630</v>
      </c>
      <c r="V77" s="3">
        <v>104670000</v>
      </c>
      <c r="W77" s="3">
        <v>1.18</v>
      </c>
      <c r="X77" s="3">
        <v>0.11</v>
      </c>
      <c r="Y77" s="3">
        <v>14.48</v>
      </c>
      <c r="Z77" s="3" t="s">
        <v>211</v>
      </c>
      <c r="AA77" s="3" t="s">
        <v>131</v>
      </c>
      <c r="AB77" s="3" t="s">
        <v>3562</v>
      </c>
      <c r="AC77" s="3" t="s">
        <v>3563</v>
      </c>
      <c r="AD77" s="3" t="s">
        <v>4</v>
      </c>
      <c r="AE77" s="3">
        <v>-7407587</v>
      </c>
      <c r="AF77" s="3" t="s">
        <v>2025</v>
      </c>
      <c r="AG77" s="3" t="s">
        <v>3564</v>
      </c>
      <c r="AH77" s="3" t="s">
        <v>2026</v>
      </c>
      <c r="AI77" s="3" t="s">
        <v>3565</v>
      </c>
      <c r="AJ77" s="3" t="s">
        <v>2027</v>
      </c>
      <c r="AK77" s="3" t="s">
        <v>4</v>
      </c>
      <c r="AL77" s="3" t="s">
        <v>2028</v>
      </c>
      <c r="AM77" s="3" t="s">
        <v>4</v>
      </c>
      <c r="AN77" s="3" t="s">
        <v>3566</v>
      </c>
      <c r="AO77" s="3" t="s">
        <v>4</v>
      </c>
      <c r="AP77" s="3" t="s">
        <v>3567</v>
      </c>
      <c r="AQ77" s="3" t="s">
        <v>1269</v>
      </c>
      <c r="AR77" s="3" t="s">
        <v>4</v>
      </c>
      <c r="AS77" s="3" t="s">
        <v>109</v>
      </c>
      <c r="AT77" s="3" t="s">
        <v>4</v>
      </c>
      <c r="AU77" s="3" t="s">
        <v>3568</v>
      </c>
      <c r="AV77" s="3" t="s">
        <v>3569</v>
      </c>
      <c r="AW77" s="3" t="s">
        <v>3570</v>
      </c>
      <c r="AX77" s="3" t="s">
        <v>1381</v>
      </c>
      <c r="AY77" s="3" t="s">
        <v>1389</v>
      </c>
      <c r="AZ77" s="3" t="s">
        <v>1390</v>
      </c>
      <c r="BA77" s="3" t="s">
        <v>1391</v>
      </c>
      <c r="BB77" s="3" t="s">
        <v>1392</v>
      </c>
      <c r="BC77" s="3" t="s">
        <v>89</v>
      </c>
      <c r="BD77" s="3" t="s">
        <v>216</v>
      </c>
      <c r="BE77" s="3" t="s">
        <v>36</v>
      </c>
      <c r="BF77" s="3" t="s">
        <v>99</v>
      </c>
      <c r="BG77" s="3" t="s">
        <v>42</v>
      </c>
      <c r="BH77" s="3" t="s">
        <v>2024</v>
      </c>
      <c r="BI77" s="3" t="s">
        <v>3164</v>
      </c>
      <c r="BJ77" s="3" t="s">
        <v>1381</v>
      </c>
      <c r="BK77" s="3" t="s">
        <v>1199</v>
      </c>
      <c r="BL77" s="3" t="s">
        <v>41</v>
      </c>
      <c r="BM77" s="3" t="s">
        <v>89</v>
      </c>
      <c r="BN77" s="3">
        <v>9.35</v>
      </c>
      <c r="BO77" s="3">
        <v>23.31</v>
      </c>
      <c r="BP77" s="3">
        <v>19.79</v>
      </c>
      <c r="BQ77" s="3">
        <v>12.34</v>
      </c>
      <c r="BR77" s="3">
        <v>23.94</v>
      </c>
      <c r="BS77" s="3" t="s">
        <v>4</v>
      </c>
      <c r="BT77" s="3" t="s">
        <v>3571</v>
      </c>
      <c r="BU77" s="3" t="s">
        <v>977</v>
      </c>
      <c r="BV77" s="3">
        <v>32.89</v>
      </c>
      <c r="BW77" s="3">
        <v>32.06</v>
      </c>
      <c r="BX77" s="3">
        <v>28.16</v>
      </c>
      <c r="BY77" s="3">
        <v>14.93</v>
      </c>
      <c r="BZ77" s="3">
        <v>16.690000000000001</v>
      </c>
      <c r="CA77" s="3">
        <v>11.22</v>
      </c>
      <c r="CB77" s="3">
        <v>-4.1399999999999997</v>
      </c>
      <c r="CC77" s="10">
        <v>-7.62</v>
      </c>
      <c r="CD77" s="11" t="s">
        <v>3572</v>
      </c>
      <c r="CE77" s="10" t="s">
        <v>3573</v>
      </c>
      <c r="CF77" s="10">
        <v>-0.53404539385847793</v>
      </c>
      <c r="CG77" s="10">
        <v>-0.56860609322033895</v>
      </c>
      <c r="CH77" s="10">
        <v>-0.76177477836608887</v>
      </c>
      <c r="CI77" s="10">
        <v>-2.137608639895916E-2</v>
      </c>
      <c r="CJ77" s="11">
        <v>0.41359767317771912</v>
      </c>
      <c r="CK77" s="11">
        <v>-2.1256931126117706E-2</v>
      </c>
      <c r="CL77" s="11">
        <v>0.2394043505191803</v>
      </c>
      <c r="CM77" s="11">
        <v>-0.79222655296325684</v>
      </c>
      <c r="CN77" s="11">
        <v>0.44117647409439087</v>
      </c>
      <c r="CO77" s="3">
        <v>-3.954802080988884E-2</v>
      </c>
      <c r="CP77" s="3">
        <v>-0.12376237660646439</v>
      </c>
      <c r="CQ77" s="3">
        <v>0.65573769807815552</v>
      </c>
      <c r="CR77" s="10">
        <v>21.206699317254184</v>
      </c>
      <c r="CS77" s="11">
        <v>7.0032664573858545</v>
      </c>
      <c r="CT77" s="3">
        <v>5.9001215926493114</v>
      </c>
      <c r="CU77" s="3">
        <v>-3.0281154438853264E-2</v>
      </c>
      <c r="CV77" s="3">
        <v>2.8275444358587264E-2</v>
      </c>
      <c r="CW77" s="3">
        <v>0.06</v>
      </c>
      <c r="CX77" s="3">
        <v>25.979540119242895</v>
      </c>
      <c r="CY77" s="3" t="s">
        <v>3574</v>
      </c>
      <c r="CZ77" s="3">
        <v>-3.0281154438853264E-2</v>
      </c>
      <c r="DA77" s="3">
        <v>8.6598467064142994</v>
      </c>
      <c r="DB77" s="3" t="s">
        <v>3575</v>
      </c>
      <c r="DC77" s="3">
        <v>-2.8767096716910599E-2</v>
      </c>
      <c r="DD77" s="3">
        <v>4.3299233532071497</v>
      </c>
      <c r="DE77" s="3" t="s">
        <v>3576</v>
      </c>
      <c r="DF77" s="3">
        <v>-2.6647415906190873E-2</v>
      </c>
      <c r="DG77" s="3">
        <v>2.5979540119242897</v>
      </c>
      <c r="DH77" s="3" t="s">
        <v>3577</v>
      </c>
      <c r="DI77" s="3">
        <v>-2.4224923551082612E-2</v>
      </c>
      <c r="DJ77" s="3">
        <v>1.2989770059621448</v>
      </c>
      <c r="DK77" s="3" t="s">
        <v>3578</v>
      </c>
      <c r="DL77" s="3">
        <v>-2.1196808107197283E-2</v>
      </c>
      <c r="DM77" s="3">
        <v>50904500</v>
      </c>
      <c r="DN77" s="3">
        <v>-3.0281154438853264E-2</v>
      </c>
      <c r="DO77" s="3">
        <v>1322475500</v>
      </c>
      <c r="DP77" s="3">
        <v>1835559600</v>
      </c>
      <c r="DQ77" s="12">
        <v>2753</v>
      </c>
      <c r="DR77" s="3">
        <v>-0.50376423941962467</v>
      </c>
      <c r="DS77" s="3">
        <v>-0.59688153757892626</v>
      </c>
      <c r="DT77" s="3">
        <v>-0.54</v>
      </c>
      <c r="DU77" s="3">
        <v>-0.20333333333333334</v>
      </c>
      <c r="DV77" s="3">
        <v>-0.7433333333333334</v>
      </c>
      <c r="DW77" s="3">
        <v>-8.543307086614174</v>
      </c>
      <c r="DX77" s="3">
        <v>0.4026624971431258</v>
      </c>
      <c r="DY77" s="3">
        <v>-8.0449111204950849</v>
      </c>
      <c r="DZ77" s="3">
        <v>1780</v>
      </c>
      <c r="EA77" s="3">
        <v>-8.029266933708147</v>
      </c>
      <c r="EB77" s="13">
        <v>8</v>
      </c>
      <c r="EC77" s="13">
        <v>2.1769370402216489E-2</v>
      </c>
      <c r="ED77" s="3">
        <v>0.26335244100506355</v>
      </c>
      <c r="EE77" s="3">
        <v>-2.02</v>
      </c>
      <c r="EF77" s="3">
        <v>-2.1133999999999999</v>
      </c>
      <c r="EG77" s="3">
        <v>32.082662497143126</v>
      </c>
      <c r="EH77" s="15" t="s">
        <v>1226</v>
      </c>
      <c r="EI77" s="3">
        <v>0</v>
      </c>
      <c r="EJ77" s="3">
        <v>0</v>
      </c>
      <c r="EK77" s="3">
        <v>45470</v>
      </c>
      <c r="EL77" s="3">
        <v>-10.91</v>
      </c>
      <c r="EM77" s="3">
        <v>-1.84</v>
      </c>
      <c r="EN77" s="16">
        <v>-2.33</v>
      </c>
      <c r="EO77" s="16">
        <v>2.0299999999999998</v>
      </c>
      <c r="EP77" s="16">
        <v>9.34</v>
      </c>
    </row>
    <row r="78" spans="1:146" ht="96" x14ac:dyDescent="0.25">
      <c r="A78" s="3"/>
      <c r="B78" s="3"/>
      <c r="C78" s="7" t="str">
        <f>""&amp;CHAR(10)&amp;Basic_Fundamental_Information_Constructure(F78)&amp;CHAR(10)&amp;Basic_Fundamental_Information_Concatenate("")</f>
        <v xml:space="preserve">
市值24.374297亿, 利润2527.09万; PE22.92; 平均PE40.47; 平均PEG5.8, PB1.84; ROIC14.11%; ROE17.8767%; 股利率2.3283%; 毛利19.8033%; 净利9%; 上一年度营收增-75.67%, 利润增-78.58%; 当季营收增-52.46%, 利润增-59.09%; 过往5年营收增6.98%, 利润增16.13%
Income profile:
</v>
      </c>
      <c r="D78" s="3" t="s">
        <v>1064</v>
      </c>
      <c r="E78" s="3" t="s">
        <v>1065</v>
      </c>
      <c r="F78" s="3">
        <v>17.18</v>
      </c>
      <c r="G78" s="3">
        <v>0.06</v>
      </c>
      <c r="H78" s="3" t="s">
        <v>3579</v>
      </c>
      <c r="I78" s="3">
        <v>2437429700</v>
      </c>
      <c r="J78" s="3">
        <v>22.92</v>
      </c>
      <c r="K78" s="3">
        <v>1.84</v>
      </c>
      <c r="L78" s="3" t="s">
        <v>343</v>
      </c>
      <c r="M78" s="3" t="s">
        <v>2029</v>
      </c>
      <c r="N78" s="3" t="s">
        <v>543</v>
      </c>
      <c r="O78" s="3" t="s">
        <v>1031</v>
      </c>
      <c r="P78" s="5">
        <v>1.49</v>
      </c>
      <c r="Q78" s="3" t="s">
        <v>1031</v>
      </c>
      <c r="R78" s="3">
        <v>25270891</v>
      </c>
      <c r="S78" s="3">
        <v>-4.1399999999999999E-2</v>
      </c>
      <c r="T78" s="3" t="s">
        <v>3580</v>
      </c>
      <c r="U78" s="3">
        <v>93425500</v>
      </c>
      <c r="V78" s="3">
        <v>141876000</v>
      </c>
      <c r="W78" s="3">
        <v>1.3</v>
      </c>
      <c r="X78" s="3">
        <v>0.17</v>
      </c>
      <c r="Y78" s="3">
        <v>8.42</v>
      </c>
      <c r="Z78" s="3" t="s">
        <v>1518</v>
      </c>
      <c r="AA78" s="3" t="s">
        <v>131</v>
      </c>
      <c r="AB78" s="3" t="s">
        <v>3581</v>
      </c>
      <c r="AC78" s="3" t="s">
        <v>3582</v>
      </c>
      <c r="AD78" s="3" t="s">
        <v>4</v>
      </c>
      <c r="AE78" s="3">
        <v>-4356573</v>
      </c>
      <c r="AF78" s="3" t="s">
        <v>2030</v>
      </c>
      <c r="AG78" s="3">
        <v>9291.39</v>
      </c>
      <c r="AH78" s="3" t="s">
        <v>2031</v>
      </c>
      <c r="AI78" s="3" t="s">
        <v>2270</v>
      </c>
      <c r="AJ78" s="3" t="s">
        <v>2032</v>
      </c>
      <c r="AK78" s="3" t="s">
        <v>4</v>
      </c>
      <c r="AL78" s="3" t="s">
        <v>2033</v>
      </c>
      <c r="AM78" s="3" t="s">
        <v>4</v>
      </c>
      <c r="AN78" s="3" t="s">
        <v>3583</v>
      </c>
      <c r="AO78" s="3" t="s">
        <v>3584</v>
      </c>
      <c r="AP78" s="3" t="s">
        <v>3585</v>
      </c>
      <c r="AQ78" s="3" t="s">
        <v>25</v>
      </c>
      <c r="AR78" s="3" t="s">
        <v>4</v>
      </c>
      <c r="AS78" s="3" t="s">
        <v>3052</v>
      </c>
      <c r="AT78" s="3" t="s">
        <v>4</v>
      </c>
      <c r="AU78" s="3" t="s">
        <v>3586</v>
      </c>
      <c r="AV78" s="3" t="s">
        <v>3587</v>
      </c>
      <c r="AW78" s="3" t="s">
        <v>3588</v>
      </c>
      <c r="AX78" s="3" t="s">
        <v>135</v>
      </c>
      <c r="AY78" s="3" t="s">
        <v>481</v>
      </c>
      <c r="AZ78" s="3" t="s">
        <v>1067</v>
      </c>
      <c r="BA78" s="3" t="s">
        <v>151</v>
      </c>
      <c r="BB78" s="3" t="s">
        <v>512</v>
      </c>
      <c r="BC78" s="3" t="s">
        <v>41</v>
      </c>
      <c r="BD78" s="3" t="s">
        <v>1066</v>
      </c>
      <c r="BE78" s="3" t="s">
        <v>1068</v>
      </c>
      <c r="BF78" s="3" t="s">
        <v>1069</v>
      </c>
      <c r="BG78" s="3" t="s">
        <v>1070</v>
      </c>
      <c r="BH78" s="3" t="s">
        <v>1426</v>
      </c>
      <c r="BI78" s="3" t="s">
        <v>3589</v>
      </c>
      <c r="BJ78" s="3" t="s">
        <v>135</v>
      </c>
      <c r="BK78" s="3" t="s">
        <v>129</v>
      </c>
      <c r="BL78" s="3" t="s">
        <v>3590</v>
      </c>
      <c r="BM78" s="3" t="s">
        <v>41</v>
      </c>
      <c r="BN78" s="3">
        <v>5.67</v>
      </c>
      <c r="BO78" s="3">
        <v>13.44</v>
      </c>
      <c r="BP78" s="3">
        <v>23.22</v>
      </c>
      <c r="BQ78" s="3">
        <v>6.86</v>
      </c>
      <c r="BR78" s="3">
        <v>20.07</v>
      </c>
      <c r="BS78" s="3">
        <v>26.7</v>
      </c>
      <c r="BT78" s="3" t="s">
        <v>2006</v>
      </c>
      <c r="BU78" s="3" t="s">
        <v>1002</v>
      </c>
      <c r="BV78" s="3">
        <v>19.41</v>
      </c>
      <c r="BW78" s="3">
        <v>20.72</v>
      </c>
      <c r="BX78" s="3">
        <v>19.28</v>
      </c>
      <c r="BY78" s="3">
        <v>8.48</v>
      </c>
      <c r="BZ78" s="3">
        <v>9.59</v>
      </c>
      <c r="CA78" s="3">
        <v>8.93</v>
      </c>
      <c r="CB78" s="3">
        <v>-6.83</v>
      </c>
      <c r="CC78" s="1">
        <v>-7.49</v>
      </c>
      <c r="CD78" s="1" t="s">
        <v>3591</v>
      </c>
      <c r="CE78" s="1" t="s">
        <v>42</v>
      </c>
      <c r="CF78" s="10">
        <v>-0.52456418383518222</v>
      </c>
      <c r="CG78" s="11">
        <v>-0.59090518950928161</v>
      </c>
      <c r="CH78" s="10">
        <v>-0.75669097900390625</v>
      </c>
      <c r="CI78" s="10">
        <v>0.13223141431808472</v>
      </c>
      <c r="CJ78" s="10">
        <v>0.77073162794113159</v>
      </c>
      <c r="CK78" s="10">
        <v>9.625668078660965E-2</v>
      </c>
      <c r="CL78" s="10">
        <v>0.10650887340307236</v>
      </c>
      <c r="CM78" s="11">
        <v>-0.78583985567092896</v>
      </c>
      <c r="CN78" s="11">
        <v>0.21365344524383545</v>
      </c>
      <c r="CO78" s="11">
        <v>1.0318759679794312</v>
      </c>
      <c r="CP78" s="11">
        <v>0.25645348429679871</v>
      </c>
      <c r="CQ78" s="11">
        <v>9.0394511818885803E-2</v>
      </c>
      <c r="CR78" s="1">
        <v>40.470949322268467</v>
      </c>
      <c r="CS78" s="1">
        <v>5.7975053833053751</v>
      </c>
      <c r="CT78" s="1">
        <v>2.3282887077997674</v>
      </c>
      <c r="CU78" s="10">
        <v>6.9807523488998408E-2</v>
      </c>
      <c r="CV78" s="11">
        <v>0.16130751073360444</v>
      </c>
      <c r="CW78" s="3">
        <v>0.06</v>
      </c>
      <c r="CX78" s="3">
        <v>61.182006529547976</v>
      </c>
      <c r="CY78" s="3">
        <v>25504715.986168046</v>
      </c>
      <c r="CZ78" s="3">
        <v>6.9807523488998408E-2</v>
      </c>
      <c r="DA78" s="3">
        <v>20.339303512255242</v>
      </c>
      <c r="DB78" s="3">
        <v>76719918.116162568</v>
      </c>
      <c r="DC78" s="3">
        <v>6.6317147314548477E-2</v>
      </c>
      <c r="DD78" s="3">
        <v>10.242853984324126</v>
      </c>
      <c r="DE78" s="3">
        <v>152343253.39286429</v>
      </c>
      <c r="DF78" s="3">
        <v>6.1430620670318598E-2</v>
      </c>
      <c r="DG78" s="3">
        <v>6.3092089483396547</v>
      </c>
      <c r="DH78" s="3">
        <v>247325728.59401751</v>
      </c>
      <c r="DI78" s="3">
        <v>5.5846018791198729E-2</v>
      </c>
      <c r="DJ78" s="3">
        <v>3.4430501557372142</v>
      </c>
      <c r="DK78" s="3">
        <v>453211434.46017736</v>
      </c>
      <c r="DL78" s="3">
        <v>4.8865266442298882E-2</v>
      </c>
      <c r="DM78" s="3">
        <v>25270900</v>
      </c>
      <c r="DN78" s="3">
        <v>6.9807523488998408E-2</v>
      </c>
      <c r="DO78" s="3">
        <v>1560429700</v>
      </c>
      <c r="DP78" s="3">
        <v>932391230</v>
      </c>
      <c r="DQ78" s="12">
        <v>2767</v>
      </c>
      <c r="DR78" s="3">
        <v>-0.59437170732418065</v>
      </c>
      <c r="DS78" s="3">
        <v>-0.752212700242886</v>
      </c>
      <c r="DT78" s="3">
        <v>-0.50666666666666671</v>
      </c>
      <c r="DU78" s="3">
        <v>-2.0000000000000056E-2</v>
      </c>
      <c r="DV78" s="3">
        <v>-0.52666666666666673</v>
      </c>
      <c r="DW78" s="3">
        <v>-9.911882510013351</v>
      </c>
      <c r="DX78" s="3">
        <v>0.30273606557377153</v>
      </c>
      <c r="DY78" s="3">
        <v>-9.1301585217448409</v>
      </c>
      <c r="DZ78" s="3">
        <v>2908</v>
      </c>
      <c r="EA78" s="3">
        <v>-9.056087879624684</v>
      </c>
      <c r="EB78" s="13">
        <v>9</v>
      </c>
      <c r="EC78" s="3">
        <v>0.1227395754038738</v>
      </c>
      <c r="ED78" s="3">
        <v>0.8599058332628492</v>
      </c>
      <c r="EE78" s="3">
        <v>1.0700000000000001E-2</v>
      </c>
      <c r="EF78" s="3">
        <v>5.21E-2</v>
      </c>
      <c r="EG78" s="3">
        <v>16.142736065573771</v>
      </c>
      <c r="EH78" s="15" t="s">
        <v>1004</v>
      </c>
      <c r="EI78" s="16">
        <v>0</v>
      </c>
      <c r="EJ78" s="16">
        <v>0</v>
      </c>
      <c r="EK78" s="16">
        <v>45470</v>
      </c>
      <c r="EL78" s="16">
        <v>-0.86</v>
      </c>
      <c r="EM78" s="16">
        <v>-5.41</v>
      </c>
      <c r="EN78" s="16">
        <v>0.51</v>
      </c>
      <c r="EO78" s="16">
        <v>9.35</v>
      </c>
      <c r="EP78" s="16">
        <v>4.1399999999999997</v>
      </c>
    </row>
    <row r="79" spans="1:146" ht="96" x14ac:dyDescent="0.25">
      <c r="A79" s="3"/>
      <c r="B79" s="3"/>
      <c r="C79" s="7" t="str">
        <f>""&amp;CHAR(10)&amp;Basic_Fundamental_Information_Constructure(F79)&amp;CHAR(10)&amp;Basic_Fundamental_Information_Concatenate("")</f>
        <v xml:space="preserve">
市值45.662323亿, 利润1077.25万; PE83.65; 平均PE131.3; 平均PEG19.35, PB3.83; ROIC13.2233%; ROE12.65%; 股利率.7603%; 毛利37.71%; 净利16.5633%; 上一年度营收增-75.99%, 利润增-82.48%; 当季营收增-55.14%, 利润增-68.83%; 过往5年营收增-6.79%, 利润增17.18%
Income profile:
</v>
      </c>
      <c r="D79" s="3" t="s">
        <v>1394</v>
      </c>
      <c r="E79" s="3" t="s">
        <v>1395</v>
      </c>
      <c r="F79" s="3">
        <v>39.46</v>
      </c>
      <c r="G79" s="3">
        <v>-0.33</v>
      </c>
      <c r="H79" s="3" t="s">
        <v>3592</v>
      </c>
      <c r="I79" s="3">
        <v>4566232300</v>
      </c>
      <c r="J79" s="3">
        <v>83.65</v>
      </c>
      <c r="K79" s="3">
        <v>3.83</v>
      </c>
      <c r="L79" s="3" t="s">
        <v>343</v>
      </c>
      <c r="M79" s="3" t="s">
        <v>78</v>
      </c>
      <c r="N79" s="3" t="s">
        <v>542</v>
      </c>
      <c r="O79" s="3" t="s">
        <v>2034</v>
      </c>
      <c r="P79" s="5">
        <v>14.46</v>
      </c>
      <c r="Q79" s="3" t="s">
        <v>2034</v>
      </c>
      <c r="R79" s="3">
        <v>10772523</v>
      </c>
      <c r="S79" s="3">
        <v>4.4499999999999998E-2</v>
      </c>
      <c r="T79" s="3" t="s">
        <v>3593</v>
      </c>
      <c r="U79" s="3">
        <v>28930000</v>
      </c>
      <c r="V79" s="3">
        <v>115718000</v>
      </c>
      <c r="W79" s="3">
        <v>1.1299999999999999</v>
      </c>
      <c r="X79" s="3">
        <v>0.06</v>
      </c>
      <c r="Y79" s="3">
        <v>12.96</v>
      </c>
      <c r="Z79" s="3" t="s">
        <v>3594</v>
      </c>
      <c r="AA79" s="3" t="s">
        <v>3595</v>
      </c>
      <c r="AB79" s="3" t="s">
        <v>3596</v>
      </c>
      <c r="AC79" s="3" t="s">
        <v>3597</v>
      </c>
      <c r="AD79" s="3" t="s">
        <v>4</v>
      </c>
      <c r="AE79" s="3">
        <v>-4149772</v>
      </c>
      <c r="AF79" s="3" t="s">
        <v>2036</v>
      </c>
      <c r="AG79" s="3" t="s">
        <v>3598</v>
      </c>
      <c r="AH79" s="3" t="s">
        <v>2037</v>
      </c>
      <c r="AI79" s="3" t="s">
        <v>647</v>
      </c>
      <c r="AJ79" s="3" t="s">
        <v>2038</v>
      </c>
      <c r="AK79" s="3" t="s">
        <v>3599</v>
      </c>
      <c r="AL79" s="3" t="s">
        <v>2039</v>
      </c>
      <c r="AM79" s="3" t="s">
        <v>4</v>
      </c>
      <c r="AN79" s="3" t="s">
        <v>3600</v>
      </c>
      <c r="AO79" s="3" t="s">
        <v>3601</v>
      </c>
      <c r="AP79" s="3" t="s">
        <v>4</v>
      </c>
      <c r="AQ79" s="3" t="s">
        <v>97</v>
      </c>
      <c r="AR79" s="3" t="s">
        <v>4</v>
      </c>
      <c r="AS79" s="3" t="s">
        <v>1054</v>
      </c>
      <c r="AT79" s="3" t="s">
        <v>4</v>
      </c>
      <c r="AU79" s="3" t="s">
        <v>3602</v>
      </c>
      <c r="AV79" s="3" t="s">
        <v>3603</v>
      </c>
      <c r="AW79" s="3" t="s">
        <v>3604</v>
      </c>
      <c r="AX79" s="3" t="s">
        <v>664</v>
      </c>
      <c r="AY79" s="3" t="s">
        <v>1170</v>
      </c>
      <c r="AZ79" s="3" t="s">
        <v>63</v>
      </c>
      <c r="BA79" s="3" t="s">
        <v>139</v>
      </c>
      <c r="BB79" s="3" t="s">
        <v>115</v>
      </c>
      <c r="BC79" s="3" t="s">
        <v>2041</v>
      </c>
      <c r="BD79" s="3" t="s">
        <v>1396</v>
      </c>
      <c r="BE79" s="3" t="s">
        <v>1397</v>
      </c>
      <c r="BF79" s="3" t="s">
        <v>1398</v>
      </c>
      <c r="BG79" s="3" t="s">
        <v>1399</v>
      </c>
      <c r="BH79" s="3" t="s">
        <v>1169</v>
      </c>
      <c r="BI79" s="3" t="s">
        <v>78</v>
      </c>
      <c r="BJ79" s="3" t="s">
        <v>664</v>
      </c>
      <c r="BK79" s="3" t="s">
        <v>2035</v>
      </c>
      <c r="BL79" s="3" t="s">
        <v>3605</v>
      </c>
      <c r="BM79" s="3" t="s">
        <v>2041</v>
      </c>
      <c r="BN79" s="3">
        <v>4.71</v>
      </c>
      <c r="BO79" s="3">
        <v>16.45</v>
      </c>
      <c r="BP79" s="3">
        <v>18.510000000000002</v>
      </c>
      <c r="BQ79" s="3">
        <v>8.9700000000000006</v>
      </c>
      <c r="BR79" s="3">
        <v>16.329999999999998</v>
      </c>
      <c r="BS79" s="3" t="s">
        <v>4</v>
      </c>
      <c r="BT79" s="3" t="s">
        <v>1162</v>
      </c>
      <c r="BU79" s="3" t="s">
        <v>1011</v>
      </c>
      <c r="BV79" s="3">
        <v>37.61</v>
      </c>
      <c r="BW79" s="3">
        <v>37.61</v>
      </c>
      <c r="BX79" s="3">
        <v>37.909999999999997</v>
      </c>
      <c r="BY79" s="3">
        <v>14.31</v>
      </c>
      <c r="BZ79" s="3">
        <v>17.78</v>
      </c>
      <c r="CA79" s="3">
        <v>17.600000000000001</v>
      </c>
      <c r="CB79" s="3">
        <v>-8.7200000000000006</v>
      </c>
      <c r="CC79" s="10">
        <v>-9.43</v>
      </c>
      <c r="CD79" s="11" t="s">
        <v>3606</v>
      </c>
      <c r="CE79" s="10" t="s">
        <v>90</v>
      </c>
      <c r="CF79" s="10">
        <v>-0.55138142076502727</v>
      </c>
      <c r="CG79" s="10">
        <v>-0.68828873848717997</v>
      </c>
      <c r="CH79" s="10">
        <v>-0.75994968414306641</v>
      </c>
      <c r="CI79" s="10">
        <v>0.10679611563682556</v>
      </c>
      <c r="CJ79" s="11">
        <v>0.15730337798595428</v>
      </c>
      <c r="CK79" s="11">
        <v>0.18666666746139526</v>
      </c>
      <c r="CL79" s="11">
        <v>-3.0172413215041161E-2</v>
      </c>
      <c r="CM79" s="11">
        <v>-0.82478553056716919</v>
      </c>
      <c r="CN79" s="11">
        <v>0.12952195107936859</v>
      </c>
      <c r="CO79" s="3">
        <v>0.23558454215526581</v>
      </c>
      <c r="CP79" s="3">
        <v>1.273982048034668</v>
      </c>
      <c r="CQ79" s="3">
        <v>4.4597938656806946E-2</v>
      </c>
      <c r="CR79" s="10">
        <v>131.30293077808221</v>
      </c>
      <c r="CS79" s="11">
        <v>19.345901565737279</v>
      </c>
      <c r="CT79" s="3">
        <v>0.76026355803345158</v>
      </c>
      <c r="CU79" s="3">
        <v>-6.7871187254786497E-2</v>
      </c>
      <c r="CV79" s="3">
        <v>0.17178018987178803</v>
      </c>
      <c r="CW79" s="3">
        <v>0.06</v>
      </c>
      <c r="CX79" s="3">
        <v>330.02852634021815</v>
      </c>
      <c r="CY79" s="3" t="s">
        <v>3607</v>
      </c>
      <c r="CZ79" s="3">
        <v>-6.7871187254786497E-2</v>
      </c>
      <c r="DA79" s="3">
        <v>110.00950878007272</v>
      </c>
      <c r="DB79" s="3" t="s">
        <v>3608</v>
      </c>
      <c r="DC79" s="3">
        <v>-6.4477627892047168E-2</v>
      </c>
      <c r="DD79" s="3">
        <v>55.004754390036361</v>
      </c>
      <c r="DE79" s="3" t="s">
        <v>3609</v>
      </c>
      <c r="DF79" s="3">
        <v>-5.9726644784212114E-2</v>
      </c>
      <c r="DG79" s="3">
        <v>33.002852634021814</v>
      </c>
      <c r="DH79" s="3" t="s">
        <v>3610</v>
      </c>
      <c r="DI79" s="3">
        <v>-5.4296949803829202E-2</v>
      </c>
      <c r="DJ79" s="3">
        <v>16.501426317010907</v>
      </c>
      <c r="DK79" s="3" t="s">
        <v>3611</v>
      </c>
      <c r="DL79" s="3">
        <v>-4.7509831078350544E-2</v>
      </c>
      <c r="DM79" s="3">
        <v>10772500</v>
      </c>
      <c r="DN79" s="3">
        <v>-6.7871187254786497E-2</v>
      </c>
      <c r="DO79" s="3">
        <v>3555232300</v>
      </c>
      <c r="DP79" s="3">
        <v>866462850</v>
      </c>
      <c r="DQ79" s="12">
        <v>2789</v>
      </c>
      <c r="DR79" s="3">
        <v>-0.48351023351024081</v>
      </c>
      <c r="DS79" s="3">
        <v>-0.86006892835896798</v>
      </c>
      <c r="DT79" s="3">
        <v>-0.52333333333333332</v>
      </c>
      <c r="DU79" s="3">
        <v>-0.40666666666666668</v>
      </c>
      <c r="DV79" s="3">
        <v>-0.92999999999999994</v>
      </c>
      <c r="DW79" s="3">
        <v>-9.9247083775185576</v>
      </c>
      <c r="DX79" s="3">
        <v>0.28367041420118166</v>
      </c>
      <c r="DY79" s="3">
        <v>-9.0681236491870969</v>
      </c>
      <c r="DZ79" s="3">
        <v>3002</v>
      </c>
      <c r="EA79" s="3">
        <v>-9.0281026717194521</v>
      </c>
      <c r="EB79" s="13">
        <v>9</v>
      </c>
      <c r="EC79" s="13">
        <v>0.10759173162342937</v>
      </c>
      <c r="ED79" s="3">
        <v>1.4604469486164642</v>
      </c>
      <c r="EE79" s="3">
        <v>-8.1113</v>
      </c>
      <c r="EF79" s="3">
        <v>-8.0914999999999999</v>
      </c>
      <c r="EG79" s="3">
        <v>21.073670414201182</v>
      </c>
      <c r="EH79" s="15" t="s">
        <v>2695</v>
      </c>
      <c r="EI79" s="3">
        <v>0</v>
      </c>
      <c r="EJ79" s="3">
        <v>0</v>
      </c>
      <c r="EK79" s="3">
        <v>45470</v>
      </c>
      <c r="EL79" s="3">
        <v>-1.1399999999999999</v>
      </c>
      <c r="EM79" s="3">
        <v>-5.73</v>
      </c>
      <c r="EN79" s="16">
        <v>-0.89</v>
      </c>
      <c r="EO79" s="16">
        <v>5.36</v>
      </c>
      <c r="EP79" s="16">
        <v>-1.98</v>
      </c>
    </row>
    <row r="80" spans="1:146" ht="96" x14ac:dyDescent="0.25">
      <c r="C80" s="7" t="str">
        <f>""&amp;CHAR(10)&amp;Basic_Fundamental_Information_Constructure(F80)&amp;CHAR(10)&amp;Basic_Fundamental_Information_Concatenate("")</f>
        <v xml:space="preserve">
市值44.038156亿, 利润-2242.13万; PE; 平均PE-425.5; 平均PEG-19.64, PB10.6; ROIC1.51%; ROE-1.34%; 股利率0%; 毛利12.9533%; 净利-1.6633%; 上一年度营收增-78.82%, 利润增-1402.13%; 当季营收增-52.81%, 利润增-12.76%; 过往5年营收增-21.66%, 利润增-1402.13%
Income profile:
</v>
      </c>
      <c r="D80" s="3" t="s">
        <v>727</v>
      </c>
      <c r="E80" s="3" t="s">
        <v>728</v>
      </c>
      <c r="F80" s="3">
        <v>15.64</v>
      </c>
      <c r="G80" s="3">
        <v>1.36</v>
      </c>
      <c r="H80" s="3" t="s">
        <v>3612</v>
      </c>
      <c r="I80" s="3">
        <v>4403815600</v>
      </c>
      <c r="K80" s="3">
        <v>10.6</v>
      </c>
      <c r="L80" s="3" t="s">
        <v>343</v>
      </c>
      <c r="M80" s="3" t="s">
        <v>2043</v>
      </c>
      <c r="N80" s="3" t="s">
        <v>1057</v>
      </c>
      <c r="O80" s="3" t="s">
        <v>96</v>
      </c>
      <c r="P80" s="3">
        <v>8.64</v>
      </c>
      <c r="Q80" s="3" t="s">
        <v>96</v>
      </c>
      <c r="R80" s="3">
        <v>-22421291</v>
      </c>
      <c r="S80" s="5">
        <v>-5.2200000000000003E-2</v>
      </c>
      <c r="T80" s="3" t="s">
        <v>3613</v>
      </c>
      <c r="U80" s="3">
        <v>281573890</v>
      </c>
      <c r="V80" s="3">
        <v>281573890</v>
      </c>
      <c r="W80" s="3">
        <v>3.59</v>
      </c>
      <c r="X80" s="3" t="s">
        <v>4</v>
      </c>
      <c r="Y80" s="3">
        <v>-5.7</v>
      </c>
      <c r="Z80" s="3" t="s">
        <v>4</v>
      </c>
      <c r="AA80" s="3" t="s">
        <v>4</v>
      </c>
      <c r="AB80" s="3" t="s">
        <v>4</v>
      </c>
      <c r="AC80" s="3" t="s">
        <v>4</v>
      </c>
      <c r="AD80" s="3" t="s">
        <v>4</v>
      </c>
      <c r="AE80" s="3">
        <v>5807723</v>
      </c>
      <c r="AF80" s="3" t="s">
        <v>21</v>
      </c>
      <c r="AG80" s="3" t="s">
        <v>3614</v>
      </c>
      <c r="AH80" s="3" t="s">
        <v>2046</v>
      </c>
      <c r="AI80" s="3" t="s">
        <v>867</v>
      </c>
      <c r="AJ80" s="3" t="s">
        <v>2047</v>
      </c>
      <c r="AK80" s="3" t="s">
        <v>4</v>
      </c>
      <c r="AL80" s="3" t="s">
        <v>2048</v>
      </c>
      <c r="AM80" s="3" t="s">
        <v>4</v>
      </c>
      <c r="AN80" s="3" t="s">
        <v>3615</v>
      </c>
      <c r="AO80" s="3" t="s">
        <v>4</v>
      </c>
      <c r="AP80" s="3" t="s">
        <v>70</v>
      </c>
      <c r="AQ80" s="3" t="s">
        <v>1049</v>
      </c>
      <c r="AR80" s="3" t="s">
        <v>4</v>
      </c>
      <c r="AS80" s="3" t="s">
        <v>4</v>
      </c>
      <c r="AT80" s="3" t="s">
        <v>4</v>
      </c>
      <c r="AU80" s="3" t="s">
        <v>3616</v>
      </c>
      <c r="AV80" s="3" t="s">
        <v>3617</v>
      </c>
      <c r="AW80" s="3" t="s">
        <v>3618</v>
      </c>
      <c r="AX80" s="3" t="s">
        <v>1166</v>
      </c>
      <c r="AY80" s="3" t="s">
        <v>4</v>
      </c>
      <c r="AZ80" s="3" t="s">
        <v>287</v>
      </c>
      <c r="BA80" s="3" t="s">
        <v>729</v>
      </c>
      <c r="BB80" s="3" t="s">
        <v>302</v>
      </c>
      <c r="BC80" s="3" t="s">
        <v>2049</v>
      </c>
      <c r="BD80" s="3" t="s">
        <v>4</v>
      </c>
      <c r="BE80" s="3" t="s">
        <v>4</v>
      </c>
      <c r="BF80" s="3" t="s">
        <v>4</v>
      </c>
      <c r="BG80" s="3" t="s">
        <v>4</v>
      </c>
      <c r="BH80" s="3" t="s">
        <v>2044</v>
      </c>
      <c r="BI80" s="3" t="s">
        <v>3619</v>
      </c>
      <c r="BJ80" s="3" t="s">
        <v>1166</v>
      </c>
      <c r="BK80" s="3" t="s">
        <v>2045</v>
      </c>
      <c r="BL80" s="3" t="s">
        <v>3620</v>
      </c>
      <c r="BM80" s="3" t="s">
        <v>2049</v>
      </c>
      <c r="BN80" s="3" t="s">
        <v>4</v>
      </c>
      <c r="BO80" s="3" t="s">
        <v>4</v>
      </c>
      <c r="BP80" s="3">
        <v>1.51</v>
      </c>
      <c r="BQ80" s="3">
        <v>-7</v>
      </c>
      <c r="BR80" s="3">
        <v>0.92</v>
      </c>
      <c r="BS80" s="3">
        <v>2.06</v>
      </c>
      <c r="BT80" s="3" t="s">
        <v>1157</v>
      </c>
      <c r="BU80" s="3" t="s">
        <v>1011</v>
      </c>
      <c r="BV80" s="3">
        <v>12.28</v>
      </c>
      <c r="BW80" s="3">
        <v>12.7</v>
      </c>
      <c r="BX80" s="3">
        <v>13.88</v>
      </c>
      <c r="BY80" s="3">
        <v>-5.15</v>
      </c>
      <c r="BZ80" s="3">
        <v>0.06</v>
      </c>
      <c r="CA80" s="3">
        <v>0.1</v>
      </c>
      <c r="CB80" s="3">
        <v>-4.2300000000000004</v>
      </c>
      <c r="CC80" s="3">
        <v>-8.3800000000000008</v>
      </c>
      <c r="CD80" s="3" t="s">
        <v>1745</v>
      </c>
      <c r="CE80" s="3" t="s">
        <v>3621</v>
      </c>
      <c r="CF80" s="10">
        <v>-0.52807646356033444</v>
      </c>
      <c r="CG80" s="11">
        <v>-0.12757630315069526</v>
      </c>
      <c r="CH80" s="10">
        <v>-0.78820371627807617</v>
      </c>
      <c r="CI80" s="10" t="s">
        <v>4</v>
      </c>
      <c r="CJ80" s="10" t="s">
        <v>4</v>
      </c>
      <c r="CK80" s="10">
        <v>0.12854604423046112</v>
      </c>
      <c r="CL80" s="10">
        <v>9.8478645086288452E-3</v>
      </c>
      <c r="CM80" s="11">
        <v>-14.021255493164062</v>
      </c>
      <c r="CN80" s="11" t="s">
        <v>4</v>
      </c>
      <c r="CO80" s="11" t="s">
        <v>4</v>
      </c>
      <c r="CP80" s="11" t="s">
        <v>4</v>
      </c>
      <c r="CQ80" s="11" t="s">
        <v>4</v>
      </c>
      <c r="CR80" s="3">
        <v>-425.50176333613535</v>
      </c>
      <c r="CS80" s="3">
        <v>-19.644290917105316</v>
      </c>
      <c r="CT80" s="3">
        <v>0</v>
      </c>
      <c r="CU80" s="10">
        <v>-0.21660326917966208</v>
      </c>
      <c r="CV80" s="11">
        <v>-14.021255493164062</v>
      </c>
      <c r="CW80" s="3">
        <v>0.06</v>
      </c>
      <c r="CX80" s="3" t="e">
        <v>#VALUE!</v>
      </c>
      <c r="CY80" s="3" t="s">
        <v>1005</v>
      </c>
      <c r="CZ80" s="3">
        <v>-0.21660326917966208</v>
      </c>
      <c r="DA80" s="3" t="e">
        <v>#VALUE!</v>
      </c>
      <c r="DB80" s="3" t="s">
        <v>1006</v>
      </c>
      <c r="DC80" s="3">
        <v>-0.20577310572067897</v>
      </c>
      <c r="DD80" s="3" t="e">
        <v>#VALUE!</v>
      </c>
      <c r="DE80" s="3" t="s">
        <v>1006</v>
      </c>
      <c r="DF80" s="3">
        <v>-0.19061087687810263</v>
      </c>
      <c r="DG80" s="3" t="e">
        <v>#VALUE!</v>
      </c>
      <c r="DH80" s="3" t="s">
        <v>1006</v>
      </c>
      <c r="DI80" s="3">
        <v>-0.17328261534372968</v>
      </c>
      <c r="DJ80" s="3" t="e">
        <v>#VALUE!</v>
      </c>
      <c r="DK80" s="3" t="s">
        <v>1006</v>
      </c>
      <c r="DL80" s="3">
        <v>-0.15162228842576345</v>
      </c>
      <c r="DM80" s="3">
        <v>-22421300</v>
      </c>
      <c r="DN80" s="3">
        <v>-0.21660326917966208</v>
      </c>
      <c r="DO80" s="3">
        <v>5334815600</v>
      </c>
      <c r="DP80" s="3">
        <v>982572520</v>
      </c>
      <c r="DQ80" s="3">
        <v>2897</v>
      </c>
      <c r="DR80" s="3">
        <v>-0.31147319438067234</v>
      </c>
      <c r="DS80" s="3">
        <v>13.893679190013367</v>
      </c>
      <c r="DT80" s="12">
        <v>-1.1599999999999999</v>
      </c>
      <c r="DU80" s="3">
        <v>-4.9450000000000003</v>
      </c>
      <c r="DV80" s="3">
        <v>-6.1050000000000004</v>
      </c>
      <c r="DW80" s="3">
        <v>-8.5047732696897373</v>
      </c>
      <c r="DX80" s="3">
        <v>0.28236015769007367</v>
      </c>
      <c r="DY80" s="3">
        <v>-8.0466209387862779</v>
      </c>
      <c r="DZ80" s="3">
        <v>5034</v>
      </c>
      <c r="EA80" s="3">
        <v>-8.0006933838253929</v>
      </c>
      <c r="EB80" s="3">
        <v>8</v>
      </c>
      <c r="EC80" s="3">
        <v>2.8184431447106122E-2</v>
      </c>
      <c r="ED80" s="3">
        <v>0.30515791077077492</v>
      </c>
      <c r="EE80" s="13">
        <v>-9.0579000000000001</v>
      </c>
      <c r="EF80" s="3">
        <v>-9.0473999999999997</v>
      </c>
      <c r="EG80" s="3">
        <v>19.092360157690074</v>
      </c>
      <c r="EH80" s="3" t="s">
        <v>3622</v>
      </c>
      <c r="EI80" s="3">
        <v>0</v>
      </c>
      <c r="EJ80" s="3">
        <v>0</v>
      </c>
      <c r="EK80" s="15">
        <v>45470</v>
      </c>
      <c r="EL80" s="16">
        <v>-5.26</v>
      </c>
      <c r="EM80" s="16">
        <v>-4.4400000000000004</v>
      </c>
      <c r="EN80" s="16">
        <v>4.6500000000000004</v>
      </c>
      <c r="EO80" s="16">
        <v>5.56</v>
      </c>
      <c r="EP80" s="16">
        <v>-1.05</v>
      </c>
    </row>
    <row r="81" spans="1:146" ht="96" x14ac:dyDescent="0.25">
      <c r="C81" s="7" t="str">
        <f>""&amp;CHAR(10)&amp;Basic_Fundamental_Information_Constructure(F81)&amp;CHAR(10)&amp;Basic_Fundamental_Information_Concatenate("")</f>
        <v xml:space="preserve">
市值35.912925亿, 利润5178.77万; PE17.19; 平均PE30.46; 平均PEG.99, PB1.03; ROIC4.8667%; ROE5.7733%; 股利率4.8327%; 毛利30.38%; 净利6.4167%; 上一年度营收增-77.78%, 利润增-71.85%; 当季营收增-45.96%, 利润增-63.27%; 过往5年营收增-30.81%, 利润增-71.85%
Income profile:
</v>
      </c>
      <c r="D81" s="3" t="s">
        <v>730</v>
      </c>
      <c r="E81" s="3" t="s">
        <v>731</v>
      </c>
      <c r="F81" s="3">
        <v>2.69</v>
      </c>
      <c r="G81" s="3">
        <v>1.1299999999999999</v>
      </c>
      <c r="H81" s="3" t="s">
        <v>3623</v>
      </c>
      <c r="I81" s="3">
        <v>3591292500</v>
      </c>
      <c r="J81" s="3">
        <v>17.190000000000001</v>
      </c>
      <c r="K81" s="3">
        <v>1.03</v>
      </c>
      <c r="L81" s="3" t="s">
        <v>343</v>
      </c>
      <c r="M81" s="3" t="s">
        <v>2050</v>
      </c>
      <c r="N81" s="3" t="s">
        <v>3624</v>
      </c>
      <c r="O81" s="3" t="s">
        <v>332</v>
      </c>
      <c r="P81" s="3">
        <v>8.73</v>
      </c>
      <c r="Q81" s="3" t="s">
        <v>332</v>
      </c>
      <c r="R81" s="3">
        <v>51787692</v>
      </c>
      <c r="S81" s="5">
        <v>-0.1106</v>
      </c>
      <c r="T81" s="3" t="s">
        <v>3625</v>
      </c>
      <c r="U81" s="3">
        <v>1335052970</v>
      </c>
      <c r="V81" s="3">
        <v>1335052970</v>
      </c>
      <c r="W81" s="3">
        <v>1.46</v>
      </c>
      <c r="X81" s="3" t="s">
        <v>4</v>
      </c>
      <c r="Y81" s="3">
        <v>6.49</v>
      </c>
      <c r="Z81" s="3" t="s">
        <v>4</v>
      </c>
      <c r="AA81" s="3" t="s">
        <v>4</v>
      </c>
      <c r="AB81" s="3" t="s">
        <v>4</v>
      </c>
      <c r="AC81" s="3" t="s">
        <v>4</v>
      </c>
      <c r="AD81" s="3" t="s">
        <v>4</v>
      </c>
      <c r="AE81" s="3">
        <v>-5885253</v>
      </c>
      <c r="AF81" s="3" t="s">
        <v>2052</v>
      </c>
      <c r="AG81" s="3" t="s">
        <v>3626</v>
      </c>
      <c r="AH81" s="3" t="s">
        <v>2053</v>
      </c>
      <c r="AI81" s="3" t="s">
        <v>3627</v>
      </c>
      <c r="AJ81" s="3" t="s">
        <v>2054</v>
      </c>
      <c r="AK81" s="3" t="s">
        <v>4</v>
      </c>
      <c r="AL81" s="3" t="s">
        <v>2055</v>
      </c>
      <c r="AM81" s="3" t="s">
        <v>4</v>
      </c>
      <c r="AN81" s="3" t="s">
        <v>3628</v>
      </c>
      <c r="AO81" s="3" t="s">
        <v>4</v>
      </c>
      <c r="AP81" s="3" t="s">
        <v>22</v>
      </c>
      <c r="AQ81" s="3" t="s">
        <v>280</v>
      </c>
      <c r="AR81" s="3" t="s">
        <v>3629</v>
      </c>
      <c r="AS81" s="3" t="s">
        <v>4</v>
      </c>
      <c r="AT81" s="3" t="s">
        <v>4</v>
      </c>
      <c r="AU81" s="3" t="s">
        <v>3630</v>
      </c>
      <c r="AV81" s="3" t="s">
        <v>3631</v>
      </c>
      <c r="AW81" s="3" t="s">
        <v>1364</v>
      </c>
      <c r="AX81" s="3" t="s">
        <v>1312</v>
      </c>
      <c r="AY81" s="3" t="s">
        <v>4</v>
      </c>
      <c r="AZ81" s="3" t="s">
        <v>732</v>
      </c>
      <c r="BA81" s="3" t="s">
        <v>734</v>
      </c>
      <c r="BB81" s="3" t="s">
        <v>735</v>
      </c>
      <c r="BC81" s="3" t="s">
        <v>143</v>
      </c>
      <c r="BD81" s="3" t="s">
        <v>4</v>
      </c>
      <c r="BE81" s="3" t="s">
        <v>4</v>
      </c>
      <c r="BF81" s="3" t="s">
        <v>4</v>
      </c>
      <c r="BG81" s="3" t="s">
        <v>4</v>
      </c>
      <c r="BH81" s="3" t="s">
        <v>2051</v>
      </c>
      <c r="BI81" s="3" t="s">
        <v>1401</v>
      </c>
      <c r="BJ81" s="3" t="s">
        <v>1312</v>
      </c>
      <c r="BK81" s="3" t="s">
        <v>122</v>
      </c>
      <c r="BL81" s="3" t="s">
        <v>74</v>
      </c>
      <c r="BM81" s="3" t="s">
        <v>143</v>
      </c>
      <c r="BN81" s="3">
        <v>3</v>
      </c>
      <c r="BO81" s="3">
        <v>4.3600000000000003</v>
      </c>
      <c r="BP81" s="3">
        <v>7.24</v>
      </c>
      <c r="BQ81" s="3">
        <v>4</v>
      </c>
      <c r="BR81" s="3">
        <v>5.07</v>
      </c>
      <c r="BS81" s="3">
        <v>8.25</v>
      </c>
      <c r="BT81" s="3" t="s">
        <v>1313</v>
      </c>
      <c r="BU81" s="3" t="s">
        <v>977</v>
      </c>
      <c r="BV81" s="3">
        <v>34.450000000000003</v>
      </c>
      <c r="BW81" s="3">
        <v>28.34</v>
      </c>
      <c r="BX81" s="3">
        <v>28.35</v>
      </c>
      <c r="BY81" s="3">
        <v>7.12</v>
      </c>
      <c r="BZ81" s="3">
        <v>4.75</v>
      </c>
      <c r="CA81" s="3">
        <v>7.38</v>
      </c>
      <c r="CB81" s="3">
        <v>-0.37</v>
      </c>
      <c r="CC81" s="3">
        <v>-13.78</v>
      </c>
      <c r="CD81" s="3" t="s">
        <v>3632</v>
      </c>
      <c r="CE81" s="3" t="s">
        <v>1041</v>
      </c>
      <c r="CF81" s="10">
        <v>-0.45958279009126474</v>
      </c>
      <c r="CG81" s="11">
        <v>-0.63271140425531913</v>
      </c>
      <c r="CH81" s="10">
        <v>-0.77780759334564209</v>
      </c>
      <c r="CI81" s="10" t="s">
        <v>4</v>
      </c>
      <c r="CJ81" s="10" t="s">
        <v>4</v>
      </c>
      <c r="CK81" s="10">
        <v>-9.3115046620368958E-2</v>
      </c>
      <c r="CL81" s="10">
        <v>-5.3418848663568497E-2</v>
      </c>
      <c r="CM81" s="11">
        <v>-0.71854513883590698</v>
      </c>
      <c r="CN81" s="11" t="s">
        <v>4</v>
      </c>
      <c r="CO81" s="11" t="s">
        <v>4</v>
      </c>
      <c r="CP81" s="11" t="s">
        <v>4</v>
      </c>
      <c r="CQ81" s="11" t="s">
        <v>4</v>
      </c>
      <c r="CR81" s="3">
        <v>30.462085172381766</v>
      </c>
      <c r="CS81" s="3">
        <v>0.98866335268185079</v>
      </c>
      <c r="CT81" s="3">
        <v>4.8327137546468402</v>
      </c>
      <c r="CU81" s="10">
        <v>-0.30811382954319316</v>
      </c>
      <c r="CV81" s="11">
        <v>-0.71854513883590698</v>
      </c>
      <c r="CW81" s="3">
        <v>0.06</v>
      </c>
      <c r="CX81" s="3">
        <v>32.793356337508705</v>
      </c>
      <c r="CY81" s="3" t="s">
        <v>3633</v>
      </c>
      <c r="CZ81" s="3">
        <v>-0.30811382954319316</v>
      </c>
      <c r="DA81" s="3">
        <v>10.931118779169568</v>
      </c>
      <c r="DB81" s="3" t="s">
        <v>3634</v>
      </c>
      <c r="DC81" s="3">
        <v>-0.29270813806603352</v>
      </c>
      <c r="DD81" s="3">
        <v>5.4655593895847838</v>
      </c>
      <c r="DE81" s="3" t="s">
        <v>3635</v>
      </c>
      <c r="DF81" s="3">
        <v>-0.27114016999800999</v>
      </c>
      <c r="DG81" s="3">
        <v>3.2793356337508706</v>
      </c>
      <c r="DH81" s="3" t="s">
        <v>3636</v>
      </c>
      <c r="DI81" s="3">
        <v>-0.24649106363455453</v>
      </c>
      <c r="DJ81" s="3">
        <v>1.6396678168754353</v>
      </c>
      <c r="DK81" s="3" t="s">
        <v>3637</v>
      </c>
      <c r="DL81" s="3">
        <v>-0.21567968068023521</v>
      </c>
      <c r="DM81" s="3">
        <v>51787700.000000007</v>
      </c>
      <c r="DN81" s="3">
        <v>-0.30811382954319316</v>
      </c>
      <c r="DO81" s="3">
        <v>1698292499.9999995</v>
      </c>
      <c r="DP81" s="3">
        <v>3817321600</v>
      </c>
      <c r="DQ81" s="3">
        <v>3049</v>
      </c>
      <c r="DR81" s="3">
        <v>-0.15146896054807157</v>
      </c>
      <c r="DS81" s="3">
        <v>8.583373458058785E-2</v>
      </c>
      <c r="DT81" s="12">
        <v>-1.1599999999999999</v>
      </c>
      <c r="DU81" s="3">
        <v>-2.3199999999999998</v>
      </c>
      <c r="DV81" s="3">
        <v>-3.4799999999999995</v>
      </c>
      <c r="DW81" s="3">
        <v>-2.1377999999999999</v>
      </c>
      <c r="DX81" s="3">
        <v>0.32320425531914837</v>
      </c>
      <c r="DY81" s="3">
        <v>-2.0169775463829787</v>
      </c>
      <c r="DZ81" s="3">
        <v>1122</v>
      </c>
      <c r="EA81" s="3">
        <v>-2.0132497954941915</v>
      </c>
      <c r="EB81" s="3">
        <v>2</v>
      </c>
      <c r="EC81" s="3">
        <v>1.7349423970795703E-2</v>
      </c>
      <c r="ED81" s="3">
        <v>0.14081838265937868</v>
      </c>
      <c r="EE81" s="13">
        <v>1.6909999999999994E-2</v>
      </c>
      <c r="EF81" s="3">
        <v>3.0709999999999998E-2</v>
      </c>
      <c r="EG81" s="3">
        <v>20.123204255319148</v>
      </c>
      <c r="EH81" s="3">
        <v>-1</v>
      </c>
      <c r="EI81" s="3">
        <v>0</v>
      </c>
      <c r="EJ81" s="3">
        <v>1</v>
      </c>
      <c r="EK81" s="15">
        <v>45470</v>
      </c>
      <c r="EL81" s="16">
        <v>-0.71</v>
      </c>
      <c r="EM81" s="16">
        <v>-0.75</v>
      </c>
      <c r="EN81" s="16">
        <v>0.94</v>
      </c>
      <c r="EO81" s="16">
        <v>2.95</v>
      </c>
      <c r="EP81" s="16">
        <v>-1.38</v>
      </c>
    </row>
    <row r="82" spans="1:146" ht="132" x14ac:dyDescent="0.25">
      <c r="C82" s="7" t="str">
        <f>"公司的主营业务包含显示材料板块和应用材料板块。主要产品包括电熔氧化锆、硅酸锆、稳定锆、纳米钛酸钡产品、稀土抛光粉产品等。"&amp;CHAR(10)&amp;Basic_Fundamental_Information_Constructure(F82)&amp;CHAR(10)&amp;Basic_Fundamental_Information_Concatenate("新型显示板块 23.06亿 85.21% 50.21% 7.88%
应用材料板块 8.73亿 32.27% 50.67% 21.00%")</f>
        <v>公司的主营业务包含显示材料板块和应用材料板块。主要产品包括电熔氧化锆、硅酸锆、稳定锆、纳米钛酸钡产品、稀土抛光粉产品等。
市值84.92016亿, 利润1378.36万; PE93.88; 平均PE80.7; 平均PEG41.37, PB2.07; ROIC4.29%; ROE4.1767%; 股利率.5562%; 毛利15.6167%; 净利3.92%; 上一年度营收增-73.24%, 利润增-90.29%; 当季营收增-53.33%, 利润增-81.39%; 过往5年营收增-1.95%, 利润增20.57%
Income profile:
新型显示板块 23.06亿 85.21% 50.21% 7.88%
应用材料板块 8.73亿 32.27% 50.67% 21.00%</v>
      </c>
      <c r="D82" s="3" t="s">
        <v>736</v>
      </c>
      <c r="E82" s="3" t="s">
        <v>737</v>
      </c>
      <c r="F82" s="3">
        <v>8.99</v>
      </c>
      <c r="G82" s="3">
        <v>0.78</v>
      </c>
      <c r="H82" s="3" t="s">
        <v>3638</v>
      </c>
      <c r="I82" s="3">
        <v>8492016000</v>
      </c>
      <c r="J82" s="3">
        <v>93.88</v>
      </c>
      <c r="K82" s="3">
        <v>2.0699999999999998</v>
      </c>
      <c r="L82" s="3" t="s">
        <v>343</v>
      </c>
      <c r="M82" s="3" t="s">
        <v>2056</v>
      </c>
      <c r="N82" s="3" t="s">
        <v>2535</v>
      </c>
      <c r="O82" s="3" t="s">
        <v>1636</v>
      </c>
      <c r="P82" s="3">
        <v>-0.48</v>
      </c>
      <c r="Q82" s="3" t="s">
        <v>1636</v>
      </c>
      <c r="R82" s="3">
        <v>13783609</v>
      </c>
      <c r="S82" s="5">
        <v>-0.54830000000000001</v>
      </c>
      <c r="T82" s="3" t="s">
        <v>3639</v>
      </c>
      <c r="U82" s="3">
        <v>944606890</v>
      </c>
      <c r="V82" s="3">
        <v>944606890</v>
      </c>
      <c r="W82" s="3">
        <v>2.29</v>
      </c>
      <c r="X82" s="3">
        <v>0.12</v>
      </c>
      <c r="Y82" s="3">
        <v>1.93</v>
      </c>
      <c r="Z82" s="3" t="s">
        <v>3640</v>
      </c>
      <c r="AA82" s="3" t="s">
        <v>1391</v>
      </c>
      <c r="AB82" s="3" t="s">
        <v>3641</v>
      </c>
      <c r="AC82" s="3" t="s">
        <v>3642</v>
      </c>
      <c r="AD82" s="3" t="s">
        <v>4</v>
      </c>
      <c r="AE82" s="3">
        <v>21295600</v>
      </c>
      <c r="AF82" s="3" t="s">
        <v>2058</v>
      </c>
      <c r="AG82" s="3" t="s">
        <v>3643</v>
      </c>
      <c r="AH82" s="3" t="s">
        <v>2059</v>
      </c>
      <c r="AI82" s="3" t="s">
        <v>184</v>
      </c>
      <c r="AJ82" s="3" t="s">
        <v>2060</v>
      </c>
      <c r="AK82" s="3" t="s">
        <v>3644</v>
      </c>
      <c r="AL82" s="3" t="s">
        <v>2061</v>
      </c>
      <c r="AM82" s="3" t="s">
        <v>4</v>
      </c>
      <c r="AN82" s="3" t="s">
        <v>223</v>
      </c>
      <c r="AO82" s="3" t="s">
        <v>3645</v>
      </c>
      <c r="AP82" s="3" t="s">
        <v>273</v>
      </c>
      <c r="AQ82" s="3" t="s">
        <v>50</v>
      </c>
      <c r="AR82" s="3" t="s">
        <v>4</v>
      </c>
      <c r="AS82" s="3" t="s">
        <v>598</v>
      </c>
      <c r="AT82" s="3" t="s">
        <v>3646</v>
      </c>
      <c r="AU82" s="3" t="s">
        <v>3647</v>
      </c>
      <c r="AV82" s="3" t="s">
        <v>955</v>
      </c>
      <c r="AW82" s="3" t="s">
        <v>326</v>
      </c>
      <c r="AX82" s="3" t="s">
        <v>2063</v>
      </c>
      <c r="AY82" s="3" t="s">
        <v>1315</v>
      </c>
      <c r="AZ82" s="3" t="s">
        <v>738</v>
      </c>
      <c r="BA82" s="3" t="s">
        <v>382</v>
      </c>
      <c r="BB82" s="3" t="s">
        <v>740</v>
      </c>
      <c r="BC82" s="3" t="s">
        <v>2064</v>
      </c>
      <c r="BD82" s="3" t="s">
        <v>122</v>
      </c>
      <c r="BE82" s="3" t="s">
        <v>124</v>
      </c>
      <c r="BF82" s="3" t="s">
        <v>741</v>
      </c>
      <c r="BG82" s="3" t="s">
        <v>742</v>
      </c>
      <c r="BH82" s="3" t="s">
        <v>2057</v>
      </c>
      <c r="BI82" s="3" t="s">
        <v>3648</v>
      </c>
      <c r="BJ82" s="3" t="s">
        <v>2063</v>
      </c>
      <c r="BK82" s="3" t="s">
        <v>129</v>
      </c>
      <c r="BL82" s="3" t="s">
        <v>3649</v>
      </c>
      <c r="BM82" s="3" t="s">
        <v>2064</v>
      </c>
      <c r="BN82" s="3">
        <v>2.29</v>
      </c>
      <c r="BO82" s="3">
        <v>4.6399999999999997</v>
      </c>
      <c r="BP82" s="3">
        <v>5.94</v>
      </c>
      <c r="BQ82" s="3">
        <v>2.27</v>
      </c>
      <c r="BR82" s="3">
        <v>4.22</v>
      </c>
      <c r="BS82" s="3">
        <v>6.04</v>
      </c>
      <c r="BT82" s="3" t="s">
        <v>1158</v>
      </c>
      <c r="BU82" s="3" t="s">
        <v>1002</v>
      </c>
      <c r="BV82" s="3">
        <v>13.25</v>
      </c>
      <c r="BW82" s="3">
        <v>17.12</v>
      </c>
      <c r="BX82" s="3">
        <v>16.48</v>
      </c>
      <c r="BY82" s="3">
        <v>3</v>
      </c>
      <c r="BZ82" s="3">
        <v>4.84</v>
      </c>
      <c r="CA82" s="3">
        <v>3.92</v>
      </c>
      <c r="CB82" s="3">
        <v>-4.67</v>
      </c>
      <c r="CC82" s="3">
        <v>-12.97</v>
      </c>
      <c r="CD82" s="3" t="s">
        <v>3650</v>
      </c>
      <c r="CE82" s="3" t="s">
        <v>1074</v>
      </c>
      <c r="CF82" s="10">
        <v>-0.53325942350332589</v>
      </c>
      <c r="CG82" s="11">
        <v>-0.8138914452986814</v>
      </c>
      <c r="CH82" s="10">
        <v>-0.73235851526260376</v>
      </c>
      <c r="CI82" s="10">
        <v>-0.3006817102432251</v>
      </c>
      <c r="CJ82" s="10">
        <v>0.33149170875549316</v>
      </c>
      <c r="CK82" s="10">
        <v>0.12173530459403992</v>
      </c>
      <c r="CL82" s="10">
        <v>0.48228350281715393</v>
      </c>
      <c r="CM82" s="11">
        <v>-0.90293240547180176</v>
      </c>
      <c r="CN82" s="11">
        <v>-0.33953487873077393</v>
      </c>
      <c r="CO82" s="11">
        <v>0.77685952186584473</v>
      </c>
      <c r="CP82" s="11">
        <v>0.25375214219093323</v>
      </c>
      <c r="CQ82" s="11">
        <v>1.2403929233551025</v>
      </c>
      <c r="CR82" s="3">
        <v>80.70068436750293</v>
      </c>
      <c r="CS82" s="3">
        <v>41.372359722144232</v>
      </c>
      <c r="CT82" s="3">
        <v>0.55617352614015569</v>
      </c>
      <c r="CU82" s="10">
        <v>-1.9505941867828371E-2</v>
      </c>
      <c r="CV82" s="11">
        <v>0.20570746064186096</v>
      </c>
      <c r="CW82" s="3">
        <v>0.06</v>
      </c>
      <c r="CX82" s="3">
        <v>703.2281842189268</v>
      </c>
      <c r="CY82" s="3" t="s">
        <v>3651</v>
      </c>
      <c r="CZ82" s="3">
        <v>-1.9505941867828371E-2</v>
      </c>
      <c r="DA82" s="3">
        <v>234.40939473964227</v>
      </c>
      <c r="DB82" s="3" t="s">
        <v>3652</v>
      </c>
      <c r="DC82" s="3">
        <v>-1.8530644774436951E-2</v>
      </c>
      <c r="DD82" s="3">
        <v>117.20469736982113</v>
      </c>
      <c r="DE82" s="3" t="s">
        <v>3653</v>
      </c>
      <c r="DF82" s="3">
        <v>-1.7165228843688967E-2</v>
      </c>
      <c r="DG82" s="3">
        <v>70.322818421892677</v>
      </c>
      <c r="DH82" s="3" t="s">
        <v>3654</v>
      </c>
      <c r="DI82" s="3">
        <v>-1.5604753494262697E-2</v>
      </c>
      <c r="DJ82" s="3">
        <v>35.161409210946339</v>
      </c>
      <c r="DK82" s="3" t="s">
        <v>3655</v>
      </c>
      <c r="DL82" s="3">
        <v>-1.3654159307479858E-2</v>
      </c>
      <c r="DM82" s="3">
        <v>13783599.999999998</v>
      </c>
      <c r="DN82" s="3">
        <v>-1.9505941867828371E-2</v>
      </c>
      <c r="DO82" s="3">
        <v>9693016000</v>
      </c>
      <c r="DP82" s="3">
        <v>852982100</v>
      </c>
      <c r="DQ82" s="3">
        <v>3265</v>
      </c>
      <c r="DR82" s="3">
        <v>-0.5137534816354975</v>
      </c>
      <c r="DS82" s="3">
        <v>-1.0195989059405424</v>
      </c>
      <c r="DT82" s="12">
        <v>-0.69</v>
      </c>
      <c r="DU82" s="3">
        <v>-0.34</v>
      </c>
      <c r="DV82" s="3">
        <v>-1.03</v>
      </c>
      <c r="DW82" s="3">
        <v>-8.3600616808018504</v>
      </c>
      <c r="DX82" s="3">
        <v>0.35398144654088126</v>
      </c>
      <c r="DY82" s="3">
        <v>-8.0446409680297535</v>
      </c>
      <c r="DZ82" s="3">
        <v>1821</v>
      </c>
      <c r="EA82" s="3">
        <v>-8.0287327091682705</v>
      </c>
      <c r="EB82" s="3">
        <v>8</v>
      </c>
      <c r="EC82" s="3">
        <v>4.1738103350061312E-2</v>
      </c>
      <c r="ED82" s="3">
        <v>0.33664797850458195</v>
      </c>
      <c r="EE82" s="13">
        <v>0.10009999999999999</v>
      </c>
      <c r="EF82" s="3">
        <v>7.9399999999999998E-2</v>
      </c>
      <c r="EG82" s="3">
        <v>23.123981446540881</v>
      </c>
      <c r="EH82" s="3" t="s">
        <v>1004</v>
      </c>
      <c r="EI82" s="3">
        <v>0</v>
      </c>
      <c r="EJ82" s="3">
        <v>0</v>
      </c>
      <c r="EK82" s="15">
        <v>45470</v>
      </c>
      <c r="EL82" s="16">
        <v>0.28000000000000003</v>
      </c>
      <c r="EM82" s="16">
        <v>-4.78</v>
      </c>
      <c r="EN82" s="16">
        <v>1.77</v>
      </c>
      <c r="EO82" s="16">
        <v>5.22</v>
      </c>
      <c r="EP82" s="16">
        <v>-2.0699999999999998</v>
      </c>
    </row>
    <row r="83" spans="1:146" ht="96" x14ac:dyDescent="0.25">
      <c r="C83" s="7" t="str">
        <f>""&amp;CHAR(10)&amp;Basic_Fundamental_Information_Constructure(F83)&amp;CHAR(10)&amp;Basic_Fundamental_Information_Concatenate("")</f>
        <v xml:space="preserve">
市值67.689756亿, 利润1137.52万; PE104.8; 平均PE-8.69; 平均PEG-.72, PB2.79; ROIC4.47%; ROE-1.4367%; 股利率0%; 毛利21.44%; 净利.31%; 上一年度营收增-87.13%, 利润增-96.35%; 当季营收增-52.12%, 利润增63.43%; 过往5年营收增-12.05%, 利润增8.42%
Income profile:
</v>
      </c>
      <c r="D83" s="3" t="s">
        <v>743</v>
      </c>
      <c r="E83" s="3" t="s">
        <v>744</v>
      </c>
      <c r="F83" s="3">
        <v>2.7</v>
      </c>
      <c r="G83" s="3">
        <v>1.1200000000000001</v>
      </c>
      <c r="H83" s="3" t="s">
        <v>3656</v>
      </c>
      <c r="I83" s="3">
        <v>6768975600</v>
      </c>
      <c r="J83" s="3">
        <v>104.8</v>
      </c>
      <c r="K83" s="3">
        <v>2.79</v>
      </c>
      <c r="L83" s="3" t="s">
        <v>343</v>
      </c>
      <c r="M83" s="3" t="s">
        <v>2065</v>
      </c>
      <c r="N83" s="3" t="s">
        <v>3657</v>
      </c>
      <c r="O83" s="3" t="s">
        <v>2066</v>
      </c>
      <c r="P83" s="3">
        <v>5.58</v>
      </c>
      <c r="Q83" s="3" t="s">
        <v>2066</v>
      </c>
      <c r="R83" s="3">
        <v>11375212</v>
      </c>
      <c r="S83" s="5">
        <v>1.74</v>
      </c>
      <c r="T83" s="3" t="s">
        <v>3658</v>
      </c>
      <c r="U83" s="3">
        <v>2507028000</v>
      </c>
      <c r="V83" s="3">
        <v>2507028000</v>
      </c>
      <c r="W83" s="3">
        <v>1.67</v>
      </c>
      <c r="X83" s="3">
        <v>0.1</v>
      </c>
      <c r="Y83" s="3">
        <v>2.7</v>
      </c>
      <c r="Z83" s="3" t="s">
        <v>83</v>
      </c>
      <c r="AA83" s="3" t="s">
        <v>136</v>
      </c>
      <c r="AB83" s="3" t="s">
        <v>3659</v>
      </c>
      <c r="AC83" s="3" t="s">
        <v>3660</v>
      </c>
      <c r="AD83" s="3" t="s">
        <v>4</v>
      </c>
      <c r="AE83" s="3">
        <v>5386350</v>
      </c>
      <c r="AF83" s="3" t="s">
        <v>2069</v>
      </c>
      <c r="AG83" s="3">
        <v>4376.1099999999997</v>
      </c>
      <c r="AH83" s="3" t="s">
        <v>2070</v>
      </c>
      <c r="AI83" s="3" t="s">
        <v>3661</v>
      </c>
      <c r="AJ83" s="3" t="s">
        <v>2072</v>
      </c>
      <c r="AK83" s="3" t="s">
        <v>3662</v>
      </c>
      <c r="AL83" s="3" t="s">
        <v>2073</v>
      </c>
      <c r="AM83" s="3" t="s">
        <v>4</v>
      </c>
      <c r="AN83" s="3" t="s">
        <v>3663</v>
      </c>
      <c r="AO83" s="3" t="s">
        <v>1165</v>
      </c>
      <c r="AP83" s="3" t="s">
        <v>3664</v>
      </c>
      <c r="AQ83" s="3" t="s">
        <v>3072</v>
      </c>
      <c r="AR83" s="3" t="s">
        <v>3665</v>
      </c>
      <c r="AS83" s="3" t="s">
        <v>1655</v>
      </c>
      <c r="AT83" s="3" t="s">
        <v>1055</v>
      </c>
      <c r="AU83" s="3" t="s">
        <v>3666</v>
      </c>
      <c r="AV83" s="3" t="s">
        <v>3667</v>
      </c>
      <c r="AW83" s="3" t="s">
        <v>3668</v>
      </c>
      <c r="AX83" s="3" t="s">
        <v>1316</v>
      </c>
      <c r="AY83" s="3" t="s">
        <v>954</v>
      </c>
      <c r="AZ83" s="3" t="s">
        <v>745</v>
      </c>
      <c r="BA83" s="3" t="s">
        <v>746</v>
      </c>
      <c r="BB83" s="3" t="s">
        <v>747</v>
      </c>
      <c r="BC83" s="3" t="s">
        <v>1475</v>
      </c>
      <c r="BD83" s="3" t="s">
        <v>955</v>
      </c>
      <c r="BE83" s="3" t="s">
        <v>67</v>
      </c>
      <c r="BF83" s="3" t="s">
        <v>748</v>
      </c>
      <c r="BG83" s="3" t="s">
        <v>749</v>
      </c>
      <c r="BH83" s="3" t="s">
        <v>2067</v>
      </c>
      <c r="BI83" s="3" t="s">
        <v>1357</v>
      </c>
      <c r="BJ83" s="3" t="s">
        <v>1316</v>
      </c>
      <c r="BK83" s="3" t="s">
        <v>2068</v>
      </c>
      <c r="BL83" s="3" t="s">
        <v>3669</v>
      </c>
      <c r="BM83" s="3" t="s">
        <v>1475</v>
      </c>
      <c r="BN83" s="3">
        <v>0.72</v>
      </c>
      <c r="BO83" s="3">
        <v>8.2200000000000006</v>
      </c>
      <c r="BP83" s="3" t="s">
        <v>4</v>
      </c>
      <c r="BQ83" s="3">
        <v>0.61</v>
      </c>
      <c r="BR83" s="3">
        <v>13.68</v>
      </c>
      <c r="BS83" s="3">
        <v>-18.600000000000001</v>
      </c>
      <c r="BT83" s="3" t="s">
        <v>1157</v>
      </c>
      <c r="BU83" s="3" t="s">
        <v>977</v>
      </c>
      <c r="BV83" s="3">
        <v>17.670000000000002</v>
      </c>
      <c r="BW83" s="3">
        <v>21.72</v>
      </c>
      <c r="BX83" s="3">
        <v>24.93</v>
      </c>
      <c r="BY83" s="3">
        <v>1.62</v>
      </c>
      <c r="BZ83" s="3">
        <v>9.18</v>
      </c>
      <c r="CA83" s="3">
        <v>-9.8699999999999992</v>
      </c>
      <c r="CB83" s="3">
        <v>-2.17</v>
      </c>
      <c r="CC83" s="3">
        <v>-12.34</v>
      </c>
      <c r="CD83" s="3" t="s">
        <v>3670</v>
      </c>
      <c r="CE83" s="3" t="s">
        <v>2013</v>
      </c>
      <c r="CF83" s="10">
        <v>-0.52120535714285721</v>
      </c>
      <c r="CG83" s="11">
        <v>0.63427561634388829</v>
      </c>
      <c r="CH83" s="10">
        <v>-0.87132573127746582</v>
      </c>
      <c r="CI83" s="10">
        <v>-0.27061906456947327</v>
      </c>
      <c r="CJ83" s="10">
        <v>3.1130131334066391E-2</v>
      </c>
      <c r="CK83" s="10">
        <v>-0.22581210732460022</v>
      </c>
      <c r="CL83" s="10">
        <v>0.73410052061080933</v>
      </c>
      <c r="CM83" s="11">
        <v>-0.96354103088378906</v>
      </c>
      <c r="CN83" s="11">
        <v>1.6887416839599609</v>
      </c>
      <c r="CO83" s="11">
        <v>-2.0510439872741699</v>
      </c>
      <c r="CP83" s="11">
        <v>1.2565476894378662</v>
      </c>
      <c r="CQ83" s="11">
        <v>0.49013659358024597</v>
      </c>
      <c r="CR83" s="3">
        <v>-8.6900115730299969</v>
      </c>
      <c r="CS83" s="3">
        <v>-0.72113136608888706</v>
      </c>
      <c r="CT83" s="3">
        <v>0</v>
      </c>
      <c r="CU83" s="10">
        <v>-0.12050525024533272</v>
      </c>
      <c r="CV83" s="11">
        <v>8.4168189764022822E-2</v>
      </c>
      <c r="CW83" s="3">
        <v>0.06</v>
      </c>
      <c r="CX83" s="3">
        <v>534.75768338139108</v>
      </c>
      <c r="CY83" s="3" t="s">
        <v>3671</v>
      </c>
      <c r="CZ83" s="3">
        <v>-0.12050525024533272</v>
      </c>
      <c r="DA83" s="3">
        <v>178.25256112713038</v>
      </c>
      <c r="DB83" s="3" t="s">
        <v>3672</v>
      </c>
      <c r="DC83" s="3">
        <v>-0.11447998773306609</v>
      </c>
      <c r="DD83" s="3">
        <v>89.126280563565189</v>
      </c>
      <c r="DE83" s="3" t="s">
        <v>3673</v>
      </c>
      <c r="DF83" s="3">
        <v>-0.1060446202158928</v>
      </c>
      <c r="DG83" s="3">
        <v>53.475768338139112</v>
      </c>
      <c r="DH83" s="3" t="s">
        <v>3674</v>
      </c>
      <c r="DI83" s="3">
        <v>-9.6404200196266179E-2</v>
      </c>
      <c r="DJ83" s="3">
        <v>26.737884169069556</v>
      </c>
      <c r="DK83" s="3" t="s">
        <v>3675</v>
      </c>
      <c r="DL83" s="3">
        <v>-8.4353675171732895E-2</v>
      </c>
      <c r="DM83" s="3">
        <v>11375200</v>
      </c>
      <c r="DN83" s="3">
        <v>-0.12050525024533272</v>
      </c>
      <c r="DO83" s="3">
        <v>6082975600</v>
      </c>
      <c r="DP83" s="3">
        <v>1458127000</v>
      </c>
      <c r="DQ83" s="3">
        <v>3349</v>
      </c>
      <c r="DR83" s="3">
        <v>-0.4007001068975245</v>
      </c>
      <c r="DS83" s="3">
        <v>0.55010742657986544</v>
      </c>
      <c r="DT83" s="12">
        <v>-0.84</v>
      </c>
      <c r="DU83" s="3">
        <v>-0.79999999999999993</v>
      </c>
      <c r="DV83" s="3">
        <v>-1.64</v>
      </c>
      <c r="DW83" s="3">
        <v>-2.1234000000000002</v>
      </c>
      <c r="DX83" s="3">
        <v>0.36367376425855441</v>
      </c>
      <c r="DY83" s="3">
        <v>-2.0201973425095057</v>
      </c>
      <c r="DZ83" s="3">
        <v>3089</v>
      </c>
      <c r="EA83" s="3">
        <v>-2.0079880291999435</v>
      </c>
      <c r="EB83" s="3">
        <v>2</v>
      </c>
      <c r="EC83" s="3">
        <v>1.7170211102548516E-2</v>
      </c>
      <c r="ED83" s="3">
        <v>0.10490509080871853</v>
      </c>
      <c r="EE83" s="13">
        <v>3.5000000000000003E-2</v>
      </c>
      <c r="EF83" s="3">
        <v>2.5200000000000004E-2</v>
      </c>
      <c r="EG83" s="3">
        <v>20.163673764258554</v>
      </c>
      <c r="EH83" s="3" t="s">
        <v>1004</v>
      </c>
      <c r="EI83" s="3">
        <v>0</v>
      </c>
      <c r="EJ83" s="3">
        <v>0</v>
      </c>
      <c r="EK83" s="15">
        <v>45470</v>
      </c>
      <c r="EL83" s="16">
        <v>0.69</v>
      </c>
      <c r="EM83" s="16">
        <v>-4.4000000000000004</v>
      </c>
      <c r="EN83" s="16">
        <v>0.86</v>
      </c>
      <c r="EO83" s="16">
        <v>1.99</v>
      </c>
      <c r="EP83" s="16">
        <v>-0.98</v>
      </c>
    </row>
    <row r="84" spans="1:146" ht="192" x14ac:dyDescent="0.25">
      <c r="A84" s="7" t="s">
        <v>991</v>
      </c>
      <c r="C84" s="7" t="str">
        <f>"公司主要从事化合物半导体材料的研发与应用,以砷化镓、氮化镓、碳化硅、磷化铟、氮化铝、蓝宝石等半导体新材料所涉及的外延片、芯片为核心主业。"&amp;CHAR(10)&amp;Basic_Fundamental_Information_Constructure(F84)&amp;CHAR(10)&amp;Basic_Fundamental_Information_Concatenate("LED外延芯片 65.36亿 51.99% 68.14% 29.12% 增45.87%
材料、废料销售 26.39亿 20.99% 1.77% 1.88%
LED应用品 15.92亿 12.66% 6.51% 11.42% 增80.95%
集成电路芯片 15.33亿 12.20% 18.90% 34.44% 增151.31%
租金、物业、服务收入 2.72亿 2.17% 4.67% 47.88%")</f>
        <v>公司主要从事化合物半导体材料的研发与应用,以砷化镓、氮化镓、碳化硅、磷化铟、氮化铝、蓝宝石等半导体新材料所涉及的外延片、芯片为核心主业。
市值568.74813亿, 利润1.19亿; PE209.3; 平均PE47; 平均PEG14.07, PB1.53; ROIC2.2433%; ROE2.35%; 股利率.2632%; 毛利16.8033%; 净利6.0767%; 上一年度营收增-73.1%, 利润增-82.63%; 当季营收增-45.01%, 利润增-30.15%; 过往5年营收增-3.34%, 利润增-35.42%
Income profile:
LED外延芯片 65.36亿 51.99% 68.14% 29.12% 增45.87%
材料、废料销售 26.39亿 20.99% 1.77% 1.88%
LED应用品 15.92亿 12.66% 6.51% 11.42% 增80.95%
集成电路芯片 15.33亿 12.20% 18.90% 34.44% 增151.31%
租金、物业、服务收入 2.72亿 2.17% 4.67% 47.88%</v>
      </c>
      <c r="D84" s="3" t="s">
        <v>750</v>
      </c>
      <c r="E84" s="3" t="s">
        <v>751</v>
      </c>
      <c r="F84" s="3">
        <v>11.4</v>
      </c>
      <c r="G84" s="3">
        <v>0</v>
      </c>
      <c r="H84" s="3" t="s">
        <v>3676</v>
      </c>
      <c r="I84" s="3">
        <v>56874813000</v>
      </c>
      <c r="J84" s="3">
        <v>209.3</v>
      </c>
      <c r="K84" s="3">
        <v>1.53</v>
      </c>
      <c r="L84" s="3" t="s">
        <v>343</v>
      </c>
      <c r="M84" s="3" t="s">
        <v>2074</v>
      </c>
      <c r="N84" s="3" t="s">
        <v>3677</v>
      </c>
      <c r="O84" s="3" t="s">
        <v>1577</v>
      </c>
      <c r="P84" s="3">
        <v>22.33</v>
      </c>
      <c r="Q84" s="3" t="s">
        <v>1577</v>
      </c>
      <c r="R84" s="3">
        <v>118744741</v>
      </c>
      <c r="S84" s="5">
        <v>-0.44390000000000002</v>
      </c>
      <c r="T84" s="3" t="s">
        <v>118</v>
      </c>
      <c r="U84" s="3">
        <v>4989018700</v>
      </c>
      <c r="V84" s="3">
        <v>4989018700</v>
      </c>
      <c r="W84" s="3">
        <v>1.55</v>
      </c>
      <c r="X84" s="3">
        <v>0.06</v>
      </c>
      <c r="Y84" s="3">
        <v>3.34</v>
      </c>
      <c r="Z84" s="3" t="s">
        <v>3678</v>
      </c>
      <c r="AA84" s="3" t="s">
        <v>3679</v>
      </c>
      <c r="AB84" s="3" t="s">
        <v>3680</v>
      </c>
      <c r="AC84" s="3" t="s">
        <v>143</v>
      </c>
      <c r="AD84" s="3" t="s">
        <v>4</v>
      </c>
      <c r="AE84" s="3">
        <v>-3165690</v>
      </c>
      <c r="AF84" s="3" t="s">
        <v>2076</v>
      </c>
      <c r="AG84" s="3" t="s">
        <v>3681</v>
      </c>
      <c r="AH84" s="3" t="s">
        <v>2077</v>
      </c>
      <c r="AI84" s="3" t="s">
        <v>3682</v>
      </c>
      <c r="AJ84" s="3" t="s">
        <v>2078</v>
      </c>
      <c r="AK84" s="3" t="s">
        <v>3683</v>
      </c>
      <c r="AL84" s="3" t="s">
        <v>2079</v>
      </c>
      <c r="AM84" s="3" t="s">
        <v>4</v>
      </c>
      <c r="AN84" s="3" t="s">
        <v>3684</v>
      </c>
      <c r="AO84" s="3" t="s">
        <v>3685</v>
      </c>
      <c r="AP84" s="3" t="s">
        <v>1598</v>
      </c>
      <c r="AQ84" s="3" t="s">
        <v>3686</v>
      </c>
      <c r="AR84" s="3" t="s">
        <v>4</v>
      </c>
      <c r="AS84" s="3" t="s">
        <v>3687</v>
      </c>
      <c r="AT84" s="3" t="s">
        <v>3688</v>
      </c>
      <c r="AU84" s="3" t="s">
        <v>1808</v>
      </c>
      <c r="AV84" s="3" t="s">
        <v>3689</v>
      </c>
      <c r="AW84" s="3" t="s">
        <v>1718</v>
      </c>
      <c r="AX84" s="3" t="s">
        <v>1403</v>
      </c>
      <c r="AY84" s="3" t="s">
        <v>1029</v>
      </c>
      <c r="AZ84" s="3" t="s">
        <v>752</v>
      </c>
      <c r="BA84" s="3" t="s">
        <v>206</v>
      </c>
      <c r="BB84" s="3" t="s">
        <v>753</v>
      </c>
      <c r="BC84" s="3" t="s">
        <v>1404</v>
      </c>
      <c r="BD84" s="3" t="s">
        <v>956</v>
      </c>
      <c r="BE84" s="3" t="s">
        <v>248</v>
      </c>
      <c r="BF84" s="3" t="s">
        <v>247</v>
      </c>
      <c r="BG84" s="3" t="s">
        <v>289</v>
      </c>
      <c r="BH84" s="3" t="s">
        <v>2075</v>
      </c>
      <c r="BI84" s="3" t="s">
        <v>3690</v>
      </c>
      <c r="BJ84" s="3" t="s">
        <v>1403</v>
      </c>
      <c r="BK84" s="3" t="s">
        <v>1218</v>
      </c>
      <c r="BL84" s="3" t="s">
        <v>216</v>
      </c>
      <c r="BM84" s="3" t="s">
        <v>1404</v>
      </c>
      <c r="BN84" s="3">
        <v>0.66</v>
      </c>
      <c r="BO84" s="3">
        <v>2.1800000000000002</v>
      </c>
      <c r="BP84" s="3">
        <v>3.89</v>
      </c>
      <c r="BQ84" s="3">
        <v>0.45</v>
      </c>
      <c r="BR84" s="3">
        <v>2.2200000000000002</v>
      </c>
      <c r="BS84" s="3">
        <v>4.38</v>
      </c>
      <c r="BT84" s="3" t="s">
        <v>1161</v>
      </c>
      <c r="BU84" s="3" t="s">
        <v>977</v>
      </c>
      <c r="BV84" s="3">
        <v>10.36</v>
      </c>
      <c r="BW84" s="3">
        <v>17.829999999999998</v>
      </c>
      <c r="BX84" s="3">
        <v>22.22</v>
      </c>
      <c r="BY84" s="3">
        <v>2.61</v>
      </c>
      <c r="BZ84" s="3">
        <v>5.18</v>
      </c>
      <c r="CA84" s="3">
        <v>10.44</v>
      </c>
      <c r="CB84" s="3">
        <v>-2.73</v>
      </c>
      <c r="CC84" s="3">
        <v>-8.9499999999999993</v>
      </c>
      <c r="CD84" s="3" t="s">
        <v>3691</v>
      </c>
      <c r="CE84" s="3" t="s">
        <v>3692</v>
      </c>
      <c r="CF84" s="10">
        <v>-0.45014685422785594</v>
      </c>
      <c r="CG84" s="11">
        <v>-0.30150152352941179</v>
      </c>
      <c r="CH84" s="10">
        <v>-0.73097866773605347</v>
      </c>
      <c r="CI84" s="10">
        <v>5.1702141761779785E-2</v>
      </c>
      <c r="CJ84" s="10">
        <v>0.48710671067237854</v>
      </c>
      <c r="CK84" s="10">
        <v>0.13324402272701263</v>
      </c>
      <c r="CL84" s="10">
        <v>-0.10808231681585312</v>
      </c>
      <c r="CM84" s="11">
        <v>-0.82627737522125244</v>
      </c>
      <c r="CN84" s="11">
        <v>-0.47829395532608032</v>
      </c>
      <c r="CO84" s="11">
        <v>0.2923227846622467</v>
      </c>
      <c r="CP84" s="11">
        <v>-0.21725732088088989</v>
      </c>
      <c r="CQ84" s="11">
        <v>-0.54134279489517212</v>
      </c>
      <c r="CR84" s="3">
        <v>46.997504200523338</v>
      </c>
      <c r="CS84" s="3">
        <v>14.07042579308739</v>
      </c>
      <c r="CT84" s="3">
        <v>0.26315789473684209</v>
      </c>
      <c r="CU84" s="10">
        <v>-3.3401621878147124E-2</v>
      </c>
      <c r="CV84" s="11">
        <v>-0.35416973233222959</v>
      </c>
      <c r="CW84" s="3">
        <v>0.06</v>
      </c>
      <c r="CX84" s="3">
        <v>327.48582352941179</v>
      </c>
      <c r="CY84" s="3" t="s">
        <v>3693</v>
      </c>
      <c r="CZ84" s="3">
        <v>-3.3401621878147124E-2</v>
      </c>
      <c r="DA84" s="3">
        <v>109.16194117647059</v>
      </c>
      <c r="DB84" s="3" t="s">
        <v>3694</v>
      </c>
      <c r="DC84" s="3">
        <v>-3.1731540784239766E-2</v>
      </c>
      <c r="DD84" s="3">
        <v>54.580970588235296</v>
      </c>
      <c r="DE84" s="3" t="s">
        <v>3695</v>
      </c>
      <c r="DF84" s="3">
        <v>-2.9393427252769468E-2</v>
      </c>
      <c r="DG84" s="3">
        <v>32.748582352941177</v>
      </c>
      <c r="DH84" s="3" t="s">
        <v>3696</v>
      </c>
      <c r="DI84" s="3">
        <v>-2.6721297502517699E-2</v>
      </c>
      <c r="DJ84" s="3">
        <v>16.374291176470589</v>
      </c>
      <c r="DK84" s="3" t="s">
        <v>3697</v>
      </c>
      <c r="DL84" s="3">
        <v>-2.3381135314702987E-2</v>
      </c>
      <c r="DM84" s="3">
        <v>119000000</v>
      </c>
      <c r="DN84" s="3">
        <v>-3.3401621878147124E-2</v>
      </c>
      <c r="DO84" s="3">
        <v>38970813000</v>
      </c>
      <c r="DP84" s="3">
        <v>9727022000</v>
      </c>
      <c r="DQ84" s="3">
        <v>3389</v>
      </c>
      <c r="DR84" s="3">
        <v>-0.41674523234970884</v>
      </c>
      <c r="DS84" s="3">
        <v>5.2668208802817806E-2</v>
      </c>
      <c r="DT84" s="12">
        <v>-0.64</v>
      </c>
      <c r="DU84" s="3">
        <v>-0.78666666666666663</v>
      </c>
      <c r="DV84" s="3">
        <v>-1.4266666666666667</v>
      </c>
      <c r="DW84" s="3">
        <v>-8.3050279329608934</v>
      </c>
      <c r="DX84" s="3">
        <v>0.32145925925925933</v>
      </c>
      <c r="DY84" s="3">
        <v>-8.0339981874612043</v>
      </c>
      <c r="DZ84" s="3">
        <v>397</v>
      </c>
      <c r="EA84" s="3">
        <v>-8.0313568409989546</v>
      </c>
      <c r="EB84" s="3">
        <v>8</v>
      </c>
      <c r="EC84" s="3">
        <v>1.809614383686315E-2</v>
      </c>
      <c r="ED84" s="3">
        <v>0.16235657725636507</v>
      </c>
      <c r="EE84" s="13">
        <v>-1.05481</v>
      </c>
      <c r="EF84" s="3">
        <v>-1.0962099999999999</v>
      </c>
      <c r="EG84" s="3">
        <v>21.111459259259259</v>
      </c>
      <c r="EH84" s="3" t="s">
        <v>1015</v>
      </c>
      <c r="EI84" s="3">
        <v>0</v>
      </c>
      <c r="EJ84" s="3">
        <v>1</v>
      </c>
      <c r="EK84" s="15">
        <v>45470</v>
      </c>
      <c r="EL84" s="16">
        <v>-3.67</v>
      </c>
      <c r="EM84" s="16">
        <v>-2.48</v>
      </c>
      <c r="EN84" s="16">
        <v>-4.13</v>
      </c>
      <c r="EO84" s="16">
        <v>1.26</v>
      </c>
      <c r="EP84" s="16">
        <v>-4.1399999999999997</v>
      </c>
    </row>
    <row r="85" spans="1:146" ht="96" x14ac:dyDescent="0.25">
      <c r="C85" s="7" t="str">
        <f>""&amp;CHAR(10)&amp;Basic_Fundamental_Information_Constructure(F85)&amp;CHAR(10)&amp;Basic_Fundamental_Information_Concatenate("")</f>
        <v xml:space="preserve">
市值237.5514亿, 利润2.78亿; PE16.98; 平均PE-360.76; 平均PEG-8.24, PB1.16; ROIC5.2%; ROE.52%; 股利率0%; 毛利7.27%; 净利-2.0867%; 上一年度营收增-67.5%, 利润增110.44%; 当季营收增-44.38%, 利润增202.83%; 过往5年营收增43.79%, 利润增-199.11%
Income profile:
</v>
      </c>
      <c r="D85" s="3" t="s">
        <v>754</v>
      </c>
      <c r="E85" s="3" t="s">
        <v>755</v>
      </c>
      <c r="F85" s="3">
        <v>6.62</v>
      </c>
      <c r="G85" s="3">
        <v>0.3</v>
      </c>
      <c r="H85" s="3" t="s">
        <v>3698</v>
      </c>
      <c r="I85" s="3">
        <v>23755140000</v>
      </c>
      <c r="J85" s="3">
        <v>16.98</v>
      </c>
      <c r="K85" s="3">
        <v>1.1599999999999999</v>
      </c>
      <c r="L85" s="3" t="s">
        <v>343</v>
      </c>
      <c r="M85" s="3" t="s">
        <v>2081</v>
      </c>
      <c r="N85" s="3" t="s">
        <v>3699</v>
      </c>
      <c r="O85" s="3" t="s">
        <v>2082</v>
      </c>
      <c r="P85" s="3">
        <v>28.85</v>
      </c>
      <c r="Q85" s="3" t="s">
        <v>2082</v>
      </c>
      <c r="R85" s="3">
        <v>277644800</v>
      </c>
      <c r="S85" s="5">
        <v>1.603</v>
      </c>
      <c r="T85" s="3" t="s">
        <v>1548</v>
      </c>
      <c r="U85" s="3">
        <v>3587669700</v>
      </c>
      <c r="V85" s="3">
        <v>3588389700</v>
      </c>
      <c r="W85" s="3">
        <v>1.88</v>
      </c>
      <c r="X85" s="3">
        <v>7.0000000000000007E-2</v>
      </c>
      <c r="Y85" s="3">
        <v>9.51</v>
      </c>
      <c r="Z85" s="3" t="s">
        <v>3700</v>
      </c>
      <c r="AA85" s="3" t="s">
        <v>325</v>
      </c>
      <c r="AB85" s="3" t="s">
        <v>3701</v>
      </c>
      <c r="AC85" s="3" t="s">
        <v>3702</v>
      </c>
      <c r="AD85" s="3" t="s">
        <v>4</v>
      </c>
      <c r="AE85" s="3">
        <v>65014379</v>
      </c>
      <c r="AF85" s="3" t="s">
        <v>2085</v>
      </c>
      <c r="AG85" s="3" t="s">
        <v>3703</v>
      </c>
      <c r="AH85" s="3" t="s">
        <v>2086</v>
      </c>
      <c r="AI85" s="3" t="s">
        <v>3704</v>
      </c>
      <c r="AJ85" s="3" t="s">
        <v>2087</v>
      </c>
      <c r="AK85" s="3" t="s">
        <v>4</v>
      </c>
      <c r="AL85" s="3" t="s">
        <v>2088</v>
      </c>
      <c r="AM85" s="3" t="s">
        <v>4</v>
      </c>
      <c r="AN85" s="3" t="s">
        <v>1752</v>
      </c>
      <c r="AO85" s="3" t="s">
        <v>3705</v>
      </c>
      <c r="AP85" s="3" t="s">
        <v>3706</v>
      </c>
      <c r="AQ85" s="3" t="s">
        <v>3707</v>
      </c>
      <c r="AR85" s="3" t="s">
        <v>3708</v>
      </c>
      <c r="AS85" s="3" t="s">
        <v>3709</v>
      </c>
      <c r="AT85" s="3" t="s">
        <v>3710</v>
      </c>
      <c r="AU85" s="3" t="s">
        <v>543</v>
      </c>
      <c r="AV85" s="3" t="s">
        <v>3711</v>
      </c>
      <c r="AW85" s="3" t="s">
        <v>77</v>
      </c>
      <c r="AX85" s="3" t="s">
        <v>1317</v>
      </c>
      <c r="AY85" s="3" t="s">
        <v>1319</v>
      </c>
      <c r="AZ85" s="3" t="s">
        <v>756</v>
      </c>
      <c r="BA85" s="3" t="s">
        <v>758</v>
      </c>
      <c r="BB85" s="3" t="s">
        <v>759</v>
      </c>
      <c r="BC85" s="3" t="s">
        <v>1318</v>
      </c>
      <c r="BD85" s="3" t="s">
        <v>1320</v>
      </c>
      <c r="BE85" s="3" t="s">
        <v>757</v>
      </c>
      <c r="BF85" s="3" t="s">
        <v>760</v>
      </c>
      <c r="BG85" s="3" t="s">
        <v>761</v>
      </c>
      <c r="BH85" s="3" t="s">
        <v>2083</v>
      </c>
      <c r="BI85" s="3" t="s">
        <v>3712</v>
      </c>
      <c r="BJ85" s="3" t="s">
        <v>1317</v>
      </c>
      <c r="BK85" s="3" t="s">
        <v>2084</v>
      </c>
      <c r="BL85" s="3" t="s">
        <v>3713</v>
      </c>
      <c r="BM85" s="3" t="s">
        <v>1318</v>
      </c>
      <c r="BN85" s="3">
        <v>1.82</v>
      </c>
      <c r="BO85" s="3" t="s">
        <v>4</v>
      </c>
      <c r="BP85" s="3">
        <v>8.58</v>
      </c>
      <c r="BQ85" s="3">
        <v>1.55</v>
      </c>
      <c r="BR85" s="3">
        <v>-12.7</v>
      </c>
      <c r="BS85" s="3">
        <v>12.71</v>
      </c>
      <c r="BT85" s="3" t="s">
        <v>1157</v>
      </c>
      <c r="BU85" s="3" t="s">
        <v>1002</v>
      </c>
      <c r="BV85" s="3">
        <v>14.95</v>
      </c>
      <c r="BW85" s="3">
        <v>-21.96</v>
      </c>
      <c r="BX85" s="3">
        <v>28.82</v>
      </c>
      <c r="BY85" s="3">
        <v>5.8</v>
      </c>
      <c r="BZ85" s="3">
        <v>-29.69</v>
      </c>
      <c r="CA85" s="3">
        <v>17.63</v>
      </c>
      <c r="CB85" s="3">
        <v>-2.79</v>
      </c>
      <c r="CC85" s="3">
        <v>-10.3</v>
      </c>
      <c r="CD85" s="3" t="s">
        <v>3714</v>
      </c>
      <c r="CE85" s="3" t="s">
        <v>1377</v>
      </c>
      <c r="CF85" s="10">
        <v>-0.4437869822485207</v>
      </c>
      <c r="CG85" s="11">
        <v>2.0283140740740739</v>
      </c>
      <c r="CH85" s="10">
        <v>-0.67503070831298828</v>
      </c>
      <c r="CI85" s="10">
        <v>-0.40952190756797791</v>
      </c>
      <c r="CJ85" s="10">
        <v>0.45348390936851501</v>
      </c>
      <c r="CK85" s="10">
        <v>0.78293520212173462</v>
      </c>
      <c r="CL85" s="10">
        <v>2.0378434658050537</v>
      </c>
      <c r="CM85" s="11">
        <v>1.1044328212738037</v>
      </c>
      <c r="CN85" s="11">
        <v>-1.9970037937164307</v>
      </c>
      <c r="CO85" s="11">
        <v>4.3085503578186035</v>
      </c>
      <c r="CP85" s="11">
        <v>-13.43520450592041</v>
      </c>
      <c r="CQ85" s="11">
        <v>6.3493594527244568E-2</v>
      </c>
      <c r="CR85" s="3">
        <v>-360.76295105543994</v>
      </c>
      <c r="CS85" s="3">
        <v>-8.2376880366024032</v>
      </c>
      <c r="CT85" s="3">
        <v>0</v>
      </c>
      <c r="CU85" s="10">
        <v>0.43794199228286745</v>
      </c>
      <c r="CV85" s="11">
        <v>-1.9911463052034377</v>
      </c>
      <c r="CW85" s="3">
        <v>0.06</v>
      </c>
      <c r="CX85" s="3">
        <v>57.040474487405447</v>
      </c>
      <c r="CY85" s="3">
        <v>377120635.71192181</v>
      </c>
      <c r="CZ85" s="3">
        <v>0.43794199228286745</v>
      </c>
      <c r="DA85" s="3">
        <v>14.057168291773907</v>
      </c>
      <c r="DB85" s="3">
        <v>1530261255.5750699</v>
      </c>
      <c r="DC85" s="3">
        <v>0.41604489266872408</v>
      </c>
      <c r="DD85" s="3">
        <v>4.5615138458428328</v>
      </c>
      <c r="DE85" s="3">
        <v>4715789697.6689711</v>
      </c>
      <c r="DF85" s="3">
        <v>0.38538895320892336</v>
      </c>
      <c r="DG85" s="3">
        <v>1.6221270291158443</v>
      </c>
      <c r="DH85" s="3">
        <v>13261069949.450785</v>
      </c>
      <c r="DI85" s="3">
        <v>0.350353593826294</v>
      </c>
      <c r="DJ85" s="3">
        <v>0.22626808385797501</v>
      </c>
      <c r="DK85" s="3">
        <v>95069263120.211914</v>
      </c>
      <c r="DL85" s="3">
        <v>0.30655939459800718</v>
      </c>
      <c r="DM85" s="3">
        <v>278000000</v>
      </c>
      <c r="DN85" s="3">
        <v>0.43794199228286745</v>
      </c>
      <c r="DO85" s="3">
        <v>21511140000</v>
      </c>
      <c r="DP85" s="3">
        <v>-1319167700</v>
      </c>
      <c r="DQ85" s="3">
        <v>3393</v>
      </c>
      <c r="DR85" s="3">
        <v>-0.8817289745313881</v>
      </c>
      <c r="DS85" s="3">
        <v>4.0194603792775112</v>
      </c>
      <c r="DT85" s="12">
        <v>-6.8333333333333426E-2</v>
      </c>
      <c r="DU85" s="3">
        <v>-7.1666666666666726E-2</v>
      </c>
      <c r="DV85" s="3">
        <v>-0.14000000000000015</v>
      </c>
      <c r="DW85" s="3">
        <v>-8.2708737864077673</v>
      </c>
      <c r="DX85" s="3">
        <v>0.3021127716312047</v>
      </c>
      <c r="DY85" s="3">
        <v>-8.0330771488204924</v>
      </c>
      <c r="DZ85" s="3">
        <v>4396</v>
      </c>
      <c r="EA85" s="3">
        <v>-8.0046217386023155</v>
      </c>
      <c r="EB85" s="3">
        <v>8</v>
      </c>
      <c r="EC85" s="3">
        <v>2.3991123372135419E-2</v>
      </c>
      <c r="ED85" s="3">
        <v>0.1964669556375106</v>
      </c>
      <c r="EE85" s="13">
        <v>-2.0796999999999999</v>
      </c>
      <c r="EF85" s="3">
        <v>-2.0621</v>
      </c>
      <c r="EG85" s="3">
        <v>18.122112771631205</v>
      </c>
      <c r="EH85" s="3" t="s">
        <v>1226</v>
      </c>
      <c r="EI85" s="3">
        <v>0</v>
      </c>
      <c r="EJ85" s="3">
        <v>0</v>
      </c>
      <c r="EK85" s="15">
        <v>45470</v>
      </c>
      <c r="EL85" s="16">
        <v>0.61</v>
      </c>
      <c r="EM85" s="16">
        <v>-5.72</v>
      </c>
      <c r="EN85" s="16">
        <v>1.91</v>
      </c>
      <c r="EO85" s="16">
        <v>0.73</v>
      </c>
      <c r="EP85" s="16">
        <v>-1.76</v>
      </c>
    </row>
    <row r="86" spans="1:146" ht="96" x14ac:dyDescent="0.25">
      <c r="C86" s="7" t="str">
        <f>""&amp;CHAR(10)&amp;Basic_Fundamental_Information_Constructure(F86)&amp;CHAR(10)&amp;Basic_Fundamental_Information_Concatenate("")</f>
        <v xml:space="preserve">
市值63.3669亿, 利润4555.97万; PE27.13; 平均PE37.7; 平均PEG6.5, PB3.4; ROIC14.78%; ROE15.7567%; 股利率1.6751%; 毛利41.0967%; 净利31.3%; 上一年度营收增-73.94%, 利润增-83.67%; 当季营收增-44.76%, 利润增-60.72%; 过往5年营收增-5.8%, 利润增2.96%
Income profile:
</v>
      </c>
      <c r="D86" s="3" t="s">
        <v>763</v>
      </c>
      <c r="E86" s="3" t="s">
        <v>764</v>
      </c>
      <c r="F86" s="3">
        <v>57.01</v>
      </c>
      <c r="G86" s="3">
        <v>0.3</v>
      </c>
      <c r="H86" s="3" t="s">
        <v>3715</v>
      </c>
      <c r="I86" s="3">
        <v>6336690000</v>
      </c>
      <c r="J86" s="3">
        <v>27.13</v>
      </c>
      <c r="K86" s="3">
        <v>3.4</v>
      </c>
      <c r="L86" s="3" t="s">
        <v>343</v>
      </c>
      <c r="M86" s="3" t="s">
        <v>1254</v>
      </c>
      <c r="N86" s="3" t="s">
        <v>3716</v>
      </c>
      <c r="O86" s="3" t="s">
        <v>1328</v>
      </c>
      <c r="P86" s="3">
        <v>14.74</v>
      </c>
      <c r="Q86" s="3" t="s">
        <v>1328</v>
      </c>
      <c r="R86" s="3">
        <v>45559747</v>
      </c>
      <c r="S86" s="5">
        <v>-3.85E-2</v>
      </c>
      <c r="T86" s="3" t="s">
        <v>3717</v>
      </c>
      <c r="U86" s="3">
        <v>110449500</v>
      </c>
      <c r="V86" s="3">
        <v>111150500</v>
      </c>
      <c r="W86" s="3">
        <v>1.1299999999999999</v>
      </c>
      <c r="X86" s="3">
        <v>0.1</v>
      </c>
      <c r="Y86" s="3">
        <v>21.06</v>
      </c>
      <c r="Z86" s="3" t="s">
        <v>1003</v>
      </c>
      <c r="AA86" s="3" t="s">
        <v>45</v>
      </c>
      <c r="AB86" s="3" t="s">
        <v>3718</v>
      </c>
      <c r="AC86" s="3" t="s">
        <v>3719</v>
      </c>
      <c r="AD86" s="3" t="s">
        <v>4</v>
      </c>
      <c r="AE86" s="3">
        <v>-12826218</v>
      </c>
      <c r="AF86" s="3" t="s">
        <v>2089</v>
      </c>
      <c r="AG86" s="3">
        <v>5000</v>
      </c>
      <c r="AH86" s="3" t="s">
        <v>2090</v>
      </c>
      <c r="AI86" s="3" t="s">
        <v>3720</v>
      </c>
      <c r="AJ86" s="3" t="s">
        <v>2091</v>
      </c>
      <c r="AK86" s="3" t="s">
        <v>3721</v>
      </c>
      <c r="AL86" s="3" t="s">
        <v>2092</v>
      </c>
      <c r="AM86" s="3" t="s">
        <v>4</v>
      </c>
      <c r="AN86" s="3" t="s">
        <v>77</v>
      </c>
      <c r="AO86" s="3" t="s">
        <v>1322</v>
      </c>
      <c r="AP86" s="3" t="s">
        <v>4</v>
      </c>
      <c r="AQ86" s="3" t="s">
        <v>156</v>
      </c>
      <c r="AR86" s="3" t="s">
        <v>4</v>
      </c>
      <c r="AS86" s="3" t="s">
        <v>1470</v>
      </c>
      <c r="AT86" s="3" t="s">
        <v>4</v>
      </c>
      <c r="AU86" s="3" t="s">
        <v>3722</v>
      </c>
      <c r="AV86" s="3" t="s">
        <v>3723</v>
      </c>
      <c r="AW86" s="3" t="s">
        <v>3724</v>
      </c>
      <c r="AX86" s="3" t="s">
        <v>332</v>
      </c>
      <c r="AY86" s="3" t="s">
        <v>957</v>
      </c>
      <c r="AZ86" s="3" t="s">
        <v>232</v>
      </c>
      <c r="BA86" s="3" t="s">
        <v>110</v>
      </c>
      <c r="BB86" s="3" t="s">
        <v>151</v>
      </c>
      <c r="BC86" s="3" t="s">
        <v>92</v>
      </c>
      <c r="BD86" s="3" t="s">
        <v>298</v>
      </c>
      <c r="BE86" s="3" t="s">
        <v>199</v>
      </c>
      <c r="BF86" s="3" t="s">
        <v>158</v>
      </c>
      <c r="BG86" s="3" t="s">
        <v>42</v>
      </c>
      <c r="BH86" s="3" t="s">
        <v>1417</v>
      </c>
      <c r="BI86" s="3" t="s">
        <v>1374</v>
      </c>
      <c r="BJ86" s="3" t="s">
        <v>332</v>
      </c>
      <c r="BK86" s="3" t="s">
        <v>80</v>
      </c>
      <c r="BL86" s="3" t="s">
        <v>28</v>
      </c>
      <c r="BM86" s="3" t="s">
        <v>92</v>
      </c>
      <c r="BN86" s="3">
        <v>8.68</v>
      </c>
      <c r="BO86" s="3">
        <v>17.100000000000001</v>
      </c>
      <c r="BP86" s="3">
        <v>18.559999999999999</v>
      </c>
      <c r="BQ86" s="3">
        <v>10.16</v>
      </c>
      <c r="BR86" s="3">
        <v>17.920000000000002</v>
      </c>
      <c r="BS86" s="3">
        <v>19.190000000000001</v>
      </c>
      <c r="BT86" s="3" t="s">
        <v>2093</v>
      </c>
      <c r="BU86" s="3" t="s">
        <v>1011</v>
      </c>
      <c r="BV86" s="3">
        <v>38.409999999999997</v>
      </c>
      <c r="BW86" s="3">
        <v>42.09</v>
      </c>
      <c r="BX86" s="3">
        <v>42.79</v>
      </c>
      <c r="BY86" s="3">
        <v>27.48</v>
      </c>
      <c r="BZ86" s="3">
        <v>33.590000000000003</v>
      </c>
      <c r="CA86" s="3">
        <v>32.83</v>
      </c>
      <c r="CB86" s="3">
        <v>-5.75</v>
      </c>
      <c r="CC86" s="3">
        <v>-16.329999999999998</v>
      </c>
      <c r="CD86" s="3" t="s">
        <v>3725</v>
      </c>
      <c r="CE86" s="3" t="s">
        <v>3726</v>
      </c>
      <c r="CF86" s="10">
        <v>-0.4475703324808184</v>
      </c>
      <c r="CG86" s="11">
        <v>-0.60724356034482752</v>
      </c>
      <c r="CH86" s="10">
        <v>-0.73944509029388428</v>
      </c>
      <c r="CI86" s="10">
        <v>4.2767293751239777E-2</v>
      </c>
      <c r="CJ86" s="10">
        <v>0.3802083432674408</v>
      </c>
      <c r="CK86" s="10">
        <v>5.2356021478772163E-3</v>
      </c>
      <c r="CL86" s="10">
        <v>2.1390374749898911E-2</v>
      </c>
      <c r="CM86" s="11">
        <v>-0.8367035984992981</v>
      </c>
      <c r="CN86" s="11">
        <v>6.8965516984462738E-2</v>
      </c>
      <c r="CO86" s="11">
        <v>0.6111111044883728</v>
      </c>
      <c r="CP86" s="11">
        <v>0.16546761989593506</v>
      </c>
      <c r="CQ86" s="11">
        <v>0.13934426009654999</v>
      </c>
      <c r="CR86" s="3">
        <v>37.697461042712689</v>
      </c>
      <c r="CS86" s="3">
        <v>6.5030721950118888</v>
      </c>
      <c r="CT86" s="3">
        <v>1.6751447114541311</v>
      </c>
      <c r="CU86" s="10">
        <v>-5.7968695275485517E-2</v>
      </c>
      <c r="CV86" s="11">
        <v>2.96369805932045E-2</v>
      </c>
      <c r="CW86" s="3">
        <v>0.06</v>
      </c>
      <c r="CX86" s="3">
        <v>104.33980030597216</v>
      </c>
      <c r="CY86" s="3" t="s">
        <v>3727</v>
      </c>
      <c r="CZ86" s="3">
        <v>-5.7968695275485517E-2</v>
      </c>
      <c r="DA86" s="3">
        <v>34.779933435324054</v>
      </c>
      <c r="DB86" s="3" t="s">
        <v>3728</v>
      </c>
      <c r="DC86" s="3">
        <v>-5.5070260511711239E-2</v>
      </c>
      <c r="DD86" s="3">
        <v>17.389966717662027</v>
      </c>
      <c r="DE86" s="3" t="s">
        <v>3729</v>
      </c>
      <c r="DF86" s="3">
        <v>-5.1012451842427253E-2</v>
      </c>
      <c r="DG86" s="3">
        <v>10.433980030597217</v>
      </c>
      <c r="DH86" s="3" t="s">
        <v>3730</v>
      </c>
      <c r="DI86" s="3">
        <v>-4.6374956220388418E-2</v>
      </c>
      <c r="DJ86" s="3">
        <v>5.2169900152986086</v>
      </c>
      <c r="DK86" s="3" t="s">
        <v>3731</v>
      </c>
      <c r="DL86" s="3">
        <v>-4.0578086692839861E-2</v>
      </c>
      <c r="DM86" s="3">
        <v>45559700</v>
      </c>
      <c r="DN86" s="3">
        <v>-5.7968695275485517E-2</v>
      </c>
      <c r="DO86" s="3">
        <v>4753690000</v>
      </c>
      <c r="DP86" s="3">
        <v>1170444500</v>
      </c>
      <c r="DQ86" s="3">
        <v>4067</v>
      </c>
      <c r="DR86" s="3">
        <v>-0.38960163720533286</v>
      </c>
      <c r="DS86" s="3">
        <v>-0.63688054093803204</v>
      </c>
      <c r="DT86" s="12">
        <v>-0.64</v>
      </c>
      <c r="DU86" s="3">
        <v>-0.39000000000000007</v>
      </c>
      <c r="DV86" s="3">
        <v>-1.03</v>
      </c>
      <c r="DW86" s="3">
        <v>-8.352112676056338</v>
      </c>
      <c r="DX86" s="3">
        <v>0.47866025780540822</v>
      </c>
      <c r="DY86" s="3">
        <v>-8.0875564288047226</v>
      </c>
      <c r="DZ86" s="3">
        <v>1921</v>
      </c>
      <c r="EA86" s="3">
        <v>-8.0546413799331233</v>
      </c>
      <c r="EB86" s="3">
        <v>8</v>
      </c>
      <c r="EC86" s="3">
        <v>5.4478387411662568E-2</v>
      </c>
      <c r="ED86" s="3">
        <v>0.21908763343394766</v>
      </c>
      <c r="EE86" s="13">
        <v>-5.0053999999999998</v>
      </c>
      <c r="EF86" s="3">
        <v>-5.04101</v>
      </c>
      <c r="EG86" s="3">
        <v>23.248660257805408</v>
      </c>
      <c r="EH86" s="3" t="s">
        <v>3732</v>
      </c>
      <c r="EI86" s="3">
        <v>0</v>
      </c>
      <c r="EJ86" s="3">
        <v>0</v>
      </c>
      <c r="EK86" s="15">
        <v>45470</v>
      </c>
      <c r="EL86" s="16">
        <v>-0.12</v>
      </c>
      <c r="EM86" s="16">
        <v>-5.81</v>
      </c>
      <c r="EN86" s="16">
        <v>-2.87</v>
      </c>
      <c r="EO86" s="16">
        <v>1.71</v>
      </c>
      <c r="EP86" s="16">
        <v>-4.6399999999999997</v>
      </c>
    </row>
    <row r="87" spans="1:146" ht="96" x14ac:dyDescent="0.25">
      <c r="C87" s="7" t="str">
        <f>""&amp;CHAR(10)&amp;Basic_Fundamental_Information_Constructure(F87)&amp;CHAR(10)&amp;Basic_Fundamental_Information_Concatenate("")</f>
        <v xml:space="preserve">
市值54.562459亿, 利润7462.88万; PE14.2; 平均PE19.94; 平均PEG1.69, PB1.53; ROIC8.71%; ROE10.0033%; 股利率2.9108%; 毛利16.62%; 净利7.1933%; 上一年度营收增-76.7%, 利润增-78.05%; 当季营收增-55.8%, 利润增-54.77%; 过往5年营收增-11.79%, 利润增-8.53%
Income profile:
</v>
      </c>
      <c r="D87" s="3" t="s">
        <v>765</v>
      </c>
      <c r="E87" s="3" t="s">
        <v>766</v>
      </c>
      <c r="F87" s="3">
        <v>11.44</v>
      </c>
      <c r="G87" s="3">
        <v>-0.69</v>
      </c>
      <c r="H87" s="3" t="s">
        <v>3733</v>
      </c>
      <c r="I87" s="3">
        <v>5456245900</v>
      </c>
      <c r="J87" s="3">
        <v>14.2</v>
      </c>
      <c r="K87" s="3">
        <v>1.53</v>
      </c>
      <c r="L87" s="3" t="s">
        <v>343</v>
      </c>
      <c r="M87" s="3" t="s">
        <v>2094</v>
      </c>
      <c r="N87" s="3" t="s">
        <v>3734</v>
      </c>
      <c r="O87" s="3" t="s">
        <v>2095</v>
      </c>
      <c r="P87" s="3">
        <v>-1.83</v>
      </c>
      <c r="Q87" s="3" t="s">
        <v>2095</v>
      </c>
      <c r="R87" s="3">
        <v>74628810</v>
      </c>
      <c r="S87" s="5">
        <v>0.13109999999999999</v>
      </c>
      <c r="T87" s="3" t="s">
        <v>3735</v>
      </c>
      <c r="U87" s="3">
        <v>476944580</v>
      </c>
      <c r="V87" s="3">
        <v>476944580</v>
      </c>
      <c r="W87" s="3">
        <v>1.82</v>
      </c>
      <c r="X87" s="3">
        <v>0.18</v>
      </c>
      <c r="Y87" s="3">
        <v>7.04</v>
      </c>
      <c r="Z87" s="3" t="s">
        <v>3736</v>
      </c>
      <c r="AA87" s="3" t="s">
        <v>3737</v>
      </c>
      <c r="AB87" s="3" t="s">
        <v>3738</v>
      </c>
      <c r="AC87" s="3" t="s">
        <v>3739</v>
      </c>
      <c r="AD87" s="3" t="s">
        <v>4</v>
      </c>
      <c r="AE87" s="3">
        <v>-11251291</v>
      </c>
      <c r="AF87" s="3" t="s">
        <v>2097</v>
      </c>
      <c r="AG87" s="3" t="s">
        <v>3740</v>
      </c>
      <c r="AH87" s="3" t="s">
        <v>2098</v>
      </c>
      <c r="AI87" s="3" t="s">
        <v>3741</v>
      </c>
      <c r="AJ87" s="3" t="s">
        <v>2099</v>
      </c>
      <c r="AK87" s="3" t="s">
        <v>4</v>
      </c>
      <c r="AL87" s="3" t="s">
        <v>2100</v>
      </c>
      <c r="AM87" s="3" t="s">
        <v>4</v>
      </c>
      <c r="AN87" s="3" t="s">
        <v>3742</v>
      </c>
      <c r="AO87" s="3" t="s">
        <v>52</v>
      </c>
      <c r="AP87" s="3" t="s">
        <v>3743</v>
      </c>
      <c r="AQ87" s="3" t="s">
        <v>1357</v>
      </c>
      <c r="AR87" s="3" t="s">
        <v>4</v>
      </c>
      <c r="AS87" s="3" t="s">
        <v>1818</v>
      </c>
      <c r="AT87" s="3" t="s">
        <v>4</v>
      </c>
      <c r="AU87" s="3" t="s">
        <v>23</v>
      </c>
      <c r="AV87" s="3" t="s">
        <v>3744</v>
      </c>
      <c r="AW87" s="3" t="s">
        <v>120</v>
      </c>
      <c r="AX87" s="3" t="s">
        <v>1323</v>
      </c>
      <c r="AY87" s="3" t="s">
        <v>958</v>
      </c>
      <c r="AZ87" s="3" t="s">
        <v>767</v>
      </c>
      <c r="BA87" s="3" t="s">
        <v>769</v>
      </c>
      <c r="BB87" s="3" t="s">
        <v>770</v>
      </c>
      <c r="BC87" s="3" t="s">
        <v>1056</v>
      </c>
      <c r="BD87" s="3" t="s">
        <v>217</v>
      </c>
      <c r="BE87" s="3" t="s">
        <v>664</v>
      </c>
      <c r="BF87" s="3" t="s">
        <v>94</v>
      </c>
      <c r="BG87" s="3" t="s">
        <v>182</v>
      </c>
      <c r="BH87" s="3" t="s">
        <v>2096</v>
      </c>
      <c r="BI87" s="3" t="s">
        <v>3745</v>
      </c>
      <c r="BJ87" s="3" t="s">
        <v>1323</v>
      </c>
      <c r="BK87" s="3" t="s">
        <v>1370</v>
      </c>
      <c r="BL87" s="3" t="s">
        <v>117</v>
      </c>
      <c r="BM87" s="3" t="s">
        <v>1056</v>
      </c>
      <c r="BN87" s="3">
        <v>7.31</v>
      </c>
      <c r="BO87" s="3">
        <v>9.2799999999999994</v>
      </c>
      <c r="BP87" s="3">
        <v>9.5399999999999991</v>
      </c>
      <c r="BQ87" s="3">
        <v>8.34</v>
      </c>
      <c r="BR87" s="3">
        <v>10.69</v>
      </c>
      <c r="BS87" s="3">
        <v>10.98</v>
      </c>
      <c r="BT87" s="3" t="s">
        <v>1325</v>
      </c>
      <c r="BU87" s="3" t="s">
        <v>977</v>
      </c>
      <c r="BV87" s="3">
        <v>19.350000000000001</v>
      </c>
      <c r="BW87" s="3">
        <v>16.760000000000002</v>
      </c>
      <c r="BX87" s="3">
        <v>13.75</v>
      </c>
      <c r="BY87" s="3">
        <v>8.0500000000000007</v>
      </c>
      <c r="BZ87" s="3">
        <v>7.31</v>
      </c>
      <c r="CA87" s="3">
        <v>6.22</v>
      </c>
      <c r="CB87" s="3">
        <v>-0.35</v>
      </c>
      <c r="CC87" s="3">
        <v>-10.46</v>
      </c>
      <c r="CD87" s="3" t="s">
        <v>3746</v>
      </c>
      <c r="CE87" s="3" t="s">
        <v>3747</v>
      </c>
      <c r="CF87" s="10">
        <v>-0.55804480651731159</v>
      </c>
      <c r="CG87" s="11">
        <v>-0.54770418181818181</v>
      </c>
      <c r="CH87" s="10">
        <v>-0.7670174241065979</v>
      </c>
      <c r="CI87" s="10">
        <v>-0.1168215423822403</v>
      </c>
      <c r="CJ87" s="10">
        <v>0.16969823837280273</v>
      </c>
      <c r="CK87" s="10">
        <v>6.2205526977777481E-2</v>
      </c>
      <c r="CL87" s="10">
        <v>6.232789158821106E-2</v>
      </c>
      <c r="CM87" s="11">
        <v>-0.78050351142883301</v>
      </c>
      <c r="CN87" s="11">
        <v>3.6585364490747452E-2</v>
      </c>
      <c r="CO87" s="11">
        <v>-4.093567281961441E-2</v>
      </c>
      <c r="CP87" s="11">
        <v>0.10322580486536026</v>
      </c>
      <c r="CQ87" s="11">
        <v>0.25506073236465454</v>
      </c>
      <c r="CR87" s="3">
        <v>19.942069364280158</v>
      </c>
      <c r="CS87" s="3">
        <v>1.6911314565875002</v>
      </c>
      <c r="CT87" s="3">
        <v>2.9108391608391608</v>
      </c>
      <c r="CU87" s="10">
        <v>-0.11792146191000938</v>
      </c>
      <c r="CV87" s="11">
        <v>-8.5313456505537039E-2</v>
      </c>
      <c r="CW87" s="3">
        <v>0.06</v>
      </c>
      <c r="CX87" s="3">
        <v>51.967148071521983</v>
      </c>
      <c r="CY87" s="3" t="s">
        <v>3748</v>
      </c>
      <c r="CZ87" s="3">
        <v>-0.11792146191000938</v>
      </c>
      <c r="DA87" s="3">
        <v>17.322382690507329</v>
      </c>
      <c r="DB87" s="3" t="s">
        <v>3749</v>
      </c>
      <c r="DC87" s="3">
        <v>-0.11202538881450891</v>
      </c>
      <c r="DD87" s="3">
        <v>8.6611913452536644</v>
      </c>
      <c r="DE87" s="3" t="s">
        <v>3750</v>
      </c>
      <c r="DF87" s="3">
        <v>-0.10377088648080825</v>
      </c>
      <c r="DG87" s="3">
        <v>5.1967148071521985</v>
      </c>
      <c r="DH87" s="3" t="s">
        <v>3751</v>
      </c>
      <c r="DI87" s="3">
        <v>-9.4337169528007511E-2</v>
      </c>
      <c r="DJ87" s="3">
        <v>2.5983574035760992</v>
      </c>
      <c r="DK87" s="3" t="s">
        <v>3752</v>
      </c>
      <c r="DL87" s="3">
        <v>-8.2545023337006557E-2</v>
      </c>
      <c r="DM87" s="3">
        <v>74628800</v>
      </c>
      <c r="DN87" s="3">
        <v>-0.11792146191000938</v>
      </c>
      <c r="DO87" s="3">
        <v>3878245900</v>
      </c>
      <c r="DP87" s="3">
        <v>2430834700</v>
      </c>
      <c r="DQ87" s="3">
        <v>4072</v>
      </c>
      <c r="DR87" s="3">
        <v>-0.44012334460730218</v>
      </c>
      <c r="DS87" s="3">
        <v>-0.4623907253126448</v>
      </c>
      <c r="DT87" s="12">
        <v>-0.64</v>
      </c>
      <c r="DU87" s="3">
        <v>-0.45333333333333331</v>
      </c>
      <c r="DV87" s="3">
        <v>-1.0933333333333333</v>
      </c>
      <c r="DW87" s="3">
        <v>-2.1046</v>
      </c>
      <c r="DX87" s="3">
        <v>0.27555755468445586</v>
      </c>
      <c r="DY87" s="3">
        <v>-2.0110413202199942</v>
      </c>
      <c r="DZ87" s="3">
        <v>2222</v>
      </c>
      <c r="EA87" s="3">
        <v>-2.0062401825431202</v>
      </c>
      <c r="EB87" s="3">
        <v>2</v>
      </c>
      <c r="EC87" s="3">
        <v>1.0394289416183323E-2</v>
      </c>
      <c r="ED87" s="3">
        <v>9.8470350580354638E-2</v>
      </c>
      <c r="EE87" s="13">
        <v>-1.0900099999999999</v>
      </c>
      <c r="EF87" s="3">
        <v>-1.09521</v>
      </c>
      <c r="EG87" s="3">
        <v>17.105557554684456</v>
      </c>
      <c r="EH87" s="3" t="s">
        <v>1015</v>
      </c>
      <c r="EI87" s="3">
        <v>0</v>
      </c>
      <c r="EJ87" s="3">
        <v>0</v>
      </c>
      <c r="EK87" s="15">
        <v>45470</v>
      </c>
      <c r="EL87" s="16">
        <v>0</v>
      </c>
      <c r="EM87" s="16">
        <v>-4.43</v>
      </c>
      <c r="EN87" s="16">
        <v>1.18</v>
      </c>
      <c r="EO87" s="16">
        <v>3.32</v>
      </c>
      <c r="EP87" s="16">
        <v>-0.52</v>
      </c>
    </row>
    <row r="88" spans="1:146" ht="96" x14ac:dyDescent="0.25">
      <c r="C88" s="7" t="str">
        <f>""&amp;CHAR(10)&amp;Basic_Fundamental_Information_Constructure(F88)&amp;CHAR(10)&amp;Basic_Fundamental_Information_Concatenate("")</f>
        <v xml:space="preserve">
市值123.234938亿, 利润1.21亿; PE13.01; 平均PE16.8; 平均PEG.99, PB1.86; ROIC12.4333%; ROE13.4567%; 股利率5.1484%; 毛利36.35%; 净利11.01%; 上一年度营收增-78.23%, 利润增-84.57%; 当季营收增-55.33%, 利润增-69.55%; 过往5年营收增-17.05%, 利润增-19.17%
Income profile:
</v>
      </c>
      <c r="D88" s="3" t="s">
        <v>772</v>
      </c>
      <c r="E88" s="3" t="s">
        <v>773</v>
      </c>
      <c r="F88" s="3">
        <v>16.510000000000002</v>
      </c>
      <c r="G88" s="3">
        <v>1.48</v>
      </c>
      <c r="H88" s="3" t="s">
        <v>3753</v>
      </c>
      <c r="I88" s="3">
        <v>12323493800</v>
      </c>
      <c r="J88" s="3">
        <v>13.01</v>
      </c>
      <c r="K88" s="3">
        <v>1.86</v>
      </c>
      <c r="L88" s="3" t="s">
        <v>343</v>
      </c>
      <c r="M88" s="3" t="s">
        <v>2102</v>
      </c>
      <c r="N88" s="3" t="s">
        <v>3754</v>
      </c>
      <c r="O88" s="3" t="s">
        <v>2103</v>
      </c>
      <c r="P88" s="3">
        <v>5.35</v>
      </c>
      <c r="Q88" s="3" t="s">
        <v>2103</v>
      </c>
      <c r="R88" s="3">
        <v>120892584</v>
      </c>
      <c r="S88" s="5">
        <v>0.23480000000000001</v>
      </c>
      <c r="T88" s="3" t="s">
        <v>124</v>
      </c>
      <c r="U88" s="3">
        <v>739045760</v>
      </c>
      <c r="V88" s="3">
        <v>746426040</v>
      </c>
      <c r="W88" s="3">
        <v>1.42</v>
      </c>
      <c r="X88" s="3">
        <v>0.16</v>
      </c>
      <c r="Y88" s="3">
        <v>7.66</v>
      </c>
      <c r="Z88" s="3" t="s">
        <v>3755</v>
      </c>
      <c r="AA88" s="3" t="s">
        <v>1450</v>
      </c>
      <c r="AB88" s="3" t="s">
        <v>71</v>
      </c>
      <c r="AC88" s="3" t="s">
        <v>3756</v>
      </c>
      <c r="AD88" s="3" t="s">
        <v>4</v>
      </c>
      <c r="AE88" s="3">
        <v>-7912745</v>
      </c>
      <c r="AF88" s="3" t="s">
        <v>2105</v>
      </c>
      <c r="AG88" s="3" t="s">
        <v>3757</v>
      </c>
      <c r="AH88" s="3" t="s">
        <v>2106</v>
      </c>
      <c r="AI88" s="3" t="s">
        <v>3758</v>
      </c>
      <c r="AJ88" s="3" t="s">
        <v>2107</v>
      </c>
      <c r="AK88" s="3" t="s">
        <v>3759</v>
      </c>
      <c r="AL88" s="3" t="s">
        <v>2108</v>
      </c>
      <c r="AM88" s="3" t="s">
        <v>4</v>
      </c>
      <c r="AN88" s="3" t="s">
        <v>3760</v>
      </c>
      <c r="AO88" s="3" t="s">
        <v>20</v>
      </c>
      <c r="AP88" s="3" t="s">
        <v>4</v>
      </c>
      <c r="AQ88" s="3" t="s">
        <v>968</v>
      </c>
      <c r="AR88" s="3" t="s">
        <v>4</v>
      </c>
      <c r="AS88" s="3" t="s">
        <v>1549</v>
      </c>
      <c r="AT88" s="3" t="s">
        <v>4</v>
      </c>
      <c r="AU88" s="3" t="s">
        <v>3761</v>
      </c>
      <c r="AV88" s="3" t="s">
        <v>1454</v>
      </c>
      <c r="AW88" s="3" t="s">
        <v>1489</v>
      </c>
      <c r="AX88" s="3" t="s">
        <v>1326</v>
      </c>
      <c r="AY88" s="3" t="s">
        <v>959</v>
      </c>
      <c r="AZ88" s="3" t="s">
        <v>774</v>
      </c>
      <c r="BA88" s="3" t="s">
        <v>775</v>
      </c>
      <c r="BB88" s="3" t="s">
        <v>776</v>
      </c>
      <c r="BC88" s="3" t="s">
        <v>184</v>
      </c>
      <c r="BD88" s="3" t="s">
        <v>960</v>
      </c>
      <c r="BE88" s="3" t="s">
        <v>245</v>
      </c>
      <c r="BF88" s="3" t="s">
        <v>681</v>
      </c>
      <c r="BG88" s="3" t="s">
        <v>310</v>
      </c>
      <c r="BH88" s="3" t="s">
        <v>2104</v>
      </c>
      <c r="BI88" s="3" t="s">
        <v>3762</v>
      </c>
      <c r="BJ88" s="3" t="s">
        <v>1326</v>
      </c>
      <c r="BK88" s="3" t="s">
        <v>698</v>
      </c>
      <c r="BL88" s="3" t="s">
        <v>872</v>
      </c>
      <c r="BM88" s="3" t="s">
        <v>184</v>
      </c>
      <c r="BN88" s="3">
        <v>9.15</v>
      </c>
      <c r="BO88" s="3">
        <v>12.42</v>
      </c>
      <c r="BP88" s="3">
        <v>15.73</v>
      </c>
      <c r="BQ88" s="3">
        <v>10.5</v>
      </c>
      <c r="BR88" s="3">
        <v>13.24</v>
      </c>
      <c r="BS88" s="3">
        <v>16.63</v>
      </c>
      <c r="BT88" s="3" t="s">
        <v>2109</v>
      </c>
      <c r="BU88" s="3" t="s">
        <v>977</v>
      </c>
      <c r="BV88" s="3">
        <v>40.33</v>
      </c>
      <c r="BW88" s="3">
        <v>35.72</v>
      </c>
      <c r="BX88" s="3">
        <v>33</v>
      </c>
      <c r="BY88" s="3">
        <v>11.93</v>
      </c>
      <c r="BZ88" s="3">
        <v>10.81</v>
      </c>
      <c r="CA88" s="3">
        <v>10.29</v>
      </c>
      <c r="CB88" s="3">
        <v>-4.79</v>
      </c>
      <c r="CC88" s="3">
        <v>-17.41</v>
      </c>
      <c r="CD88" s="3" t="s">
        <v>3763</v>
      </c>
      <c r="CE88" s="3" t="s">
        <v>3764</v>
      </c>
      <c r="CF88" s="10">
        <v>-0.55332957110609482</v>
      </c>
      <c r="CG88" s="11">
        <v>-0.69548467506297229</v>
      </c>
      <c r="CH88" s="10">
        <v>-0.78225582838058472</v>
      </c>
      <c r="CI88" s="10">
        <v>-0.1782524585723877</v>
      </c>
      <c r="CJ88" s="10">
        <v>0.11003760248422623</v>
      </c>
      <c r="CK88" s="10">
        <v>-4.6080183237791061E-2</v>
      </c>
      <c r="CL88" s="10">
        <v>4.3853014707565308E-2</v>
      </c>
      <c r="CM88" s="11">
        <v>-0.84566324949264526</v>
      </c>
      <c r="CN88" s="11">
        <v>-0.13561190664768219</v>
      </c>
      <c r="CO88" s="11">
        <v>0.13375000655651093</v>
      </c>
      <c r="CP88" s="11">
        <v>-0.10112359374761581</v>
      </c>
      <c r="CQ88" s="11">
        <v>-1.0011123493313789E-2</v>
      </c>
      <c r="CR88" s="3">
        <v>16.800945875937288</v>
      </c>
      <c r="CS88" s="3">
        <v>0.98516407757142221</v>
      </c>
      <c r="CT88" s="3">
        <v>5.1483949121744397</v>
      </c>
      <c r="CU88" s="10">
        <v>-0.17053957059979438</v>
      </c>
      <c r="CV88" s="11">
        <v>-0.19173197336494924</v>
      </c>
      <c r="CW88" s="3">
        <v>0.06</v>
      </c>
      <c r="CX88" s="3">
        <v>73.632180165289256</v>
      </c>
      <c r="CY88" s="3" t="s">
        <v>3765</v>
      </c>
      <c r="CZ88" s="3">
        <v>-0.17053957059979438</v>
      </c>
      <c r="DA88" s="3">
        <v>24.54406005509642</v>
      </c>
      <c r="DB88" s="3" t="s">
        <v>3766</v>
      </c>
      <c r="DC88" s="3">
        <v>-0.16201259206980465</v>
      </c>
      <c r="DD88" s="3">
        <v>12.27203002754821</v>
      </c>
      <c r="DE88" s="3" t="s">
        <v>3767</v>
      </c>
      <c r="DF88" s="3">
        <v>-0.15007482212781906</v>
      </c>
      <c r="DG88" s="3">
        <v>7.3632180165289256</v>
      </c>
      <c r="DH88" s="3" t="s">
        <v>3768</v>
      </c>
      <c r="DI88" s="3">
        <v>-0.13643165647983552</v>
      </c>
      <c r="DJ88" s="3">
        <v>3.6816090082644628</v>
      </c>
      <c r="DK88" s="3" t="s">
        <v>3769</v>
      </c>
      <c r="DL88" s="3">
        <v>-0.11937769941985606</v>
      </c>
      <c r="DM88" s="3">
        <v>121000000</v>
      </c>
      <c r="DN88" s="3">
        <v>-0.17053957059979438</v>
      </c>
      <c r="DO88" s="3">
        <v>8909493800</v>
      </c>
      <c r="DP88" s="3">
        <v>3945654900</v>
      </c>
      <c r="DQ88" s="3">
        <v>4165</v>
      </c>
      <c r="DR88" s="3">
        <v>-0.38279000050630041</v>
      </c>
      <c r="DS88" s="3">
        <v>-0.503752701698023</v>
      </c>
      <c r="DT88" s="12">
        <v>-0.92333333333333334</v>
      </c>
      <c r="DU88" s="3">
        <v>-0.77333333333333332</v>
      </c>
      <c r="DV88" s="3">
        <v>-1.6966666666666668</v>
      </c>
      <c r="DW88" s="3">
        <v>-8.2751292360712227</v>
      </c>
      <c r="DX88" s="3">
        <v>0.45184810616599846</v>
      </c>
      <c r="DY88" s="3">
        <v>-8.0582856076125875</v>
      </c>
      <c r="DZ88" s="3">
        <v>3486</v>
      </c>
      <c r="EA88" s="3">
        <v>-8.0185236451590693</v>
      </c>
      <c r="EB88" s="3">
        <v>8</v>
      </c>
      <c r="EC88" s="3">
        <v>1.4076679318422493E-2</v>
      </c>
      <c r="ED88" s="3">
        <v>6.6447038744789771E-2</v>
      </c>
      <c r="EE88" s="13">
        <v>3.02521</v>
      </c>
      <c r="EF88" s="3">
        <v>3.0569099999999998</v>
      </c>
      <c r="EG88" s="3">
        <v>24.211848106165998</v>
      </c>
      <c r="EH88" s="3" t="s">
        <v>2716</v>
      </c>
      <c r="EI88" s="3">
        <v>0</v>
      </c>
      <c r="EJ88" s="3">
        <v>0</v>
      </c>
      <c r="EK88" s="15">
        <v>45470</v>
      </c>
      <c r="EL88" s="16">
        <v>1.06</v>
      </c>
      <c r="EM88" s="16">
        <v>-5.58</v>
      </c>
      <c r="EN88" s="16">
        <v>-2.95</v>
      </c>
      <c r="EO88" s="16">
        <v>3.31</v>
      </c>
      <c r="EP88" s="16">
        <v>-3.17</v>
      </c>
    </row>
    <row r="89" spans="1:146" ht="96" x14ac:dyDescent="0.25">
      <c r="C89" s="7" t="str">
        <f>""&amp;CHAR(10)&amp;Basic_Fundamental_Information_Constructure(F89)&amp;CHAR(10)&amp;Basic_Fundamental_Information_Concatenate("")</f>
        <v xml:space="preserve">
市值18.816576亿, 利润326.61万; PE36; 平均PE109.63; 平均PEG6.74, PB2.13; ROIC5.53%; ROE-3.9567%; 股利率1.5611%; 毛利20.31%; 净利-6.0067%; 上一年度营收增-72.75%, 利润增104.28%; 当季营收增-62.89%, 利润增-85.94%; 过往5年营收增-16.27%, 利润增-22.81%
Income profile:
</v>
      </c>
      <c r="D89" s="3" t="s">
        <v>777</v>
      </c>
      <c r="E89" s="3" t="s">
        <v>778</v>
      </c>
      <c r="F89" s="3">
        <v>11.53</v>
      </c>
      <c r="G89" s="3">
        <v>-7.17</v>
      </c>
      <c r="H89" s="3" t="s">
        <v>3770</v>
      </c>
      <c r="I89" s="3">
        <v>1881657600</v>
      </c>
      <c r="J89" s="3">
        <v>36</v>
      </c>
      <c r="K89" s="3">
        <v>2.13</v>
      </c>
      <c r="L89" s="3" t="s">
        <v>343</v>
      </c>
      <c r="M89" s="3" t="s">
        <v>1424</v>
      </c>
      <c r="N89" s="3" t="s">
        <v>2620</v>
      </c>
      <c r="O89" s="3" t="s">
        <v>41</v>
      </c>
      <c r="P89" s="3">
        <v>-8.41</v>
      </c>
      <c r="Q89" s="3" t="s">
        <v>41</v>
      </c>
      <c r="R89" s="3">
        <v>3266102</v>
      </c>
      <c r="S89" s="5">
        <v>-0.69010000000000005</v>
      </c>
      <c r="T89" s="3" t="s">
        <v>3771</v>
      </c>
      <c r="U89" s="3">
        <v>163196670</v>
      </c>
      <c r="V89" s="3">
        <v>163196670</v>
      </c>
      <c r="W89" s="3">
        <v>1.64</v>
      </c>
      <c r="X89" s="3">
        <v>0.08</v>
      </c>
      <c r="Y89" s="3">
        <v>2.5</v>
      </c>
      <c r="Z89" s="3" t="s">
        <v>8</v>
      </c>
      <c r="AA89" s="3" t="s">
        <v>3772</v>
      </c>
      <c r="AB89" s="3" t="s">
        <v>3773</v>
      </c>
      <c r="AC89" s="3" t="s">
        <v>3774</v>
      </c>
      <c r="AD89" s="3" t="s">
        <v>4</v>
      </c>
      <c r="AE89" s="3">
        <v>2157614</v>
      </c>
      <c r="AF89" s="3" t="s">
        <v>2112</v>
      </c>
      <c r="AG89" s="3" t="s">
        <v>3775</v>
      </c>
      <c r="AH89" s="3" t="s">
        <v>2113</v>
      </c>
      <c r="AI89" s="3" t="s">
        <v>162</v>
      </c>
      <c r="AJ89" s="3" t="s">
        <v>2114</v>
      </c>
      <c r="AK89" s="3" t="s">
        <v>3776</v>
      </c>
      <c r="AL89" s="3" t="s">
        <v>2115</v>
      </c>
      <c r="AM89" s="3" t="s">
        <v>4</v>
      </c>
      <c r="AN89" s="3" t="s">
        <v>3777</v>
      </c>
      <c r="AO89" s="3" t="s">
        <v>1024</v>
      </c>
      <c r="AP89" s="3" t="s">
        <v>3778</v>
      </c>
      <c r="AQ89" s="3" t="s">
        <v>893</v>
      </c>
      <c r="AR89" s="3" t="s">
        <v>3779</v>
      </c>
      <c r="AS89" s="3" t="s">
        <v>1039</v>
      </c>
      <c r="AT89" s="3" t="s">
        <v>4</v>
      </c>
      <c r="AU89" s="3" t="s">
        <v>3780</v>
      </c>
      <c r="AV89" s="3" t="s">
        <v>3781</v>
      </c>
      <c r="AW89" s="3" t="s">
        <v>3782</v>
      </c>
      <c r="AX89" s="3" t="s">
        <v>1053</v>
      </c>
      <c r="AY89" s="3" t="s">
        <v>961</v>
      </c>
      <c r="AZ89" s="3" t="s">
        <v>196</v>
      </c>
      <c r="BA89" s="3" t="s">
        <v>222</v>
      </c>
      <c r="BB89" s="3" t="s">
        <v>133</v>
      </c>
      <c r="BC89" s="3" t="s">
        <v>1327</v>
      </c>
      <c r="BD89" s="3" t="s">
        <v>962</v>
      </c>
      <c r="BE89" s="3" t="s">
        <v>779</v>
      </c>
      <c r="BF89" s="3" t="s">
        <v>780</v>
      </c>
      <c r="BG89" s="3" t="s">
        <v>781</v>
      </c>
      <c r="BH89" s="3" t="s">
        <v>1443</v>
      </c>
      <c r="BI89" s="3" t="s">
        <v>1074</v>
      </c>
      <c r="BJ89" s="3" t="s">
        <v>1053</v>
      </c>
      <c r="BK89" s="3" t="s">
        <v>2110</v>
      </c>
      <c r="BL89" s="3" t="s">
        <v>3783</v>
      </c>
      <c r="BM89" s="3" t="s">
        <v>1327</v>
      </c>
      <c r="BN89" s="3">
        <v>5.53</v>
      </c>
      <c r="BO89" s="3" t="s">
        <v>4</v>
      </c>
      <c r="BP89" s="3" t="s">
        <v>4</v>
      </c>
      <c r="BQ89" s="3">
        <v>6.66</v>
      </c>
      <c r="BR89" s="3">
        <v>-11.1</v>
      </c>
      <c r="BS89" s="3">
        <v>-7.43</v>
      </c>
      <c r="BT89" s="3" t="s">
        <v>2117</v>
      </c>
      <c r="BU89" s="3" t="s">
        <v>977</v>
      </c>
      <c r="BV89" s="3">
        <v>25.48</v>
      </c>
      <c r="BW89" s="3">
        <v>12.66</v>
      </c>
      <c r="BX89" s="3">
        <v>22.79</v>
      </c>
      <c r="BY89" s="3">
        <v>9.11</v>
      </c>
      <c r="BZ89" s="3">
        <v>-17.88</v>
      </c>
      <c r="CA89" s="3">
        <v>-9.25</v>
      </c>
      <c r="CB89" s="3">
        <v>-17.29</v>
      </c>
      <c r="CC89" s="3">
        <v>4.0599999999999996</v>
      </c>
      <c r="CD89" s="3" t="s">
        <v>3784</v>
      </c>
      <c r="CE89" s="3" t="s">
        <v>443</v>
      </c>
      <c r="CF89" s="10">
        <v>-0.62893081761006286</v>
      </c>
      <c r="CG89" s="11">
        <v>-0.85938641696265206</v>
      </c>
      <c r="CH89" s="10">
        <v>-0.72748267650604248</v>
      </c>
      <c r="CI89" s="10">
        <v>-0.26610168814659119</v>
      </c>
      <c r="CJ89" s="10">
        <v>-0.15954415500164032</v>
      </c>
      <c r="CK89" s="10">
        <v>-1.4044944196939468E-2</v>
      </c>
      <c r="CL89" s="10">
        <v>0.35361215472221375</v>
      </c>
      <c r="CM89" s="11">
        <v>1.0428464412689209</v>
      </c>
      <c r="CN89" s="11">
        <v>-0.39058369398117065</v>
      </c>
      <c r="CO89" s="11">
        <v>-1.8292555809020996</v>
      </c>
      <c r="CP89" s="11">
        <v>-0.29761970043182373</v>
      </c>
      <c r="CQ89" s="11">
        <v>0.33407619595527649</v>
      </c>
      <c r="CR89" s="3">
        <v>109.62602295457636</v>
      </c>
      <c r="CS89" s="3">
        <v>6.737416204805891</v>
      </c>
      <c r="CT89" s="3">
        <v>1.5611448395490026</v>
      </c>
      <c r="CU89" s="10">
        <v>-0.16271226182579995</v>
      </c>
      <c r="CV89" s="11">
        <v>-0.22810726761817932</v>
      </c>
      <c r="CW89" s="3">
        <v>0.06</v>
      </c>
      <c r="CX89" s="3">
        <v>491.30694099996936</v>
      </c>
      <c r="CY89" s="3" t="s">
        <v>3785</v>
      </c>
      <c r="CZ89" s="3">
        <v>-0.16271226182579995</v>
      </c>
      <c r="DA89" s="3">
        <v>163.76898033332313</v>
      </c>
      <c r="DB89" s="3" t="s">
        <v>3786</v>
      </c>
      <c r="DC89" s="3">
        <v>-0.15457664873450994</v>
      </c>
      <c r="DD89" s="3">
        <v>81.884490166661564</v>
      </c>
      <c r="DE89" s="3" t="s">
        <v>3787</v>
      </c>
      <c r="DF89" s="3">
        <v>-0.14318679040670396</v>
      </c>
      <c r="DG89" s="3">
        <v>49.130694099996937</v>
      </c>
      <c r="DH89" s="3" t="s">
        <v>3788</v>
      </c>
      <c r="DI89" s="3">
        <v>-0.13016980946063997</v>
      </c>
      <c r="DJ89" s="3">
        <v>24.565347049998469</v>
      </c>
      <c r="DK89" s="3" t="s">
        <v>3789</v>
      </c>
      <c r="DL89" s="3">
        <v>-0.11389858327805996</v>
      </c>
      <c r="DM89" s="3">
        <v>3266100</v>
      </c>
      <c r="DN89" s="3">
        <v>-0.16271226182579995</v>
      </c>
      <c r="DO89" s="3">
        <v>1604657600</v>
      </c>
      <c r="DP89" s="3">
        <v>601063460</v>
      </c>
      <c r="DQ89" s="3">
        <v>4249</v>
      </c>
      <c r="DR89" s="3">
        <v>-0.46621855578426291</v>
      </c>
      <c r="DS89" s="3">
        <v>-0.63127914934447271</v>
      </c>
      <c r="DT89" s="12">
        <v>-0.95666666666666667</v>
      </c>
      <c r="DU89" s="3">
        <v>-1.3733333333333333</v>
      </c>
      <c r="DV89" s="3">
        <v>-2.33</v>
      </c>
      <c r="DW89" s="3">
        <v>-5.234817813765182</v>
      </c>
      <c r="DX89" s="3">
        <v>0.37433439316239331</v>
      </c>
      <c r="DY89" s="3">
        <v>-5.0409368210664729</v>
      </c>
      <c r="DZ89" s="3">
        <v>2811</v>
      </c>
      <c r="EA89" s="3">
        <v>-5.0184175639201216</v>
      </c>
      <c r="EB89" s="3">
        <v>5</v>
      </c>
      <c r="EC89" s="3">
        <v>0.4999397352899419</v>
      </c>
      <c r="ED89" s="3">
        <v>2.8677055726688541</v>
      </c>
      <c r="EE89" s="13">
        <v>-2.0302099999999998</v>
      </c>
      <c r="EF89" s="3">
        <v>-2.0437099999999999</v>
      </c>
      <c r="EG89" s="3">
        <v>20.174334393162393</v>
      </c>
      <c r="EH89" s="3" t="s">
        <v>1172</v>
      </c>
      <c r="EI89" s="3">
        <v>0</v>
      </c>
      <c r="EJ89" s="3">
        <v>0</v>
      </c>
      <c r="EK89" s="15">
        <v>45470</v>
      </c>
      <c r="EL89" s="16">
        <v>3.25</v>
      </c>
      <c r="EM89" s="16">
        <v>-7.73</v>
      </c>
      <c r="EN89" s="16">
        <v>0.16</v>
      </c>
      <c r="EO89" s="16">
        <v>2.94</v>
      </c>
      <c r="EP89" s="16">
        <v>-1.35</v>
      </c>
    </row>
    <row r="90" spans="1:146" ht="96" x14ac:dyDescent="0.25">
      <c r="C90" s="7" t="str">
        <f>""&amp;CHAR(10)&amp;Basic_Fundamental_Information_Constructure(F90)&amp;CHAR(10)&amp;Basic_Fundamental_Information_Concatenate("")</f>
        <v xml:space="preserve">
市值18.168296亿, 利润320.97万; PE21.84; 平均PE28.55; 平均PEG4.07, PB1.59; ROIC3.695%; ROE2.2933%; 股利率1.3953%; 毛利14.8633%; 净利2.6567%; 上一年度营收增-74.53%, 利润增107.93%; 当季营收增-48.52%, 利润增-71.7%; 过往5年营收增-7.02%, 利润增-7.05%
Income profile:
</v>
      </c>
      <c r="D90" s="3" t="s">
        <v>782</v>
      </c>
      <c r="E90" s="3" t="s">
        <v>783</v>
      </c>
      <c r="F90" s="3">
        <v>10.75</v>
      </c>
      <c r="G90" s="3">
        <v>0.47</v>
      </c>
      <c r="H90" s="3" t="s">
        <v>3790</v>
      </c>
      <c r="I90" s="3">
        <v>1816829600</v>
      </c>
      <c r="J90" s="3">
        <v>21.84</v>
      </c>
      <c r="K90" s="3">
        <v>1.59</v>
      </c>
      <c r="L90" s="3" t="s">
        <v>343</v>
      </c>
      <c r="M90" s="3" t="s">
        <v>2119</v>
      </c>
      <c r="N90" s="3" t="s">
        <v>2968</v>
      </c>
      <c r="O90" s="3" t="s">
        <v>35</v>
      </c>
      <c r="P90" s="3">
        <v>18.489999999999998</v>
      </c>
      <c r="Q90" s="3" t="s">
        <v>35</v>
      </c>
      <c r="R90" s="3">
        <v>3209708</v>
      </c>
      <c r="S90" s="5">
        <v>-0.17660000000000001</v>
      </c>
      <c r="T90" s="3" t="s">
        <v>3791</v>
      </c>
      <c r="U90" s="3">
        <v>169007400</v>
      </c>
      <c r="V90" s="3">
        <v>169007400</v>
      </c>
      <c r="W90" s="3">
        <v>2.87</v>
      </c>
      <c r="X90" s="3">
        <v>0.09</v>
      </c>
      <c r="Y90" s="3">
        <v>0.65</v>
      </c>
      <c r="Z90" s="3" t="s">
        <v>119</v>
      </c>
      <c r="AA90" s="3" t="s">
        <v>2789</v>
      </c>
      <c r="AB90" s="3" t="s">
        <v>3792</v>
      </c>
      <c r="AC90" s="3" t="s">
        <v>3793</v>
      </c>
      <c r="AD90" s="3" t="s">
        <v>4</v>
      </c>
      <c r="AE90" s="3">
        <v>16516352</v>
      </c>
      <c r="AF90" s="3" t="s">
        <v>2121</v>
      </c>
      <c r="AG90" s="3" t="s">
        <v>3794</v>
      </c>
      <c r="AH90" s="3" t="s">
        <v>2122</v>
      </c>
      <c r="AI90" s="3" t="s">
        <v>1433</v>
      </c>
      <c r="AJ90" s="3" t="s">
        <v>2123</v>
      </c>
      <c r="AK90" s="3" t="s">
        <v>4</v>
      </c>
      <c r="AL90" s="3" t="s">
        <v>2124</v>
      </c>
      <c r="AM90" s="3" t="s">
        <v>4</v>
      </c>
      <c r="AN90" s="3" t="s">
        <v>186</v>
      </c>
      <c r="AO90" s="3" t="s">
        <v>57</v>
      </c>
      <c r="AP90" s="3" t="s">
        <v>3795</v>
      </c>
      <c r="AQ90" s="3" t="s">
        <v>1475</v>
      </c>
      <c r="AR90" s="3" t="s">
        <v>4</v>
      </c>
      <c r="AS90" s="3" t="s">
        <v>1437</v>
      </c>
      <c r="AT90" s="3" t="s">
        <v>1357</v>
      </c>
      <c r="AU90" s="3" t="s">
        <v>3796</v>
      </c>
      <c r="AV90" s="3" t="s">
        <v>3797</v>
      </c>
      <c r="AW90" s="3" t="s">
        <v>3798</v>
      </c>
      <c r="AX90" s="3" t="s">
        <v>1019</v>
      </c>
      <c r="AY90" s="3" t="s">
        <v>963</v>
      </c>
      <c r="AZ90" s="3" t="s">
        <v>768</v>
      </c>
      <c r="BA90" s="3" t="s">
        <v>302</v>
      </c>
      <c r="BB90" s="3" t="s">
        <v>625</v>
      </c>
      <c r="BC90" s="3" t="s">
        <v>2126</v>
      </c>
      <c r="BD90" s="3" t="s">
        <v>104</v>
      </c>
      <c r="BE90" s="3" t="s">
        <v>104</v>
      </c>
      <c r="BF90" s="3" t="s">
        <v>6</v>
      </c>
      <c r="BG90" s="3" t="s">
        <v>24</v>
      </c>
      <c r="BH90" s="3" t="s">
        <v>1427</v>
      </c>
      <c r="BI90" s="3" t="s">
        <v>3799</v>
      </c>
      <c r="BJ90" s="3" t="s">
        <v>1019</v>
      </c>
      <c r="BK90" s="3" t="s">
        <v>2120</v>
      </c>
      <c r="BL90" s="3" t="s">
        <v>3800</v>
      </c>
      <c r="BM90" s="3" t="s">
        <v>2126</v>
      </c>
      <c r="BN90" s="3">
        <v>0.76</v>
      </c>
      <c r="BO90" s="3" t="s">
        <v>4</v>
      </c>
      <c r="BP90" s="3">
        <v>6.63</v>
      </c>
      <c r="BQ90" s="3">
        <v>1.43</v>
      </c>
      <c r="BR90" s="3">
        <v>-3.58</v>
      </c>
      <c r="BS90" s="3">
        <v>9.0299999999999994</v>
      </c>
      <c r="BT90" s="3" t="s">
        <v>1915</v>
      </c>
      <c r="BU90" s="3" t="s">
        <v>977</v>
      </c>
      <c r="BV90" s="3">
        <v>14.85</v>
      </c>
      <c r="BW90" s="3">
        <v>10.97</v>
      </c>
      <c r="BX90" s="3">
        <v>18.77</v>
      </c>
      <c r="BY90" s="3">
        <v>6.04</v>
      </c>
      <c r="BZ90" s="3">
        <v>-5.1100000000000003</v>
      </c>
      <c r="CA90" s="3">
        <v>7.04</v>
      </c>
      <c r="CB90" s="3">
        <v>-6.36</v>
      </c>
      <c r="CC90" s="3">
        <v>-7.49</v>
      </c>
      <c r="CD90" s="3" t="s">
        <v>3801</v>
      </c>
      <c r="CE90" s="3" t="s">
        <v>104</v>
      </c>
      <c r="CF90" s="10">
        <v>-0.48521739130434782</v>
      </c>
      <c r="CG90" s="11">
        <v>-0.71700937216212168</v>
      </c>
      <c r="CH90" s="10">
        <v>-0.74526679515838623</v>
      </c>
      <c r="CI90" s="10">
        <v>-0.24935400485992432</v>
      </c>
      <c r="CJ90" s="10">
        <v>0.3196931779384613</v>
      </c>
      <c r="CK90" s="10">
        <v>5.0134290009737015E-2</v>
      </c>
      <c r="CL90" s="10">
        <v>0.27366012334823608</v>
      </c>
      <c r="CM90" s="11">
        <v>1.0793476104736328</v>
      </c>
      <c r="CN90" s="11">
        <v>-1.4005060195922852</v>
      </c>
      <c r="CO90" s="11">
        <v>0</v>
      </c>
      <c r="CP90" s="11">
        <v>-9.8214283585548401E-2</v>
      </c>
      <c r="CQ90" s="11">
        <v>6.6666670143604279E-2</v>
      </c>
      <c r="CR90" s="3">
        <v>28.554635311424548</v>
      </c>
      <c r="CS90" s="3">
        <v>4.0660687457280575</v>
      </c>
      <c r="CT90" s="3">
        <v>1.3953488372093024</v>
      </c>
      <c r="CU90" s="10">
        <v>-7.0226641744375234E-2</v>
      </c>
      <c r="CV90" s="11">
        <v>-7.0541204512119288E-2</v>
      </c>
      <c r="CW90" s="3">
        <v>0.06</v>
      </c>
      <c r="CX90" s="3">
        <v>874.1719163784777</v>
      </c>
      <c r="CY90" s="3" t="s">
        <v>3802</v>
      </c>
      <c r="CZ90" s="3">
        <v>-7.0226641744375234E-2</v>
      </c>
      <c r="DA90" s="3">
        <v>291.39063879282594</v>
      </c>
      <c r="DB90" s="3" t="s">
        <v>3803</v>
      </c>
      <c r="DC90" s="3">
        <v>-6.6715309657156469E-2</v>
      </c>
      <c r="DD90" s="3">
        <v>145.69531939641297</v>
      </c>
      <c r="DE90" s="3" t="s">
        <v>3804</v>
      </c>
      <c r="DF90" s="3">
        <v>-6.1799444735050203E-2</v>
      </c>
      <c r="DG90" s="3">
        <v>87.417191637847779</v>
      </c>
      <c r="DH90" s="3" t="s">
        <v>3805</v>
      </c>
      <c r="DI90" s="3">
        <v>-5.6181313395500192E-2</v>
      </c>
      <c r="DJ90" s="3">
        <v>43.708595818923889</v>
      </c>
      <c r="DK90" s="3" t="s">
        <v>3806</v>
      </c>
      <c r="DL90" s="3">
        <v>-4.915864922106266E-2</v>
      </c>
      <c r="DM90" s="3">
        <v>3209700.0000000005</v>
      </c>
      <c r="DN90" s="3">
        <v>-7.0226641744375234E-2</v>
      </c>
      <c r="DO90" s="3">
        <v>2805829600</v>
      </c>
      <c r="DP90" s="3">
        <v>319717100.00000012</v>
      </c>
      <c r="DQ90" s="3">
        <v>4254</v>
      </c>
      <c r="DR90" s="3">
        <v>-0.41499074955997262</v>
      </c>
      <c r="DS90" s="3">
        <v>-0.64646816765000237</v>
      </c>
      <c r="DT90" s="12">
        <v>-0.69</v>
      </c>
      <c r="DU90" s="3">
        <v>-0.82333333333333325</v>
      </c>
      <c r="DV90" s="3">
        <v>-1.5133333333333332</v>
      </c>
      <c r="DW90" s="3">
        <v>-9.8491321762349795</v>
      </c>
      <c r="DX90" s="3">
        <v>0.26724059405940637</v>
      </c>
      <c r="DY90" s="3">
        <v>-9.1165354043014446</v>
      </c>
      <c r="DZ90" s="3">
        <v>2874</v>
      </c>
      <c r="EA90" s="3">
        <v>-9.0509927913929609</v>
      </c>
      <c r="EB90" s="3">
        <v>9</v>
      </c>
      <c r="EC90" s="3">
        <v>8.2015935396911627E-2</v>
      </c>
      <c r="ED90" s="3">
        <v>0.59760696868894503</v>
      </c>
      <c r="EE90" s="13">
        <v>1.1060099999999999</v>
      </c>
      <c r="EF90" s="3">
        <v>1.1203099999999999</v>
      </c>
      <c r="EG90" s="3">
        <v>13.137240594059406</v>
      </c>
      <c r="EH90" s="3" t="s">
        <v>1167</v>
      </c>
      <c r="EI90" s="3">
        <v>0</v>
      </c>
      <c r="EJ90" s="3">
        <v>0</v>
      </c>
      <c r="EK90" s="15">
        <v>45470</v>
      </c>
      <c r="EL90" s="16">
        <v>0.26</v>
      </c>
      <c r="EM90" s="16">
        <v>-4.13</v>
      </c>
      <c r="EN90" s="16">
        <v>1.21</v>
      </c>
      <c r="EO90" s="16">
        <v>2.4</v>
      </c>
      <c r="EP90" s="16">
        <v>-1.43</v>
      </c>
    </row>
    <row r="91" spans="1:146" ht="96" x14ac:dyDescent="0.25">
      <c r="C91" s="7" t="str">
        <f>""&amp;CHAR(10)&amp;Basic_Fundamental_Information_Constructure(F91)&amp;CHAR(10)&amp;Basic_Fundamental_Information_Concatenate("")</f>
        <v xml:space="preserve">
市值39.589294亿, 利润370.99万; PE2023; 平均PE-463.56; 平均PEG-66.17, PB4.67; ROIC1.6833%; ROE1.2667%; 股利率.1258%; 毛利23.7567%; 净利1.6667%; 上一年度营收增-79%, 利润增-75.92%; 当季营收增-51.14%, 利润增-63.39%; 过往5年营收增-7.01%, 利润增42.12%
Income profile:
</v>
      </c>
      <c r="D91" s="3" t="s">
        <v>784</v>
      </c>
      <c r="E91" s="3" t="s">
        <v>3807</v>
      </c>
      <c r="F91" s="3">
        <v>9.5399999999999991</v>
      </c>
      <c r="G91" s="3">
        <v>0.95</v>
      </c>
      <c r="H91" s="3" t="s">
        <v>3808</v>
      </c>
      <c r="I91" s="3">
        <v>3958929400</v>
      </c>
      <c r="J91" s="3">
        <v>2023</v>
      </c>
      <c r="K91" s="3">
        <v>4.67</v>
      </c>
      <c r="L91" s="3" t="s">
        <v>343</v>
      </c>
      <c r="M91" s="3" t="s">
        <v>278</v>
      </c>
      <c r="N91" s="3" t="s">
        <v>58</v>
      </c>
      <c r="O91" s="3" t="s">
        <v>330</v>
      </c>
      <c r="P91" s="3">
        <v>-13.14</v>
      </c>
      <c r="Q91" s="3" t="s">
        <v>330</v>
      </c>
      <c r="R91" s="3">
        <v>3709918</v>
      </c>
      <c r="S91" s="5">
        <v>-0.30159999999999998</v>
      </c>
      <c r="T91" s="3" t="s">
        <v>3809</v>
      </c>
      <c r="U91" s="3">
        <v>414982120</v>
      </c>
      <c r="V91" s="3">
        <v>414982120</v>
      </c>
      <c r="W91" s="3">
        <v>2.13</v>
      </c>
      <c r="X91" s="3">
        <v>0.09</v>
      </c>
      <c r="Y91" s="3">
        <v>2.37</v>
      </c>
      <c r="Z91" s="3" t="s">
        <v>1003</v>
      </c>
      <c r="AA91" s="3" t="s">
        <v>29</v>
      </c>
      <c r="AB91" s="3" t="s">
        <v>3810</v>
      </c>
      <c r="AC91" s="3" t="s">
        <v>3811</v>
      </c>
      <c r="AD91" s="3" t="s">
        <v>4</v>
      </c>
      <c r="AE91" s="3">
        <v>2646977</v>
      </c>
      <c r="AF91" s="3" t="s">
        <v>2128</v>
      </c>
      <c r="AG91" s="3" t="s">
        <v>3812</v>
      </c>
      <c r="AH91" s="3" t="s">
        <v>2129</v>
      </c>
      <c r="AI91" s="3" t="s">
        <v>3813</v>
      </c>
      <c r="AJ91" s="3" t="s">
        <v>2130</v>
      </c>
      <c r="AK91" s="3" t="s">
        <v>3814</v>
      </c>
      <c r="AL91" s="3" t="s">
        <v>2131</v>
      </c>
      <c r="AM91" s="3" t="s">
        <v>4</v>
      </c>
      <c r="AN91" s="3" t="s">
        <v>3815</v>
      </c>
      <c r="AO91" s="3" t="s">
        <v>1257</v>
      </c>
      <c r="AP91" s="3" t="s">
        <v>3816</v>
      </c>
      <c r="AQ91" s="3" t="s">
        <v>158</v>
      </c>
      <c r="AR91" s="3" t="s">
        <v>3817</v>
      </c>
      <c r="AS91" s="3" t="s">
        <v>259</v>
      </c>
      <c r="AT91" s="3" t="s">
        <v>275</v>
      </c>
      <c r="AU91" s="3" t="s">
        <v>3818</v>
      </c>
      <c r="AV91" s="3" t="s">
        <v>3819</v>
      </c>
      <c r="AW91" s="3" t="s">
        <v>3820</v>
      </c>
      <c r="AX91" s="3" t="s">
        <v>582</v>
      </c>
      <c r="AY91" s="3" t="s">
        <v>328</v>
      </c>
      <c r="AZ91" s="3" t="s">
        <v>123</v>
      </c>
      <c r="BA91" s="3" t="s">
        <v>113</v>
      </c>
      <c r="BB91" s="3" t="s">
        <v>219</v>
      </c>
      <c r="BC91" s="3" t="s">
        <v>1329</v>
      </c>
      <c r="BD91" s="3" t="s">
        <v>953</v>
      </c>
      <c r="BE91" s="3" t="s">
        <v>785</v>
      </c>
      <c r="BF91" s="3" t="s">
        <v>786</v>
      </c>
      <c r="BG91" s="3" t="s">
        <v>787</v>
      </c>
      <c r="BH91" s="3" t="s">
        <v>244</v>
      </c>
      <c r="BI91" s="3" t="s">
        <v>3821</v>
      </c>
      <c r="BJ91" s="3" t="s">
        <v>582</v>
      </c>
      <c r="BK91" s="3" t="s">
        <v>2127</v>
      </c>
      <c r="BL91" s="3" t="s">
        <v>3822</v>
      </c>
      <c r="BM91" s="3" t="s">
        <v>1329</v>
      </c>
      <c r="BN91" s="3">
        <v>0.98</v>
      </c>
      <c r="BO91" s="3">
        <v>2.48</v>
      </c>
      <c r="BP91" s="3">
        <v>1.59</v>
      </c>
      <c r="BQ91" s="3">
        <v>0.95</v>
      </c>
      <c r="BR91" s="3">
        <v>1.81</v>
      </c>
      <c r="BS91" s="3">
        <v>1.04</v>
      </c>
      <c r="BT91" s="3" t="s">
        <v>2132</v>
      </c>
      <c r="BU91" s="3" t="s">
        <v>1002</v>
      </c>
      <c r="BV91" s="3">
        <v>25.36</v>
      </c>
      <c r="BW91" s="3">
        <v>24.35</v>
      </c>
      <c r="BX91" s="3">
        <v>21.56</v>
      </c>
      <c r="BY91" s="3">
        <v>0.78</v>
      </c>
      <c r="BZ91" s="3">
        <v>2.23</v>
      </c>
      <c r="CA91" s="3">
        <v>1.99</v>
      </c>
      <c r="CB91" s="3">
        <v>-4.7699999999999996</v>
      </c>
      <c r="CC91" s="3">
        <v>-7.72</v>
      </c>
      <c r="CD91" s="3" t="s">
        <v>3823</v>
      </c>
      <c r="CE91" s="3" t="s">
        <v>62</v>
      </c>
      <c r="CF91" s="10">
        <v>-0.51136363636363635</v>
      </c>
      <c r="CG91" s="11">
        <v>-0.63392820492579727</v>
      </c>
      <c r="CH91" s="10">
        <v>-0.78998780250549316</v>
      </c>
      <c r="CI91" s="10">
        <v>-0.15999999642372131</v>
      </c>
      <c r="CJ91" s="10">
        <v>0.30347594618797302</v>
      </c>
      <c r="CK91" s="10">
        <v>-0.10311750322580338</v>
      </c>
      <c r="CL91" s="10">
        <v>0.39932885766029358</v>
      </c>
      <c r="CM91" s="11">
        <v>-0.75920528173446655</v>
      </c>
      <c r="CN91" s="11">
        <v>0.47633647918701172</v>
      </c>
      <c r="CO91" s="11">
        <v>0.9885101318359375</v>
      </c>
      <c r="CP91" s="11">
        <v>0.35729065537452698</v>
      </c>
      <c r="CQ91" s="11">
        <v>1.0430054664611816</v>
      </c>
      <c r="CR91" s="3">
        <v>-463.55677764333939</v>
      </c>
      <c r="CS91" s="3">
        <v>-66.165589241813166</v>
      </c>
      <c r="CT91" s="3">
        <v>0.12578616352201258</v>
      </c>
      <c r="CU91" s="10">
        <v>-7.0060099661350253E-2</v>
      </c>
      <c r="CV91" s="11">
        <v>0.42118749022483826</v>
      </c>
      <c r="CW91" s="3">
        <v>0.06</v>
      </c>
      <c r="CX91" s="3">
        <v>1083.0290304320872</v>
      </c>
      <c r="CY91" s="3" t="s">
        <v>3824</v>
      </c>
      <c r="CZ91" s="3">
        <v>-7.0060099661350253E-2</v>
      </c>
      <c r="DA91" s="3">
        <v>361.00967681069568</v>
      </c>
      <c r="DB91" s="3" t="s">
        <v>3825</v>
      </c>
      <c r="DC91" s="3">
        <v>-6.6557094678282733E-2</v>
      </c>
      <c r="DD91" s="3">
        <v>180.50483840534784</v>
      </c>
      <c r="DE91" s="3" t="s">
        <v>3826</v>
      </c>
      <c r="DF91" s="3">
        <v>-6.1652887701988221E-2</v>
      </c>
      <c r="DG91" s="3">
        <v>108.30290304320872</v>
      </c>
      <c r="DH91" s="3" t="s">
        <v>3827</v>
      </c>
      <c r="DI91" s="3">
        <v>-5.6048079729080207E-2</v>
      </c>
      <c r="DJ91" s="3">
        <v>54.151451521604358</v>
      </c>
      <c r="DK91" s="3" t="s">
        <v>3828</v>
      </c>
      <c r="DL91" s="3">
        <v>-4.9042069762945173E-2</v>
      </c>
      <c r="DM91" s="3">
        <v>3709900</v>
      </c>
      <c r="DN91" s="3">
        <v>-7.0060099661350253E-2</v>
      </c>
      <c r="DO91" s="3">
        <v>4017929400</v>
      </c>
      <c r="DP91" s="3">
        <v>304429870</v>
      </c>
      <c r="DQ91" s="3">
        <v>4267</v>
      </c>
      <c r="DR91" s="3">
        <v>-0.44130353670228611</v>
      </c>
      <c r="DS91" s="3">
        <v>-1.0551156951506355</v>
      </c>
      <c r="DT91" s="12">
        <v>-0.69</v>
      </c>
      <c r="DU91" s="3">
        <v>-3.9999999999999959E-2</v>
      </c>
      <c r="DV91" s="3">
        <v>-0.72999999999999987</v>
      </c>
      <c r="DW91" s="3">
        <v>-8.6178756476683933</v>
      </c>
      <c r="DX91" s="3">
        <v>0.22384296296296291</v>
      </c>
      <c r="DY91" s="3">
        <v>-8.064162037996546</v>
      </c>
      <c r="DZ91" s="3">
        <v>998</v>
      </c>
      <c r="EA91" s="3">
        <v>-8.0516309785208993</v>
      </c>
      <c r="EB91" s="3">
        <v>8</v>
      </c>
      <c r="EC91" s="3">
        <v>3.3781696425860472E-2</v>
      </c>
      <c r="ED91" s="3">
        <v>0.32531522080999536</v>
      </c>
      <c r="EE91" s="13">
        <v>1.0154000000000001</v>
      </c>
      <c r="EF91" s="3">
        <v>1.0136099999999999</v>
      </c>
      <c r="EG91" s="3">
        <v>12.103842962962963</v>
      </c>
      <c r="EH91" s="3" t="s">
        <v>1167</v>
      </c>
      <c r="EI91" s="3">
        <v>0</v>
      </c>
      <c r="EJ91" s="3">
        <v>1</v>
      </c>
      <c r="EK91" s="15">
        <v>45470</v>
      </c>
      <c r="EL91" s="16">
        <v>0.69</v>
      </c>
      <c r="EM91" s="16">
        <v>-2.82</v>
      </c>
      <c r="EN91" s="16">
        <v>1.1299999999999999</v>
      </c>
      <c r="EO91" s="16">
        <v>3.7</v>
      </c>
      <c r="EP91" s="16">
        <v>-2.9</v>
      </c>
    </row>
    <row r="92" spans="1:146" ht="96" x14ac:dyDescent="0.25">
      <c r="C92" s="7" t="str">
        <f>""&amp;CHAR(10)&amp;Basic_Fundamental_Information_Constructure(F92)&amp;CHAR(10)&amp;Basic_Fundamental_Information_Concatenate("")</f>
        <v xml:space="preserve">
市值42.710249亿, 利润-542.02万; PE; 平均PE-186.69; 平均PEG-26.93, PB3.11; ROIC.29%; ROE-8.8967%; 股利率.313%; 毛利21.52%; 净利-7.2267%; 上一年度营收增-62.45%, 利润增98.35%; 当季营收增-32.26%, 利润增52.11%; 过往5年营收增6.93%, 利润增-290.62%
Income profile:
</v>
      </c>
      <c r="D92" s="3" t="s">
        <v>788</v>
      </c>
      <c r="E92" s="3" t="s">
        <v>789</v>
      </c>
      <c r="F92" s="3">
        <v>19.170000000000002</v>
      </c>
      <c r="G92" s="3">
        <v>0.79</v>
      </c>
      <c r="H92" s="3" t="s">
        <v>3829</v>
      </c>
      <c r="I92" s="3">
        <v>4271024900</v>
      </c>
      <c r="K92" s="3">
        <v>3.11</v>
      </c>
      <c r="L92" s="3" t="s">
        <v>343</v>
      </c>
      <c r="M92" s="3" t="s">
        <v>2133</v>
      </c>
      <c r="N92" s="3" t="s">
        <v>3830</v>
      </c>
      <c r="O92" s="3" t="s">
        <v>1324</v>
      </c>
      <c r="P92" s="3">
        <v>52.02</v>
      </c>
      <c r="Q92" s="3" t="s">
        <v>1324</v>
      </c>
      <c r="R92" s="3">
        <v>-5420215</v>
      </c>
      <c r="S92" s="5">
        <v>-6.0970000000000004</v>
      </c>
      <c r="T92" s="3" t="s">
        <v>3831</v>
      </c>
      <c r="U92" s="3">
        <v>203296880</v>
      </c>
      <c r="V92" s="3">
        <v>222797330</v>
      </c>
      <c r="W92" s="3">
        <v>2.57</v>
      </c>
      <c r="X92" s="3">
        <v>0.13</v>
      </c>
      <c r="Y92" s="3">
        <v>1.01</v>
      </c>
      <c r="Z92" s="3" t="s">
        <v>3832</v>
      </c>
      <c r="AA92" s="3" t="s">
        <v>1053</v>
      </c>
      <c r="AB92" s="3" t="s">
        <v>3833</v>
      </c>
      <c r="AC92" s="3" t="s">
        <v>3834</v>
      </c>
      <c r="AD92" s="3" t="s">
        <v>4</v>
      </c>
      <c r="AE92" s="3">
        <v>9123978</v>
      </c>
      <c r="AF92" s="3" t="s">
        <v>2136</v>
      </c>
      <c r="AG92" s="3" t="s">
        <v>3835</v>
      </c>
      <c r="AH92" s="3" t="s">
        <v>2137</v>
      </c>
      <c r="AI92" s="3" t="s">
        <v>3836</v>
      </c>
      <c r="AJ92" s="3" t="s">
        <v>2138</v>
      </c>
      <c r="AK92" s="3" t="s">
        <v>3837</v>
      </c>
      <c r="AL92" s="3" t="s">
        <v>2139</v>
      </c>
      <c r="AM92" s="3" t="s">
        <v>4</v>
      </c>
      <c r="AN92" s="3" t="s">
        <v>3838</v>
      </c>
      <c r="AO92" s="3" t="s">
        <v>234</v>
      </c>
      <c r="AP92" s="3" t="s">
        <v>3839</v>
      </c>
      <c r="AQ92" s="3" t="s">
        <v>1671</v>
      </c>
      <c r="AR92" s="3" t="s">
        <v>4</v>
      </c>
      <c r="AS92" s="3" t="s">
        <v>2969</v>
      </c>
      <c r="AT92" s="3" t="s">
        <v>57</v>
      </c>
      <c r="AU92" s="3" t="s">
        <v>125</v>
      </c>
      <c r="AV92" s="3" t="s">
        <v>2217</v>
      </c>
      <c r="AW92" s="3" t="s">
        <v>3840</v>
      </c>
      <c r="AX92" s="3" t="s">
        <v>2140</v>
      </c>
      <c r="AY92" s="3" t="s">
        <v>964</v>
      </c>
      <c r="AZ92" s="3" t="s">
        <v>160</v>
      </c>
      <c r="BA92" s="3" t="s">
        <v>230</v>
      </c>
      <c r="BB92" s="3" t="s">
        <v>317</v>
      </c>
      <c r="BC92" s="3" t="s">
        <v>1330</v>
      </c>
      <c r="BD92" s="3" t="s">
        <v>965</v>
      </c>
      <c r="BE92" s="3" t="s">
        <v>790</v>
      </c>
      <c r="BF92" s="3" t="s">
        <v>791</v>
      </c>
      <c r="BG92" s="3" t="s">
        <v>164</v>
      </c>
      <c r="BH92" s="3" t="s">
        <v>2134</v>
      </c>
      <c r="BI92" s="3" t="s">
        <v>672</v>
      </c>
      <c r="BJ92" s="3" t="s">
        <v>2140</v>
      </c>
      <c r="BK92" s="3" t="s">
        <v>2135</v>
      </c>
      <c r="BL92" s="3" t="s">
        <v>3841</v>
      </c>
      <c r="BM92" s="3" t="s">
        <v>1330</v>
      </c>
      <c r="BN92" s="3">
        <v>0.28999999999999998</v>
      </c>
      <c r="BO92" s="3" t="s">
        <v>4</v>
      </c>
      <c r="BP92" s="3" t="s">
        <v>4</v>
      </c>
      <c r="BQ92" s="3">
        <v>-1.5</v>
      </c>
      <c r="BR92" s="3">
        <v>-23.47</v>
      </c>
      <c r="BS92" s="3">
        <v>-1.72</v>
      </c>
      <c r="BT92" s="3" t="s">
        <v>2142</v>
      </c>
      <c r="BU92" s="3" t="s">
        <v>1002</v>
      </c>
      <c r="BV92" s="3">
        <v>20.21</v>
      </c>
      <c r="BW92" s="3">
        <v>22.24</v>
      </c>
      <c r="BX92" s="3">
        <v>22.11</v>
      </c>
      <c r="BY92" s="3">
        <v>1.73</v>
      </c>
      <c r="BZ92" s="3">
        <v>-21.77</v>
      </c>
      <c r="CA92" s="3">
        <v>-1.64</v>
      </c>
      <c r="CB92" s="3">
        <v>-7.17</v>
      </c>
      <c r="CC92" s="3">
        <v>-25.43</v>
      </c>
      <c r="CD92" s="3" t="s">
        <v>3842</v>
      </c>
      <c r="CE92" s="3" t="s">
        <v>3843</v>
      </c>
      <c r="CF92" s="10">
        <v>-0.32258064516129031</v>
      </c>
      <c r="CG92" s="11">
        <v>0.52111050246061685</v>
      </c>
      <c r="CH92" s="10">
        <v>-0.62446349859237671</v>
      </c>
      <c r="CI92" s="10">
        <v>0.33142855763435364</v>
      </c>
      <c r="CJ92" s="10">
        <v>0.7384105920791626</v>
      </c>
      <c r="CK92" s="10">
        <v>0.15267175436019897</v>
      </c>
      <c r="CL92" s="10">
        <v>-0.25142857432365417</v>
      </c>
      <c r="CM92" s="11">
        <v>0.98347502946853638</v>
      </c>
      <c r="CN92" s="11">
        <v>-11.210147857666016</v>
      </c>
      <c r="CO92" s="11">
        <v>-2.9037389755249023</v>
      </c>
      <c r="CP92" s="11">
        <v>-0.72280251979827881</v>
      </c>
      <c r="CQ92" s="11">
        <v>-0.67781966924667358</v>
      </c>
      <c r="CR92" s="3">
        <v>-186.68698749890726</v>
      </c>
      <c r="CS92" s="3">
        <v>-26.929723765351248</v>
      </c>
      <c r="CT92" s="3">
        <v>0.31298904538341155</v>
      </c>
      <c r="CU92" s="10">
        <v>6.9323766231536868E-2</v>
      </c>
      <c r="CV92" s="11">
        <v>-2.906206798553467</v>
      </c>
      <c r="CW92" s="3">
        <v>0.06</v>
      </c>
      <c r="CX92" s="3" t="e">
        <v>#VALUE!</v>
      </c>
      <c r="CY92" s="3" t="s">
        <v>1005</v>
      </c>
      <c r="CZ92" s="3">
        <v>6.9323766231536868E-2</v>
      </c>
      <c r="DA92" s="3" t="e">
        <v>#VALUE!</v>
      </c>
      <c r="DB92" s="3" t="s">
        <v>1006</v>
      </c>
      <c r="DC92" s="3">
        <v>6.5857577919960025E-2</v>
      </c>
      <c r="DD92" s="3" t="e">
        <v>#VALUE!</v>
      </c>
      <c r="DE92" s="3" t="s">
        <v>1006</v>
      </c>
      <c r="DF92" s="3">
        <v>6.1004914283752446E-2</v>
      </c>
      <c r="DG92" s="3" t="e">
        <v>#VALUE!</v>
      </c>
      <c r="DH92" s="3" t="s">
        <v>1006</v>
      </c>
      <c r="DI92" s="3">
        <v>5.5459012985229497E-2</v>
      </c>
      <c r="DJ92" s="3" t="e">
        <v>#VALUE!</v>
      </c>
      <c r="DK92" s="3" t="s">
        <v>1006</v>
      </c>
      <c r="DL92" s="3">
        <v>4.8526636362075805E-2</v>
      </c>
      <c r="DM92" s="3">
        <v>-5420200</v>
      </c>
      <c r="DN92" s="3">
        <v>6.9323766231536868E-2</v>
      </c>
      <c r="DO92" s="3">
        <v>5002024900</v>
      </c>
      <c r="DP92" s="3">
        <v>198964500</v>
      </c>
      <c r="DQ92" s="3">
        <v>4298</v>
      </c>
      <c r="DR92" s="3">
        <v>-0.39190441139282717</v>
      </c>
      <c r="DS92" s="3">
        <v>3.4273173010140838</v>
      </c>
      <c r="DT92" s="12">
        <v>-0.34</v>
      </c>
      <c r="DU92" s="3">
        <v>-2.8149999999999999</v>
      </c>
      <c r="DV92" s="3">
        <v>-3.1549999999999998</v>
      </c>
      <c r="DW92" s="3">
        <v>-9.2819504522217855</v>
      </c>
      <c r="DX92" s="3">
        <v>0.2542663768115932</v>
      </c>
      <c r="DY92" s="3">
        <v>-9.0209394385269022</v>
      </c>
      <c r="DZ92" s="3">
        <v>4931</v>
      </c>
      <c r="EA92" s="3">
        <v>-9.0007334950090634</v>
      </c>
      <c r="EB92" s="3">
        <v>9</v>
      </c>
      <c r="EC92" s="3">
        <v>0.11500092931993396</v>
      </c>
      <c r="ED92" s="3">
        <v>1.5484925245737908</v>
      </c>
      <c r="EE92" s="13">
        <v>-1.04911</v>
      </c>
      <c r="EF92" s="3">
        <v>-1.0660099999999999</v>
      </c>
      <c r="EG92" s="3">
        <v>18.074266376811593</v>
      </c>
      <c r="EH92" s="3" t="s">
        <v>1015</v>
      </c>
      <c r="EI92" s="3">
        <v>0</v>
      </c>
      <c r="EJ92" s="3">
        <v>0</v>
      </c>
      <c r="EK92" s="15">
        <v>45470</v>
      </c>
      <c r="EL92" s="16">
        <v>-1.8</v>
      </c>
      <c r="EM92" s="16">
        <v>-4.82</v>
      </c>
      <c r="EN92" s="16">
        <v>-0.71</v>
      </c>
      <c r="EO92" s="16">
        <v>2.65</v>
      </c>
      <c r="EP92" s="16">
        <v>-1.69</v>
      </c>
    </row>
    <row r="93" spans="1:146" ht="96" x14ac:dyDescent="0.25">
      <c r="C93" s="7" t="str">
        <f>""&amp;CHAR(10)&amp;Basic_Fundamental_Information_Constructure(F93)&amp;CHAR(10)&amp;Basic_Fundamental_Information_Concatenate("")</f>
        <v xml:space="preserve">
市值32.201702亿, 利润1117.06万; PE27.24; 平均PE39.89; 平均PEG2.51, PB2.51; ROIC5.4%; ROE6.0867%; 股利率.8989%; 毛利17.6333%; 净利6.3233%; 上一年度营收增-70.05%, 利润增-88.38%; 当季营收增-37.58%, 利润增-69.41%; 过往5年营收增-15.87%, 利润增-17.48%
Income profile:
</v>
      </c>
      <c r="D93" s="3" t="s">
        <v>792</v>
      </c>
      <c r="E93" s="3" t="s">
        <v>793</v>
      </c>
      <c r="F93" s="3">
        <v>15.13</v>
      </c>
      <c r="G93" s="3">
        <v>1.48</v>
      </c>
      <c r="H93" s="3" t="s">
        <v>3844</v>
      </c>
      <c r="I93" s="3">
        <v>3220170200</v>
      </c>
      <c r="J93" s="3">
        <v>27.24</v>
      </c>
      <c r="K93" s="3">
        <v>2.5099999999999998</v>
      </c>
      <c r="L93" s="3" t="s">
        <v>343</v>
      </c>
      <c r="M93" s="3" t="s">
        <v>281</v>
      </c>
      <c r="N93" s="3" t="s">
        <v>3640</v>
      </c>
      <c r="O93" s="3" t="s">
        <v>109</v>
      </c>
      <c r="P93" s="3">
        <v>41.63</v>
      </c>
      <c r="Q93" s="3" t="s">
        <v>109</v>
      </c>
      <c r="R93" s="3">
        <v>11170581</v>
      </c>
      <c r="S93" s="5">
        <v>1.8499999999999999E-2</v>
      </c>
      <c r="T93" s="3" t="s">
        <v>3845</v>
      </c>
      <c r="U93" s="3">
        <v>212833460</v>
      </c>
      <c r="V93" s="3">
        <v>212833460</v>
      </c>
      <c r="W93" s="3">
        <v>1.45</v>
      </c>
      <c r="X93" s="3">
        <v>0.22</v>
      </c>
      <c r="Y93" s="3">
        <v>2.74</v>
      </c>
      <c r="Z93" s="3" t="s">
        <v>166</v>
      </c>
      <c r="AA93" s="3" t="s">
        <v>301</v>
      </c>
      <c r="AB93" s="3" t="s">
        <v>3846</v>
      </c>
      <c r="AC93" s="3" t="s">
        <v>3847</v>
      </c>
      <c r="AD93" s="3" t="s">
        <v>4</v>
      </c>
      <c r="AE93" s="3">
        <v>-3674393</v>
      </c>
      <c r="AF93" s="3" t="s">
        <v>2144</v>
      </c>
      <c r="AG93" s="3">
        <v>1228.76</v>
      </c>
      <c r="AH93" s="3" t="s">
        <v>2145</v>
      </c>
      <c r="AI93" s="3" t="s">
        <v>326</v>
      </c>
      <c r="AJ93" s="3" t="s">
        <v>2146</v>
      </c>
      <c r="AK93" s="3" t="s">
        <v>3848</v>
      </c>
      <c r="AL93" s="3" t="s">
        <v>2147</v>
      </c>
      <c r="AM93" s="3" t="s">
        <v>4</v>
      </c>
      <c r="AN93" s="3" t="s">
        <v>62</v>
      </c>
      <c r="AO93" s="3" t="s">
        <v>4</v>
      </c>
      <c r="AP93" s="3" t="s">
        <v>3849</v>
      </c>
      <c r="AQ93" s="3" t="s">
        <v>1169</v>
      </c>
      <c r="AR93" s="3" t="s">
        <v>4</v>
      </c>
      <c r="AS93" s="3" t="s">
        <v>3850</v>
      </c>
      <c r="AT93" s="3" t="s">
        <v>3851</v>
      </c>
      <c r="AU93" s="3" t="s">
        <v>3852</v>
      </c>
      <c r="AV93" s="3" t="s">
        <v>3853</v>
      </c>
      <c r="AW93" s="3" t="s">
        <v>3854</v>
      </c>
      <c r="AX93" s="3" t="s">
        <v>1061</v>
      </c>
      <c r="AY93" s="3" t="s">
        <v>55</v>
      </c>
      <c r="AZ93" s="3" t="s">
        <v>316</v>
      </c>
      <c r="BA93" s="3" t="s">
        <v>795</v>
      </c>
      <c r="BB93" s="3" t="s">
        <v>796</v>
      </c>
      <c r="BC93" s="3" t="s">
        <v>1331</v>
      </c>
      <c r="BD93" s="3" t="s">
        <v>966</v>
      </c>
      <c r="BE93" s="3" t="s">
        <v>794</v>
      </c>
      <c r="BF93" s="3" t="s">
        <v>97</v>
      </c>
      <c r="BG93" s="3" t="s">
        <v>158</v>
      </c>
      <c r="BH93" s="3" t="s">
        <v>2143</v>
      </c>
      <c r="BI93" s="3" t="s">
        <v>1405</v>
      </c>
      <c r="BJ93" s="3" t="s">
        <v>1061</v>
      </c>
      <c r="BK93" s="3" t="s">
        <v>41</v>
      </c>
      <c r="BL93" s="3" t="s">
        <v>3855</v>
      </c>
      <c r="BM93" s="3" t="s">
        <v>1331</v>
      </c>
      <c r="BN93" s="3">
        <v>4.13</v>
      </c>
      <c r="BO93" s="3">
        <v>7.86</v>
      </c>
      <c r="BP93" s="3">
        <v>4.21</v>
      </c>
      <c r="BQ93" s="3">
        <v>5.37</v>
      </c>
      <c r="BR93" s="3">
        <v>8.23</v>
      </c>
      <c r="BS93" s="3">
        <v>4.66</v>
      </c>
      <c r="BT93" s="3" t="s">
        <v>2148</v>
      </c>
      <c r="BU93" s="3" t="s">
        <v>1002</v>
      </c>
      <c r="BV93" s="3">
        <v>17.84</v>
      </c>
      <c r="BW93" s="3">
        <v>18.350000000000001</v>
      </c>
      <c r="BX93" s="3">
        <v>16.71</v>
      </c>
      <c r="BY93" s="3">
        <v>7.53</v>
      </c>
      <c r="BZ93" s="3">
        <v>7.08</v>
      </c>
      <c r="CA93" s="3">
        <v>4.3600000000000003</v>
      </c>
      <c r="CB93" s="3">
        <v>-6.32</v>
      </c>
      <c r="CC93" s="3">
        <v>-16.22</v>
      </c>
      <c r="CD93" s="3" t="s">
        <v>3856</v>
      </c>
      <c r="CE93" s="3" t="s">
        <v>3857</v>
      </c>
      <c r="CF93" s="10">
        <v>-0.37576687116564417</v>
      </c>
      <c r="CG93" s="11">
        <v>-0.69409161986082846</v>
      </c>
      <c r="CH93" s="10">
        <v>-0.70051509141921997</v>
      </c>
      <c r="CI93" s="10">
        <v>0.1315571516752243</v>
      </c>
      <c r="CJ93" s="10">
        <v>8.983660489320755E-2</v>
      </c>
      <c r="CK93" s="10">
        <v>-0.10406503826379776</v>
      </c>
      <c r="CL93" s="10">
        <v>-0.21052631735801697</v>
      </c>
      <c r="CM93" s="11">
        <v>-0.88381397724151611</v>
      </c>
      <c r="CN93" s="11">
        <v>0.83493703603744507</v>
      </c>
      <c r="CO93" s="11">
        <v>-0.35860410332679749</v>
      </c>
      <c r="CP93" s="11">
        <v>-0.21450769901275635</v>
      </c>
      <c r="CQ93" s="11">
        <v>-0.25179857015609741</v>
      </c>
      <c r="CR93" s="3">
        <v>39.886311852771961</v>
      </c>
      <c r="CS93" s="3">
        <v>2.5126416858109155</v>
      </c>
      <c r="CT93" s="3">
        <v>0.898876404494382</v>
      </c>
      <c r="CU93" s="10">
        <v>-0.15874253809452057</v>
      </c>
      <c r="CV93" s="11">
        <v>-0.17475746273994447</v>
      </c>
      <c r="CW93" s="3">
        <v>0.06</v>
      </c>
      <c r="CX93" s="3">
        <v>219.34096646554349</v>
      </c>
      <c r="CY93" s="3" t="s">
        <v>3858</v>
      </c>
      <c r="CZ93" s="3">
        <v>-0.15874253809452057</v>
      </c>
      <c r="DA93" s="3">
        <v>73.113655488514496</v>
      </c>
      <c r="DB93" s="3" t="s">
        <v>3859</v>
      </c>
      <c r="DC93" s="3">
        <v>-0.15080541118979454</v>
      </c>
      <c r="DD93" s="3">
        <v>36.556827744257248</v>
      </c>
      <c r="DE93" s="3" t="s">
        <v>3860</v>
      </c>
      <c r="DF93" s="3">
        <v>-0.13969343352317812</v>
      </c>
      <c r="DG93" s="3">
        <v>21.934096646554348</v>
      </c>
      <c r="DH93" s="3" t="s">
        <v>3861</v>
      </c>
      <c r="DI93" s="3">
        <v>-0.12699403047561647</v>
      </c>
      <c r="DJ93" s="3">
        <v>10.967048323277174</v>
      </c>
      <c r="DK93" s="3" t="s">
        <v>3862</v>
      </c>
      <c r="DL93" s="3">
        <v>-0.11111977666616439</v>
      </c>
      <c r="DM93" s="3">
        <v>11170600</v>
      </c>
      <c r="DN93" s="3">
        <v>-0.15874253809452057</v>
      </c>
      <c r="DO93" s="3">
        <v>2450170200</v>
      </c>
      <c r="DP93" s="3">
        <v>680579270</v>
      </c>
      <c r="DQ93" s="3">
        <v>4489</v>
      </c>
      <c r="DR93" s="3">
        <v>-0.21702433307112359</v>
      </c>
      <c r="DS93" s="3">
        <v>-0.51933415712088404</v>
      </c>
      <c r="DT93" s="12">
        <v>-0.87333333333333341</v>
      </c>
      <c r="DU93" s="3">
        <v>-0.82333333333333325</v>
      </c>
      <c r="DV93" s="3">
        <v>-1.6966666666666668</v>
      </c>
      <c r="DW93" s="3">
        <v>-9.389642416769421</v>
      </c>
      <c r="DX93" s="3">
        <v>0.31701503077182097</v>
      </c>
      <c r="DY93" s="3">
        <v>-9.0455940193882807</v>
      </c>
      <c r="DZ93" s="3">
        <v>1005</v>
      </c>
      <c r="EA93" s="3">
        <v>-9.0366268981582962</v>
      </c>
      <c r="EB93" s="3">
        <v>9</v>
      </c>
      <c r="EC93" s="3">
        <v>5.356488589717049E-2</v>
      </c>
      <c r="ED93" s="3">
        <v>0.45776072991530559</v>
      </c>
      <c r="EE93" s="13">
        <v>1.0056</v>
      </c>
      <c r="EF93" s="3">
        <v>1.0075099999999999</v>
      </c>
      <c r="EG93" s="3">
        <v>20.117015030771821</v>
      </c>
      <c r="EH93" s="3" t="s">
        <v>1167</v>
      </c>
      <c r="EI93" s="3">
        <v>0</v>
      </c>
      <c r="EJ93" s="3">
        <v>1</v>
      </c>
      <c r="EK93" s="15">
        <v>45470</v>
      </c>
      <c r="EL93" s="16">
        <v>7.0000000000000007E-2</v>
      </c>
      <c r="EM93" s="16">
        <v>-2.4300000000000002</v>
      </c>
      <c r="EN93" s="16">
        <v>2.21</v>
      </c>
      <c r="EO93" s="16">
        <v>3.25</v>
      </c>
      <c r="EP93" s="16">
        <v>-1.31</v>
      </c>
    </row>
    <row r="94" spans="1:146" ht="96" x14ac:dyDescent="0.25">
      <c r="C94" s="7" t="str">
        <f>""&amp;CHAR(10)&amp;Basic_Fundamental_Information_Constructure(F94)&amp;CHAR(10)&amp;Basic_Fundamental_Information_Concatenate("")</f>
        <v xml:space="preserve">
市值74.06909亿, 利润6885.08万; PE21.28; 平均PE22.4; 平均PEG3.52, PB2.08; ROIC10.35%; ROE12.1567%; 股利率2.1739%; 毛利26.21%; 净利5.29%; 上一年度营收增-81.29%, 利润增-86.06%; 当季营收增-53.9%, 利润增-32.5%; 过往5年营收增-6.36%, 利润增-2.52%
Income profile:
</v>
      </c>
      <c r="D94" s="3" t="s">
        <v>797</v>
      </c>
      <c r="E94" s="3" t="s">
        <v>3863</v>
      </c>
      <c r="F94" s="3">
        <v>14.72</v>
      </c>
      <c r="G94" s="3">
        <v>0.96</v>
      </c>
      <c r="H94" s="3" t="s">
        <v>2985</v>
      </c>
      <c r="I94" s="3">
        <v>7406909000</v>
      </c>
      <c r="J94" s="3">
        <v>21.28</v>
      </c>
      <c r="K94" s="3">
        <v>2.08</v>
      </c>
      <c r="L94" s="3" t="s">
        <v>343</v>
      </c>
      <c r="M94" s="3" t="s">
        <v>2149</v>
      </c>
      <c r="N94" s="3" t="s">
        <v>3864</v>
      </c>
      <c r="O94" s="3" t="s">
        <v>2150</v>
      </c>
      <c r="P94" s="3">
        <v>-4.5199999999999996</v>
      </c>
      <c r="Q94" s="3" t="s">
        <v>2150</v>
      </c>
      <c r="R94" s="3">
        <v>68850807</v>
      </c>
      <c r="S94" s="5">
        <v>1.004</v>
      </c>
      <c r="T94" s="3" t="s">
        <v>3865</v>
      </c>
      <c r="U94" s="3">
        <v>59280376</v>
      </c>
      <c r="V94" s="3">
        <v>503186750</v>
      </c>
      <c r="W94" s="3">
        <v>1.63</v>
      </c>
      <c r="X94" s="3">
        <v>0.24</v>
      </c>
      <c r="Y94" s="3">
        <v>4.87</v>
      </c>
      <c r="Z94" s="3" t="s">
        <v>1765</v>
      </c>
      <c r="AA94" s="3" t="s">
        <v>3866</v>
      </c>
      <c r="AB94" s="3" t="s">
        <v>118</v>
      </c>
      <c r="AC94" s="3" t="s">
        <v>51</v>
      </c>
      <c r="AD94" s="3" t="s">
        <v>4</v>
      </c>
      <c r="AE94" s="3">
        <v>-12474397</v>
      </c>
      <c r="AF94" s="3" t="s">
        <v>2152</v>
      </c>
      <c r="AG94" s="3" t="s">
        <v>3867</v>
      </c>
      <c r="AH94" s="3" t="s">
        <v>2153</v>
      </c>
      <c r="AI94" s="3" t="s">
        <v>1380</v>
      </c>
      <c r="AJ94" s="3" t="s">
        <v>2154</v>
      </c>
      <c r="AK94" s="3" t="s">
        <v>3868</v>
      </c>
      <c r="AL94" s="3" t="s">
        <v>2155</v>
      </c>
      <c r="AM94" s="3" t="s">
        <v>4</v>
      </c>
      <c r="AN94" s="3" t="s">
        <v>90</v>
      </c>
      <c r="AO94" s="3" t="s">
        <v>2156</v>
      </c>
      <c r="AP94" s="3" t="s">
        <v>1569</v>
      </c>
      <c r="AQ94" s="3" t="s">
        <v>1459</v>
      </c>
      <c r="AR94" s="3" t="s">
        <v>4</v>
      </c>
      <c r="AS94" s="3" t="s">
        <v>3869</v>
      </c>
      <c r="AT94" s="3" t="s">
        <v>128</v>
      </c>
      <c r="AU94" s="3" t="s">
        <v>3870</v>
      </c>
      <c r="AV94" s="3" t="s">
        <v>3871</v>
      </c>
      <c r="AW94" s="3" t="s">
        <v>3872</v>
      </c>
      <c r="AX94" s="3" t="s">
        <v>1332</v>
      </c>
      <c r="AY94" s="3" t="s">
        <v>967</v>
      </c>
      <c r="AZ94" s="3" t="s">
        <v>798</v>
      </c>
      <c r="BA94" s="3" t="s">
        <v>799</v>
      </c>
      <c r="BB94" s="3" t="s">
        <v>800</v>
      </c>
      <c r="BC94" s="3" t="s">
        <v>1062</v>
      </c>
      <c r="BD94" s="3" t="s">
        <v>211</v>
      </c>
      <c r="BE94" s="3" t="s">
        <v>556</v>
      </c>
      <c r="BF94" s="3" t="s">
        <v>136</v>
      </c>
      <c r="BG94" s="3" t="s">
        <v>329</v>
      </c>
      <c r="BH94" s="3" t="s">
        <v>2151</v>
      </c>
      <c r="BI94" s="3" t="s">
        <v>3873</v>
      </c>
      <c r="BJ94" s="3" t="s">
        <v>1332</v>
      </c>
      <c r="BK94" s="3" t="s">
        <v>304</v>
      </c>
      <c r="BL94" s="3" t="s">
        <v>1164</v>
      </c>
      <c r="BM94" s="3" t="s">
        <v>1062</v>
      </c>
      <c r="BN94" s="3">
        <v>5.38</v>
      </c>
      <c r="BO94" s="3">
        <v>14.24</v>
      </c>
      <c r="BP94" s="3">
        <v>11.43</v>
      </c>
      <c r="BQ94" s="3">
        <v>7.43</v>
      </c>
      <c r="BR94" s="3">
        <v>15.91</v>
      </c>
      <c r="BS94" s="3">
        <v>13.13</v>
      </c>
      <c r="BT94" s="3" t="s">
        <v>2158</v>
      </c>
      <c r="BU94" s="3" t="s">
        <v>977</v>
      </c>
      <c r="BV94" s="3">
        <v>29.76</v>
      </c>
      <c r="BW94" s="3">
        <v>26.1</v>
      </c>
      <c r="BX94" s="3">
        <v>22.77</v>
      </c>
      <c r="BY94" s="3">
        <v>4.6900000000000004</v>
      </c>
      <c r="BZ94" s="3">
        <v>6.54</v>
      </c>
      <c r="CA94" s="3">
        <v>4.6399999999999997</v>
      </c>
      <c r="CB94" s="3">
        <v>-5.34</v>
      </c>
      <c r="CC94" s="3">
        <v>-15.64</v>
      </c>
      <c r="CD94" s="3" t="s">
        <v>3874</v>
      </c>
      <c r="CE94" s="3" t="s">
        <v>3875</v>
      </c>
      <c r="CF94" s="10">
        <v>-0.53896315617867618</v>
      </c>
      <c r="CG94" s="11">
        <v>-0.32499208823529413</v>
      </c>
      <c r="CH94" s="10">
        <v>-0.81288868188858032</v>
      </c>
      <c r="CI94" s="10">
        <v>0.16674385964870453</v>
      </c>
      <c r="CJ94" s="10">
        <v>0.19545964896678925</v>
      </c>
      <c r="CK94" s="10">
        <v>7.2234250605106354E-2</v>
      </c>
      <c r="CL94" s="10">
        <v>6.0440711677074432E-2</v>
      </c>
      <c r="CM94" s="11">
        <v>-0.86062586307525635</v>
      </c>
      <c r="CN94" s="11">
        <v>0.64119601249694824</v>
      </c>
      <c r="CO94" s="11">
        <v>-0.32511210441589355</v>
      </c>
      <c r="CP94" s="11">
        <v>0.20867209136486053</v>
      </c>
      <c r="CQ94" s="11">
        <v>0.20983606576919556</v>
      </c>
      <c r="CR94" s="3">
        <v>22.401611048572807</v>
      </c>
      <c r="CS94" s="3">
        <v>3.5221527916934456</v>
      </c>
      <c r="CT94" s="3">
        <v>2.1739130434782608</v>
      </c>
      <c r="CU94" s="10">
        <v>-6.360204219818115E-2</v>
      </c>
      <c r="CV94" s="11">
        <v>-2.5206759572029114E-2</v>
      </c>
      <c r="CW94" s="3">
        <v>0.06</v>
      </c>
      <c r="CX94" s="3">
        <v>91.936607853503517</v>
      </c>
      <c r="CY94" s="3" t="s">
        <v>3876</v>
      </c>
      <c r="CZ94" s="3">
        <v>-6.360204219818115E-2</v>
      </c>
      <c r="DA94" s="3">
        <v>30.64553595116784</v>
      </c>
      <c r="DB94" s="3" t="s">
        <v>3877</v>
      </c>
      <c r="DC94" s="3">
        <v>-6.0421940088272091E-2</v>
      </c>
      <c r="DD94" s="3">
        <v>15.32276797558392</v>
      </c>
      <c r="DE94" s="3" t="s">
        <v>3878</v>
      </c>
      <c r="DF94" s="3">
        <v>-5.596979713439941E-2</v>
      </c>
      <c r="DG94" s="3">
        <v>9.1936607853503514</v>
      </c>
      <c r="DH94" s="3" t="s">
        <v>3879</v>
      </c>
      <c r="DI94" s="3">
        <v>-5.0881633758544924E-2</v>
      </c>
      <c r="DJ94" s="3">
        <v>4.5968303926751757</v>
      </c>
      <c r="DK94" s="3" t="s">
        <v>3880</v>
      </c>
      <c r="DL94" s="3">
        <v>-4.4521429538726801E-2</v>
      </c>
      <c r="DM94" s="3">
        <v>68850800</v>
      </c>
      <c r="DN94" s="3">
        <v>-6.360204219818115E-2</v>
      </c>
      <c r="DO94" s="3">
        <v>6329909000</v>
      </c>
      <c r="DP94" s="3">
        <v>1720542499.9999998</v>
      </c>
      <c r="DQ94" s="3">
        <v>4516</v>
      </c>
      <c r="DR94" s="3">
        <v>-0.47536111398049502</v>
      </c>
      <c r="DS94" s="3">
        <v>-0.29978532866326502</v>
      </c>
      <c r="DT94" s="12">
        <v>-0.49</v>
      </c>
      <c r="DU94" s="3">
        <v>-0.17000000000000004</v>
      </c>
      <c r="DV94" s="3">
        <v>-0.66</v>
      </c>
      <c r="DW94" s="3">
        <v>-8.3414322250639383</v>
      </c>
      <c r="DX94" s="3">
        <v>0.420777490125471</v>
      </c>
      <c r="DY94" s="3">
        <v>-8.0446516494418177</v>
      </c>
      <c r="DZ94" s="3">
        <v>2539</v>
      </c>
      <c r="EA94" s="3">
        <v>-8.0224656341907856</v>
      </c>
      <c r="EB94" s="3">
        <v>8</v>
      </c>
      <c r="EC94" s="3">
        <v>1.3482469480764349E-2</v>
      </c>
      <c r="ED94" s="3">
        <v>0.10309472576533464</v>
      </c>
      <c r="EE94" s="13">
        <v>6.1700000000000005E-2</v>
      </c>
      <c r="EF94" s="3">
        <v>3.4799999999999998E-2</v>
      </c>
      <c r="EG94" s="3">
        <v>29.130777490125471</v>
      </c>
      <c r="EH94" s="3" t="s">
        <v>1004</v>
      </c>
      <c r="EI94" s="3">
        <v>0</v>
      </c>
      <c r="EJ94" s="3">
        <v>0</v>
      </c>
      <c r="EK94" s="15">
        <v>45470</v>
      </c>
      <c r="EL94" s="16">
        <v>-0.83</v>
      </c>
      <c r="EM94" s="16">
        <v>-5.36</v>
      </c>
      <c r="EN94" s="16">
        <v>1.77</v>
      </c>
      <c r="EO94" s="16">
        <v>3.3</v>
      </c>
      <c r="EP94" s="16">
        <v>-2.69</v>
      </c>
    </row>
    <row r="95" spans="1:146" ht="96" x14ac:dyDescent="0.25">
      <c r="C95" s="7" t="str">
        <f>""&amp;CHAR(10)&amp;Basic_Fundamental_Information_Constructure(F95)&amp;CHAR(10)&amp;Basic_Fundamental_Information_Concatenate("")</f>
        <v xml:space="preserve">
市值27.061382亿, 利润1045.71万; PE58.89; 平均PE37.62; 平均PEG3.88, PB2.54; ROIC8.2767%; ROE10.0433%; 股利率.1958%; 毛利14.6433%; 净利6.7567%; 上一年度营收增-75.09%, 利润增-87.19%; 当季营收增-33.81%, 利润增-64.27%; 过往5年营收增9.71%, 利润增-7.55%
Income profile:
</v>
      </c>
      <c r="D95" s="3" t="s">
        <v>801</v>
      </c>
      <c r="E95" s="3" t="s">
        <v>802</v>
      </c>
      <c r="F95" s="3">
        <v>36.770000000000003</v>
      </c>
      <c r="G95" s="3">
        <v>-0.08</v>
      </c>
      <c r="H95" s="3" t="s">
        <v>3881</v>
      </c>
      <c r="I95" s="3">
        <v>2706138200</v>
      </c>
      <c r="J95" s="3">
        <v>58.89</v>
      </c>
      <c r="K95" s="3">
        <v>2.54</v>
      </c>
      <c r="L95" s="3" t="s">
        <v>343</v>
      </c>
      <c r="M95" s="3" t="s">
        <v>258</v>
      </c>
      <c r="N95" s="3" t="s">
        <v>3882</v>
      </c>
      <c r="O95" s="3" t="s">
        <v>193</v>
      </c>
      <c r="P95" s="3">
        <v>22.67</v>
      </c>
      <c r="Q95" s="3" t="s">
        <v>193</v>
      </c>
      <c r="R95" s="3">
        <v>10457104</v>
      </c>
      <c r="S95" s="5">
        <v>-0.37459999999999999</v>
      </c>
      <c r="T95" s="3" t="s">
        <v>3883</v>
      </c>
      <c r="U95" s="3">
        <v>23099561</v>
      </c>
      <c r="V95" s="3">
        <v>73596361</v>
      </c>
      <c r="W95" s="3">
        <v>1.98</v>
      </c>
      <c r="X95" s="3">
        <v>0.14000000000000001</v>
      </c>
      <c r="Y95" s="3">
        <v>3.79</v>
      </c>
      <c r="Z95" s="3" t="s">
        <v>215</v>
      </c>
      <c r="AA95" s="3" t="s">
        <v>1351</v>
      </c>
      <c r="AB95" s="3" t="s">
        <v>3884</v>
      </c>
      <c r="AC95" s="3" t="s">
        <v>3885</v>
      </c>
      <c r="AD95" s="3" t="s">
        <v>4</v>
      </c>
      <c r="AE95" s="3">
        <v>3181266</v>
      </c>
      <c r="AF95" s="3" t="s">
        <v>2160</v>
      </c>
      <c r="AG95" s="3">
        <v>0.39</v>
      </c>
      <c r="AH95" s="3" t="s">
        <v>2161</v>
      </c>
      <c r="AI95" s="3" t="s">
        <v>3886</v>
      </c>
      <c r="AJ95" s="3" t="s">
        <v>2162</v>
      </c>
      <c r="AK95" s="3" t="s">
        <v>3887</v>
      </c>
      <c r="AL95" s="3" t="s">
        <v>2163</v>
      </c>
      <c r="AM95" s="3" t="s">
        <v>4</v>
      </c>
      <c r="AN95" s="3" t="s">
        <v>3888</v>
      </c>
      <c r="AO95" s="3" t="s">
        <v>1039</v>
      </c>
      <c r="AP95" s="3" t="s">
        <v>2164</v>
      </c>
      <c r="AQ95" s="3" t="s">
        <v>40</v>
      </c>
      <c r="AR95" s="3" t="s">
        <v>4</v>
      </c>
      <c r="AS95" s="3" t="s">
        <v>1460</v>
      </c>
      <c r="AT95" s="3" t="s">
        <v>75</v>
      </c>
      <c r="AU95" s="3" t="s">
        <v>3889</v>
      </c>
      <c r="AV95" s="3" t="s">
        <v>3890</v>
      </c>
      <c r="AW95" s="3" t="s">
        <v>119</v>
      </c>
      <c r="AX95" s="3" t="s">
        <v>1063</v>
      </c>
      <c r="AY95" s="3" t="s">
        <v>927</v>
      </c>
      <c r="AZ95" s="3" t="s">
        <v>803</v>
      </c>
      <c r="BA95" s="3" t="s">
        <v>771</v>
      </c>
      <c r="BB95" s="3" t="s">
        <v>323</v>
      </c>
      <c r="BC95" s="3" t="s">
        <v>1333</v>
      </c>
      <c r="BD95" s="3" t="s">
        <v>969</v>
      </c>
      <c r="BE95" s="3" t="s">
        <v>804</v>
      </c>
      <c r="BF95" s="3" t="s">
        <v>805</v>
      </c>
      <c r="BG95" s="3" t="s">
        <v>806</v>
      </c>
      <c r="BH95" s="3" t="s">
        <v>1807</v>
      </c>
      <c r="BI95" s="3" t="s">
        <v>1272</v>
      </c>
      <c r="BJ95" s="3" t="s">
        <v>1063</v>
      </c>
      <c r="BK95" s="3" t="s">
        <v>2159</v>
      </c>
      <c r="BL95" s="3" t="s">
        <v>3891</v>
      </c>
      <c r="BM95" s="3" t="s">
        <v>1333</v>
      </c>
      <c r="BN95" s="3">
        <v>3.72</v>
      </c>
      <c r="BO95" s="3">
        <v>7.64</v>
      </c>
      <c r="BP95" s="3">
        <v>13.47</v>
      </c>
      <c r="BQ95" s="3">
        <v>4.63</v>
      </c>
      <c r="BR95" s="3">
        <v>8.43</v>
      </c>
      <c r="BS95" s="3">
        <v>17.07</v>
      </c>
      <c r="BT95" s="3" t="s">
        <v>2165</v>
      </c>
      <c r="BU95" s="3" t="s">
        <v>1011</v>
      </c>
      <c r="BV95" s="3">
        <v>15.84</v>
      </c>
      <c r="BW95" s="3">
        <v>14.85</v>
      </c>
      <c r="BX95" s="3">
        <v>13.24</v>
      </c>
      <c r="BY95" s="3">
        <v>5.84</v>
      </c>
      <c r="BZ95" s="3">
        <v>7.37</v>
      </c>
      <c r="CA95" s="3">
        <v>7.06</v>
      </c>
      <c r="CB95" s="3">
        <v>-9.61</v>
      </c>
      <c r="CC95" s="3">
        <v>-5.0599999999999996</v>
      </c>
      <c r="CD95" s="3" t="s">
        <v>3892</v>
      </c>
      <c r="CE95" s="3" t="s">
        <v>56</v>
      </c>
      <c r="CF95" s="10">
        <v>-0.33812949640287771</v>
      </c>
      <c r="CG95" s="11">
        <v>-0.64271936478000313</v>
      </c>
      <c r="CH95" s="10">
        <v>-0.75090253353118896</v>
      </c>
      <c r="CI95" s="10">
        <v>-0.20687183737754822</v>
      </c>
      <c r="CJ95" s="10">
        <v>0.2642534077167511</v>
      </c>
      <c r="CK95" s="10">
        <v>0.32335323095321655</v>
      </c>
      <c r="CL95" s="10">
        <v>0.85555553436279297</v>
      </c>
      <c r="CM95" s="11">
        <v>-0.87190109491348267</v>
      </c>
      <c r="CN95" s="11">
        <v>-0.17254985868930817</v>
      </c>
      <c r="CO95" s="11">
        <v>8.7111078202724457E-2</v>
      </c>
      <c r="CP95" s="11">
        <v>-1.6637306660413742E-2</v>
      </c>
      <c r="CQ95" s="11">
        <v>0.59670877456665039</v>
      </c>
      <c r="CR95" s="3">
        <v>37.62176853598875</v>
      </c>
      <c r="CS95" s="3">
        <v>3.8754340726485599</v>
      </c>
      <c r="CT95" s="3">
        <v>0.19581180310035354</v>
      </c>
      <c r="CU95" s="10">
        <v>9.7077560424804685E-2</v>
      </c>
      <c r="CV95" s="11">
        <v>-7.545368149876594E-2</v>
      </c>
      <c r="CW95" s="3">
        <v>0.06</v>
      </c>
      <c r="CX95" s="3">
        <v>214.00392634205616</v>
      </c>
      <c r="CY95" s="3">
        <v>10822877.129356815</v>
      </c>
      <c r="CZ95" s="3">
        <v>9.7077560424804685E-2</v>
      </c>
      <c r="DA95" s="3">
        <v>69.516946755462328</v>
      </c>
      <c r="DB95" s="3">
        <v>33317605.391206402</v>
      </c>
      <c r="DC95" s="3">
        <v>9.2223682403564447E-2</v>
      </c>
      <c r="DD95" s="3">
        <v>33.947883724752764</v>
      </c>
      <c r="DE95" s="3">
        <v>68226291.181479767</v>
      </c>
      <c r="DF95" s="3">
        <v>8.5428253173828128E-2</v>
      </c>
      <c r="DG95" s="3">
        <v>20.201896200509879</v>
      </c>
      <c r="DH95" s="3">
        <v>114649544.62747623</v>
      </c>
      <c r="DI95" s="3">
        <v>7.7662048339843748E-2</v>
      </c>
      <c r="DJ95" s="3">
        <v>10.228886102128929</v>
      </c>
      <c r="DK95" s="3">
        <v>226431126.2120657</v>
      </c>
      <c r="DL95" s="3">
        <v>6.7954292297363272E-2</v>
      </c>
      <c r="DM95" s="3">
        <v>10457100</v>
      </c>
      <c r="DN95" s="3">
        <v>9.7077560424804685E-2</v>
      </c>
      <c r="DO95" s="3">
        <v>2316138200</v>
      </c>
      <c r="DP95" s="3">
        <v>466685800</v>
      </c>
      <c r="DQ95" s="3">
        <v>4536</v>
      </c>
      <c r="DR95" s="3">
        <v>-0.4352070568276824</v>
      </c>
      <c r="DS95" s="3">
        <v>-0.56726568328123717</v>
      </c>
      <c r="DT95" s="12">
        <v>-0.47333333333333333</v>
      </c>
      <c r="DU95" s="3">
        <v>-0.82333333333333325</v>
      </c>
      <c r="DV95" s="3">
        <v>-1.2966666666666666</v>
      </c>
      <c r="DW95" s="3">
        <v>-5.5265348595213322</v>
      </c>
      <c r="DX95" s="3">
        <v>0.24524399999999943</v>
      </c>
      <c r="DY95" s="3">
        <v>-5.0448839375650367</v>
      </c>
      <c r="DZ95" s="3">
        <v>2265</v>
      </c>
      <c r="EA95" s="3">
        <v>-5.0249891981159545</v>
      </c>
      <c r="EB95" s="3">
        <v>5</v>
      </c>
      <c r="EC95" s="3">
        <v>0.14478297371251819</v>
      </c>
      <c r="ED95" s="3">
        <v>1.698453541745087</v>
      </c>
      <c r="EE95" s="13">
        <v>-1.05871</v>
      </c>
      <c r="EF95" s="3">
        <v>-1.09111</v>
      </c>
      <c r="EG95" s="3">
        <v>16.085243999999999</v>
      </c>
      <c r="EH95" s="3" t="s">
        <v>1015</v>
      </c>
      <c r="EI95" s="3">
        <v>0</v>
      </c>
      <c r="EJ95" s="3">
        <v>0</v>
      </c>
      <c r="EK95" s="15">
        <v>45470</v>
      </c>
      <c r="EL95" s="16">
        <v>0.53</v>
      </c>
      <c r="EM95" s="16">
        <v>-2.44</v>
      </c>
      <c r="EN95" s="16">
        <v>-0.69</v>
      </c>
      <c r="EO95" s="16">
        <v>2.02</v>
      </c>
      <c r="EP95" s="16">
        <v>-3.24</v>
      </c>
    </row>
    <row r="96" spans="1:146" ht="96" x14ac:dyDescent="0.25">
      <c r="C96" s="7" t="str">
        <f>""&amp;CHAR(10)&amp;Basic_Fundamental_Information_Constructure(F96)&amp;CHAR(10)&amp;Basic_Fundamental_Information_Concatenate("")</f>
        <v xml:space="preserve">
市值23.506215亿, 利润-2006.01万; PE; 平均PE48.83; 平均PEG4.84, PB1.39; ROIC2.39%; ROE.7067%; 股利率0%; 毛利23.0133%; 净利-.47%; 上一年度营收增-87.36%, 利润增-168.49%; 当季营收增-67.42%, 利润增-436.05%; 过往5年营收增-10.08%, 利润增-51.79%
Income profile:
</v>
      </c>
      <c r="D96" s="3" t="s">
        <v>807</v>
      </c>
      <c r="E96" s="3" t="s">
        <v>808</v>
      </c>
      <c r="F96" s="3">
        <v>14.64</v>
      </c>
      <c r="G96" s="3">
        <v>0.97</v>
      </c>
      <c r="H96" s="3" t="s">
        <v>3893</v>
      </c>
      <c r="I96" s="3">
        <v>2350621500</v>
      </c>
      <c r="K96" s="3">
        <v>1.39</v>
      </c>
      <c r="L96" s="3" t="s">
        <v>343</v>
      </c>
      <c r="M96" s="3" t="s">
        <v>681</v>
      </c>
      <c r="N96" s="3" t="s">
        <v>1445</v>
      </c>
      <c r="O96" s="3" t="s">
        <v>2166</v>
      </c>
      <c r="P96" s="3">
        <v>-29.52</v>
      </c>
      <c r="Q96" s="3" t="s">
        <v>2166</v>
      </c>
      <c r="R96" s="3">
        <v>-20060116</v>
      </c>
      <c r="S96" s="5">
        <v>-1.5920000000000001</v>
      </c>
      <c r="T96" s="3" t="s">
        <v>3894</v>
      </c>
      <c r="U96" s="3">
        <v>160561580</v>
      </c>
      <c r="V96" s="3">
        <v>160561580</v>
      </c>
      <c r="W96" s="3">
        <v>1.51</v>
      </c>
      <c r="X96" s="3">
        <v>0.04</v>
      </c>
      <c r="Y96" s="3">
        <v>-20.440000000000001</v>
      </c>
      <c r="Z96" s="3" t="s">
        <v>42</v>
      </c>
      <c r="AA96" s="3" t="s">
        <v>3895</v>
      </c>
      <c r="AB96" s="3" t="s">
        <v>3896</v>
      </c>
      <c r="AC96" s="3" t="s">
        <v>3897</v>
      </c>
      <c r="AD96" s="3" t="s">
        <v>4</v>
      </c>
      <c r="AE96" s="3">
        <v>4013478</v>
      </c>
      <c r="AF96" s="3" t="s">
        <v>2168</v>
      </c>
      <c r="AG96" s="3" t="s">
        <v>4</v>
      </c>
      <c r="AH96" s="3" t="s">
        <v>2169</v>
      </c>
      <c r="AI96" s="3" t="s">
        <v>1354</v>
      </c>
      <c r="AJ96" s="3" t="s">
        <v>2170</v>
      </c>
      <c r="AK96" s="3" t="s">
        <v>3898</v>
      </c>
      <c r="AL96" s="3" t="s">
        <v>2171</v>
      </c>
      <c r="AM96" s="3" t="s">
        <v>4</v>
      </c>
      <c r="AN96" s="3" t="s">
        <v>3899</v>
      </c>
      <c r="AO96" s="3" t="s">
        <v>2270</v>
      </c>
      <c r="AP96" s="3" t="s">
        <v>3900</v>
      </c>
      <c r="AQ96" s="3" t="s">
        <v>111</v>
      </c>
      <c r="AR96" s="3" t="s">
        <v>3901</v>
      </c>
      <c r="AS96" s="3" t="s">
        <v>648</v>
      </c>
      <c r="AT96" s="3" t="s">
        <v>205</v>
      </c>
      <c r="AU96" s="3" t="s">
        <v>3902</v>
      </c>
      <c r="AV96" s="3" t="s">
        <v>3903</v>
      </c>
      <c r="AW96" s="3" t="s">
        <v>3904</v>
      </c>
      <c r="AX96" s="3" t="s">
        <v>1334</v>
      </c>
      <c r="AY96" s="3" t="s">
        <v>50</v>
      </c>
      <c r="AZ96" s="3" t="s">
        <v>194</v>
      </c>
      <c r="BA96" s="3" t="s">
        <v>98</v>
      </c>
      <c r="BB96" s="3" t="s">
        <v>203</v>
      </c>
      <c r="BC96" s="3" t="s">
        <v>2173</v>
      </c>
      <c r="BD96" s="3" t="s">
        <v>970</v>
      </c>
      <c r="BE96" s="3" t="s">
        <v>809</v>
      </c>
      <c r="BF96" s="3" t="s">
        <v>810</v>
      </c>
      <c r="BG96" s="3" t="s">
        <v>811</v>
      </c>
      <c r="BH96" s="3" t="s">
        <v>1048</v>
      </c>
      <c r="BI96" s="3" t="s">
        <v>71</v>
      </c>
      <c r="BJ96" s="3" t="s">
        <v>1334</v>
      </c>
      <c r="BK96" s="3" t="s">
        <v>2167</v>
      </c>
      <c r="BL96" s="3" t="s">
        <v>3905</v>
      </c>
      <c r="BM96" s="3" t="s">
        <v>2173</v>
      </c>
      <c r="BN96" s="3" t="s">
        <v>4</v>
      </c>
      <c r="BO96" s="3">
        <v>2.0299999999999998</v>
      </c>
      <c r="BP96" s="3">
        <v>2.75</v>
      </c>
      <c r="BQ96" s="3">
        <v>-2.0499999999999998</v>
      </c>
      <c r="BR96" s="3">
        <v>1.64</v>
      </c>
      <c r="BS96" s="3">
        <v>2.5299999999999998</v>
      </c>
      <c r="BT96" s="3" t="s">
        <v>1157</v>
      </c>
      <c r="BU96" s="3" t="s">
        <v>1011</v>
      </c>
      <c r="BV96" s="3">
        <v>20.37</v>
      </c>
      <c r="BW96" s="3">
        <v>22.43</v>
      </c>
      <c r="BX96" s="3">
        <v>26.24</v>
      </c>
      <c r="BY96" s="3">
        <v>-11.73</v>
      </c>
      <c r="BZ96" s="3">
        <v>3.26</v>
      </c>
      <c r="CA96" s="3">
        <v>7.06</v>
      </c>
      <c r="CB96" s="3">
        <v>-5.97</v>
      </c>
      <c r="CC96" s="3">
        <v>-17.329999999999998</v>
      </c>
      <c r="CD96" s="3" t="s">
        <v>3906</v>
      </c>
      <c r="CE96" s="3" t="s">
        <v>3907</v>
      </c>
      <c r="CF96" s="10">
        <v>-0.67417227722772277</v>
      </c>
      <c r="CG96" s="11">
        <v>-4.3605141360696908</v>
      </c>
      <c r="CH96" s="10">
        <v>-0.87359046936035156</v>
      </c>
      <c r="CI96" s="10">
        <v>0.15703703463077545</v>
      </c>
      <c r="CJ96" s="10">
        <v>0.14795918762683868</v>
      </c>
      <c r="CK96" s="10">
        <v>1.3793103396892548E-2</v>
      </c>
      <c r="CL96" s="10">
        <v>5.0724636763334274E-2</v>
      </c>
      <c r="CM96" s="11">
        <v>-1.6849114894866943</v>
      </c>
      <c r="CN96" s="11">
        <v>-0.34970292448997498</v>
      </c>
      <c r="CO96" s="11">
        <v>-0.11723592132329941</v>
      </c>
      <c r="CP96" s="11">
        <v>-0.44643321633338928</v>
      </c>
      <c r="CQ96" s="11">
        <v>8.5340486839413643E-3</v>
      </c>
      <c r="CR96" s="3">
        <v>48.828829920488907</v>
      </c>
      <c r="CS96" s="3">
        <v>4.8433947275842577</v>
      </c>
      <c r="CT96" s="3">
        <v>0</v>
      </c>
      <c r="CU96" s="10">
        <v>-0.10081530138850212</v>
      </c>
      <c r="CV96" s="11">
        <v>-0.51794990058988333</v>
      </c>
      <c r="CW96" s="3">
        <v>0.06</v>
      </c>
      <c r="CX96" s="3" t="e">
        <v>#VALUE!</v>
      </c>
      <c r="CY96" s="3" t="s">
        <v>1005</v>
      </c>
      <c r="CZ96" s="3">
        <v>-0.10081530138850212</v>
      </c>
      <c r="DA96" s="3" t="e">
        <v>#VALUE!</v>
      </c>
      <c r="DB96" s="3" t="s">
        <v>1006</v>
      </c>
      <c r="DC96" s="3">
        <v>-9.5774536319077008E-2</v>
      </c>
      <c r="DD96" s="3" t="e">
        <v>#VALUE!</v>
      </c>
      <c r="DE96" s="3" t="s">
        <v>1006</v>
      </c>
      <c r="DF96" s="3">
        <v>-8.8717465221881855E-2</v>
      </c>
      <c r="DG96" s="3" t="e">
        <v>#VALUE!</v>
      </c>
      <c r="DH96" s="3" t="s">
        <v>1006</v>
      </c>
      <c r="DI96" s="3">
        <v>-8.0652241110801701E-2</v>
      </c>
      <c r="DJ96" s="3" t="e">
        <v>#VALUE!</v>
      </c>
      <c r="DK96" s="3" t="s">
        <v>1006</v>
      </c>
      <c r="DL96" s="3">
        <v>-7.0570710971951472E-2</v>
      </c>
      <c r="DM96" s="3">
        <v>-20060100</v>
      </c>
      <c r="DN96" s="3">
        <v>-0.10081530138850212</v>
      </c>
      <c r="DO96" s="3">
        <v>1541621500.0000002</v>
      </c>
      <c r="DP96" s="3">
        <v>430269890</v>
      </c>
      <c r="DQ96" s="3">
        <v>4549</v>
      </c>
      <c r="DR96" s="3">
        <v>-0.57335697583922063</v>
      </c>
      <c r="DS96" s="3">
        <v>-3.8425642354798075</v>
      </c>
      <c r="DT96" s="12">
        <v>-0.62333333333333341</v>
      </c>
      <c r="DU96" s="3">
        <v>-1.915</v>
      </c>
      <c r="DV96" s="3">
        <v>-2.5383333333333336</v>
      </c>
      <c r="DW96" s="3">
        <v>-8.3444893248701675</v>
      </c>
      <c r="DX96" s="3">
        <v>0.38589380447139066</v>
      </c>
      <c r="DY96" s="3">
        <v>-8.0399241784589854</v>
      </c>
      <c r="DZ96" s="3">
        <v>4709</v>
      </c>
      <c r="EA96" s="3">
        <v>-8.0031329932606763</v>
      </c>
      <c r="EB96" s="3">
        <v>8</v>
      </c>
      <c r="EC96" s="3">
        <v>1.8286441874824599E-2</v>
      </c>
      <c r="ED96" s="3">
        <v>0.1577861901956869</v>
      </c>
      <c r="EE96" s="13">
        <v>-5.0196100000000001</v>
      </c>
      <c r="EF96" s="3">
        <v>-5.0249100000000002</v>
      </c>
      <c r="EG96" s="3">
        <v>27.115893804471391</v>
      </c>
      <c r="EH96" s="3" t="s">
        <v>3732</v>
      </c>
      <c r="EI96" s="3">
        <v>0</v>
      </c>
      <c r="EJ96" s="3">
        <v>0</v>
      </c>
      <c r="EK96" s="15">
        <v>45470</v>
      </c>
      <c r="EL96" s="16">
        <v>-2.87</v>
      </c>
      <c r="EM96" s="16">
        <v>-5.57</v>
      </c>
      <c r="EN96" s="16">
        <v>-0.9</v>
      </c>
      <c r="EO96" s="16">
        <v>5.12</v>
      </c>
      <c r="EP96" s="16">
        <v>-0.53</v>
      </c>
    </row>
    <row r="97" spans="1:146" ht="96" x14ac:dyDescent="0.25">
      <c r="C97" s="7" t="str">
        <f>""&amp;CHAR(10)&amp;Basic_Fundamental_Information_Constructure(F97)&amp;CHAR(10)&amp;Basic_Fundamental_Information_Concatenate("")</f>
        <v xml:space="preserve">
市值98.666669亿, 利润-5877.98万; PE; 平均PE31.15; 平均PEG2.75, PB2.22; ROIC11.265%; ROE7.3367%; 股利率0%; 毛利18.08%; 净利4.8333%; 上一年度营收增-77.97%, 利润增-123.33%; 当季营收增-47.24%, 利润增68.9%; 过往5年营收增-11.32%, 利润增8.75%
Income profile:
</v>
      </c>
      <c r="D97" s="3" t="s">
        <v>812</v>
      </c>
      <c r="E97" s="3" t="s">
        <v>813</v>
      </c>
      <c r="F97" s="3">
        <v>2.96</v>
      </c>
      <c r="G97" s="3">
        <v>-0.67</v>
      </c>
      <c r="H97" s="3" t="s">
        <v>3908</v>
      </c>
      <c r="I97" s="3">
        <v>9866666900</v>
      </c>
      <c r="K97" s="3">
        <v>2.2200000000000002</v>
      </c>
      <c r="L97" s="3" t="s">
        <v>343</v>
      </c>
      <c r="M97" s="3" t="s">
        <v>2174</v>
      </c>
      <c r="N97" s="3" t="s">
        <v>3909</v>
      </c>
      <c r="O97" s="3" t="s">
        <v>1462</v>
      </c>
      <c r="P97" s="3">
        <v>20.72</v>
      </c>
      <c r="Q97" s="3" t="s">
        <v>1462</v>
      </c>
      <c r="R97" s="3">
        <v>-58779802</v>
      </c>
      <c r="S97" s="5">
        <v>0.4748</v>
      </c>
      <c r="T97" s="3" t="s">
        <v>3910</v>
      </c>
      <c r="U97" s="3">
        <v>3333333400</v>
      </c>
      <c r="V97" s="3">
        <v>3333333400</v>
      </c>
      <c r="W97" s="3">
        <v>1.63</v>
      </c>
      <c r="X97" s="3">
        <v>0.13</v>
      </c>
      <c r="Y97" s="3">
        <v>-6.34</v>
      </c>
      <c r="Z97" s="3" t="s">
        <v>3911</v>
      </c>
      <c r="AA97" s="3" t="s">
        <v>3912</v>
      </c>
      <c r="AB97" s="3" t="s">
        <v>3913</v>
      </c>
      <c r="AC97" s="3" t="s">
        <v>3914</v>
      </c>
      <c r="AD97" s="3" t="s">
        <v>4</v>
      </c>
      <c r="AE97" s="3">
        <v>-6503511</v>
      </c>
      <c r="AF97" s="3" t="s">
        <v>2176</v>
      </c>
      <c r="AG97" s="3" t="s">
        <v>3915</v>
      </c>
      <c r="AH97" s="3" t="s">
        <v>2177</v>
      </c>
      <c r="AI97" s="3" t="s">
        <v>3916</v>
      </c>
      <c r="AJ97" s="3" t="s">
        <v>2178</v>
      </c>
      <c r="AK97" s="3" t="s">
        <v>3917</v>
      </c>
      <c r="AL97" s="3" t="s">
        <v>2179</v>
      </c>
      <c r="AM97" s="3" t="s">
        <v>4</v>
      </c>
      <c r="AN97" s="3" t="s">
        <v>2187</v>
      </c>
      <c r="AO97" s="3" t="s">
        <v>133</v>
      </c>
      <c r="AP97" s="3" t="s">
        <v>3918</v>
      </c>
      <c r="AQ97" s="3" t="s">
        <v>412</v>
      </c>
      <c r="AR97" s="3" t="s">
        <v>4</v>
      </c>
      <c r="AS97" s="3" t="s">
        <v>3919</v>
      </c>
      <c r="AT97" s="3" t="s">
        <v>65</v>
      </c>
      <c r="AU97" s="3" t="s">
        <v>3920</v>
      </c>
      <c r="AV97" s="3" t="s">
        <v>3921</v>
      </c>
      <c r="AW97" s="3" t="s">
        <v>3922</v>
      </c>
      <c r="AX97" s="3" t="s">
        <v>1335</v>
      </c>
      <c r="AY97" s="3" t="s">
        <v>971</v>
      </c>
      <c r="AZ97" s="3" t="s">
        <v>814</v>
      </c>
      <c r="BA97" s="3" t="s">
        <v>815</v>
      </c>
      <c r="BB97" s="3" t="s">
        <v>816</v>
      </c>
      <c r="BC97" s="3" t="s">
        <v>893</v>
      </c>
      <c r="BD97" s="3" t="s">
        <v>739</v>
      </c>
      <c r="BE97" s="3" t="s">
        <v>149</v>
      </c>
      <c r="BF97" s="3" t="s">
        <v>89</v>
      </c>
      <c r="BG97" s="3" t="s">
        <v>127</v>
      </c>
      <c r="BH97" s="3" t="s">
        <v>2175</v>
      </c>
      <c r="BI97" s="3" t="s">
        <v>3923</v>
      </c>
      <c r="BJ97" s="3" t="s">
        <v>1335</v>
      </c>
      <c r="BK97" s="3" t="s">
        <v>1430</v>
      </c>
      <c r="BL97" s="3" t="s">
        <v>3924</v>
      </c>
      <c r="BM97" s="3" t="s">
        <v>893</v>
      </c>
      <c r="BN97" s="3" t="s">
        <v>4</v>
      </c>
      <c r="BO97" s="3">
        <v>4.38</v>
      </c>
      <c r="BP97" s="3">
        <v>18.149999999999999</v>
      </c>
      <c r="BQ97" s="3">
        <v>-5.0599999999999996</v>
      </c>
      <c r="BR97" s="3">
        <v>5.34</v>
      </c>
      <c r="BS97" s="3">
        <v>21.73</v>
      </c>
      <c r="BT97" s="3" t="s">
        <v>1157</v>
      </c>
      <c r="BU97" s="3" t="s">
        <v>1002</v>
      </c>
      <c r="BV97" s="3">
        <v>6.87</v>
      </c>
      <c r="BW97" s="3">
        <v>18.93</v>
      </c>
      <c r="BX97" s="3">
        <v>28.44</v>
      </c>
      <c r="BY97" s="3">
        <v>-7.36</v>
      </c>
      <c r="BZ97" s="3">
        <v>5.98</v>
      </c>
      <c r="CA97" s="3">
        <v>15.88</v>
      </c>
      <c r="CB97" s="3">
        <v>-6.62</v>
      </c>
      <c r="CC97" s="3">
        <v>-15.19</v>
      </c>
      <c r="CD97" s="3" t="s">
        <v>3925</v>
      </c>
      <c r="CE97" s="3" t="s">
        <v>212</v>
      </c>
      <c r="CF97" s="10">
        <v>-0.47239612976664769</v>
      </c>
      <c r="CG97" s="11">
        <v>0.68899575661375656</v>
      </c>
      <c r="CH97" s="10">
        <v>-0.77965295314788818</v>
      </c>
      <c r="CI97" s="10">
        <v>-0.26617828011512756</v>
      </c>
      <c r="CJ97" s="10">
        <v>0.30800822377204895</v>
      </c>
      <c r="CK97" s="10">
        <v>0.13873736560344696</v>
      </c>
      <c r="CL97" s="10">
        <v>3.3288590610027313E-2</v>
      </c>
      <c r="CM97" s="11">
        <v>-1.2332532405853271</v>
      </c>
      <c r="CN97" s="11">
        <v>-0.7233809232711792</v>
      </c>
      <c r="CO97" s="11">
        <v>2.4770991802215576</v>
      </c>
      <c r="CP97" s="11">
        <v>6.9387756288051605E-2</v>
      </c>
      <c r="CQ97" s="11">
        <v>-0.15224912762641907</v>
      </c>
      <c r="CR97" s="3">
        <v>31.154284856039315</v>
      </c>
      <c r="CS97" s="3">
        <v>2.7531324770579744</v>
      </c>
      <c r="CT97" s="3">
        <v>0</v>
      </c>
      <c r="CU97" s="10">
        <v>-0.1131594106554985</v>
      </c>
      <c r="CV97" s="11">
        <v>8.7520729005336764E-2</v>
      </c>
      <c r="CW97" s="3">
        <v>0.06</v>
      </c>
      <c r="CX97" s="3" t="e">
        <v>#VALUE!</v>
      </c>
      <c r="CY97" s="3" t="s">
        <v>1005</v>
      </c>
      <c r="CZ97" s="3">
        <v>-0.1131594106554985</v>
      </c>
      <c r="DA97" s="3" t="e">
        <v>#VALUE!</v>
      </c>
      <c r="DB97" s="3" t="s">
        <v>1006</v>
      </c>
      <c r="DC97" s="3">
        <v>-0.10750144012272357</v>
      </c>
      <c r="DD97" s="3" t="e">
        <v>#VALUE!</v>
      </c>
      <c r="DE97" s="3" t="s">
        <v>1006</v>
      </c>
      <c r="DF97" s="3">
        <v>-9.9580281376838678E-2</v>
      </c>
      <c r="DG97" s="3" t="e">
        <v>#VALUE!</v>
      </c>
      <c r="DH97" s="3" t="s">
        <v>1006</v>
      </c>
      <c r="DI97" s="3">
        <v>-9.0527528524398812E-2</v>
      </c>
      <c r="DJ97" s="3" t="e">
        <v>#VALUE!</v>
      </c>
      <c r="DK97" s="3" t="s">
        <v>1006</v>
      </c>
      <c r="DL97" s="3">
        <v>-7.9211587458848945E-2</v>
      </c>
      <c r="DM97" s="3">
        <v>-58779799.999999993</v>
      </c>
      <c r="DN97" s="3">
        <v>-0.1131594106554985</v>
      </c>
      <c r="DO97" s="3">
        <v>8305666900</v>
      </c>
      <c r="DP97" s="3">
        <v>945111900</v>
      </c>
      <c r="DQ97" s="3">
        <v>4586</v>
      </c>
      <c r="DR97" s="3">
        <v>-0.35923671911114918</v>
      </c>
      <c r="DS97" s="3">
        <v>0.60147502760841975</v>
      </c>
      <c r="DT97" s="12">
        <v>-0.79</v>
      </c>
      <c r="DU97" s="3">
        <v>-1.3133333333333335</v>
      </c>
      <c r="DV97" s="3">
        <v>-2.1033333333333335</v>
      </c>
      <c r="DW97" s="3">
        <v>-9.4358130348913765</v>
      </c>
      <c r="DX97" s="3">
        <v>0.3623743589743576</v>
      </c>
      <c r="DY97" s="3">
        <v>-9.0707648621731565</v>
      </c>
      <c r="DZ97" s="3">
        <v>3024</v>
      </c>
      <c r="EA97" s="3">
        <v>-9.0288875738734262</v>
      </c>
      <c r="EB97" s="3">
        <v>9</v>
      </c>
      <c r="EC97" s="3">
        <v>9.4988998100220042E-3</v>
      </c>
      <c r="ED97" s="3">
        <v>5.8499998830000025E-2</v>
      </c>
      <c r="EE97" s="13">
        <v>1.0620000000000001</v>
      </c>
      <c r="EF97" s="3">
        <v>1.0377000000000001</v>
      </c>
      <c r="EG97" s="3">
        <v>20.162374358974358</v>
      </c>
      <c r="EH97" s="3" t="s">
        <v>983</v>
      </c>
      <c r="EI97" s="3">
        <v>0</v>
      </c>
      <c r="EJ97" s="3">
        <v>0</v>
      </c>
      <c r="EK97" s="15">
        <v>45470</v>
      </c>
      <c r="EL97" s="16">
        <v>-1.89</v>
      </c>
      <c r="EM97" s="16">
        <v>-7.26</v>
      </c>
      <c r="EN97" s="16">
        <v>1.47</v>
      </c>
      <c r="EO97" s="16">
        <v>2.95</v>
      </c>
      <c r="EP97" s="16">
        <v>-2.4300000000000002</v>
      </c>
    </row>
    <row r="98" spans="1:146" ht="96" x14ac:dyDescent="0.25">
      <c r="C98" s="7" t="str">
        <f>""&amp;CHAR(10)&amp;Basic_Fundamental_Information_Constructure(F98)&amp;CHAR(10)&amp;Basic_Fundamental_Information_Concatenate("")</f>
        <v xml:space="preserve">
市值27.4512亿, 利润-2355.90万; PE; 平均PE46.49; 平均PEG5.32, PB1.91; ROIC4.005%; ROE1.4367%; 股利率0%; 毛利36.1867%; 净利.0967%; 上一年度营收增-71.98%, 利润增-206.65%; 当季营收增-32.16%, 利润增24.12%; 过往5年营收增-8.75%, 利润增-21.25%
Income profile:
</v>
      </c>
      <c r="D98" s="3" t="s">
        <v>817</v>
      </c>
      <c r="E98" s="3" t="s">
        <v>818</v>
      </c>
      <c r="F98" s="3">
        <v>6.84</v>
      </c>
      <c r="G98" s="3">
        <v>0.15</v>
      </c>
      <c r="H98" s="3" t="s">
        <v>3926</v>
      </c>
      <c r="I98" s="3">
        <v>2745120000</v>
      </c>
      <c r="K98" s="3">
        <v>1.91</v>
      </c>
      <c r="L98" s="3" t="s">
        <v>343</v>
      </c>
      <c r="M98" s="3" t="s">
        <v>2180</v>
      </c>
      <c r="N98" s="3" t="s">
        <v>3927</v>
      </c>
      <c r="O98" s="3" t="s">
        <v>28</v>
      </c>
      <c r="P98" s="3">
        <v>22.3</v>
      </c>
      <c r="Q98" s="3" t="s">
        <v>28</v>
      </c>
      <c r="R98" s="3">
        <v>-23558978</v>
      </c>
      <c r="S98" s="5">
        <v>-3.5510000000000002</v>
      </c>
      <c r="T98" s="3" t="s">
        <v>3928</v>
      </c>
      <c r="U98" s="3">
        <v>401333330</v>
      </c>
      <c r="V98" s="3">
        <v>401333330</v>
      </c>
      <c r="W98" s="3">
        <v>1.66</v>
      </c>
      <c r="X98" s="3">
        <v>0.05</v>
      </c>
      <c r="Y98" s="3">
        <v>-21.53</v>
      </c>
      <c r="Z98" s="3" t="s">
        <v>148</v>
      </c>
      <c r="AA98" s="3" t="s">
        <v>3929</v>
      </c>
      <c r="AB98" s="3" t="s">
        <v>3930</v>
      </c>
      <c r="AC98" s="3" t="s">
        <v>3931</v>
      </c>
      <c r="AD98" s="3" t="s">
        <v>4</v>
      </c>
      <c r="AE98" s="3">
        <v>6029146</v>
      </c>
      <c r="AF98" s="3" t="s">
        <v>2182</v>
      </c>
      <c r="AG98" s="3" t="s">
        <v>3932</v>
      </c>
      <c r="AH98" s="3" t="s">
        <v>2184</v>
      </c>
      <c r="AI98" s="3" t="s">
        <v>3933</v>
      </c>
      <c r="AJ98" s="3" t="s">
        <v>2185</v>
      </c>
      <c r="AK98" s="3" t="s">
        <v>3934</v>
      </c>
      <c r="AL98" s="3" t="s">
        <v>2186</v>
      </c>
      <c r="AM98" s="3" t="s">
        <v>4</v>
      </c>
      <c r="AN98" s="3" t="s">
        <v>3935</v>
      </c>
      <c r="AO98" s="3" t="s">
        <v>1014</v>
      </c>
      <c r="AP98" s="3" t="s">
        <v>4</v>
      </c>
      <c r="AQ98" s="3" t="s">
        <v>79</v>
      </c>
      <c r="AR98" s="3" t="s">
        <v>3936</v>
      </c>
      <c r="AS98" s="3" t="s">
        <v>251</v>
      </c>
      <c r="AT98" s="3" t="s">
        <v>251</v>
      </c>
      <c r="AU98" s="3" t="s">
        <v>3937</v>
      </c>
      <c r="AV98" s="3" t="s">
        <v>1432</v>
      </c>
      <c r="AW98" s="3" t="s">
        <v>118</v>
      </c>
      <c r="AX98" s="3" t="s">
        <v>1043</v>
      </c>
      <c r="AY98" s="3" t="s">
        <v>204</v>
      </c>
      <c r="AZ98" s="3" t="s">
        <v>229</v>
      </c>
      <c r="BA98" s="3" t="s">
        <v>49</v>
      </c>
      <c r="BB98" s="3" t="s">
        <v>256</v>
      </c>
      <c r="BC98" s="3" t="s">
        <v>1336</v>
      </c>
      <c r="BD98" s="3" t="s">
        <v>972</v>
      </c>
      <c r="BE98" s="3" t="s">
        <v>140</v>
      </c>
      <c r="BF98" s="3" t="s">
        <v>819</v>
      </c>
      <c r="BG98" s="3" t="s">
        <v>820</v>
      </c>
      <c r="BH98" s="3" t="s">
        <v>1850</v>
      </c>
      <c r="BI98" s="3" t="s">
        <v>1003</v>
      </c>
      <c r="BJ98" s="3" t="s">
        <v>1043</v>
      </c>
      <c r="BK98" s="3" t="s">
        <v>2181</v>
      </c>
      <c r="BL98" s="3" t="s">
        <v>3938</v>
      </c>
      <c r="BM98" s="3" t="s">
        <v>1336</v>
      </c>
      <c r="BN98" s="3" t="s">
        <v>4</v>
      </c>
      <c r="BO98" s="3">
        <v>1.07</v>
      </c>
      <c r="BP98" s="3">
        <v>6.94</v>
      </c>
      <c r="BQ98" s="3">
        <v>-4.29</v>
      </c>
      <c r="BR98" s="3">
        <v>1.42</v>
      </c>
      <c r="BS98" s="3">
        <v>7.18</v>
      </c>
      <c r="BT98" s="3" t="s">
        <v>1157</v>
      </c>
      <c r="BU98" s="3" t="s">
        <v>1011</v>
      </c>
      <c r="BV98" s="3">
        <v>22.03</v>
      </c>
      <c r="BW98" s="3">
        <v>36.29</v>
      </c>
      <c r="BX98" s="3">
        <v>50.24</v>
      </c>
      <c r="BY98" s="3">
        <v>-27.17</v>
      </c>
      <c r="BZ98" s="3">
        <v>4.9000000000000004</v>
      </c>
      <c r="CA98" s="3">
        <v>22.56</v>
      </c>
      <c r="CB98" s="3">
        <v>-7.82</v>
      </c>
      <c r="CC98" s="3">
        <v>-17.989999999999998</v>
      </c>
      <c r="CD98" s="3" t="s">
        <v>3939</v>
      </c>
      <c r="CE98" s="3" t="s">
        <v>1054</v>
      </c>
      <c r="CF98" s="10">
        <v>-0.32163742690058489</v>
      </c>
      <c r="CG98" s="11">
        <v>0.2411614341253813</v>
      </c>
      <c r="CH98" s="10">
        <v>-0.71980679035186768</v>
      </c>
      <c r="CI98" s="10">
        <v>-5.6947607547044754E-2</v>
      </c>
      <c r="CJ98" s="10">
        <v>3.7825059145689011E-2</v>
      </c>
      <c r="CK98" s="10">
        <v>0.39144736528396606</v>
      </c>
      <c r="CL98" s="10">
        <v>-8.9820362627506256E-2</v>
      </c>
      <c r="CM98" s="11">
        <v>-2.0665440559387207</v>
      </c>
      <c r="CN98" s="11">
        <v>-0.77893495559692383</v>
      </c>
      <c r="CO98" s="11">
        <v>-0.30610209703445435</v>
      </c>
      <c r="CP98" s="11">
        <v>0.86675518751144409</v>
      </c>
      <c r="CQ98" s="11">
        <v>1.2221863269805908</v>
      </c>
      <c r="CR98" s="3">
        <v>46.487562368791977</v>
      </c>
      <c r="CS98" s="3">
        <v>5.3152657248217272</v>
      </c>
      <c r="CT98" s="3">
        <v>0</v>
      </c>
      <c r="CU98" s="10">
        <v>-8.7460467219352717E-2</v>
      </c>
      <c r="CV98" s="11">
        <v>-0.21252791881561278</v>
      </c>
      <c r="CW98" s="3">
        <v>0.06</v>
      </c>
      <c r="CX98" s="3" t="e">
        <v>#VALUE!</v>
      </c>
      <c r="CY98" s="3" t="s">
        <v>1005</v>
      </c>
      <c r="CZ98" s="3">
        <v>-8.7460467219352717E-2</v>
      </c>
      <c r="DA98" s="3" t="e">
        <v>#VALUE!</v>
      </c>
      <c r="DB98" s="3" t="s">
        <v>1006</v>
      </c>
      <c r="DC98" s="3">
        <v>-8.3087443858385082E-2</v>
      </c>
      <c r="DD98" s="3" t="e">
        <v>#VALUE!</v>
      </c>
      <c r="DE98" s="3" t="s">
        <v>1006</v>
      </c>
      <c r="DF98" s="3">
        <v>-7.6965211153030386E-2</v>
      </c>
      <c r="DG98" s="3" t="e">
        <v>#VALUE!</v>
      </c>
      <c r="DH98" s="3" t="s">
        <v>1006</v>
      </c>
      <c r="DI98" s="3">
        <v>-6.9968373775482179E-2</v>
      </c>
      <c r="DJ98" s="3" t="e">
        <v>#VALUE!</v>
      </c>
      <c r="DK98" s="3" t="s">
        <v>1006</v>
      </c>
      <c r="DL98" s="3">
        <v>-6.1222327053546896E-2</v>
      </c>
      <c r="DM98" s="3">
        <v>-23559000</v>
      </c>
      <c r="DN98" s="3">
        <v>-8.7460467219352717E-2</v>
      </c>
      <c r="DO98" s="3">
        <v>2040120000</v>
      </c>
      <c r="DP98" s="3">
        <v>-122401940</v>
      </c>
      <c r="DQ98" s="3">
        <v>4608</v>
      </c>
      <c r="DR98" s="3">
        <v>-0.23417695968123217</v>
      </c>
      <c r="DS98" s="3">
        <v>0.45368935294099411</v>
      </c>
      <c r="DT98" s="12">
        <v>-0.65666666666666662</v>
      </c>
      <c r="DU98" s="3">
        <v>-1.4283333333333335</v>
      </c>
      <c r="DV98" s="3">
        <v>-2.085</v>
      </c>
      <c r="DW98" s="3">
        <v>-9.4346859366314622</v>
      </c>
      <c r="DX98" s="3">
        <v>0.31607567567567518</v>
      </c>
      <c r="DY98" s="3">
        <v>-9.0634970419001544</v>
      </c>
      <c r="DZ98" s="3">
        <v>1153</v>
      </c>
      <c r="EA98" s="3">
        <v>-9.0491698228569302</v>
      </c>
      <c r="EB98" s="3">
        <v>9</v>
      </c>
      <c r="EC98" s="3">
        <v>5.3868438985618265E-2</v>
      </c>
      <c r="ED98" s="3">
        <v>0.36877076718248147</v>
      </c>
      <c r="EE98" s="13">
        <v>-3.04271</v>
      </c>
      <c r="EF98" s="3">
        <v>-3.0685099999999998</v>
      </c>
      <c r="EG98" s="3">
        <v>17.146075675675675</v>
      </c>
      <c r="EH98" s="3" t="s">
        <v>1465</v>
      </c>
      <c r="EI98" s="3">
        <v>0</v>
      </c>
      <c r="EJ98" s="3">
        <v>1</v>
      </c>
      <c r="EK98" s="15">
        <v>45470</v>
      </c>
      <c r="EL98" s="16">
        <v>-2.44</v>
      </c>
      <c r="EM98" s="16">
        <v>-6.26</v>
      </c>
      <c r="EN98" s="16">
        <v>-2.27</v>
      </c>
      <c r="EO98" s="16">
        <v>3.1</v>
      </c>
      <c r="EP98" s="16">
        <v>-2.58</v>
      </c>
    </row>
    <row r="99" spans="1:146" ht="144" x14ac:dyDescent="0.25">
      <c r="A99" s="7" t="s">
        <v>1468</v>
      </c>
      <c r="B99" s="7" t="s">
        <v>1467</v>
      </c>
      <c r="C99" s="7" t="str">
        <f>"公司是主营业务为光学元器件的研发、生产、销售。公司主要产品有光学棱镜、玻璃非球面透镜、玻璃晶圆等。"&amp;CHAR(10)&amp;Basic_Fundamental_Information_Constructure(F99)&amp;CHAR(10)&amp;Basic_Fundamental_Information_Concatenate("玻璃非球面透镜 1.58亿 41.48% 6132.78万 42.87% 38.87%
光学棱镜 1.41亿 37.11% 6307.64万 44.09% 44.68%
玻璃晶圆 4143.99万 10.89% 428.85万 3.00% 10.35%
其他 3821.66万 10.05% 1295.14万 9.05% 33.89%")</f>
        <v>公司是主营业务为光学元器件的研发、生产、销售。公司主要产品有光学棱镜、玻璃非球面透镜、玻璃晶圆等。
市值66.05991亿, 利润2929.06万; PE32.32; 平均PE58.43; 平均PEG5.41, PB3.95; ROIC7.1067%; ROE7.4133%; 股利率1.2158%; 毛利43.2467%; 净利27.7833%; 上一年度营收增-56.05%, 利润增-69.51%; 当季营收增-16.92%, 利润增32.41%; 过往5年营收增-10.79%, 利润增-12.97%
Income profile:
玻璃非球面透镜 1.58亿 41.48% 6132.78万 42.87% 38.87%
光学棱镜 1.41亿 37.11% 6307.64万 44.09% 44.68%
玻璃晶圆 4143.99万 10.89% 428.85万 3.00% 10.35%
其他 3821.66万 10.05% 1295.14万 9.05% 33.89%</v>
      </c>
      <c r="D99" s="3" t="s">
        <v>821</v>
      </c>
      <c r="E99" s="3" t="s">
        <v>822</v>
      </c>
      <c r="F99" s="3">
        <v>16.45</v>
      </c>
      <c r="G99" s="3">
        <v>-0.6</v>
      </c>
      <c r="H99" s="3" t="s">
        <v>3940</v>
      </c>
      <c r="I99" s="3">
        <v>6605991000</v>
      </c>
      <c r="J99" s="3">
        <v>32.32</v>
      </c>
      <c r="K99" s="3">
        <v>3.95</v>
      </c>
      <c r="L99" s="3" t="s">
        <v>343</v>
      </c>
      <c r="M99" s="3" t="s">
        <v>1352</v>
      </c>
      <c r="N99" s="3" t="s">
        <v>3941</v>
      </c>
      <c r="O99" s="3" t="s">
        <v>252</v>
      </c>
      <c r="P99" s="3">
        <v>95.47</v>
      </c>
      <c r="Q99" s="3" t="s">
        <v>252</v>
      </c>
      <c r="R99" s="3">
        <v>29290584</v>
      </c>
      <c r="S99" s="5">
        <v>5.1059999999999999</v>
      </c>
      <c r="T99" s="3" t="s">
        <v>3942</v>
      </c>
      <c r="U99" s="3">
        <v>401580000</v>
      </c>
      <c r="V99" s="3">
        <v>401580000</v>
      </c>
      <c r="W99" s="3">
        <v>1.36</v>
      </c>
      <c r="X99" s="3">
        <v>7.0000000000000007E-2</v>
      </c>
      <c r="Y99" s="3">
        <v>17.54</v>
      </c>
      <c r="Z99" s="3" t="s">
        <v>274</v>
      </c>
      <c r="AA99" s="3" t="s">
        <v>79</v>
      </c>
      <c r="AB99" s="3" t="s">
        <v>3943</v>
      </c>
      <c r="AC99" s="3" t="s">
        <v>3944</v>
      </c>
      <c r="AD99" s="3" t="s">
        <v>4</v>
      </c>
      <c r="AE99" s="3">
        <v>-1755457</v>
      </c>
      <c r="AF99" s="3" t="s">
        <v>2188</v>
      </c>
      <c r="AG99" s="3">
        <v>1500</v>
      </c>
      <c r="AH99" s="3" t="s">
        <v>2189</v>
      </c>
      <c r="AI99" s="3" t="s">
        <v>1017</v>
      </c>
      <c r="AJ99" s="3" t="s">
        <v>2190</v>
      </c>
      <c r="AK99" s="3" t="s">
        <v>3945</v>
      </c>
      <c r="AL99" s="3" t="s">
        <v>2191</v>
      </c>
      <c r="AM99" s="3" t="s">
        <v>4</v>
      </c>
      <c r="AN99" s="3" t="s">
        <v>3946</v>
      </c>
      <c r="AO99" s="3" t="s">
        <v>89</v>
      </c>
      <c r="AP99" s="3" t="s">
        <v>3947</v>
      </c>
      <c r="AQ99" s="3" t="s">
        <v>132</v>
      </c>
      <c r="AR99" s="3" t="s">
        <v>4</v>
      </c>
      <c r="AS99" s="3" t="s">
        <v>935</v>
      </c>
      <c r="AT99" s="3" t="s">
        <v>4</v>
      </c>
      <c r="AU99" s="3" t="s">
        <v>97</v>
      </c>
      <c r="AV99" s="3" t="s">
        <v>3948</v>
      </c>
      <c r="AW99" s="3" t="s">
        <v>3949</v>
      </c>
      <c r="AX99" s="3" t="s">
        <v>213</v>
      </c>
      <c r="AY99" s="3" t="s">
        <v>286</v>
      </c>
      <c r="AZ99" s="3" t="s">
        <v>204</v>
      </c>
      <c r="BA99" s="3" t="s">
        <v>256</v>
      </c>
      <c r="BB99" s="3" t="s">
        <v>96</v>
      </c>
      <c r="BC99" s="3" t="s">
        <v>1337</v>
      </c>
      <c r="BD99" s="3" t="s">
        <v>53</v>
      </c>
      <c r="BE99" s="3" t="s">
        <v>78</v>
      </c>
      <c r="BF99" s="3" t="s">
        <v>28</v>
      </c>
      <c r="BG99" s="3" t="s">
        <v>142</v>
      </c>
      <c r="BH99" s="3" t="s">
        <v>1382</v>
      </c>
      <c r="BI99" s="3" t="s">
        <v>1171</v>
      </c>
      <c r="BJ99" s="3" t="s">
        <v>213</v>
      </c>
      <c r="BK99" s="3" t="s">
        <v>5</v>
      </c>
      <c r="BL99" s="3" t="s">
        <v>3950</v>
      </c>
      <c r="BM99" s="3" t="s">
        <v>1337</v>
      </c>
      <c r="BN99" s="3">
        <v>5.34</v>
      </c>
      <c r="BO99" s="3">
        <v>6.24</v>
      </c>
      <c r="BP99" s="3">
        <v>9.74</v>
      </c>
      <c r="BQ99" s="3">
        <v>5.92</v>
      </c>
      <c r="BR99" s="3">
        <v>6.48</v>
      </c>
      <c r="BS99" s="3">
        <v>9.84</v>
      </c>
      <c r="BT99" s="3" t="s">
        <v>1160</v>
      </c>
      <c r="BU99" s="3" t="s">
        <v>1011</v>
      </c>
      <c r="BV99" s="3">
        <v>42.07</v>
      </c>
      <c r="BW99" s="3">
        <v>37.61</v>
      </c>
      <c r="BX99" s="3">
        <v>50.06</v>
      </c>
      <c r="BY99" s="3">
        <v>23.96</v>
      </c>
      <c r="BZ99" s="3">
        <v>25.47</v>
      </c>
      <c r="CA99" s="3">
        <v>33.92</v>
      </c>
      <c r="CB99" s="3">
        <v>-10.55</v>
      </c>
      <c r="CC99" s="3">
        <v>-9.86</v>
      </c>
      <c r="CD99" s="3" t="s">
        <v>3951</v>
      </c>
      <c r="CE99" s="3" t="s">
        <v>74</v>
      </c>
      <c r="CF99" s="10">
        <v>-0.16915422885572126</v>
      </c>
      <c r="CG99" s="11">
        <v>0.32413751949549063</v>
      </c>
      <c r="CH99" s="10">
        <v>-0.56052631139755249</v>
      </c>
      <c r="CI99" s="10">
        <v>-8.4337346255779266E-2</v>
      </c>
      <c r="CJ99" s="10">
        <v>-5.4669704288244247E-2</v>
      </c>
      <c r="CK99" s="10">
        <v>0.314371258020401</v>
      </c>
      <c r="CL99" s="10">
        <v>-0.15443037450313568</v>
      </c>
      <c r="CM99" s="11">
        <v>-0.69510680437088013</v>
      </c>
      <c r="CN99" s="11">
        <v>-0.31379714608192444</v>
      </c>
      <c r="CO99" s="11">
        <v>-0.23497267067432404</v>
      </c>
      <c r="CP99" s="11">
        <v>0.57758623361587524</v>
      </c>
      <c r="CQ99" s="11">
        <v>1.7543859779834747E-2</v>
      </c>
      <c r="CR99" s="3">
        <v>58.429159191519538</v>
      </c>
      <c r="CS99" s="3">
        <v>5.4141932595262698</v>
      </c>
      <c r="CT99" s="3">
        <v>1.21580547112462</v>
      </c>
      <c r="CU99" s="10">
        <v>-0.10791849568486214</v>
      </c>
      <c r="CV99" s="11">
        <v>-0.12974930554628372</v>
      </c>
      <c r="CW99" s="3">
        <v>0.06</v>
      </c>
      <c r="CX99" s="3">
        <v>190.60691826046582</v>
      </c>
      <c r="CY99" s="3" t="s">
        <v>3952</v>
      </c>
      <c r="CZ99" s="3">
        <v>-0.10791849568486214</v>
      </c>
      <c r="DA99" s="3">
        <v>63.53563942015527</v>
      </c>
      <c r="DB99" s="3" t="s">
        <v>3953</v>
      </c>
      <c r="DC99" s="3">
        <v>-0.10252257090061903</v>
      </c>
      <c r="DD99" s="3">
        <v>31.767819710077635</v>
      </c>
      <c r="DE99" s="3" t="s">
        <v>3954</v>
      </c>
      <c r="DF99" s="3">
        <v>-9.4968276202678684E-2</v>
      </c>
      <c r="DG99" s="3">
        <v>19.060691826046583</v>
      </c>
      <c r="DH99" s="3" t="s">
        <v>3955</v>
      </c>
      <c r="DI99" s="3">
        <v>-8.6334796547889725E-2</v>
      </c>
      <c r="DJ99" s="3">
        <v>9.5303459130232913</v>
      </c>
      <c r="DK99" s="3" t="s">
        <v>3956</v>
      </c>
      <c r="DL99" s="3">
        <v>-7.5542946979403489E-2</v>
      </c>
      <c r="DM99" s="3">
        <v>29290600</v>
      </c>
      <c r="DN99" s="3">
        <v>-0.10791849568486214</v>
      </c>
      <c r="DO99" s="3">
        <v>5582991000</v>
      </c>
      <c r="DP99" s="3">
        <v>360792850</v>
      </c>
      <c r="DQ99" s="3">
        <v>4652</v>
      </c>
      <c r="DR99" s="3">
        <v>-6.1235733170859119E-2</v>
      </c>
      <c r="DS99" s="3">
        <v>0.45388682504177436</v>
      </c>
      <c r="DT99" s="12">
        <v>-0.59</v>
      </c>
      <c r="DU99" s="3">
        <v>-0.27999999999999997</v>
      </c>
      <c r="DV99" s="3">
        <v>-0.86999999999999988</v>
      </c>
      <c r="DW99" s="3">
        <v>-5.9345971563981044</v>
      </c>
      <c r="DX99" s="3">
        <v>0.31240354609928989</v>
      </c>
      <c r="DY99" s="3">
        <v>-5.1424359208093842</v>
      </c>
      <c r="DZ99" s="3">
        <v>1849</v>
      </c>
      <c r="EA99" s="3">
        <v>-5.0908969741212138</v>
      </c>
      <c r="EB99" s="3">
        <v>5</v>
      </c>
      <c r="EC99" s="3">
        <v>5.3510882016036654E-2</v>
      </c>
      <c r="ED99" s="3">
        <v>0.35111310324219336</v>
      </c>
      <c r="EE99" s="13">
        <v>-1.06721</v>
      </c>
      <c r="EF99" s="3">
        <v>-1.0963099999999999</v>
      </c>
      <c r="EG99" s="3">
        <v>16.15240354609929</v>
      </c>
      <c r="EH99" s="3" t="s">
        <v>1015</v>
      </c>
      <c r="EI99" s="3">
        <v>0</v>
      </c>
      <c r="EJ99" s="3">
        <v>0</v>
      </c>
      <c r="EK99" s="15">
        <v>45470</v>
      </c>
      <c r="EL99" s="16">
        <v>0.16</v>
      </c>
      <c r="EM99" s="16">
        <v>-4.0599999999999996</v>
      </c>
      <c r="EN99" s="3">
        <v>-2.46</v>
      </c>
      <c r="EO99" s="3">
        <v>2.52</v>
      </c>
      <c r="EP99" s="3">
        <v>-2.91</v>
      </c>
    </row>
    <row r="100" spans="1:146" ht="96" x14ac:dyDescent="0.25">
      <c r="C100" s="7" t="str">
        <f>""&amp;CHAR(10)&amp;Basic_Fundamental_Information_Constructure(F100)&amp;CHAR(10)&amp;Basic_Fundamental_Information_Concatenate("")</f>
        <v xml:space="preserve">
市值22.996344亿, 利润1919.58万; PE21.39; 平均PE16.74; 平均PEG3.93, PB1.1; ROIC8.7767%; ROE9.0533%; 股利率.4737%; 毛利44.8267%; 净利19.48%; 上一年度营收增-80.73%, 利润增-90.59%; 当季营收增-55.88%, 利润增-64.25%; 过往5年营收增4.26%, 利润增-3.85%
Income profile:
</v>
      </c>
      <c r="D100" s="3" t="s">
        <v>823</v>
      </c>
      <c r="E100" s="3" t="s">
        <v>3957</v>
      </c>
      <c r="F100" s="3">
        <v>17.100000000000001</v>
      </c>
      <c r="G100" s="3">
        <v>2.0299999999999998</v>
      </c>
      <c r="H100" s="3" t="s">
        <v>3958</v>
      </c>
      <c r="I100" s="3">
        <v>2299634400</v>
      </c>
      <c r="J100" s="3">
        <v>21.39</v>
      </c>
      <c r="K100" s="3">
        <v>1.1000000000000001</v>
      </c>
      <c r="L100" s="3" t="s">
        <v>343</v>
      </c>
      <c r="M100" s="3" t="s">
        <v>2040</v>
      </c>
      <c r="N100" s="3" t="s">
        <v>3959</v>
      </c>
      <c r="O100" s="3" t="s">
        <v>5</v>
      </c>
      <c r="P100" s="3">
        <v>-6.08</v>
      </c>
      <c r="Q100" s="3" t="s">
        <v>5</v>
      </c>
      <c r="R100" s="3">
        <v>19195795</v>
      </c>
      <c r="S100" s="5">
        <v>3.85E-2</v>
      </c>
      <c r="T100" s="3" t="s">
        <v>3960</v>
      </c>
      <c r="U100" s="3">
        <v>134481550</v>
      </c>
      <c r="V100" s="3">
        <v>134481550</v>
      </c>
      <c r="W100" s="3">
        <v>1.36</v>
      </c>
      <c r="X100" s="3">
        <v>0.06</v>
      </c>
      <c r="Y100" s="3">
        <v>10.28</v>
      </c>
      <c r="Z100" s="3" t="s">
        <v>20</v>
      </c>
      <c r="AA100" s="3" t="s">
        <v>24</v>
      </c>
      <c r="AB100" s="3" t="s">
        <v>3961</v>
      </c>
      <c r="AC100" s="3" t="s">
        <v>3962</v>
      </c>
      <c r="AD100" s="3" t="s">
        <v>4</v>
      </c>
      <c r="AE100" s="3">
        <v>-308059</v>
      </c>
      <c r="AF100" s="3" t="s">
        <v>2192</v>
      </c>
      <c r="AG100" s="3" t="s">
        <v>2367</v>
      </c>
      <c r="AH100" s="3" t="s">
        <v>2193</v>
      </c>
      <c r="AI100" s="3" t="s">
        <v>304</v>
      </c>
      <c r="AJ100" s="3" t="s">
        <v>2194</v>
      </c>
      <c r="AK100" s="3" t="s">
        <v>3963</v>
      </c>
      <c r="AL100" s="3" t="s">
        <v>2195</v>
      </c>
      <c r="AM100" s="3" t="s">
        <v>4</v>
      </c>
      <c r="AN100" s="3" t="s">
        <v>322</v>
      </c>
      <c r="AO100" s="3" t="s">
        <v>76</v>
      </c>
      <c r="AP100" s="3" t="s">
        <v>52</v>
      </c>
      <c r="AQ100" s="3" t="s">
        <v>139</v>
      </c>
      <c r="AR100" s="3" t="s">
        <v>4</v>
      </c>
      <c r="AS100" s="3" t="s">
        <v>3964</v>
      </c>
      <c r="AT100" s="3" t="s">
        <v>90</v>
      </c>
      <c r="AU100" s="3" t="s">
        <v>3965</v>
      </c>
      <c r="AV100" s="3" t="s">
        <v>3966</v>
      </c>
      <c r="AW100" s="3" t="s">
        <v>274</v>
      </c>
      <c r="AX100" s="3" t="s">
        <v>1338</v>
      </c>
      <c r="AY100" s="3" t="s">
        <v>241</v>
      </c>
      <c r="AZ100" s="3" t="s">
        <v>259</v>
      </c>
      <c r="BA100" s="3" t="s">
        <v>208</v>
      </c>
      <c r="BB100" s="3" t="s">
        <v>228</v>
      </c>
      <c r="BC100" s="3" t="s">
        <v>185</v>
      </c>
      <c r="BD100" s="3" t="s">
        <v>907</v>
      </c>
      <c r="BE100" s="3" t="s">
        <v>216</v>
      </c>
      <c r="BF100" s="3" t="s">
        <v>111</v>
      </c>
      <c r="BG100" s="3" t="s">
        <v>142</v>
      </c>
      <c r="BH100" s="3" t="s">
        <v>2007</v>
      </c>
      <c r="BI100" s="3" t="s">
        <v>209</v>
      </c>
      <c r="BJ100" s="3" t="s">
        <v>1338</v>
      </c>
      <c r="BK100" s="3" t="s">
        <v>129</v>
      </c>
      <c r="BL100" s="3" t="s">
        <v>3967</v>
      </c>
      <c r="BM100" s="3" t="s">
        <v>185</v>
      </c>
      <c r="BN100" s="3">
        <v>4.3600000000000003</v>
      </c>
      <c r="BO100" s="3">
        <v>10.38</v>
      </c>
      <c r="BP100" s="3">
        <v>11.59</v>
      </c>
      <c r="BQ100" s="3">
        <v>4.6900000000000004</v>
      </c>
      <c r="BR100" s="3">
        <v>10.71</v>
      </c>
      <c r="BS100" s="3">
        <v>11.76</v>
      </c>
      <c r="BT100" s="3" t="s">
        <v>2196</v>
      </c>
      <c r="BU100" s="3" t="s">
        <v>1002</v>
      </c>
      <c r="BV100" s="3">
        <v>41.52</v>
      </c>
      <c r="BW100" s="3">
        <v>46.1</v>
      </c>
      <c r="BX100" s="3">
        <v>46.86</v>
      </c>
      <c r="BY100" s="3">
        <v>13.31</v>
      </c>
      <c r="BZ100" s="3">
        <v>21.82</v>
      </c>
      <c r="CA100" s="3">
        <v>23.31</v>
      </c>
      <c r="CB100" s="3">
        <v>-9.3800000000000008</v>
      </c>
      <c r="CC100" s="3">
        <v>-7.96</v>
      </c>
      <c r="CD100" s="3" t="s">
        <v>3968</v>
      </c>
      <c r="CE100" s="3" t="s">
        <v>3969</v>
      </c>
      <c r="CF100" s="10">
        <v>-0.55882352941176472</v>
      </c>
      <c r="CG100" s="11">
        <v>-0.64252176066803479</v>
      </c>
      <c r="CH100" s="10">
        <v>-0.80728054046630859</v>
      </c>
      <c r="CI100" s="10">
        <v>5.298759788274765E-2</v>
      </c>
      <c r="CJ100" s="10">
        <v>0.36671802401542664</v>
      </c>
      <c r="CK100" s="10">
        <v>0.50930231809616089</v>
      </c>
      <c r="CL100" s="10">
        <v>9.1370560228824615E-2</v>
      </c>
      <c r="CM100" s="11">
        <v>-0.9059029221534729</v>
      </c>
      <c r="CN100" s="11">
        <v>-1.4492753893136978E-2</v>
      </c>
      <c r="CO100" s="11">
        <v>0.21764706075191498</v>
      </c>
      <c r="CP100" s="11">
        <v>0.54545456171035767</v>
      </c>
      <c r="CQ100" s="11">
        <v>-3.5087719559669495E-2</v>
      </c>
      <c r="CR100" s="3">
        <v>16.740932676434412</v>
      </c>
      <c r="CS100" s="3">
        <v>3.9279899008737886</v>
      </c>
      <c r="CT100" s="3">
        <v>0.47368421052631576</v>
      </c>
      <c r="CU100" s="10">
        <v>4.2619591951370238E-2</v>
      </c>
      <c r="CV100" s="11">
        <v>-3.8476354628801349E-2</v>
      </c>
      <c r="CW100" s="3">
        <v>0.06</v>
      </c>
      <c r="CX100" s="3">
        <v>48.335988208231704</v>
      </c>
      <c r="CY100" s="3">
        <v>18881053.927528407</v>
      </c>
      <c r="CZ100" s="3">
        <v>4.2619591951370238E-2</v>
      </c>
      <c r="DA100" s="3">
        <v>16.445855330986777</v>
      </c>
      <c r="DB100" s="3">
        <v>55493276.67259983</v>
      </c>
      <c r="DC100" s="3">
        <v>4.0488612353801724E-2</v>
      </c>
      <c r="DD100" s="3">
        <v>8.5359623216047087</v>
      </c>
      <c r="DE100" s="3">
        <v>106916404.45625003</v>
      </c>
      <c r="DF100" s="3">
        <v>3.7505240917205807E-2</v>
      </c>
      <c r="DG100" s="3">
        <v>5.4336646974292675</v>
      </c>
      <c r="DH100" s="3">
        <v>167959278.09674719</v>
      </c>
      <c r="DI100" s="3">
        <v>3.409567356109619E-2</v>
      </c>
      <c r="DJ100" s="3">
        <v>3.1747958258289466</v>
      </c>
      <c r="DK100" s="3">
        <v>287462391.30565476</v>
      </c>
      <c r="DL100" s="3">
        <v>2.9833714365959163E-2</v>
      </c>
      <c r="DM100" s="3">
        <v>19195800</v>
      </c>
      <c r="DN100" s="3">
        <v>4.2619591951370238E-2</v>
      </c>
      <c r="DO100" s="3">
        <v>912634400</v>
      </c>
      <c r="DP100" s="3">
        <v>592627140</v>
      </c>
      <c r="DQ100" s="3">
        <v>4697</v>
      </c>
      <c r="DR100" s="3">
        <v>-0.60144312136313494</v>
      </c>
      <c r="DS100" s="3">
        <v>-0.6040454060392334</v>
      </c>
      <c r="DT100" s="12">
        <v>-0.52333333333333332</v>
      </c>
      <c r="DU100" s="3">
        <v>-0.52333333333333332</v>
      </c>
      <c r="DV100" s="3">
        <v>-1.0466666666666666</v>
      </c>
      <c r="DW100" s="3">
        <v>-5.8486140724946694</v>
      </c>
      <c r="DX100" s="3">
        <v>0.30286460589660724</v>
      </c>
      <c r="DY100" s="3">
        <v>-5.1127507743003182</v>
      </c>
      <c r="DZ100" s="3">
        <v>2624</v>
      </c>
      <c r="EA100" s="3">
        <v>-5.0548529207261428</v>
      </c>
      <c r="EB100" s="3">
        <v>5</v>
      </c>
      <c r="EC100" s="3">
        <v>8.4143884421320245E-2</v>
      </c>
      <c r="ED100" s="3">
        <v>0.63330546086061634</v>
      </c>
      <c r="EE100" s="13">
        <v>9.7709999999999977E-2</v>
      </c>
      <c r="EF100" s="3">
        <v>0.14430999999999999</v>
      </c>
      <c r="EG100" s="3">
        <v>17.132864605896607</v>
      </c>
      <c r="EH100" s="3">
        <v>-1</v>
      </c>
      <c r="EI100" s="3">
        <v>0</v>
      </c>
      <c r="EJ100" s="3">
        <v>0</v>
      </c>
      <c r="EK100" s="15">
        <v>45470</v>
      </c>
      <c r="EL100" s="16">
        <v>-0.28000000000000003</v>
      </c>
      <c r="EM100" s="16">
        <v>-6.53</v>
      </c>
      <c r="EN100" s="3">
        <v>-1.6</v>
      </c>
      <c r="EO100" s="3">
        <v>4.4000000000000004</v>
      </c>
      <c r="EP100" s="3">
        <v>-4.66</v>
      </c>
    </row>
    <row r="101" spans="1:146" ht="96" x14ac:dyDescent="0.25">
      <c r="C101" s="7" t="str">
        <f>""&amp;CHAR(10)&amp;Basic_Fundamental_Information_Constructure(F101)&amp;CHAR(10)&amp;Basic_Fundamental_Information_Concatenate("")</f>
        <v xml:space="preserve">
市值29.36245亿, 利润1125.47万; PE63.32; 平均PE64.76; 平均PEG7.07, PB3.25; ROIC5.7333%; ROE5.8633%; 股利率.4419%; 毛利31.9567%; 净利15.4567%; 上一年度营收增-72.71%, 利润增-80.74%; 当季营收增-43.78%, 利润增-44.81%; 过往5年营收增9.16%, 利润增-.75%
Income profile:
</v>
      </c>
      <c r="D101" s="3" t="s">
        <v>824</v>
      </c>
      <c r="E101" s="3" t="s">
        <v>825</v>
      </c>
      <c r="F101" s="3">
        <v>22.7</v>
      </c>
      <c r="G101" s="3">
        <v>1.07</v>
      </c>
      <c r="H101" s="3" t="s">
        <v>3970</v>
      </c>
      <c r="I101" s="3">
        <v>2936245000</v>
      </c>
      <c r="J101" s="3">
        <v>63.32</v>
      </c>
      <c r="K101" s="3">
        <v>3.25</v>
      </c>
      <c r="L101" s="3" t="s">
        <v>343</v>
      </c>
      <c r="M101" s="3" t="s">
        <v>1046</v>
      </c>
      <c r="N101" s="3" t="s">
        <v>278</v>
      </c>
      <c r="O101" s="3" t="s">
        <v>2197</v>
      </c>
      <c r="P101" s="3">
        <v>20.64</v>
      </c>
      <c r="Q101" s="3" t="s">
        <v>2197</v>
      </c>
      <c r="R101" s="3">
        <v>11254675</v>
      </c>
      <c r="S101" s="5">
        <v>0.72070000000000001</v>
      </c>
      <c r="T101" s="3" t="s">
        <v>3971</v>
      </c>
      <c r="U101" s="3">
        <v>129350000</v>
      </c>
      <c r="V101" s="3">
        <v>129350000</v>
      </c>
      <c r="W101" s="3">
        <v>1.3</v>
      </c>
      <c r="X101" s="3">
        <v>0.08</v>
      </c>
      <c r="Y101" s="3">
        <v>11</v>
      </c>
      <c r="Z101" s="3" t="s">
        <v>3972</v>
      </c>
      <c r="AA101" s="3" t="s">
        <v>3973</v>
      </c>
      <c r="AB101" s="3" t="s">
        <v>3974</v>
      </c>
      <c r="AC101" s="3" t="s">
        <v>3975</v>
      </c>
      <c r="AD101" s="3" t="s">
        <v>4</v>
      </c>
      <c r="AE101" s="3">
        <v>-444137</v>
      </c>
      <c r="AF101" s="3" t="s">
        <v>2199</v>
      </c>
      <c r="AG101" s="3" t="s">
        <v>3976</v>
      </c>
      <c r="AH101" s="3" t="s">
        <v>2200</v>
      </c>
      <c r="AI101" s="3" t="s">
        <v>140</v>
      </c>
      <c r="AJ101" s="3" t="s">
        <v>2201</v>
      </c>
      <c r="AK101" s="3" t="s">
        <v>3977</v>
      </c>
      <c r="AL101" s="3" t="s">
        <v>2202</v>
      </c>
      <c r="AM101" s="3" t="s">
        <v>4</v>
      </c>
      <c r="AN101" s="3" t="s">
        <v>3978</v>
      </c>
      <c r="AO101" s="3" t="s">
        <v>121</v>
      </c>
      <c r="AP101" s="3" t="s">
        <v>3979</v>
      </c>
      <c r="AQ101" s="3" t="s">
        <v>3980</v>
      </c>
      <c r="AR101" s="3" t="s">
        <v>3981</v>
      </c>
      <c r="AS101" s="3" t="s">
        <v>862</v>
      </c>
      <c r="AT101" s="3" t="s">
        <v>3982</v>
      </c>
      <c r="AU101" s="3" t="s">
        <v>3983</v>
      </c>
      <c r="AV101" s="3" t="s">
        <v>3984</v>
      </c>
      <c r="AW101" s="3" t="s">
        <v>3985</v>
      </c>
      <c r="AX101" s="3" t="s">
        <v>54</v>
      </c>
      <c r="AY101" s="3" t="s">
        <v>71</v>
      </c>
      <c r="AZ101" s="3" t="s">
        <v>215</v>
      </c>
      <c r="BA101" s="3" t="s">
        <v>69</v>
      </c>
      <c r="BB101" s="3" t="s">
        <v>65</v>
      </c>
      <c r="BC101" s="3" t="s">
        <v>2203</v>
      </c>
      <c r="BD101" s="3" t="s">
        <v>973</v>
      </c>
      <c r="BE101" s="3" t="s">
        <v>826</v>
      </c>
      <c r="BF101" s="3" t="s">
        <v>827</v>
      </c>
      <c r="BG101" s="3" t="s">
        <v>828</v>
      </c>
      <c r="BH101" s="3" t="s">
        <v>1056</v>
      </c>
      <c r="BI101" s="3" t="s">
        <v>252</v>
      </c>
      <c r="BJ101" s="3" t="s">
        <v>54</v>
      </c>
      <c r="BK101" s="3" t="s">
        <v>2198</v>
      </c>
      <c r="BL101" s="3" t="s">
        <v>3986</v>
      </c>
      <c r="BM101" s="3" t="s">
        <v>2203</v>
      </c>
      <c r="BN101" s="3">
        <v>2.89</v>
      </c>
      <c r="BO101" s="3">
        <v>6.55</v>
      </c>
      <c r="BP101" s="3">
        <v>7.76</v>
      </c>
      <c r="BQ101" s="3">
        <v>3.53</v>
      </c>
      <c r="BR101" s="3">
        <v>6.82</v>
      </c>
      <c r="BS101" s="3">
        <v>7.24</v>
      </c>
      <c r="BT101" s="3" t="s">
        <v>3987</v>
      </c>
      <c r="BU101" s="3" t="s">
        <v>1011</v>
      </c>
      <c r="BV101" s="3">
        <v>30.77</v>
      </c>
      <c r="BW101" s="3">
        <v>32.15</v>
      </c>
      <c r="BX101" s="3">
        <v>32.950000000000003</v>
      </c>
      <c r="BY101" s="3">
        <v>12.14</v>
      </c>
      <c r="BZ101" s="3">
        <v>16.96</v>
      </c>
      <c r="CA101" s="3">
        <v>17.27</v>
      </c>
      <c r="CB101" s="3">
        <v>-7</v>
      </c>
      <c r="CC101" s="3">
        <v>-17.72</v>
      </c>
      <c r="CD101" s="3" t="s">
        <v>3988</v>
      </c>
      <c r="CE101" s="3" t="s">
        <v>118</v>
      </c>
      <c r="CF101" s="10">
        <v>-0.43780419161676648</v>
      </c>
      <c r="CG101" s="11">
        <v>-0.44805403390728216</v>
      </c>
      <c r="CH101" s="10">
        <v>-0.7270735502243042</v>
      </c>
      <c r="CI101" s="10">
        <v>0.13531352579593658</v>
      </c>
      <c r="CJ101" s="10">
        <v>0.12639404833316803</v>
      </c>
      <c r="CK101" s="10">
        <v>0.50279331207275391</v>
      </c>
      <c r="CL101" s="10">
        <v>0.420634925365448</v>
      </c>
      <c r="CM101" s="11">
        <v>-0.80740487575531006</v>
      </c>
      <c r="CN101" s="11">
        <v>0.11773312836885452</v>
      </c>
      <c r="CO101" s="11">
        <v>-0.26250749826431274</v>
      </c>
      <c r="CP101" s="11">
        <v>0.55336987972259521</v>
      </c>
      <c r="CQ101" s="11">
        <v>0.36115974187850952</v>
      </c>
      <c r="CR101" s="3">
        <v>64.76294351250101</v>
      </c>
      <c r="CS101" s="3">
        <v>7.069229336053704</v>
      </c>
      <c r="CT101" s="3">
        <v>0.44185022026431714</v>
      </c>
      <c r="CU101" s="10">
        <v>9.1612452268600458E-2</v>
      </c>
      <c r="CV101" s="11">
        <v>-7.5299248099327089E-3</v>
      </c>
      <c r="CW101" s="3">
        <v>0.06</v>
      </c>
      <c r="CX101" s="3">
        <v>188.45376190394512</v>
      </c>
      <c r="CY101" s="3">
        <v>11590349.685422091</v>
      </c>
      <c r="CZ101" s="3">
        <v>9.1612452268600458E-2</v>
      </c>
      <c r="DA101" s="3">
        <v>61.500916219618155</v>
      </c>
      <c r="DB101" s="3">
        <v>35515649.753901526</v>
      </c>
      <c r="DC101" s="3">
        <v>8.7031829655170437E-2</v>
      </c>
      <c r="DD101" s="3">
        <v>30.220220691927594</v>
      </c>
      <c r="DE101" s="3">
        <v>72277599.236178115</v>
      </c>
      <c r="DF101" s="3">
        <v>8.0618957996368409E-2</v>
      </c>
      <c r="DG101" s="3">
        <v>18.110387137205258</v>
      </c>
      <c r="DH101" s="3">
        <v>120607305.82135233</v>
      </c>
      <c r="DI101" s="3">
        <v>7.3289961814880372E-2</v>
      </c>
      <c r="DJ101" s="3">
        <v>9.3132485956578268</v>
      </c>
      <c r="DK101" s="3">
        <v>234530945.6271117</v>
      </c>
      <c r="DL101" s="3">
        <v>6.4128716588020315E-2</v>
      </c>
      <c r="DM101" s="3">
        <v>11254700</v>
      </c>
      <c r="DN101" s="3">
        <v>9.1612452268600458E-2</v>
      </c>
      <c r="DO101" s="3">
        <v>2184245000</v>
      </c>
      <c r="DP101" s="3">
        <v>352990610</v>
      </c>
      <c r="DQ101" s="3">
        <v>4710</v>
      </c>
      <c r="DR101" s="3">
        <v>-0.52941664388536691</v>
      </c>
      <c r="DS101" s="3">
        <v>-0.44052410909734946</v>
      </c>
      <c r="DT101" s="12">
        <v>-0.55666666666666675</v>
      </c>
      <c r="DU101" s="3">
        <v>-0.47000000000000003</v>
      </c>
      <c r="DV101" s="3">
        <v>-1.0266666666666668</v>
      </c>
      <c r="DW101" s="3">
        <v>-9.395033860045146</v>
      </c>
      <c r="DX101" s="3">
        <v>0.31881596638655624</v>
      </c>
      <c r="DY101" s="3">
        <v>-9.0469363298366758</v>
      </c>
      <c r="DZ101" s="3">
        <v>1822</v>
      </c>
      <c r="EA101" s="3">
        <v>-9.0302009104702528</v>
      </c>
      <c r="EB101" s="3">
        <v>9</v>
      </c>
      <c r="EC101" s="3">
        <v>0.10930885195206803</v>
      </c>
      <c r="ED101" s="3">
        <v>0.91998453807499037</v>
      </c>
      <c r="EE101" s="13">
        <v>-2.0567000000000002</v>
      </c>
      <c r="EF101" s="3">
        <v>-2.0059999999999998</v>
      </c>
      <c r="EG101" s="3">
        <v>20.118815966386556</v>
      </c>
      <c r="EH101" s="3" t="s">
        <v>1226</v>
      </c>
      <c r="EI101" s="3">
        <v>0</v>
      </c>
      <c r="EJ101" s="3">
        <v>0</v>
      </c>
      <c r="EK101" s="15">
        <v>45470</v>
      </c>
      <c r="EL101" s="16">
        <v>-2.93</v>
      </c>
      <c r="EM101" s="16">
        <v>-5.5</v>
      </c>
      <c r="EN101" s="3">
        <v>-1.1499999999999999</v>
      </c>
      <c r="EO101" s="3">
        <v>2.2400000000000002</v>
      </c>
      <c r="EP101" s="3">
        <v>-5.07</v>
      </c>
    </row>
    <row r="102" spans="1:146" ht="96" x14ac:dyDescent="0.25">
      <c r="C102" s="7" t="str">
        <f>""&amp;CHAR(10)&amp;Basic_Fundamental_Information_Constructure(F102)&amp;CHAR(10)&amp;Basic_Fundamental_Information_Concatenate("")</f>
        <v xml:space="preserve">
市值34.365785亿, 利润823.28万; PE43.65; 平均PE28.75; 平均PEG10.87, PB1.61; ROIC5.86%; ROE6.4367%; 股利率.4227%; 毛利27.91%; 净利10.6167%; 上一年度营收增-72.77%, 利润增-92.71%; 当季营收增-44.33%, 利润增-86.45%; 过往5年营收增-2.65%, 利润增-8.39%
Income profile:
</v>
      </c>
      <c r="D102" s="3" t="s">
        <v>829</v>
      </c>
      <c r="E102" s="3" t="s">
        <v>830</v>
      </c>
      <c r="F102" s="3">
        <v>11.83</v>
      </c>
      <c r="G102" s="3">
        <v>1.1100000000000001</v>
      </c>
      <c r="H102" s="3" t="s">
        <v>3989</v>
      </c>
      <c r="I102" s="3">
        <v>3436578500</v>
      </c>
      <c r="J102" s="3">
        <v>43.65</v>
      </c>
      <c r="K102" s="3">
        <v>1.61</v>
      </c>
      <c r="L102" s="3" t="s">
        <v>343</v>
      </c>
      <c r="M102" s="3" t="s">
        <v>1373</v>
      </c>
      <c r="N102" s="3" t="s">
        <v>3990</v>
      </c>
      <c r="O102" s="3" t="s">
        <v>304</v>
      </c>
      <c r="P102" s="3">
        <v>25.08</v>
      </c>
      <c r="Q102" s="3" t="s">
        <v>304</v>
      </c>
      <c r="R102" s="3">
        <v>8232833</v>
      </c>
      <c r="S102" s="5">
        <v>-0.66969999999999996</v>
      </c>
      <c r="T102" s="3" t="s">
        <v>3991</v>
      </c>
      <c r="U102" s="3">
        <v>286833910</v>
      </c>
      <c r="V102" s="3">
        <v>290496920</v>
      </c>
      <c r="W102" s="3">
        <v>1.57</v>
      </c>
      <c r="X102" s="3">
        <v>0.09</v>
      </c>
      <c r="Y102" s="3">
        <v>2.62</v>
      </c>
      <c r="Z102" s="3" t="s">
        <v>1434</v>
      </c>
      <c r="AA102" s="3" t="s">
        <v>1310</v>
      </c>
      <c r="AB102" s="3" t="s">
        <v>3992</v>
      </c>
      <c r="AC102" s="3" t="s">
        <v>3993</v>
      </c>
      <c r="AD102" s="3" t="s">
        <v>4</v>
      </c>
      <c r="AE102" s="3">
        <v>243064</v>
      </c>
      <c r="AF102" s="3" t="s">
        <v>2205</v>
      </c>
      <c r="AG102" s="3" t="s">
        <v>3994</v>
      </c>
      <c r="AH102" s="3" t="s">
        <v>2206</v>
      </c>
      <c r="AI102" s="3" t="s">
        <v>40</v>
      </c>
      <c r="AJ102" s="3" t="s">
        <v>2208</v>
      </c>
      <c r="AK102" s="3" t="s">
        <v>190</v>
      </c>
      <c r="AL102" s="3" t="s">
        <v>2209</v>
      </c>
      <c r="AM102" s="3" t="s">
        <v>4</v>
      </c>
      <c r="AN102" s="3" t="s">
        <v>1354</v>
      </c>
      <c r="AO102" s="3" t="s">
        <v>3995</v>
      </c>
      <c r="AP102" s="3" t="s">
        <v>1164</v>
      </c>
      <c r="AQ102" s="3" t="s">
        <v>3996</v>
      </c>
      <c r="AR102" s="3" t="s">
        <v>4</v>
      </c>
      <c r="AS102" s="3" t="s">
        <v>240</v>
      </c>
      <c r="AT102" s="3" t="s">
        <v>3997</v>
      </c>
      <c r="AU102" s="3" t="s">
        <v>3998</v>
      </c>
      <c r="AV102" s="3" t="s">
        <v>3999</v>
      </c>
      <c r="AW102" s="3" t="s">
        <v>4000</v>
      </c>
      <c r="AX102" s="3" t="s">
        <v>1071</v>
      </c>
      <c r="AY102" s="3" t="s">
        <v>282</v>
      </c>
      <c r="AZ102" s="3" t="s">
        <v>319</v>
      </c>
      <c r="BA102" s="3" t="s">
        <v>200</v>
      </c>
      <c r="BB102" s="3" t="s">
        <v>237</v>
      </c>
      <c r="BC102" s="3" t="s">
        <v>881</v>
      </c>
      <c r="BD102" s="3" t="s">
        <v>187</v>
      </c>
      <c r="BE102" s="3" t="s">
        <v>36</v>
      </c>
      <c r="BF102" s="3" t="s">
        <v>274</v>
      </c>
      <c r="BG102" s="3" t="s">
        <v>831</v>
      </c>
      <c r="BH102" s="3" t="s">
        <v>1238</v>
      </c>
      <c r="BI102" s="3" t="s">
        <v>1378</v>
      </c>
      <c r="BJ102" s="3" t="s">
        <v>1071</v>
      </c>
      <c r="BK102" s="3" t="s">
        <v>2204</v>
      </c>
      <c r="BL102" s="3" t="s">
        <v>4001</v>
      </c>
      <c r="BM102" s="3" t="s">
        <v>881</v>
      </c>
      <c r="BN102" s="3">
        <v>2.74</v>
      </c>
      <c r="BO102" s="3">
        <v>5.23</v>
      </c>
      <c r="BP102" s="3">
        <v>9.61</v>
      </c>
      <c r="BQ102" s="3">
        <v>3.57</v>
      </c>
      <c r="BR102" s="3">
        <v>5.64</v>
      </c>
      <c r="BS102" s="3">
        <v>10.1</v>
      </c>
      <c r="BT102" s="3" t="s">
        <v>1158</v>
      </c>
      <c r="BU102" s="3" t="s">
        <v>1002</v>
      </c>
      <c r="BV102" s="3">
        <v>27.1</v>
      </c>
      <c r="BW102" s="3">
        <v>25.67</v>
      </c>
      <c r="BX102" s="3">
        <v>30.96</v>
      </c>
      <c r="BY102" s="3">
        <v>7.61</v>
      </c>
      <c r="BZ102" s="3">
        <v>9.84</v>
      </c>
      <c r="CA102" s="3">
        <v>14.4</v>
      </c>
      <c r="CB102" s="3">
        <v>-7.51</v>
      </c>
      <c r="CC102" s="3">
        <v>-3.9</v>
      </c>
      <c r="CD102" s="3" t="s">
        <v>4002</v>
      </c>
      <c r="CE102" s="3" t="s">
        <v>20</v>
      </c>
      <c r="CF102" s="10">
        <v>-0.4432624113475177</v>
      </c>
      <c r="CG102" s="11">
        <v>-0.86445579536081374</v>
      </c>
      <c r="CH102" s="10">
        <v>-0.72766691446304321</v>
      </c>
      <c r="CI102" s="10">
        <v>-0.11102544516324997</v>
      </c>
      <c r="CJ102" s="10">
        <v>0.24114826321601868</v>
      </c>
      <c r="CK102" s="10">
        <v>0.14835165441036224</v>
      </c>
      <c r="CL102" s="10">
        <v>0.31693199276924133</v>
      </c>
      <c r="CM102" s="11">
        <v>-0.92714333534240723</v>
      </c>
      <c r="CN102" s="11">
        <v>-0.3957219123840332</v>
      </c>
      <c r="CO102" s="11">
        <v>5.6497175246477127E-2</v>
      </c>
      <c r="CP102" s="11">
        <v>0.23776224255561829</v>
      </c>
      <c r="CQ102" s="11">
        <v>0.60899418592453003</v>
      </c>
      <c r="CR102" s="3">
        <v>28.75363996674421</v>
      </c>
      <c r="CS102" s="3">
        <v>10.870082528071551</v>
      </c>
      <c r="CT102" s="3">
        <v>0.42265426880811496</v>
      </c>
      <c r="CU102" s="10">
        <v>-2.6452089846134185E-2</v>
      </c>
      <c r="CV102" s="11">
        <v>-8.3922328799963003E-2</v>
      </c>
      <c r="CW102" s="3">
        <v>0.06</v>
      </c>
      <c r="CX102" s="3">
        <v>298.02479107958408</v>
      </c>
      <c r="CY102" s="3" t="s">
        <v>4003</v>
      </c>
      <c r="CZ102" s="3">
        <v>-2.6452089846134185E-2</v>
      </c>
      <c r="DA102" s="3">
        <v>99.341597026528035</v>
      </c>
      <c r="DB102" s="3" t="s">
        <v>4004</v>
      </c>
      <c r="DC102" s="3">
        <v>-2.5129485353827474E-2</v>
      </c>
      <c r="DD102" s="3">
        <v>49.670798513264018</v>
      </c>
      <c r="DE102" s="3" t="s">
        <v>4005</v>
      </c>
      <c r="DF102" s="3">
        <v>-2.3277839064598082E-2</v>
      </c>
      <c r="DG102" s="3">
        <v>29.802479107958412</v>
      </c>
      <c r="DH102" s="3" t="s">
        <v>4006</v>
      </c>
      <c r="DI102" s="3">
        <v>-2.1161671876907349E-2</v>
      </c>
      <c r="DJ102" s="3">
        <v>14.901239553979206</v>
      </c>
      <c r="DK102" s="3" t="s">
        <v>4007</v>
      </c>
      <c r="DL102" s="3">
        <v>-1.8516462892293927E-2</v>
      </c>
      <c r="DM102" s="3">
        <v>8232800</v>
      </c>
      <c r="DN102" s="3">
        <v>-2.6452089846134185E-2</v>
      </c>
      <c r="DO102" s="3">
        <v>2453578500</v>
      </c>
      <c r="DP102" s="3">
        <v>717372800</v>
      </c>
      <c r="DQ102" s="3">
        <v>4799</v>
      </c>
      <c r="DR102" s="3">
        <v>-0.41681032150138353</v>
      </c>
      <c r="DS102" s="3">
        <v>-0.78053346656085076</v>
      </c>
      <c r="DT102" s="12">
        <v>-0.54</v>
      </c>
      <c r="DU102" s="3">
        <v>-0.60666666666666669</v>
      </c>
      <c r="DV102" s="3">
        <v>-1.1466666666666667</v>
      </c>
      <c r="DW102" s="3">
        <v>-5.5193075898801593</v>
      </c>
      <c r="DX102" s="3">
        <v>0.20909935897435986</v>
      </c>
      <c r="DY102" s="3">
        <v>-5.0618492010652467</v>
      </c>
      <c r="DZ102" s="3">
        <v>910</v>
      </c>
      <c r="EA102" s="3">
        <v>-5.0508349597796549</v>
      </c>
      <c r="EB102" s="3">
        <v>5</v>
      </c>
      <c r="EC102" s="3">
        <v>6.3957648845295853E-2</v>
      </c>
      <c r="ED102" s="3">
        <v>0.53701085712027519</v>
      </c>
      <c r="EE102" s="13">
        <v>-1.05911</v>
      </c>
      <c r="EF102" s="3">
        <v>-1.08551</v>
      </c>
      <c r="EG102" s="3">
        <v>9.1190993589743599</v>
      </c>
      <c r="EH102" s="3" t="s">
        <v>1015</v>
      </c>
      <c r="EI102" s="3">
        <v>0</v>
      </c>
      <c r="EJ102" s="3">
        <v>1</v>
      </c>
      <c r="EK102" s="15">
        <v>45470</v>
      </c>
      <c r="EL102" s="16">
        <v>-0.13</v>
      </c>
      <c r="EM102" s="16">
        <v>-5.86</v>
      </c>
      <c r="EN102" s="3">
        <v>-5.0999999999999996</v>
      </c>
      <c r="EO102" s="3">
        <v>1.75</v>
      </c>
      <c r="EP102" s="3">
        <v>-2.64</v>
      </c>
    </row>
    <row r="103" spans="1:146" ht="96" x14ac:dyDescent="0.25">
      <c r="C103" s="7" t="str">
        <f>""&amp;CHAR(10)&amp;Basic_Fundamental_Information_Constructure(F103)&amp;CHAR(10)&amp;Basic_Fundamental_Information_Concatenate("")</f>
        <v xml:space="preserve">
市值102.240256亿, 利润-2878.07万; PE; 平均PE-32.95; 平均PEG-1.48, PB3.43; ROIC0%; ROE-10.0633%; 股利率0%; 毛利44.62%; 净利-79.0467%; 上一年度营收增-73.45%, 利润增90.08%; 当季营收增-43.69%, 利润增79.44%; 过往5年营收增22.21%, 利润增-56.76%
Income profile:
</v>
      </c>
      <c r="D103" s="3" t="s">
        <v>1034</v>
      </c>
      <c r="E103" s="3" t="s">
        <v>1035</v>
      </c>
      <c r="F103" s="3">
        <v>25.56</v>
      </c>
      <c r="G103" s="3">
        <v>-0.23</v>
      </c>
      <c r="H103" s="3" t="s">
        <v>4008</v>
      </c>
      <c r="I103" s="3">
        <v>10224025600</v>
      </c>
      <c r="K103" s="3">
        <v>3.43</v>
      </c>
      <c r="L103" s="3" t="s">
        <v>343</v>
      </c>
      <c r="M103" s="3" t="s">
        <v>2210</v>
      </c>
      <c r="N103" s="3" t="s">
        <v>2992</v>
      </c>
      <c r="O103" s="3" t="s">
        <v>2211</v>
      </c>
      <c r="P103" s="3">
        <v>51.66</v>
      </c>
      <c r="Q103" s="3" t="s">
        <v>2211</v>
      </c>
      <c r="R103" s="3">
        <v>-28780669</v>
      </c>
      <c r="S103" s="5">
        <v>0.57750000000000001</v>
      </c>
      <c r="T103" s="3" t="s">
        <v>4009</v>
      </c>
      <c r="U103" s="3">
        <v>255464760</v>
      </c>
      <c r="V103" s="3">
        <v>400001000</v>
      </c>
      <c r="W103" s="3">
        <v>1.1299999999999999</v>
      </c>
      <c r="X103" s="3">
        <v>0.03</v>
      </c>
      <c r="Y103" s="3">
        <v>-29.93</v>
      </c>
      <c r="Z103" s="3" t="s">
        <v>62</v>
      </c>
      <c r="AA103" s="3" t="s">
        <v>4010</v>
      </c>
      <c r="AB103" s="3" t="s">
        <v>4011</v>
      </c>
      <c r="AC103" s="3" t="s">
        <v>4012</v>
      </c>
      <c r="AD103" s="3" t="s">
        <v>4</v>
      </c>
      <c r="AE103" s="3">
        <v>-19673234</v>
      </c>
      <c r="AF103" s="3" t="s">
        <v>2213</v>
      </c>
      <c r="AG103" s="3">
        <v>129</v>
      </c>
      <c r="AH103" s="3" t="s">
        <v>2214</v>
      </c>
      <c r="AI103" s="3" t="s">
        <v>4013</v>
      </c>
      <c r="AJ103" s="3" t="s">
        <v>2215</v>
      </c>
      <c r="AK103" s="3" t="s">
        <v>4014</v>
      </c>
      <c r="AL103" s="3" t="s">
        <v>2216</v>
      </c>
      <c r="AM103" s="3" t="s">
        <v>4</v>
      </c>
      <c r="AN103" s="3" t="s">
        <v>4015</v>
      </c>
      <c r="AO103" s="3" t="s">
        <v>99</v>
      </c>
      <c r="AP103" s="3" t="s">
        <v>4016</v>
      </c>
      <c r="AQ103" s="3" t="s">
        <v>4017</v>
      </c>
      <c r="AR103" s="3" t="s">
        <v>4</v>
      </c>
      <c r="AS103" s="3" t="s">
        <v>1250</v>
      </c>
      <c r="AT103" s="3" t="s">
        <v>4</v>
      </c>
      <c r="AU103" s="3" t="s">
        <v>4018</v>
      </c>
      <c r="AV103" s="3" t="s">
        <v>4019</v>
      </c>
      <c r="AW103" s="3" t="s">
        <v>4020</v>
      </c>
      <c r="AX103" s="3" t="s">
        <v>1339</v>
      </c>
      <c r="AY103" s="3" t="s">
        <v>1008</v>
      </c>
      <c r="AZ103" s="3" t="s">
        <v>314</v>
      </c>
      <c r="BA103" s="3" t="s">
        <v>311</v>
      </c>
      <c r="BB103" s="3" t="s">
        <v>40</v>
      </c>
      <c r="BC103" s="3" t="s">
        <v>1184</v>
      </c>
      <c r="BD103" s="3" t="s">
        <v>1036</v>
      </c>
      <c r="BE103" s="3" t="s">
        <v>1037</v>
      </c>
      <c r="BF103" s="3" t="s">
        <v>868</v>
      </c>
      <c r="BG103" s="3" t="s">
        <v>1038</v>
      </c>
      <c r="BH103" s="3" t="s">
        <v>1415</v>
      </c>
      <c r="BI103" s="3" t="s">
        <v>117</v>
      </c>
      <c r="BJ103" s="3" t="s">
        <v>1339</v>
      </c>
      <c r="BK103" s="3" t="s">
        <v>2212</v>
      </c>
      <c r="BL103" s="3" t="s">
        <v>4021</v>
      </c>
      <c r="BM103" s="3" t="s">
        <v>1184</v>
      </c>
      <c r="BN103" s="3" t="s">
        <v>4</v>
      </c>
      <c r="BO103" s="3" t="s">
        <v>4</v>
      </c>
      <c r="BP103" s="3" t="s">
        <v>4</v>
      </c>
      <c r="BQ103" s="3">
        <v>-6.06</v>
      </c>
      <c r="BR103" s="3">
        <v>-10.86</v>
      </c>
      <c r="BS103" s="3">
        <v>-13.27</v>
      </c>
      <c r="BT103" s="3" t="s">
        <v>1157</v>
      </c>
      <c r="BU103" s="3" t="s">
        <v>1011</v>
      </c>
      <c r="BV103" s="3">
        <v>42.65</v>
      </c>
      <c r="BW103" s="3">
        <v>43.63</v>
      </c>
      <c r="BX103" s="3">
        <v>47.58</v>
      </c>
      <c r="BY103" s="3">
        <v>-76.540000000000006</v>
      </c>
      <c r="BZ103" s="3">
        <v>-89.83</v>
      </c>
      <c r="CA103" s="3">
        <v>-70.77</v>
      </c>
      <c r="CB103" s="3">
        <v>-4.3099999999999996</v>
      </c>
      <c r="CC103" s="3">
        <v>-2.1800000000000002</v>
      </c>
      <c r="CD103" s="3" t="s">
        <v>4022</v>
      </c>
      <c r="CE103" s="3" t="s">
        <v>111</v>
      </c>
      <c r="CF103" s="10">
        <v>-0.43690000000000001</v>
      </c>
      <c r="CG103" s="11">
        <v>0.79442379285714282</v>
      </c>
      <c r="CH103" s="10">
        <v>-0.73453855514526367</v>
      </c>
      <c r="CI103" s="10">
        <v>-0.26160338521003723</v>
      </c>
      <c r="CJ103" s="10">
        <v>0.83011585474014282</v>
      </c>
      <c r="CK103" s="10">
        <v>-0.56616413593292236</v>
      </c>
      <c r="CL103" s="10">
        <v>1.8428571224212646</v>
      </c>
      <c r="CM103" s="11">
        <v>0.90075618028640747</v>
      </c>
      <c r="CN103" s="11">
        <v>6.752411276102066E-2</v>
      </c>
      <c r="CO103" s="11">
        <v>0.4943089485168457</v>
      </c>
      <c r="CP103" s="11">
        <v>-0.19186046719551086</v>
      </c>
      <c r="CQ103" s="11">
        <v>-4.1089110374450684</v>
      </c>
      <c r="CR103" s="3">
        <v>-32.94918332755303</v>
      </c>
      <c r="CS103" s="3">
        <v>-1.4833062595837256</v>
      </c>
      <c r="CT103" s="3">
        <v>0</v>
      </c>
      <c r="CU103" s="10">
        <v>0.22213338017463685</v>
      </c>
      <c r="CV103" s="11">
        <v>-0.56763645261526108</v>
      </c>
      <c r="CW103" s="3">
        <v>0.06</v>
      </c>
      <c r="CX103" s="3" t="e">
        <v>#VALUE!</v>
      </c>
      <c r="CY103" s="3" t="s">
        <v>1005</v>
      </c>
      <c r="CZ103" s="3">
        <v>0.22213338017463685</v>
      </c>
      <c r="DA103" s="3" t="e">
        <v>#VALUE!</v>
      </c>
      <c r="DB103" s="3" t="s">
        <v>1006</v>
      </c>
      <c r="DC103" s="3">
        <v>0.21102671116590499</v>
      </c>
      <c r="DD103" s="3" t="e">
        <v>#VALUE!</v>
      </c>
      <c r="DE103" s="3" t="s">
        <v>1006</v>
      </c>
      <c r="DF103" s="3">
        <v>0.19547737455368044</v>
      </c>
      <c r="DG103" s="3" t="e">
        <v>#VALUE!</v>
      </c>
      <c r="DH103" s="3" t="s">
        <v>1006</v>
      </c>
      <c r="DI103" s="3">
        <v>0.17770670413970949</v>
      </c>
      <c r="DJ103" s="3" t="e">
        <v>#VALUE!</v>
      </c>
      <c r="DK103" s="3" t="s">
        <v>1006</v>
      </c>
      <c r="DL103" s="3">
        <v>0.15549336612224579</v>
      </c>
      <c r="DM103" s="3">
        <v>-28780700</v>
      </c>
      <c r="DN103" s="3">
        <v>0.22213338017463685</v>
      </c>
      <c r="DO103" s="3">
        <v>7621025600</v>
      </c>
      <c r="DP103" s="3">
        <v>1579432700</v>
      </c>
      <c r="DQ103" s="3">
        <v>4821</v>
      </c>
      <c r="DR103" s="3">
        <v>-0.65903338017463686</v>
      </c>
      <c r="DS103" s="3">
        <v>1.3620602454724038</v>
      </c>
      <c r="DT103" s="12">
        <v>-0.3066666666666667</v>
      </c>
      <c r="DU103" s="3">
        <v>-2.6116666666666668</v>
      </c>
      <c r="DV103" s="3">
        <v>-2.9183333333333334</v>
      </c>
      <c r="DW103" s="3">
        <v>-4.5058004640371232</v>
      </c>
      <c r="DX103" s="3">
        <v>0.34490818181818339</v>
      </c>
      <c r="DY103" s="3">
        <v>-4.0581206116852986</v>
      </c>
      <c r="DZ103" s="3">
        <v>4321</v>
      </c>
      <c r="EA103" s="3">
        <v>-4.0089740044265563</v>
      </c>
      <c r="EB103" s="3">
        <v>4</v>
      </c>
      <c r="EC103" s="3">
        <v>3.1599671000822498E-2</v>
      </c>
      <c r="ED103" s="3">
        <v>0.27499931250171877</v>
      </c>
      <c r="EE103" s="13">
        <v>-4.0043100000000003</v>
      </c>
      <c r="EF103" s="3">
        <v>-4.0542100000000003</v>
      </c>
      <c r="EG103" s="3">
        <v>23.114908181818183</v>
      </c>
      <c r="EH103" s="3" t="s">
        <v>1511</v>
      </c>
      <c r="EI103" s="3">
        <v>0</v>
      </c>
      <c r="EJ103" s="3">
        <v>0</v>
      </c>
      <c r="EK103" s="15">
        <v>45470</v>
      </c>
      <c r="EL103" s="16">
        <v>-4.83</v>
      </c>
      <c r="EM103" s="16">
        <v>-6.87</v>
      </c>
      <c r="EN103" s="3">
        <v>-1.31</v>
      </c>
      <c r="EO103" s="3">
        <v>8.6999999999999993</v>
      </c>
      <c r="EP103" s="3">
        <v>-4.99</v>
      </c>
    </row>
    <row r="104" spans="1:146" ht="96" x14ac:dyDescent="0.25">
      <c r="A104" s="3"/>
      <c r="B104" s="3"/>
      <c r="C104" s="7" t="str">
        <f>""&amp;CHAR(10)&amp;Basic_Fundamental_Information_Constructure(F104)&amp;CHAR(10)&amp;Basic_Fundamental_Information_Concatenate("")</f>
        <v xml:space="preserve">
市值38.61亿, 利润-800.29万; PE; 平均PE85.21; 平均PEG32.08, PB3.51; ROIC5.205%; ROE6.8533%; 股利率0%; 毛利15.23%; 净利-3.2033%; 上一年度营收增-84.29%, 利润增-114.32%; 当季营收增-58.27%, 利润增45.88%; 过往5年营收增2.66%, 利润增-23.22%
Income profile:
</v>
      </c>
      <c r="D104" s="3" t="s">
        <v>1075</v>
      </c>
      <c r="E104" s="3" t="s">
        <v>1076</v>
      </c>
      <c r="F104" s="3">
        <v>8.58</v>
      </c>
      <c r="G104" s="3">
        <v>0.47</v>
      </c>
      <c r="H104" s="3" t="s">
        <v>4023</v>
      </c>
      <c r="I104" s="3">
        <v>3861000000</v>
      </c>
      <c r="K104" s="3">
        <v>3.51</v>
      </c>
      <c r="L104" s="3" t="s">
        <v>343</v>
      </c>
      <c r="M104" s="3" t="s">
        <v>2218</v>
      </c>
      <c r="N104" s="3" t="s">
        <v>4024</v>
      </c>
      <c r="O104" s="3" t="s">
        <v>46</v>
      </c>
      <c r="P104" s="3">
        <v>-32</v>
      </c>
      <c r="Q104" s="3" t="s">
        <v>46</v>
      </c>
      <c r="R104" s="3">
        <v>-8002876</v>
      </c>
      <c r="S104" s="3">
        <v>-2.9039999999999999</v>
      </c>
      <c r="T104" s="3" t="s">
        <v>4025</v>
      </c>
      <c r="U104" s="3">
        <v>233578790</v>
      </c>
      <c r="V104" s="3">
        <v>450000000</v>
      </c>
      <c r="W104" s="3">
        <v>1.7</v>
      </c>
      <c r="X104" s="3">
        <v>0.08</v>
      </c>
      <c r="Y104" s="3">
        <v>-8.61</v>
      </c>
      <c r="Z104" s="3" t="s">
        <v>36</v>
      </c>
      <c r="AA104" s="3" t="s">
        <v>274</v>
      </c>
      <c r="AB104" s="3" t="s">
        <v>4026</v>
      </c>
      <c r="AC104" s="3" t="s">
        <v>4027</v>
      </c>
      <c r="AD104" s="3" t="s">
        <v>4</v>
      </c>
      <c r="AE104" s="3">
        <v>4138097</v>
      </c>
      <c r="AF104" s="3" t="s">
        <v>2220</v>
      </c>
      <c r="AG104" s="3" t="s">
        <v>4028</v>
      </c>
      <c r="AH104" s="3" t="s">
        <v>2221</v>
      </c>
      <c r="AI104" s="3" t="s">
        <v>1558</v>
      </c>
      <c r="AJ104" s="3" t="s">
        <v>2222</v>
      </c>
      <c r="AK104" s="3" t="s">
        <v>4029</v>
      </c>
      <c r="AL104" s="3" t="s">
        <v>2223</v>
      </c>
      <c r="AM104" s="3" t="s">
        <v>4</v>
      </c>
      <c r="AN104" s="3" t="s">
        <v>1534</v>
      </c>
      <c r="AO104" s="3" t="s">
        <v>1778</v>
      </c>
      <c r="AP104" s="3" t="s">
        <v>4030</v>
      </c>
      <c r="AQ104" s="3" t="s">
        <v>1041</v>
      </c>
      <c r="AR104" s="3" t="s">
        <v>4031</v>
      </c>
      <c r="AS104" s="3" t="s">
        <v>2753</v>
      </c>
      <c r="AT104" s="3" t="s">
        <v>41</v>
      </c>
      <c r="AU104" s="3" t="s">
        <v>4032</v>
      </c>
      <c r="AV104" s="3" t="s">
        <v>1038</v>
      </c>
      <c r="AW104" s="3" t="s">
        <v>4033</v>
      </c>
      <c r="AX104" s="3" t="s">
        <v>1340</v>
      </c>
      <c r="AY104" s="3" t="s">
        <v>1077</v>
      </c>
      <c r="AZ104" s="3" t="s">
        <v>882</v>
      </c>
      <c r="BA104" s="3" t="s">
        <v>1079</v>
      </c>
      <c r="BB104" s="3" t="s">
        <v>159</v>
      </c>
      <c r="BC104" s="3" t="s">
        <v>2224</v>
      </c>
      <c r="BD104" s="3" t="s">
        <v>1078</v>
      </c>
      <c r="BE104" s="3" t="s">
        <v>1080</v>
      </c>
      <c r="BF104" s="3" t="s">
        <v>1081</v>
      </c>
      <c r="BG104" s="3" t="s">
        <v>1082</v>
      </c>
      <c r="BH104" s="3" t="s">
        <v>2084</v>
      </c>
      <c r="BI104" s="3" t="s">
        <v>1044</v>
      </c>
      <c r="BJ104" s="3" t="s">
        <v>1340</v>
      </c>
      <c r="BK104" s="3" t="s">
        <v>2219</v>
      </c>
      <c r="BL104" s="3" t="s">
        <v>4034</v>
      </c>
      <c r="BM104" s="3" t="s">
        <v>2224</v>
      </c>
      <c r="BN104" s="3" t="s">
        <v>4</v>
      </c>
      <c r="BO104" s="3">
        <v>3.94</v>
      </c>
      <c r="BP104" s="3">
        <v>6.47</v>
      </c>
      <c r="BQ104" s="3">
        <v>-3.55</v>
      </c>
      <c r="BR104" s="3">
        <v>10.89</v>
      </c>
      <c r="BS104" s="3">
        <v>13.22</v>
      </c>
      <c r="BT104" s="3" t="s">
        <v>1157</v>
      </c>
      <c r="BU104" s="3" t="s">
        <v>1002</v>
      </c>
      <c r="BV104" s="3">
        <v>3</v>
      </c>
      <c r="BW104" s="3">
        <v>18.350000000000001</v>
      </c>
      <c r="BX104" s="3">
        <v>24.34</v>
      </c>
      <c r="BY104" s="3">
        <v>-21.65</v>
      </c>
      <c r="BZ104" s="3">
        <v>4.3600000000000003</v>
      </c>
      <c r="CA104" s="3">
        <v>7.68</v>
      </c>
      <c r="CB104" s="3">
        <v>-7.14</v>
      </c>
      <c r="CC104" s="1">
        <v>-20.56</v>
      </c>
      <c r="CD104" s="1" t="s">
        <v>4035</v>
      </c>
      <c r="CE104" s="1" t="s">
        <v>4036</v>
      </c>
      <c r="CF104" s="10">
        <v>-0.58269720101781175</v>
      </c>
      <c r="CG104" s="11">
        <v>0.4588336646785951</v>
      </c>
      <c r="CH104" s="10">
        <v>-0.84291189908981323</v>
      </c>
      <c r="CI104" s="10">
        <v>0.50432276725769043</v>
      </c>
      <c r="CJ104" s="10">
        <v>0.3935742974281311</v>
      </c>
      <c r="CK104" s="10">
        <v>0.14220184087753296</v>
      </c>
      <c r="CL104" s="10">
        <v>-6.4377680420875549E-2</v>
      </c>
      <c r="CM104" s="11">
        <v>-1.1431976556777954</v>
      </c>
      <c r="CN104" s="11">
        <v>-5.4112512618303299E-2</v>
      </c>
      <c r="CO104" s="11">
        <v>1.914641447365284E-2</v>
      </c>
      <c r="CP104" s="11">
        <v>0.23901066184043884</v>
      </c>
      <c r="CQ104" s="11">
        <v>-0.22176039218902588</v>
      </c>
      <c r="CR104" s="1">
        <v>85.213760885758163</v>
      </c>
      <c r="CS104" s="1">
        <v>32.08124136251039</v>
      </c>
      <c r="CT104" s="1">
        <v>0</v>
      </c>
      <c r="CU104" s="10">
        <v>2.6561865210533143E-2</v>
      </c>
      <c r="CV104" s="11">
        <v>-0.23218269683420659</v>
      </c>
      <c r="CW104" s="3">
        <v>0.06</v>
      </c>
      <c r="CX104" s="3" t="e">
        <v>#VALUE!</v>
      </c>
      <c r="CY104" s="3" t="s">
        <v>1005</v>
      </c>
      <c r="CZ104" s="3">
        <v>2.6561865210533143E-2</v>
      </c>
      <c r="DA104" s="3" t="e">
        <v>#VALUE!</v>
      </c>
      <c r="DB104" s="3" t="s">
        <v>1006</v>
      </c>
      <c r="DC104" s="3">
        <v>2.5233771950006485E-2</v>
      </c>
      <c r="DD104" s="3" t="e">
        <v>#VALUE!</v>
      </c>
      <c r="DE104" s="3" t="s">
        <v>1006</v>
      </c>
      <c r="DF104" s="3">
        <v>2.3374441385269167E-2</v>
      </c>
      <c r="DG104" s="3" t="e">
        <v>#VALUE!</v>
      </c>
      <c r="DH104" s="3" t="s">
        <v>1006</v>
      </c>
      <c r="DI104" s="3">
        <v>2.1249492168426518E-2</v>
      </c>
      <c r="DJ104" s="3" t="e">
        <v>#VALUE!</v>
      </c>
      <c r="DK104" s="3" t="s">
        <v>1006</v>
      </c>
      <c r="DL104" s="3">
        <v>1.8593305647373198E-2</v>
      </c>
      <c r="DM104" s="3">
        <v>-8002900</v>
      </c>
      <c r="DN104" s="3">
        <v>2.6561865210533143E-2</v>
      </c>
      <c r="DO104" s="3">
        <v>3371000000</v>
      </c>
      <c r="DP104" s="3">
        <v>550180970</v>
      </c>
      <c r="DQ104" s="12">
        <v>4925</v>
      </c>
      <c r="DR104" s="3">
        <v>-0.60925906622834491</v>
      </c>
      <c r="DS104" s="3">
        <v>0.69101636151280166</v>
      </c>
      <c r="DT104" s="3">
        <v>-0.49</v>
      </c>
      <c r="DU104" s="3">
        <v>-1.4116666666666668</v>
      </c>
      <c r="DV104" s="3">
        <v>-1.9016666666666668</v>
      </c>
      <c r="DW104" s="3">
        <v>-9.3472762645914393</v>
      </c>
      <c r="DX104" s="3">
        <v>0.33531685822661955</v>
      </c>
      <c r="DY104" s="3">
        <v>-9.0539378583530183</v>
      </c>
      <c r="DZ104" s="3">
        <v>1006</v>
      </c>
      <c r="EA104" s="3">
        <v>-9.0433191723445763</v>
      </c>
      <c r="EB104" s="13">
        <v>9</v>
      </c>
      <c r="EC104" s="3">
        <v>2.9044666666666667E-2</v>
      </c>
      <c r="ED104" s="3">
        <v>0.18700266666666671</v>
      </c>
      <c r="EE104" s="3">
        <v>6.0456099999999999</v>
      </c>
      <c r="EF104" s="3">
        <v>6.0995100000000004</v>
      </c>
      <c r="EG104" s="3">
        <v>18.15531685822662</v>
      </c>
      <c r="EH104" s="15" t="s">
        <v>2225</v>
      </c>
      <c r="EI104" s="16">
        <v>0</v>
      </c>
      <c r="EJ104" s="16">
        <v>1</v>
      </c>
      <c r="EK104" s="16">
        <v>45470</v>
      </c>
      <c r="EL104" s="16">
        <v>0.77</v>
      </c>
      <c r="EM104" s="16">
        <v>-5.37</v>
      </c>
      <c r="EN104" s="3">
        <v>-6.84</v>
      </c>
      <c r="EO104" s="3">
        <v>4.57</v>
      </c>
      <c r="EP104" s="3">
        <v>-5.39</v>
      </c>
    </row>
    <row r="105" spans="1:146" ht="124.5" customHeight="1" x14ac:dyDescent="0.25">
      <c r="A105" s="3"/>
      <c r="B105" s="3"/>
      <c r="C105" s="7" t="str">
        <f>""&amp;CHAR(10)&amp;Basic_Fundamental_Information_Constructure(F105)&amp;CHAR(10)&amp;Basic_Fundamental_Information_Concatenate("")</f>
        <v xml:space="preserve">
市值44.62656亿, 利润428.08万; PE120.5; 平均PE118.25; 平均PEG24.71, PB3.73; ROIC10.69%; ROE10.765%; 股利率.769%; 毛利51.4267%; 净利12.63%; 上一年度营收增-74.72%, 利润增-92.75%; 当季营收增-53.56%, 利润增-85.03%; 过往5年营收增4.79%, 利润增-3.3%
Income profile:
</v>
      </c>
      <c r="D105" s="3" t="s">
        <v>1175</v>
      </c>
      <c r="E105" s="3" t="s">
        <v>1176</v>
      </c>
      <c r="F105" s="3">
        <v>84.52</v>
      </c>
      <c r="G105" s="3">
        <v>-1.81</v>
      </c>
      <c r="H105" s="3" t="s">
        <v>4037</v>
      </c>
      <c r="I105" s="3">
        <v>4462656000</v>
      </c>
      <c r="J105" s="3">
        <v>120.5</v>
      </c>
      <c r="K105" s="3">
        <v>3.73</v>
      </c>
      <c r="L105" s="3" t="s">
        <v>343</v>
      </c>
      <c r="M105" s="3" t="s">
        <v>117</v>
      </c>
      <c r="N105" s="3" t="s">
        <v>3646</v>
      </c>
      <c r="O105" s="3" t="s">
        <v>70</v>
      </c>
      <c r="P105" s="3">
        <v>-11.32</v>
      </c>
      <c r="Q105" s="3" t="s">
        <v>70</v>
      </c>
      <c r="R105" s="3">
        <v>4280820</v>
      </c>
      <c r="S105" s="3">
        <v>-0.69359999999999999</v>
      </c>
      <c r="T105" s="3" t="s">
        <v>4038</v>
      </c>
      <c r="U105" s="3">
        <v>16226277</v>
      </c>
      <c r="V105" s="3">
        <v>52800000</v>
      </c>
      <c r="W105" s="3">
        <v>1.1499999999999999</v>
      </c>
      <c r="X105" s="3">
        <v>0.08</v>
      </c>
      <c r="Y105" s="3">
        <v>3.86</v>
      </c>
      <c r="Z105" s="3" t="s">
        <v>97</v>
      </c>
      <c r="AA105" s="3" t="s">
        <v>4039</v>
      </c>
      <c r="AB105" s="3" t="s">
        <v>4040</v>
      </c>
      <c r="AC105" s="3" t="s">
        <v>4041</v>
      </c>
      <c r="AD105" s="3" t="s">
        <v>4</v>
      </c>
      <c r="AE105" s="3">
        <v>-472845</v>
      </c>
      <c r="AF105" s="3" t="s">
        <v>2227</v>
      </c>
      <c r="AG105" s="3" t="s">
        <v>4042</v>
      </c>
      <c r="AH105" s="3" t="s">
        <v>2228</v>
      </c>
      <c r="AI105" s="3" t="s">
        <v>2172</v>
      </c>
      <c r="AJ105" s="3" t="s">
        <v>2229</v>
      </c>
      <c r="AK105" s="3" t="s">
        <v>4043</v>
      </c>
      <c r="AL105" s="3" t="s">
        <v>2230</v>
      </c>
      <c r="AM105" s="3" t="s">
        <v>4</v>
      </c>
      <c r="AN105" s="3" t="s">
        <v>41</v>
      </c>
      <c r="AO105" s="3" t="s">
        <v>4044</v>
      </c>
      <c r="AP105" s="3" t="s">
        <v>4</v>
      </c>
      <c r="AQ105" s="3" t="s">
        <v>4045</v>
      </c>
      <c r="AR105" s="3" t="s">
        <v>4</v>
      </c>
      <c r="AS105" s="3" t="s">
        <v>144</v>
      </c>
      <c r="AT105" s="3" t="s">
        <v>4</v>
      </c>
      <c r="AU105" s="3" t="s">
        <v>4046</v>
      </c>
      <c r="AV105" s="3" t="s">
        <v>1250</v>
      </c>
      <c r="AW105" s="3" t="s">
        <v>4047</v>
      </c>
      <c r="AX105" s="3" t="s">
        <v>204</v>
      </c>
      <c r="AY105" s="3" t="s">
        <v>1049</v>
      </c>
      <c r="AZ105" s="3" t="s">
        <v>1163</v>
      </c>
      <c r="BA105" s="3" t="s">
        <v>105</v>
      </c>
      <c r="BB105" s="3" t="s">
        <v>143</v>
      </c>
      <c r="BC105" s="3" t="s">
        <v>1341</v>
      </c>
      <c r="BD105" s="3" t="s">
        <v>1177</v>
      </c>
      <c r="BE105" s="3" t="s">
        <v>1178</v>
      </c>
      <c r="BF105" s="3" t="s">
        <v>1342</v>
      </c>
      <c r="BG105" s="3" t="s">
        <v>1343</v>
      </c>
      <c r="BH105" s="3" t="s">
        <v>93</v>
      </c>
      <c r="BI105" s="3" t="s">
        <v>2581</v>
      </c>
      <c r="BJ105" s="3" t="s">
        <v>204</v>
      </c>
      <c r="BK105" s="3" t="s">
        <v>2226</v>
      </c>
      <c r="BL105" s="3" t="s">
        <v>4048</v>
      </c>
      <c r="BM105" s="3" t="s">
        <v>1341</v>
      </c>
      <c r="BN105" s="3">
        <v>4.05</v>
      </c>
      <c r="BO105" s="3">
        <v>14.46</v>
      </c>
      <c r="BP105" s="3">
        <v>13.56</v>
      </c>
      <c r="BQ105" s="3">
        <v>3.99</v>
      </c>
      <c r="BR105" s="3">
        <v>17.54</v>
      </c>
      <c r="BS105" s="3" t="s">
        <v>4</v>
      </c>
      <c r="BT105" s="3" t="s">
        <v>2231</v>
      </c>
      <c r="BU105" s="3" t="s">
        <v>1011</v>
      </c>
      <c r="BV105" s="3">
        <v>51.89</v>
      </c>
      <c r="BW105" s="3">
        <v>49.52</v>
      </c>
      <c r="BX105" s="3">
        <v>52.87</v>
      </c>
      <c r="BY105" s="3">
        <v>10.199999999999999</v>
      </c>
      <c r="BZ105" s="3">
        <v>13.45</v>
      </c>
      <c r="CA105" s="3">
        <v>14.24</v>
      </c>
      <c r="CB105" s="3">
        <v>-9.1300000000000008</v>
      </c>
      <c r="CC105" s="10">
        <v>-18.420000000000002</v>
      </c>
      <c r="CD105" s="11" t="s">
        <v>4049</v>
      </c>
      <c r="CE105" s="10" t="s">
        <v>4050</v>
      </c>
      <c r="CF105" s="10">
        <v>-0.53556485355648531</v>
      </c>
      <c r="CG105" s="10">
        <v>-0.85031940894484903</v>
      </c>
      <c r="CH105" s="10">
        <v>-0.74715262651443481</v>
      </c>
      <c r="CI105" s="10">
        <v>0.32628399133682251</v>
      </c>
      <c r="CJ105" s="11">
        <v>0.34552845358848572</v>
      </c>
      <c r="CK105" s="11">
        <v>0.10810811072587967</v>
      </c>
      <c r="CL105" s="11">
        <v>0.20652173459529877</v>
      </c>
      <c r="CM105" s="11">
        <v>-0.92746227979660034</v>
      </c>
      <c r="CN105" s="11">
        <v>0.25067391991615295</v>
      </c>
      <c r="CO105" s="3">
        <v>0.13353639841079712</v>
      </c>
      <c r="CP105" s="3">
        <v>-4.6886805444955826E-2</v>
      </c>
      <c r="CQ105" s="3">
        <v>0.42497691512107849</v>
      </c>
      <c r="CR105" s="10">
        <v>118.2500400777442</v>
      </c>
      <c r="CS105" s="11">
        <v>24.708555779943016</v>
      </c>
      <c r="CT105" s="3">
        <v>0.76904874585896832</v>
      </c>
      <c r="CU105" s="3">
        <v>4.785793274641037E-2</v>
      </c>
      <c r="CV105" s="3">
        <v>-3.3032370358705522E-2</v>
      </c>
      <c r="CW105" s="3">
        <v>0.06</v>
      </c>
      <c r="CX105" s="3">
        <v>810.6916395208226</v>
      </c>
      <c r="CY105" s="3">
        <v>4231764.3759441823</v>
      </c>
      <c r="CZ105" s="3">
        <v>4.785793274641037E-2</v>
      </c>
      <c r="DA105" s="3">
        <v>274.59718898917993</v>
      </c>
      <c r="DB105" s="3">
        <v>12493412.669767642</v>
      </c>
      <c r="DC105" s="3">
        <v>4.5465036109089849E-2</v>
      </c>
      <c r="DD105" s="3">
        <v>141.70442002627814</v>
      </c>
      <c r="DE105" s="3">
        <v>24209943.48210033</v>
      </c>
      <c r="DF105" s="3">
        <v>4.2114980816841126E-2</v>
      </c>
      <c r="DG105" s="3">
        <v>89.644378268024013</v>
      </c>
      <c r="DH105" s="3">
        <v>38269616.748780653</v>
      </c>
      <c r="DI105" s="3">
        <v>3.8286346197128299E-2</v>
      </c>
      <c r="DJ105" s="3">
        <v>51.719384861578909</v>
      </c>
      <c r="DK105" s="3">
        <v>66332111.435233869</v>
      </c>
      <c r="DL105" s="3">
        <v>3.3500552922487256E-2</v>
      </c>
      <c r="DM105" s="3">
        <v>4280800</v>
      </c>
      <c r="DN105" s="3">
        <v>4.785793274641037E-2</v>
      </c>
      <c r="DO105" s="3">
        <v>3430656000</v>
      </c>
      <c r="DP105" s="3">
        <v>637079260</v>
      </c>
      <c r="DQ105" s="12">
        <v>4930</v>
      </c>
      <c r="DR105" s="3">
        <v>-0.58342278630289568</v>
      </c>
      <c r="DS105" s="3">
        <v>-0.81728703858614349</v>
      </c>
      <c r="DT105" s="3">
        <v>-0.39000000000000007</v>
      </c>
      <c r="DU105" s="3">
        <v>-0.52333333333333332</v>
      </c>
      <c r="DV105" s="3">
        <v>-0.91333333333333333</v>
      </c>
      <c r="DW105" s="3">
        <v>-9.495656894679696</v>
      </c>
      <c r="DX105" s="3">
        <v>0.3854927934042347</v>
      </c>
      <c r="DY105" s="3">
        <v>-9.0522882303898289</v>
      </c>
      <c r="DZ105" s="3">
        <v>13</v>
      </c>
      <c r="EA105" s="3">
        <v>-9.0521552074945131</v>
      </c>
      <c r="EB105" s="13">
        <v>9</v>
      </c>
      <c r="EC105" s="13">
        <v>5.9759469696969686E-2</v>
      </c>
      <c r="ED105" s="3">
        <v>0.56647916666666676</v>
      </c>
      <c r="EE105" s="3">
        <v>-2.0344000000000002</v>
      </c>
      <c r="EF105" s="3">
        <v>-2.0122</v>
      </c>
      <c r="EG105" s="3">
        <v>28.105492793404235</v>
      </c>
      <c r="EH105" s="15" t="s">
        <v>1226</v>
      </c>
      <c r="EI105" s="16">
        <v>0</v>
      </c>
      <c r="EJ105" s="16">
        <v>1</v>
      </c>
      <c r="EK105" s="16">
        <v>45470</v>
      </c>
      <c r="EL105" s="16">
        <v>-0.19</v>
      </c>
      <c r="EM105" s="16">
        <v>-4.25</v>
      </c>
      <c r="EN105" s="3">
        <v>-2.91</v>
      </c>
      <c r="EO105" s="3">
        <v>3.65</v>
      </c>
      <c r="EP105" s="3">
        <v>-2.2200000000000002</v>
      </c>
    </row>
    <row r="106" spans="1:146" ht="120" x14ac:dyDescent="0.25">
      <c r="A106" s="7" t="s">
        <v>1410</v>
      </c>
      <c r="B106" s="7" t="s">
        <v>1411</v>
      </c>
      <c r="C106" s="7" t="str">
        <f>"公司专注于高解析度AMOLED半导体显示面板的研发、生产和销售。主要产品是AMOLED半导体显示面板。"&amp;CHAR(10)&amp;Basic_Fundamental_Information_Constructure(F106)&amp;CHAR(10)&amp;Basic_Fundamental_Information_Concatenate("（境内市场93.4%）
AMOLED半导体显示面板 41.50亿 99.02% 102.03% -16.40%")</f>
        <v>公司专注于高解析度AMOLED半导体显示面板的研发、生产和销售。主要产品是AMOLED半导体显示面板。
市值276.64008亿, 利润-6.42亿; PE; 平均PE-27.31; 平均PEG-.94, PB2.32; ROIC0%; ROE-10.8533%; 股利率0%; 毛利-31.0767%; 净利-56.17%; 上一年度营收增-73.18%, 利润增59.93%; 当季营收增-18.14%, 利润增50.5%; 过往5年营收增29.11%, 利润增-4.51%
Income profile:
（境内市场93.4%）
AMOLED半导体显示面板 41.50亿 99.02% 102.03% -16.40%</v>
      </c>
      <c r="D106" s="3" t="s">
        <v>832</v>
      </c>
      <c r="E106" s="3" t="s">
        <v>833</v>
      </c>
      <c r="F106" s="3">
        <v>2</v>
      </c>
      <c r="G106" s="3">
        <v>0.5</v>
      </c>
      <c r="H106" s="3" t="s">
        <v>4051</v>
      </c>
      <c r="I106" s="3">
        <v>27664008000</v>
      </c>
      <c r="K106" s="3">
        <v>2.3199999999999998</v>
      </c>
      <c r="L106" s="3" t="s">
        <v>343</v>
      </c>
      <c r="M106" s="3" t="s">
        <v>2232</v>
      </c>
      <c r="N106" s="3" t="s">
        <v>4052</v>
      </c>
      <c r="O106" s="3" t="s">
        <v>1386</v>
      </c>
      <c r="P106" s="3">
        <v>32.74</v>
      </c>
      <c r="Q106" s="3" t="s">
        <v>1386</v>
      </c>
      <c r="R106" s="3">
        <v>-641514070</v>
      </c>
      <c r="S106" s="5">
        <v>-0.50660000000000005</v>
      </c>
      <c r="T106" s="3" t="s">
        <v>4053</v>
      </c>
      <c r="U106" s="3">
        <v>5752235700</v>
      </c>
      <c r="V106" s="3">
        <v>13832004000</v>
      </c>
      <c r="W106" s="3">
        <v>2.37</v>
      </c>
      <c r="X106" s="3">
        <v>0.04</v>
      </c>
      <c r="Y106" s="3">
        <v>-57.07</v>
      </c>
      <c r="Z106" s="3" t="s">
        <v>4054</v>
      </c>
      <c r="AA106" s="3" t="s">
        <v>4055</v>
      </c>
      <c r="AB106" s="3" t="s">
        <v>4056</v>
      </c>
      <c r="AC106" s="3" t="s">
        <v>4057</v>
      </c>
      <c r="AD106" s="3" t="s">
        <v>4</v>
      </c>
      <c r="AE106" s="3">
        <v>134599120</v>
      </c>
      <c r="AF106" s="3" t="s">
        <v>2235</v>
      </c>
      <c r="AG106" s="3" t="s">
        <v>4058</v>
      </c>
      <c r="AH106" s="3" t="s">
        <v>2236</v>
      </c>
      <c r="AI106" s="3" t="s">
        <v>4059</v>
      </c>
      <c r="AJ106" s="3" t="s">
        <v>2237</v>
      </c>
      <c r="AK106" s="3" t="s">
        <v>4</v>
      </c>
      <c r="AL106" s="3" t="s">
        <v>2238</v>
      </c>
      <c r="AM106" s="3" t="s">
        <v>4</v>
      </c>
      <c r="AN106" s="3" t="s">
        <v>4060</v>
      </c>
      <c r="AO106" s="3" t="s">
        <v>4</v>
      </c>
      <c r="AP106" s="3" t="s">
        <v>4</v>
      </c>
      <c r="AQ106" s="3" t="s">
        <v>4061</v>
      </c>
      <c r="AR106" s="3" t="s">
        <v>4</v>
      </c>
      <c r="AS106" s="3" t="s">
        <v>4062</v>
      </c>
      <c r="AT106" s="3" t="s">
        <v>4063</v>
      </c>
      <c r="AU106" s="3" t="s">
        <v>3021</v>
      </c>
      <c r="AV106" s="3" t="s">
        <v>4064</v>
      </c>
      <c r="AW106" s="3" t="s">
        <v>2207</v>
      </c>
      <c r="AX106" s="3" t="s">
        <v>1344</v>
      </c>
      <c r="AY106" s="3" t="s">
        <v>974</v>
      </c>
      <c r="AZ106" s="3" t="s">
        <v>834</v>
      </c>
      <c r="BA106" s="3" t="s">
        <v>242</v>
      </c>
      <c r="BB106" s="3" t="s">
        <v>243</v>
      </c>
      <c r="BC106" s="3" t="s">
        <v>1345</v>
      </c>
      <c r="BD106" s="3" t="s">
        <v>975</v>
      </c>
      <c r="BE106" s="3" t="s">
        <v>835</v>
      </c>
      <c r="BF106" s="3" t="s">
        <v>836</v>
      </c>
      <c r="BG106" s="3" t="s">
        <v>837</v>
      </c>
      <c r="BH106" s="3" t="s">
        <v>2233</v>
      </c>
      <c r="BI106" s="3" t="s">
        <v>4065</v>
      </c>
      <c r="BJ106" s="3" t="s">
        <v>1344</v>
      </c>
      <c r="BK106" s="3" t="s">
        <v>2234</v>
      </c>
      <c r="BL106" s="3" t="s">
        <v>4066</v>
      </c>
      <c r="BM106" s="3" t="s">
        <v>1345</v>
      </c>
      <c r="BN106" s="3" t="s">
        <v>4</v>
      </c>
      <c r="BO106" s="3" t="s">
        <v>4</v>
      </c>
      <c r="BP106" s="3" t="s">
        <v>4</v>
      </c>
      <c r="BQ106" s="3">
        <v>-16.37</v>
      </c>
      <c r="BR106" s="3">
        <v>-9.65</v>
      </c>
      <c r="BS106" s="3">
        <v>-6.54</v>
      </c>
      <c r="BT106" s="3" t="s">
        <v>1157</v>
      </c>
      <c r="BU106" s="3" t="s">
        <v>1002</v>
      </c>
      <c r="BV106" s="3">
        <v>-64.3</v>
      </c>
      <c r="BW106" s="3">
        <v>-15.92</v>
      </c>
      <c r="BX106" s="3">
        <v>-13.01</v>
      </c>
      <c r="BY106" s="3">
        <v>-106.78</v>
      </c>
      <c r="BZ106" s="3">
        <v>-38.22</v>
      </c>
      <c r="CA106" s="3">
        <v>-23.51</v>
      </c>
      <c r="CB106" s="3">
        <v>1.01</v>
      </c>
      <c r="CC106" s="3">
        <v>-4.3099999999999996</v>
      </c>
      <c r="CD106" s="3" t="s">
        <v>27</v>
      </c>
      <c r="CE106" s="3" t="s">
        <v>236</v>
      </c>
      <c r="CF106" s="10">
        <v>-0.18135469774217042</v>
      </c>
      <c r="CG106" s="11">
        <v>0.50500457561728396</v>
      </c>
      <c r="CH106" s="10">
        <v>-0.73180627822875977</v>
      </c>
      <c r="CI106" s="10">
        <v>4.2278073728084564E-2</v>
      </c>
      <c r="CJ106" s="10">
        <v>0.60711419582366943</v>
      </c>
      <c r="CK106" s="10">
        <v>0.65366834402084351</v>
      </c>
      <c r="CL106" s="10">
        <v>0.88418424129486084</v>
      </c>
      <c r="CM106" s="11">
        <v>0.5992509126663208</v>
      </c>
      <c r="CN106" s="11">
        <v>-0.69523811340332031</v>
      </c>
      <c r="CO106" s="11">
        <v>8.7837837636470795E-2</v>
      </c>
      <c r="CP106" s="11">
        <v>-2.9821073636412621E-2</v>
      </c>
      <c r="CQ106" s="11">
        <v>-0.1877213716506958</v>
      </c>
      <c r="CR106" s="3">
        <v>-27.308991115498518</v>
      </c>
      <c r="CS106" s="3">
        <v>-0.93817051278687413</v>
      </c>
      <c r="CT106" s="3">
        <v>0</v>
      </c>
      <c r="CU106" s="10">
        <v>0.29108771532773969</v>
      </c>
      <c r="CV106" s="11">
        <v>-4.5138361677527425E-2</v>
      </c>
      <c r="CW106" s="3">
        <v>0.06</v>
      </c>
      <c r="CX106" s="3" t="e">
        <v>#VALUE!</v>
      </c>
      <c r="CY106" s="3" t="s">
        <v>1005</v>
      </c>
      <c r="CZ106" s="3">
        <v>0.29108771532773969</v>
      </c>
      <c r="DA106" s="3" t="e">
        <v>#VALUE!</v>
      </c>
      <c r="DB106" s="3" t="s">
        <v>1006</v>
      </c>
      <c r="DC106" s="3">
        <v>0.27653332956135268</v>
      </c>
      <c r="DD106" s="3" t="e">
        <v>#VALUE!</v>
      </c>
      <c r="DE106" s="3" t="s">
        <v>1006</v>
      </c>
      <c r="DF106" s="3">
        <v>0.25615718948841093</v>
      </c>
      <c r="DG106" s="3" t="e">
        <v>#VALUE!</v>
      </c>
      <c r="DH106" s="3" t="s">
        <v>1006</v>
      </c>
      <c r="DI106" s="3">
        <v>0.23287017226219175</v>
      </c>
      <c r="DJ106" s="3" t="e">
        <v>#VALUE!</v>
      </c>
      <c r="DK106" s="3" t="s">
        <v>1006</v>
      </c>
      <c r="DL106" s="3">
        <v>0.20376140072941779</v>
      </c>
      <c r="DM106" s="3">
        <v>-642000000</v>
      </c>
      <c r="DN106" s="3">
        <v>0.29108771532773969</v>
      </c>
      <c r="DO106" s="3">
        <v>31624008000</v>
      </c>
      <c r="DP106" s="3">
        <v>23469900</v>
      </c>
      <c r="DQ106" s="3">
        <v>4959</v>
      </c>
      <c r="DR106" s="3">
        <v>-0.47244241306991008</v>
      </c>
      <c r="DS106" s="3">
        <v>0.55014293729481134</v>
      </c>
      <c r="DT106" s="12">
        <v>-7.3333333333333472E-2</v>
      </c>
      <c r="DU106" s="3">
        <v>-2.7750000000000004</v>
      </c>
      <c r="DV106" s="3">
        <v>-2.8483333333333336</v>
      </c>
      <c r="DW106" s="3">
        <v>-1.0430999999999999</v>
      </c>
      <c r="DX106" s="3">
        <v>0.33915254237288167</v>
      </c>
      <c r="DY106" s="3">
        <v>-1.0064284745762713</v>
      </c>
      <c r="DZ106" s="3">
        <v>70</v>
      </c>
      <c r="EA106" s="3">
        <v>-1.0063404132807059</v>
      </c>
      <c r="EB106" s="3">
        <v>1</v>
      </c>
      <c r="EC106" s="3">
        <v>9.5430857307444387E-3</v>
      </c>
      <c r="ED106" s="3">
        <v>6.3982052058400213E-2</v>
      </c>
      <c r="EE106" s="13">
        <v>0.10150999999999999</v>
      </c>
      <c r="EF106" s="3">
        <v>0.13521000000000002</v>
      </c>
      <c r="EG106" s="3">
        <v>19.149152542372882</v>
      </c>
      <c r="EH106" s="3">
        <v>-1</v>
      </c>
      <c r="EI106" s="3">
        <v>0</v>
      </c>
      <c r="EJ106" s="3">
        <v>1</v>
      </c>
      <c r="EK106" s="15">
        <v>45470</v>
      </c>
      <c r="EL106" s="16">
        <v>-7.0000000000000007E-2</v>
      </c>
      <c r="EM106" s="16">
        <v>-7.38</v>
      </c>
      <c r="EN106" s="3">
        <v>0.44</v>
      </c>
      <c r="EO106" s="3">
        <v>1.47</v>
      </c>
      <c r="EP106" s="3">
        <v>-3.37</v>
      </c>
    </row>
    <row r="107" spans="1:146" x14ac:dyDescent="0.25">
      <c r="S107" s="5"/>
    </row>
    <row r="108" spans="1:146" x14ac:dyDescent="0.25">
      <c r="Q108" s="5"/>
    </row>
    <row r="109" spans="1:146" x14ac:dyDescent="0.25">
      <c r="Q109" s="5"/>
    </row>
    <row r="110" spans="1:146" x14ac:dyDescent="0.25">
      <c r="Q110" s="5"/>
    </row>
    <row r="111" spans="1:146" x14ac:dyDescent="0.25">
      <c r="Q111" s="5"/>
    </row>
    <row r="112" spans="1:146" x14ac:dyDescent="0.25">
      <c r="Q112" s="5"/>
    </row>
    <row r="113" spans="17:17" x14ac:dyDescent="0.25">
      <c r="Q113" s="5"/>
    </row>
    <row r="114" spans="17:17" x14ac:dyDescent="0.25">
      <c r="Q114" s="5"/>
    </row>
    <row r="115" spans="17:17" x14ac:dyDescent="0.25">
      <c r="Q115" s="5"/>
    </row>
    <row r="116" spans="17:17" x14ac:dyDescent="0.25">
      <c r="Q116" s="4"/>
    </row>
    <row r="117" spans="17:17" x14ac:dyDescent="0.25">
      <c r="Q117" s="5"/>
    </row>
    <row r="118" spans="17:17" x14ac:dyDescent="0.25">
      <c r="Q118" s="5"/>
    </row>
    <row r="119" spans="17:17" x14ac:dyDescent="0.25">
      <c r="Q119" s="5"/>
    </row>
    <row r="120" spans="17:17" x14ac:dyDescent="0.25">
      <c r="Q120" s="5"/>
    </row>
    <row r="121" spans="17:17" x14ac:dyDescent="0.25">
      <c r="Q121" s="5"/>
    </row>
    <row r="122" spans="17:17" x14ac:dyDescent="0.25">
      <c r="Q122" s="5"/>
    </row>
    <row r="123" spans="17:17" x14ac:dyDescent="0.25">
      <c r="Q123" s="5"/>
    </row>
    <row r="124" spans="17:17" x14ac:dyDescent="0.25">
      <c r="Q124" s="5"/>
    </row>
    <row r="125" spans="17:17" x14ac:dyDescent="0.25">
      <c r="Q125" s="5"/>
    </row>
    <row r="126" spans="17:17" x14ac:dyDescent="0.25">
      <c r="Q126" s="5"/>
    </row>
    <row r="127" spans="17:17" x14ac:dyDescent="0.25">
      <c r="Q127" s="5"/>
    </row>
    <row r="128" spans="17:17" x14ac:dyDescent="0.25">
      <c r="Q128" s="5"/>
    </row>
    <row r="129" spans="17:17" x14ac:dyDescent="0.25">
      <c r="Q129" s="5"/>
    </row>
    <row r="130" spans="17:17" x14ac:dyDescent="0.25">
      <c r="Q130" s="5"/>
    </row>
    <row r="131" spans="17:17" x14ac:dyDescent="0.25">
      <c r="Q131" s="5"/>
    </row>
    <row r="132" spans="17:17" x14ac:dyDescent="0.25">
      <c r="Q132" s="5"/>
    </row>
    <row r="133" spans="17:17" x14ac:dyDescent="0.25">
      <c r="Q133" s="5"/>
    </row>
    <row r="134" spans="17:17" x14ac:dyDescent="0.25">
      <c r="Q134" s="5"/>
    </row>
  </sheetData>
  <autoFilter ref="BU1:BU134"/>
  <sortState ref="D2:AD92">
    <sortCondition ref="D2:D92"/>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光学光电子&quot;,&quot;&quot;'" altText="更新基本面按钮_x000a_">
                <anchor moveWithCells="1" sizeWithCells="1">
                  <from>
                    <xdr:col>147</xdr:col>
                    <xdr:colOff>476250</xdr:colOff>
                    <xdr:row>0</xdr:row>
                    <xdr:rowOff>95250</xdr:rowOff>
                  </from>
                  <to>
                    <xdr:col>147</xdr:col>
                    <xdr:colOff>1663700</xdr:colOff>
                    <xdr:row>0</xdr:row>
                    <xdr:rowOff>698500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6"/>
  <sheetViews>
    <sheetView workbookViewId="0">
      <selection activeCell="I58" sqref="I58"/>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光学光电子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2024-07-08T15:31:13Z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