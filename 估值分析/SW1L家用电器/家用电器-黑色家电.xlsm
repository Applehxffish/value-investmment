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家用电器\"/>
    </mc:Choice>
  </mc:AlternateContent>
  <bookViews>
    <workbookView xWindow="0" yWindow="0" windowWidth="3800" windowHeight="2950"/>
  </bookViews>
  <sheets>
    <sheet name="黑色电器" sheetId="7" r:id="rId1"/>
    <sheet name="估值-增速与年化收益" sheetId="14" r:id="rId2"/>
  </sheets>
  <functionGroups builtInGroupCount="18"/>
  <definedNames>
    <definedName name="_xlnm._FilterDatabase" localSheetId="0" hidden="1">黑色电器!$BU$1:$BU$11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7" i="7"/>
  <c r="C9" i="7"/>
  <c r="C6" i="7"/>
  <c r="C8" i="7"/>
  <c r="C11" i="7"/>
  <c r="C10" i="7"/>
  <c r="C5" i="7"/>
  <c r="C4" i="7"/>
  <c r="C3" i="7"/>
  <c r="C2" i="7"/>
</calcChain>
</file>

<file path=xl/sharedStrings.xml><?xml version="1.0" encoding="utf-8"?>
<sst xmlns="http://schemas.openxmlformats.org/spreadsheetml/2006/main" count="722" uniqueCount="605">
  <si>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</si>
  <si>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</si>
  <si>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</si>
  <si>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</si>
  <si>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</si>
  <si>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</si>
  <si>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</si>
  <si>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</si>
  <si>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</si>
  <si>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</si>
  <si>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</si>
  <si>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</si>
  <si>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</si>
  <si>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</si>
  <si>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</si>
  <si>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</si>
  <si>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</si>
  <si>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</si>
  <si>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</si>
  <si>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</si>
  <si>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--</t>
  </si>
  <si>
    <t>1.22亿</t>
  </si>
  <si>
    <t>6.31亿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</si>
  <si>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</si>
  <si>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</si>
  <si>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</si>
  <si>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</si>
  <si>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</si>
  <si>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</si>
  <si>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</si>
  <si>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</si>
  <si>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</si>
  <si>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</si>
  <si>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</si>
  <si>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</si>
  <si>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</si>
  <si>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2.69亿</t>
  </si>
  <si>
    <t>4.44亿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</si>
  <si>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</si>
  <si>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</si>
  <si>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</si>
  <si>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</si>
  <si>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</si>
  <si>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</si>
  <si>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</si>
  <si>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</si>
  <si>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</si>
  <si>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</si>
  <si>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</si>
  <si>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</si>
  <si>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</si>
  <si>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</si>
  <si>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</si>
  <si>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1.70亿</t>
  </si>
  <si>
    <t>3.32亿</t>
  </si>
  <si>
    <t>SZ000016</t>
  </si>
  <si>
    <t>深康佳Ａ</t>
  </si>
  <si>
    <t>黑色家电</t>
  </si>
  <si>
    <t>503.52亿</t>
  </si>
  <si>
    <t>4.78亿</t>
  </si>
  <si>
    <t>2.85亿</t>
  </si>
  <si>
    <t>551.19亿</t>
  </si>
  <si>
    <t>461.27亿</t>
  </si>
  <si>
    <t>2.12亿</t>
  </si>
  <si>
    <t>4.11亿</t>
  </si>
  <si>
    <t>SZ000801</t>
  </si>
  <si>
    <t>四川九洲</t>
  </si>
  <si>
    <t>33.00亿</t>
  </si>
  <si>
    <t>7679.15万</t>
  </si>
  <si>
    <t>31.51亿</t>
  </si>
  <si>
    <t>37.95亿</t>
  </si>
  <si>
    <t>3913.52万</t>
  </si>
  <si>
    <t>8878.01万</t>
  </si>
  <si>
    <t>SZ000810</t>
  </si>
  <si>
    <t>创维数字</t>
  </si>
  <si>
    <t>85.08亿</t>
  </si>
  <si>
    <t>3.84亿</t>
  </si>
  <si>
    <t>89.02亿</t>
  </si>
  <si>
    <t>81.48亿</t>
  </si>
  <si>
    <t>6.26亿</t>
  </si>
  <si>
    <t>SZ002429</t>
  </si>
  <si>
    <t>兆驰股份</t>
  </si>
  <si>
    <t>201.86亿</t>
  </si>
  <si>
    <t>17.63亿</t>
  </si>
  <si>
    <t>133.02亿</t>
  </si>
  <si>
    <t>128.71亿</t>
  </si>
  <si>
    <t>102.29亿</t>
  </si>
  <si>
    <t>11.20亿</t>
  </si>
  <si>
    <t>5.97亿</t>
  </si>
  <si>
    <t>SZ002848</t>
  </si>
  <si>
    <t>高斯贝尔</t>
  </si>
  <si>
    <t>4.18亿</t>
  </si>
  <si>
    <t>-3.68亿</t>
  </si>
  <si>
    <t>7.91亿</t>
  </si>
  <si>
    <t>1015.24万</t>
  </si>
  <si>
    <t>-7437.85万</t>
  </si>
  <si>
    <t>SH600060</t>
  </si>
  <si>
    <t>海信视像</t>
  </si>
  <si>
    <t>393.15亿</t>
  </si>
  <si>
    <t>3.00亿</t>
  </si>
  <si>
    <t>341.05亿</t>
  </si>
  <si>
    <t>351.28亿</t>
  </si>
  <si>
    <t>SH600839</t>
  </si>
  <si>
    <t>四川长虹</t>
  </si>
  <si>
    <t>944.48亿</t>
  </si>
  <si>
    <t>4536.63万</t>
  </si>
  <si>
    <t>887.93亿</t>
  </si>
  <si>
    <t>833.85亿</t>
  </si>
  <si>
    <t>6056.11万</t>
  </si>
  <si>
    <t>3.23亿</t>
  </si>
  <si>
    <t>SH688609</t>
  </si>
  <si>
    <t>九联科技</t>
  </si>
  <si>
    <t>20.28亿</t>
  </si>
  <si>
    <t>1.36亿</t>
  </si>
  <si>
    <t>24.37亿</t>
  </si>
  <si>
    <t>30.62亿</t>
  </si>
  <si>
    <t>4767.88万</t>
  </si>
  <si>
    <t>SH688696</t>
  </si>
  <si>
    <t>28.28亿</t>
  </si>
  <si>
    <t>1.45亿</t>
  </si>
  <si>
    <t>21.16亿</t>
  </si>
  <si>
    <t>16.59亿</t>
  </si>
  <si>
    <t>9340.48万</t>
  </si>
  <si>
    <t>951.72万</t>
  </si>
  <si>
    <t>1.液晶电视ODM作为公司的核心业务，2019年度，公司的全球液晶电视ODM出货量排名全球第四，2020年度，公司的这一排名提升至全球第二（数据来源：DISCIEN）</t>
    <phoneticPr fontId="1" type="noConversion"/>
  </si>
  <si>
    <r>
      <t>1.2021年预告利润下降，比上年同期下降： 87% 至 81%
；公司业绩变动的主要原因是</t>
    </r>
    <r>
      <rPr>
        <sz val="9"/>
        <color rgb="FFFF0000"/>
        <rFont val="宋体"/>
        <family val="3"/>
        <charset val="134"/>
        <scheme val="minor"/>
      </rPr>
      <t>对恒大集团及其成员企业应收项目计提减值准备</t>
    </r>
    <r>
      <rPr>
        <sz val="9"/>
        <color theme="1"/>
        <rFont val="宋体"/>
        <family val="2"/>
        <charset val="134"/>
        <scheme val="minor"/>
      </rPr>
      <t>。</t>
    </r>
    <phoneticPr fontId="1" type="noConversion"/>
  </si>
  <si>
    <t>流通股本</t>
  </si>
  <si>
    <t>净利润[20201231]</t>
  </si>
  <si>
    <t>投入资本回报率roic%[20201231]</t>
  </si>
  <si>
    <t>净资产收益率%[20201231]</t>
  </si>
  <si>
    <t>491.07亿</t>
  </si>
  <si>
    <t>9.05亿</t>
  </si>
  <si>
    <t>35.44亿</t>
  </si>
  <si>
    <t>108.47亿</t>
  </si>
  <si>
    <t>4.22亿</t>
  </si>
  <si>
    <t>225.38亿</t>
  </si>
  <si>
    <t>3.33亿</t>
  </si>
  <si>
    <t>5.77亿</t>
  </si>
  <si>
    <t>-1.25亿</t>
  </si>
  <si>
    <t>996.32亿</t>
  </si>
  <si>
    <t>27.96亿</t>
  </si>
  <si>
    <t>9835.73万</t>
  </si>
  <si>
    <t>40.38亿</t>
  </si>
  <si>
    <t>4.83亿</t>
  </si>
  <si>
    <t xml:space="preserve">    名称</t>
  </si>
  <si>
    <t>净利润?</t>
  </si>
  <si>
    <t>扣非净利润</t>
  </si>
  <si>
    <t>营业总收入[20201231]</t>
  </si>
  <si>
    <t>投入资本回报率roic%[20211231]</t>
  </si>
  <si>
    <t>净资产收益率%[20211231]</t>
  </si>
  <si>
    <t>单季营收增速</t>
  </si>
  <si>
    <t>单季利润增速</t>
  </si>
  <si>
    <t>亏损</t>
  </si>
  <si>
    <t>扭亏</t>
  </si>
  <si>
    <t>LY营业总收入[20211231]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</si>
  <si>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</si>
  <si>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</si>
  <si>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</si>
  <si>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</si>
  <si>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</si>
  <si>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</si>
  <si>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</si>
  <si>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细分行业</t>
  </si>
  <si>
    <t>扣非对比净利润</t>
    <phoneticPr fontId="1" type="noConversion"/>
  </si>
  <si>
    <t>折现率</t>
    <phoneticPr fontId="1" type="noConversion"/>
  </si>
  <si>
    <t>3年自由现金流折现</t>
    <phoneticPr fontId="1" type="noConversion"/>
  </si>
  <si>
    <t>10增速</t>
    <phoneticPr fontId="1" type="noConversion"/>
  </si>
  <si>
    <t>30日成交换手率</t>
    <phoneticPr fontId="1" type="noConversion"/>
  </si>
  <si>
    <t>今日价格累积指数</t>
    <phoneticPr fontId="1" type="noConversion"/>
  </si>
  <si>
    <t>成交量异动策略</t>
    <phoneticPr fontId="1" type="noConversion"/>
  </si>
  <si>
    <t>价格右侧初期策略</t>
    <phoneticPr fontId="1" type="noConversion"/>
  </si>
  <si>
    <t>彩电</t>
  </si>
  <si>
    <t>其他黑色家电</t>
  </si>
  <si>
    <t>极米科技</t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</si>
  <si>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</si>
  <si>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</si>
  <si>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</si>
  <si>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</si>
  <si>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</si>
  <si>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</si>
  <si>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</si>
  <si>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</si>
  <si>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</si>
  <si>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</si>
  <si>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</si>
  <si>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</si>
  <si>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</si>
  <si>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</si>
  <si>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</si>
  <si>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</si>
  <si>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</si>
  <si>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</si>
  <si>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</si>
  <si>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</si>
  <si>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</si>
  <si>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</si>
  <si>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</si>
  <si>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</si>
  <si>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</si>
  <si>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</si>
  <si>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</si>
  <si>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</si>
  <si>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</si>
  <si>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</si>
  <si>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</si>
  <si>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</si>
  <si>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过往营收增速均值</t>
    <phoneticPr fontId="1" type="noConversion"/>
  </si>
  <si>
    <t>过往利润增速均值</t>
    <phoneticPr fontId="1" type="noConversion"/>
  </si>
  <si>
    <t>1年自由现金流折现</t>
    <phoneticPr fontId="1" type="noConversion"/>
  </si>
  <si>
    <t>1增速</t>
    <phoneticPr fontId="1" type="noConversion"/>
  </si>
  <si>
    <t>6增速</t>
    <phoneticPr fontId="1" type="noConversion"/>
  </si>
  <si>
    <t>10年自由现金流折现</t>
    <phoneticPr fontId="1" type="noConversion"/>
  </si>
  <si>
    <t>20年自由现金流折现</t>
    <phoneticPr fontId="1" type="noConversion"/>
  </si>
  <si>
    <t>承担负债现期溢价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</si>
  <si>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</si>
  <si>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</si>
  <si>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</si>
  <si>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营收和利润加权</t>
    <phoneticPr fontId="1" type="noConversion"/>
  </si>
  <si>
    <t>量价齐升策略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</si>
  <si>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</si>
  <si>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</si>
  <si>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</si>
  <si>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N日期</t>
    <phoneticPr fontId="1" type="noConversion"/>
  </si>
  <si>
    <t>N-1</t>
    <phoneticPr fontId="1" type="noConversion"/>
  </si>
  <si>
    <t>N</t>
    <phoneticPr fontId="1" type="noConversion"/>
  </si>
  <si>
    <t>市销率</t>
    <phoneticPr fontId="1" type="noConversion"/>
  </si>
  <si>
    <t>股利率</t>
    <phoneticPr fontId="1" type="noConversion"/>
  </si>
  <si>
    <t>3增速</t>
    <phoneticPr fontId="1" type="noConversion"/>
  </si>
  <si>
    <t>6年自由现金流折现</t>
    <phoneticPr fontId="1" type="noConversion"/>
  </si>
  <si>
    <t>清算价格</t>
    <phoneticPr fontId="1" type="noConversion"/>
  </si>
  <si>
    <t>营收成长策略</t>
    <phoneticPr fontId="1" type="noConversion"/>
  </si>
  <si>
    <t>利润成长策略</t>
    <phoneticPr fontId="1" type="noConversion"/>
  </si>
  <si>
    <t>价格变动策略</t>
    <phoneticPr fontId="1" type="noConversion"/>
  </si>
  <si>
    <t>成交量综合策略</t>
    <phoneticPr fontId="1" type="noConversion"/>
  </si>
  <si>
    <t>基本面排序</t>
    <phoneticPr fontId="1" type="noConversion"/>
  </si>
  <si>
    <t>昨日价格累计指数</t>
    <phoneticPr fontId="1" type="noConversion"/>
  </si>
  <si>
    <t>价格箱体形态过滤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</si>
  <si>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</si>
  <si>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</si>
  <si>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</si>
  <si>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2.00亿</t>
  </si>
  <si>
    <t>不分配不转增</t>
  </si>
  <si>
    <t>71.10亿</t>
  </si>
  <si>
    <t>5.27亿</t>
  </si>
  <si>
    <t>5.94亿</t>
  </si>
  <si>
    <t>296.08亿</t>
  </si>
  <si>
    <t>104.72亿</t>
  </si>
  <si>
    <t>-1.93亿</t>
  </si>
  <si>
    <t>38.85亿</t>
  </si>
  <si>
    <t>1.98亿</t>
  </si>
  <si>
    <t>1.21亿</t>
  </si>
  <si>
    <t>19.17亿</t>
  </si>
  <si>
    <t>8550.69万</t>
  </si>
  <si>
    <t>2.38亿</t>
  </si>
  <si>
    <t>120.09亿</t>
  </si>
  <si>
    <t>8.23亿</t>
  </si>
  <si>
    <t>2.96亿</t>
  </si>
  <si>
    <t>51.70亿</t>
  </si>
  <si>
    <t>3.18亿</t>
  </si>
  <si>
    <t>135.98亿</t>
  </si>
  <si>
    <t>149.11亿</t>
  </si>
  <si>
    <t>126.87亿</t>
  </si>
  <si>
    <t>150.28亿</t>
  </si>
  <si>
    <t>11.46亿</t>
  </si>
  <si>
    <t>113.32亿</t>
  </si>
  <si>
    <t>103.77亿</t>
  </si>
  <si>
    <t>1.18亿</t>
  </si>
  <si>
    <t>3.39亿</t>
  </si>
  <si>
    <t>-2489618亿</t>
  </si>
  <si>
    <t>195.42万</t>
  </si>
  <si>
    <t>1117836380亿</t>
  </si>
  <si>
    <t>50.89亿</t>
  </si>
  <si>
    <t>5624178900亿</t>
  </si>
  <si>
    <t>3.02亿</t>
  </si>
  <si>
    <t>17206765000亿</t>
  </si>
  <si>
    <t>21.75亿</t>
  </si>
  <si>
    <t>37.71亿</t>
  </si>
  <si>
    <t>18.15亿</t>
  </si>
  <si>
    <t>31.39亿</t>
  </si>
  <si>
    <t>101.14亿</t>
  </si>
  <si>
    <t>12.10亿</t>
  </si>
  <si>
    <t>8.32亿</t>
  </si>
  <si>
    <t>-18.11亿</t>
  </si>
  <si>
    <t>6.91亿</t>
  </si>
  <si>
    <t>77.36亿</t>
  </si>
  <si>
    <t>109.53亿</t>
  </si>
  <si>
    <t>7.34亿</t>
  </si>
  <si>
    <t>8.81亿</t>
  </si>
  <si>
    <t>10派0.76元(含税)</t>
  </si>
  <si>
    <t>457.38亿</t>
  </si>
  <si>
    <t>16.79亿</t>
  </si>
  <si>
    <t>248.75亿</t>
  </si>
  <si>
    <t>10.37亿</t>
  </si>
  <si>
    <t>924.82亿</t>
  </si>
  <si>
    <t>4.68亿</t>
  </si>
  <si>
    <t>466.44亿</t>
  </si>
  <si>
    <t>2.02亿</t>
  </si>
  <si>
    <t>2.26亿</t>
  </si>
  <si>
    <t>24.03亿</t>
  </si>
  <si>
    <t>11.56亿</t>
  </si>
  <si>
    <t>-2839.65万</t>
  </si>
  <si>
    <t>42.22亿</t>
  </si>
  <si>
    <t>5.01亿</t>
  </si>
  <si>
    <t>16.27亿</t>
  </si>
  <si>
    <t>9272.73万</t>
  </si>
  <si>
    <t>-2-0</t>
  </si>
  <si>
    <t>5983.34万</t>
  </si>
  <si>
    <t>1.60亿</t>
  </si>
  <si>
    <t>8.42亿</t>
  </si>
  <si>
    <t>3.79亿</t>
  </si>
  <si>
    <t>0亿</t>
  </si>
  <si>
    <t>2.70亿</t>
  </si>
  <si>
    <t>-1453.30万</t>
  </si>
  <si>
    <r>
      <t>1.公司定位是兴趣消费，新事物新体验：根据IDC 数据，2018年、2019年、2020年及2021年上半年公司出货量持续保持中国投影设备市场第一，市场份额分别达13.2%、14.6%、18.1%及20%。2.2018 年至 2021 年间公司</t>
    </r>
    <r>
      <rPr>
        <sz val="9"/>
        <color rgb="FFFF0000"/>
        <rFont val="宋体"/>
        <family val="3"/>
        <charset val="134"/>
        <scheme val="minor"/>
      </rPr>
      <t>境外营收</t>
    </r>
    <r>
      <rPr>
        <sz val="9"/>
        <color theme="1"/>
        <rFont val="宋体"/>
        <family val="2"/>
        <charset val="134"/>
        <scheme val="minor"/>
      </rPr>
      <t>从 0.76亿元大幅增长至 4.34 亿元，</t>
    </r>
    <r>
      <rPr>
        <sz val="9"/>
        <color rgb="FFFF0000"/>
        <rFont val="宋体"/>
        <family val="3"/>
        <charset val="134"/>
        <scheme val="minor"/>
      </rPr>
      <t>CAGR 达到 79%</t>
    </r>
    <r>
      <rPr>
        <sz val="9"/>
        <color theme="1"/>
        <rFont val="宋体"/>
        <family val="2"/>
        <charset val="134"/>
        <scheme val="minor"/>
      </rPr>
      <t>; 3.自研光机占比提升，降本效果显著。使用自研光机</t>
    </r>
    <r>
      <rPr>
        <sz val="9"/>
        <color rgb="FFFF0000"/>
        <rFont val="宋体"/>
        <family val="3"/>
        <charset val="134"/>
        <scheme val="minor"/>
      </rPr>
      <t>可降本约 8%-18%</t>
    </r>
    <r>
      <rPr>
        <sz val="9"/>
        <rFont val="宋体"/>
        <family val="3"/>
        <charset val="134"/>
        <scheme val="minor"/>
      </rPr>
      <t>。</t>
    </r>
    <phoneticPr fontId="1" type="noConversion"/>
  </si>
  <si>
    <t>1.DLP技术的投影仪对比LCD市场份额下降原因：变化主要是由于产品目标消费者范围扩张，新消费者收入较低、且对产品认知度相对较低，更愿意从偏低端的产品开始尝试，并不意味着产品走向低端化。2.主流消费级投影设备均采用DLP投影技术，DLP投影技术的核心专利都掌握在美国德州仪器（TI）公司。</t>
    <phoneticPr fontId="1" type="noConversion"/>
  </si>
  <si>
    <t>1296.29万</t>
  </si>
  <si>
    <t>299.18亿</t>
  </si>
  <si>
    <t>53.59亿</t>
  </si>
  <si>
    <t>24.63亿</t>
  </si>
  <si>
    <t>-5.10亿</t>
  </si>
  <si>
    <t>29.79亿</t>
  </si>
  <si>
    <t>22.85亿</t>
  </si>
  <si>
    <t>2.48亿</t>
  </si>
  <si>
    <t>1.57亿</t>
  </si>
  <si>
    <t>18497684亿</t>
  </si>
  <si>
    <t>244.00万</t>
  </si>
  <si>
    <t>-466504770亿</t>
  </si>
  <si>
    <t>68.21亿</t>
  </si>
  <si>
    <t>1699616200亿</t>
  </si>
  <si>
    <t>6.06亿</t>
  </si>
  <si>
    <t>16554119000亿</t>
  </si>
  <si>
    <t>8.02亿</t>
  </si>
  <si>
    <t>66.32亿</t>
  </si>
  <si>
    <t>10.98亿</t>
  </si>
  <si>
    <t>25.04亿</t>
  </si>
  <si>
    <t>176.86亿</t>
  </si>
  <si>
    <t>70.85亿</t>
  </si>
  <si>
    <t>-5.71亿</t>
  </si>
  <si>
    <t>-2.65亿</t>
  </si>
  <si>
    <t>11.02亿</t>
  </si>
  <si>
    <t>-14.70亿</t>
  </si>
  <si>
    <t>178.49亿</t>
  </si>
  <si>
    <t>-21.64亿</t>
  </si>
  <si>
    <t>7242.54万</t>
  </si>
  <si>
    <t>4.65亿</t>
  </si>
  <si>
    <t>-3-1</t>
  </si>
  <si>
    <t>1187.56万</t>
  </si>
  <si>
    <t>34.66亿</t>
  </si>
  <si>
    <t>32.97亿</t>
  </si>
  <si>
    <t>8.85亿</t>
  </si>
  <si>
    <t>3649.20万</t>
  </si>
  <si>
    <t>8.59亿</t>
  </si>
  <si>
    <t>6.99亿</t>
  </si>
  <si>
    <t>1767.47万</t>
  </si>
  <si>
    <t>4568.31万</t>
  </si>
  <si>
    <t>2370455亿</t>
  </si>
  <si>
    <t>3.06万</t>
  </si>
  <si>
    <t>20114168亿</t>
  </si>
  <si>
    <t>10.60亿</t>
  </si>
  <si>
    <t>2386622800亿</t>
  </si>
  <si>
    <t>2.31亿</t>
  </si>
  <si>
    <t>5262425300亿</t>
  </si>
  <si>
    <t>4.74亿</t>
  </si>
  <si>
    <t>5.38亿</t>
  </si>
  <si>
    <t>5.96亿</t>
  </si>
  <si>
    <t>15.67亿</t>
  </si>
  <si>
    <t>31.29亿</t>
  </si>
  <si>
    <t>1111.32万</t>
  </si>
  <si>
    <t>8443.22万</t>
  </si>
  <si>
    <t>7833.53万</t>
  </si>
  <si>
    <t>38.32亿</t>
  </si>
  <si>
    <t>10派1.00元(含税)</t>
  </si>
  <si>
    <t>7153.15万</t>
  </si>
  <si>
    <t>8.55亿</t>
  </si>
  <si>
    <t>036492000</t>
  </si>
  <si>
    <t>0109476000</t>
  </si>
  <si>
    <t>0218952000</t>
  </si>
  <si>
    <t>0364920000</t>
  </si>
  <si>
    <t>0729840000</t>
  </si>
  <si>
    <t>8-0</t>
  </si>
  <si>
    <t>954.25万</t>
  </si>
  <si>
    <t>50.78亿</t>
  </si>
  <si>
    <t>64.69亿</t>
  </si>
  <si>
    <t>22.84亿</t>
  </si>
  <si>
    <t>1.06亿</t>
  </si>
  <si>
    <t>22.30亿</t>
  </si>
  <si>
    <t>19.47亿</t>
  </si>
  <si>
    <t>1.16亿</t>
  </si>
  <si>
    <t>4418.52万</t>
  </si>
  <si>
    <t>-8880077亿</t>
  </si>
  <si>
    <t>37.61万</t>
  </si>
  <si>
    <t>97587307亿</t>
  </si>
  <si>
    <t>34.16亿</t>
  </si>
  <si>
    <t>3116988700亿</t>
  </si>
  <si>
    <t>3.45亿</t>
  </si>
  <si>
    <t>9177492800亿</t>
  </si>
  <si>
    <t>5.84亿</t>
  </si>
  <si>
    <t>10.81亿</t>
  </si>
  <si>
    <t>6.12亿</t>
  </si>
  <si>
    <t>19.73亿</t>
  </si>
  <si>
    <t>52.80万</t>
  </si>
  <si>
    <t>46.35亿</t>
  </si>
  <si>
    <t>-3.06亿</t>
  </si>
  <si>
    <t>-1.76亿</t>
  </si>
  <si>
    <t>2.18亿</t>
  </si>
  <si>
    <t>106.27亿</t>
  </si>
  <si>
    <t>6.02亿</t>
  </si>
  <si>
    <t>10派1.5元(含税)</t>
  </si>
  <si>
    <t>4580.63万</t>
  </si>
  <si>
    <t>3.17亿</t>
  </si>
  <si>
    <t>0106000000</t>
  </si>
  <si>
    <t>0318000000</t>
  </si>
  <si>
    <t>0636000000</t>
  </si>
  <si>
    <t>01060000000</t>
  </si>
  <si>
    <t>02120000000</t>
  </si>
  <si>
    <t>246.37万</t>
  </si>
  <si>
    <t>1.23亿</t>
  </si>
  <si>
    <t>4169.09万</t>
  </si>
  <si>
    <t>-1592.83万</t>
  </si>
  <si>
    <t>5817.08万</t>
  </si>
  <si>
    <t>4024.54万</t>
  </si>
  <si>
    <t>375.36万</t>
  </si>
  <si>
    <t>633.89万</t>
  </si>
  <si>
    <t>-16381513亿</t>
  </si>
  <si>
    <t>1528.08万</t>
  </si>
  <si>
    <t>168212320亿</t>
  </si>
  <si>
    <t>129.12万</t>
  </si>
  <si>
    <t>247519560亿</t>
  </si>
  <si>
    <t>546.99万</t>
  </si>
  <si>
    <t>4182.16万</t>
  </si>
  <si>
    <t>9877.88万</t>
  </si>
  <si>
    <t>2.90亿</t>
  </si>
  <si>
    <t>19.79万</t>
  </si>
  <si>
    <t>-2029.44万</t>
  </si>
  <si>
    <t>-76.33万</t>
  </si>
  <si>
    <t>1999.90万</t>
  </si>
  <si>
    <t>-554.19万</t>
  </si>
  <si>
    <t>2.94亿</t>
  </si>
  <si>
    <t>-8211.45万</t>
  </si>
  <si>
    <t>1554.80万</t>
  </si>
  <si>
    <t>1.41亿</t>
  </si>
  <si>
    <t>SZ301578</t>
  </si>
  <si>
    <t>辰奕智能</t>
  </si>
  <si>
    <t>119.26万</t>
  </si>
  <si>
    <t>4.26亿</t>
  </si>
  <si>
    <t>9.32亿</t>
  </si>
  <si>
    <t>1.79亿</t>
  </si>
  <si>
    <t>1401.85万</t>
  </si>
  <si>
    <t>1.65亿</t>
  </si>
  <si>
    <t>1.42亿</t>
  </si>
  <si>
    <t>407.23万</t>
  </si>
  <si>
    <t>1121.94万</t>
  </si>
  <si>
    <t>90457亿</t>
  </si>
  <si>
    <t>-26.64万</t>
  </si>
  <si>
    <t>13351594亿</t>
  </si>
  <si>
    <t>3.25亿</t>
  </si>
  <si>
    <t>196571160亿</t>
  </si>
  <si>
    <t>1290.34万</t>
  </si>
  <si>
    <t>921510040亿</t>
  </si>
  <si>
    <t>9964.20万</t>
  </si>
  <si>
    <t>5248.43万</t>
  </si>
  <si>
    <t>1.76亿</t>
  </si>
  <si>
    <t>3.08亿</t>
  </si>
  <si>
    <t>1.33亿</t>
  </si>
  <si>
    <t>1702.73万</t>
  </si>
  <si>
    <t>-3.27亿</t>
  </si>
  <si>
    <t>1161.23万</t>
  </si>
  <si>
    <t>7.45亿</t>
  </si>
  <si>
    <t>6.22亿</t>
  </si>
  <si>
    <t>4.54亿</t>
  </si>
  <si>
    <t>3.51亿</t>
  </si>
  <si>
    <t>3.15亿</t>
  </si>
  <si>
    <t>8864.35万</t>
  </si>
  <si>
    <t>6689.53万</t>
  </si>
  <si>
    <t>6057.36万</t>
  </si>
  <si>
    <t>2144.21万</t>
  </si>
  <si>
    <t>617.84万</t>
  </si>
  <si>
    <t>7.20亿</t>
  </si>
  <si>
    <t>9062.00万</t>
  </si>
  <si>
    <t>4160.55万</t>
  </si>
  <si>
    <t>10转3股派6.25元(含税)</t>
  </si>
  <si>
    <t>861.05万</t>
  </si>
  <si>
    <t>8711.10万</t>
  </si>
  <si>
    <t>26-0</t>
  </si>
  <si>
    <t>483.90万</t>
  </si>
  <si>
    <t>198.74亿</t>
  </si>
  <si>
    <t>252.88亿</t>
  </si>
  <si>
    <t>127.02亿</t>
  </si>
  <si>
    <t>4.67亿</t>
  </si>
  <si>
    <t>37248572亿</t>
  </si>
  <si>
    <t>818.89万</t>
  </si>
  <si>
    <t>378173880亿</t>
  </si>
  <si>
    <t>27.80亿</t>
  </si>
  <si>
    <t>3845093000亿</t>
  </si>
  <si>
    <t>33360873000亿</t>
  </si>
  <si>
    <t>4.24亿</t>
  </si>
  <si>
    <t>47.47亿</t>
  </si>
  <si>
    <t>65.57亿</t>
  </si>
  <si>
    <t>328.88万</t>
  </si>
  <si>
    <t>7.21亿</t>
  </si>
  <si>
    <t>-6.31亿</t>
  </si>
  <si>
    <t>536.16亿</t>
  </si>
  <si>
    <t>20.96亿</t>
  </si>
  <si>
    <t>10派8.053元(含税)</t>
  </si>
  <si>
    <t>3320.98万</t>
  </si>
  <si>
    <t>1.85亿</t>
  </si>
  <si>
    <t>0467000000</t>
  </si>
  <si>
    <t>01401000000</t>
  </si>
  <si>
    <t>02802000000</t>
  </si>
  <si>
    <t>04670000000</t>
  </si>
  <si>
    <t>09340000000</t>
  </si>
  <si>
    <t>1-0</t>
  </si>
  <si>
    <t>5653.25万</t>
  </si>
  <si>
    <t>703.40亿</t>
  </si>
  <si>
    <t>243.22亿</t>
  </si>
  <si>
    <t>237.72亿</t>
  </si>
  <si>
    <t>233.33亿</t>
  </si>
  <si>
    <t>212.04亿</t>
  </si>
  <si>
    <t>10.40亿</t>
  </si>
  <si>
    <t>4.52亿</t>
  </si>
  <si>
    <t>68148967亿</t>
  </si>
  <si>
    <t>678.46万</t>
  </si>
  <si>
    <t>130017343亿</t>
  </si>
  <si>
    <t>244.70亿</t>
  </si>
  <si>
    <t>16092791000亿</t>
  </si>
  <si>
    <t>4.50亿</t>
  </si>
  <si>
    <t>70585258000亿</t>
  </si>
  <si>
    <t>2.16亿</t>
  </si>
  <si>
    <t>138.44亿</t>
  </si>
  <si>
    <t>209.15亿</t>
  </si>
  <si>
    <t>199.78亿</t>
  </si>
  <si>
    <t>1537.22万</t>
  </si>
  <si>
    <t>653.99亿</t>
  </si>
  <si>
    <t>31.34亿</t>
  </si>
  <si>
    <t>-30.83亿</t>
  </si>
  <si>
    <t>-4.30亿</t>
  </si>
  <si>
    <t>28.41亿</t>
  </si>
  <si>
    <t>974.56亿</t>
  </si>
  <si>
    <t>6.88亿</t>
  </si>
  <si>
    <t>21.40亿</t>
  </si>
  <si>
    <t>0176000000</t>
  </si>
  <si>
    <t>0528000000</t>
  </si>
  <si>
    <t>01056000000</t>
  </si>
  <si>
    <t>01760000000</t>
  </si>
  <si>
    <t>03520000000</t>
  </si>
  <si>
    <t>-1-1</t>
  </si>
  <si>
    <t>1067.85万</t>
  </si>
  <si>
    <t>10.24亿</t>
  </si>
  <si>
    <t>6.62亿</t>
  </si>
  <si>
    <t>452.33万</t>
  </si>
  <si>
    <t>6.69亿</t>
  </si>
  <si>
    <t>5.63亿</t>
  </si>
  <si>
    <t>3090.34万</t>
  </si>
  <si>
    <t>2271.69万</t>
  </si>
  <si>
    <t>-705802亿</t>
  </si>
  <si>
    <t>158.91万</t>
  </si>
  <si>
    <t>-192515140亿</t>
  </si>
  <si>
    <t>2.84亿</t>
  </si>
  <si>
    <t>995451910亿</t>
  </si>
  <si>
    <t>5203.15万</t>
  </si>
  <si>
    <t>2072975400亿</t>
  </si>
  <si>
    <t>1.84亿</t>
  </si>
  <si>
    <t>7.98亿</t>
  </si>
  <si>
    <t>1.11亿</t>
  </si>
  <si>
    <t>5.65亿</t>
  </si>
  <si>
    <t>17.80亿</t>
  </si>
  <si>
    <t>3.24亿</t>
  </si>
  <si>
    <t>8004.85万</t>
  </si>
  <si>
    <t>-8443.51万</t>
  </si>
  <si>
    <t>-1253.78万</t>
  </si>
  <si>
    <t>6040.10万</t>
  </si>
  <si>
    <t>21.71亿</t>
  </si>
  <si>
    <t>-1.99亿</t>
  </si>
  <si>
    <t>6779.15万</t>
  </si>
  <si>
    <t>7.09亿</t>
  </si>
  <si>
    <t>04523300</t>
  </si>
  <si>
    <t>013569900</t>
  </si>
  <si>
    <t>027139800</t>
  </si>
  <si>
    <t>045233000</t>
  </si>
  <si>
    <t>090466000</t>
  </si>
  <si>
    <t>138.99万</t>
  </si>
  <si>
    <t>24.62亿</t>
  </si>
  <si>
    <t>30.30亿</t>
  </si>
  <si>
    <t>8.25亿</t>
  </si>
  <si>
    <t>1431.91万</t>
  </si>
  <si>
    <t>8.47亿</t>
  </si>
  <si>
    <t>1.43亿</t>
  </si>
  <si>
    <t>2936.86万</t>
  </si>
  <si>
    <t>233384亿</t>
  </si>
  <si>
    <t>13.97万</t>
  </si>
  <si>
    <t>8111504亿</t>
  </si>
  <si>
    <t>21.74亿</t>
  </si>
  <si>
    <t>142339580亿</t>
  </si>
  <si>
    <t>4011790100亿</t>
  </si>
  <si>
    <t>1624.59万</t>
  </si>
  <si>
    <t>2525.64万</t>
  </si>
  <si>
    <t>6.11亿</t>
  </si>
  <si>
    <t>12.48亿</t>
  </si>
  <si>
    <t>1.46亿</t>
  </si>
  <si>
    <t>-3377.54万</t>
  </si>
  <si>
    <t>-1.34亿</t>
  </si>
  <si>
    <t>35.57亿</t>
  </si>
  <si>
    <t>10派3元(含税)</t>
  </si>
  <si>
    <t>289.45万</t>
  </si>
  <si>
    <t>2269.36万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</si>
</sst>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139700</xdr:colOff>
          <xdr:row>0</xdr:row>
          <xdr:rowOff>114300</xdr:rowOff>
        </xdr:from>
        <xdr:to>
          <xdr:col>147</xdr:col>
          <xdr:colOff>1581150</xdr:colOff>
          <xdr:row>0</xdr:row>
          <xdr:rowOff>425450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11"/>
  <sheetViews>
    <sheetView tabSelected="1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6" sqref="C6:C7"/>
    </sheetView>
  </sheetViews>
  <sheetFormatPr defaultRowHeight="14" x14ac:dyDescent="0.25"/>
  <cols>
    <col min="1" max="1" width="33" customWidth="1"/>
    <col min="2" max="2" width="40" customWidth="1"/>
    <col min="3" max="3" width="44" customWidth="1"/>
    <col min="148" max="148" width="24.6328125" customWidth="1"/>
  </cols>
  <sheetData>
    <row r="1" spans="1:146" ht="42" customHeight="1" x14ac:dyDescent="0.25">
      <c r="A1" s="3" t="s">
        <v>5</v>
      </c>
      <c r="B1" s="4" t="s">
        <v>6</v>
      </c>
      <c r="C1" s="3" t="s">
        <v>7</v>
      </c>
      <c r="D1" t="s">
        <v>8</v>
      </c>
      <c r="E1" t="s">
        <v>144</v>
      </c>
      <c r="F1" t="s">
        <v>3</v>
      </c>
      <c r="G1" t="s">
        <v>174</v>
      </c>
      <c r="H1" t="s">
        <v>175</v>
      </c>
      <c r="I1" t="s">
        <v>9</v>
      </c>
      <c r="J1" t="s">
        <v>10</v>
      </c>
      <c r="K1" t="s">
        <v>4</v>
      </c>
      <c r="L1" t="s">
        <v>11</v>
      </c>
      <c r="M1" t="s">
        <v>12</v>
      </c>
      <c r="N1" t="s">
        <v>13</v>
      </c>
      <c r="O1" t="s">
        <v>14</v>
      </c>
      <c r="P1" t="s">
        <v>176</v>
      </c>
      <c r="Q1" t="s">
        <v>154</v>
      </c>
      <c r="R1" t="s">
        <v>145</v>
      </c>
      <c r="S1" t="s">
        <v>15</v>
      </c>
      <c r="T1" t="s">
        <v>177</v>
      </c>
      <c r="U1" t="s">
        <v>126</v>
      </c>
      <c r="V1" t="s">
        <v>16</v>
      </c>
      <c r="W1" t="s">
        <v>155</v>
      </c>
      <c r="X1" t="s">
        <v>156</v>
      </c>
      <c r="Y1" t="s">
        <v>157</v>
      </c>
      <c r="Z1" t="s">
        <v>158</v>
      </c>
      <c r="AA1" t="s">
        <v>159</v>
      </c>
      <c r="AB1" t="s">
        <v>178</v>
      </c>
      <c r="AC1" t="s">
        <v>160</v>
      </c>
      <c r="AD1" t="s">
        <v>161</v>
      </c>
      <c r="AE1" t="s">
        <v>17</v>
      </c>
      <c r="AF1" t="s">
        <v>18</v>
      </c>
      <c r="AG1" t="s">
        <v>179</v>
      </c>
      <c r="AH1" t="s">
        <v>146</v>
      </c>
      <c r="AI1" t="s">
        <v>180</v>
      </c>
      <c r="AJ1" t="s">
        <v>19</v>
      </c>
      <c r="AK1" t="s">
        <v>181</v>
      </c>
      <c r="AL1" t="s">
        <v>23</v>
      </c>
      <c r="AM1" t="s">
        <v>182</v>
      </c>
      <c r="AN1" t="s">
        <v>183</v>
      </c>
      <c r="AO1" t="s">
        <v>184</v>
      </c>
      <c r="AP1" t="s">
        <v>185</v>
      </c>
      <c r="AQ1" t="s">
        <v>186</v>
      </c>
      <c r="AR1" t="s">
        <v>187</v>
      </c>
      <c r="AS1" t="s">
        <v>188</v>
      </c>
      <c r="AT1" t="s">
        <v>189</v>
      </c>
      <c r="AU1" t="s">
        <v>190</v>
      </c>
      <c r="AV1" t="s">
        <v>191</v>
      </c>
      <c r="AW1" t="s">
        <v>192</v>
      </c>
      <c r="AX1" t="s">
        <v>147</v>
      </c>
      <c r="AY1" t="s">
        <v>24</v>
      </c>
      <c r="AZ1" t="s">
        <v>25</v>
      </c>
      <c r="BA1" t="s">
        <v>26</v>
      </c>
      <c r="BB1" t="s">
        <v>27</v>
      </c>
      <c r="BC1" t="s">
        <v>127</v>
      </c>
      <c r="BD1" t="s">
        <v>28</v>
      </c>
      <c r="BE1" t="s">
        <v>29</v>
      </c>
      <c r="BF1" t="s">
        <v>30</v>
      </c>
      <c r="BG1" t="s">
        <v>31</v>
      </c>
      <c r="BH1" t="s">
        <v>193</v>
      </c>
      <c r="BI1" t="s">
        <v>194</v>
      </c>
      <c r="BJ1" t="s">
        <v>195</v>
      </c>
      <c r="BK1" t="s">
        <v>196</v>
      </c>
      <c r="BL1" t="s">
        <v>197</v>
      </c>
      <c r="BM1" t="s">
        <v>198</v>
      </c>
      <c r="BN1" t="s">
        <v>148</v>
      </c>
      <c r="BO1" t="s">
        <v>128</v>
      </c>
      <c r="BP1" t="s">
        <v>32</v>
      </c>
      <c r="BQ1" t="s">
        <v>149</v>
      </c>
      <c r="BR1" t="s">
        <v>129</v>
      </c>
      <c r="BS1" t="s">
        <v>33</v>
      </c>
      <c r="BT1" t="s">
        <v>199</v>
      </c>
      <c r="BU1" t="s">
        <v>162</v>
      </c>
      <c r="BV1" t="s">
        <v>200</v>
      </c>
      <c r="BW1" t="s">
        <v>51</v>
      </c>
      <c r="BX1" t="s">
        <v>34</v>
      </c>
      <c r="BY1" t="s">
        <v>201</v>
      </c>
      <c r="BZ1" t="s">
        <v>52</v>
      </c>
      <c r="CA1" t="s">
        <v>35</v>
      </c>
      <c r="CB1" t="s">
        <v>202</v>
      </c>
      <c r="CC1" t="s">
        <v>203</v>
      </c>
      <c r="CD1" t="s">
        <v>204</v>
      </c>
      <c r="CE1" t="s">
        <v>205</v>
      </c>
      <c r="CF1" s="1" t="s">
        <v>150</v>
      </c>
      <c r="CG1" s="1" t="s">
        <v>151</v>
      </c>
      <c r="CH1" s="1" t="s">
        <v>38</v>
      </c>
      <c r="CI1" s="1" t="s">
        <v>39</v>
      </c>
      <c r="CJ1" s="1" t="s">
        <v>40</v>
      </c>
      <c r="CK1" s="1" t="s">
        <v>41</v>
      </c>
      <c r="CL1" s="1" t="s">
        <v>42</v>
      </c>
      <c r="CM1" s="1" t="s">
        <v>43</v>
      </c>
      <c r="CN1" s="1" t="s">
        <v>44</v>
      </c>
      <c r="CO1" s="1" t="s">
        <v>45</v>
      </c>
      <c r="CP1" s="1" t="s">
        <v>46</v>
      </c>
      <c r="CQ1" s="1" t="s">
        <v>47</v>
      </c>
      <c r="CR1" s="1" t="s">
        <v>225</v>
      </c>
      <c r="CS1" s="1" t="s">
        <v>163</v>
      </c>
      <c r="CT1" s="1" t="s">
        <v>226</v>
      </c>
      <c r="CU1" s="1" t="s">
        <v>206</v>
      </c>
      <c r="CV1" s="1" t="s">
        <v>207</v>
      </c>
      <c r="CW1" s="1" t="s">
        <v>164</v>
      </c>
      <c r="CX1">
        <v>1</v>
      </c>
      <c r="CY1" t="s">
        <v>208</v>
      </c>
      <c r="CZ1" t="s">
        <v>209</v>
      </c>
      <c r="DA1">
        <v>3</v>
      </c>
      <c r="DB1" t="s">
        <v>165</v>
      </c>
      <c r="DC1" t="s">
        <v>227</v>
      </c>
      <c r="DD1">
        <v>6</v>
      </c>
      <c r="DE1" t="s">
        <v>228</v>
      </c>
      <c r="DF1" t="s">
        <v>210</v>
      </c>
      <c r="DG1">
        <v>10</v>
      </c>
      <c r="DH1" t="s">
        <v>211</v>
      </c>
      <c r="DI1" t="s">
        <v>166</v>
      </c>
      <c r="DJ1">
        <v>20</v>
      </c>
      <c r="DK1" t="s">
        <v>212</v>
      </c>
      <c r="DL1" t="s">
        <v>48</v>
      </c>
      <c r="DM1" t="s">
        <v>49</v>
      </c>
      <c r="DN1" s="2" t="s">
        <v>50</v>
      </c>
      <c r="DO1" t="s">
        <v>213</v>
      </c>
      <c r="DP1" t="s">
        <v>229</v>
      </c>
      <c r="DQ1" s="11" t="s">
        <v>214</v>
      </c>
      <c r="DR1" s="1" t="s">
        <v>215</v>
      </c>
      <c r="DS1" s="1" t="s">
        <v>216</v>
      </c>
      <c r="DT1" t="s">
        <v>230</v>
      </c>
      <c r="DU1" t="s">
        <v>231</v>
      </c>
      <c r="DV1" t="s">
        <v>217</v>
      </c>
      <c r="DW1" t="s">
        <v>232</v>
      </c>
      <c r="DX1" t="s">
        <v>233</v>
      </c>
      <c r="DY1" t="s">
        <v>218</v>
      </c>
      <c r="DZ1" t="s">
        <v>234</v>
      </c>
      <c r="EA1" t="s">
        <v>219</v>
      </c>
      <c r="EB1" t="s">
        <v>220</v>
      </c>
      <c r="EC1" t="s">
        <v>221</v>
      </c>
      <c r="ED1" t="s">
        <v>167</v>
      </c>
      <c r="EE1" t="s">
        <v>235</v>
      </c>
      <c r="EF1" t="s">
        <v>168</v>
      </c>
      <c r="EG1" t="s">
        <v>169</v>
      </c>
      <c r="EH1" t="s">
        <v>236</v>
      </c>
      <c r="EI1" t="s">
        <v>170</v>
      </c>
      <c r="EK1" s="12" t="s">
        <v>222</v>
      </c>
      <c r="EL1" t="s">
        <v>237</v>
      </c>
      <c r="EM1" t="s">
        <v>238</v>
      </c>
      <c r="EN1" t="s">
        <v>239</v>
      </c>
      <c r="EO1" t="s">
        <v>223</v>
      </c>
      <c r="EP1" t="s">
        <v>224</v>
      </c>
    </row>
    <row r="2" spans="1:146" ht="96" x14ac:dyDescent="0.25">
      <c r="A2" s="6"/>
      <c r="B2" s="6"/>
      <c r="C2" s="6" t="str">
        <f>""&amp;CHAR(10)&amp;Basic_Fundamental_Information_Constructure(F2)&amp;CHAR(10)&amp;Basic_Fundamental_Information_Concatenate("")</f>
        <v xml:space="preserve">
市值51.530032亿, 利润-5.10亿; PE; 平均PE1189.15; 平均PEG48.33, PB1; ROIC3.82%; ROE-5.66%; 股利率0%; 毛利3.3867%; 净利-6.37%; 上一年度营收增-91.68%, 利润增65.31%; 当季营收增-76.48%, 利润增-164.32%; 过往5年营收增-24.6%, 利润增-6.15%
Income profile:
</v>
      </c>
      <c r="D2" t="s">
        <v>55</v>
      </c>
      <c r="E2" t="s">
        <v>56</v>
      </c>
      <c r="F2">
        <v>2.14</v>
      </c>
      <c r="G2">
        <v>1.9</v>
      </c>
      <c r="H2" t="s">
        <v>315</v>
      </c>
      <c r="I2">
        <v>5153003200</v>
      </c>
      <c r="K2">
        <v>1</v>
      </c>
      <c r="L2" t="s">
        <v>57</v>
      </c>
      <c r="M2" t="s">
        <v>316</v>
      </c>
      <c r="N2" t="s">
        <v>317</v>
      </c>
      <c r="O2" t="s">
        <v>318</v>
      </c>
      <c r="P2">
        <v>-46.47</v>
      </c>
      <c r="Q2" t="s">
        <v>318</v>
      </c>
      <c r="R2">
        <v>-510139620</v>
      </c>
      <c r="S2" s="5">
        <v>-4.3449999999999998</v>
      </c>
      <c r="T2" t="s">
        <v>319</v>
      </c>
      <c r="U2">
        <v>1596593800</v>
      </c>
      <c r="V2">
        <v>2407945400</v>
      </c>
      <c r="W2">
        <v>6.74</v>
      </c>
      <c r="X2">
        <v>7.0000000000000007E-2</v>
      </c>
      <c r="Y2">
        <v>-23.51</v>
      </c>
      <c r="Z2" t="s">
        <v>320</v>
      </c>
      <c r="AA2" t="s">
        <v>321</v>
      </c>
      <c r="AB2" t="s">
        <v>322</v>
      </c>
      <c r="AC2" t="s">
        <v>323</v>
      </c>
      <c r="AD2" t="s">
        <v>20</v>
      </c>
      <c r="AE2">
        <v>150671420</v>
      </c>
      <c r="AF2" t="s">
        <v>324</v>
      </c>
      <c r="AG2" t="s">
        <v>325</v>
      </c>
      <c r="AH2" t="s">
        <v>326</v>
      </c>
      <c r="AI2" t="s">
        <v>327</v>
      </c>
      <c r="AJ2" t="s">
        <v>328</v>
      </c>
      <c r="AK2" t="s">
        <v>329</v>
      </c>
      <c r="AL2" t="s">
        <v>330</v>
      </c>
      <c r="AM2" t="s">
        <v>20</v>
      </c>
      <c r="AN2" t="s">
        <v>331</v>
      </c>
      <c r="AO2" t="s">
        <v>332</v>
      </c>
      <c r="AP2" t="s">
        <v>333</v>
      </c>
      <c r="AQ2" t="s">
        <v>334</v>
      </c>
      <c r="AR2" t="s">
        <v>20</v>
      </c>
      <c r="AS2" t="s">
        <v>335</v>
      </c>
      <c r="AT2" t="s">
        <v>336</v>
      </c>
      <c r="AU2" t="s">
        <v>337</v>
      </c>
      <c r="AV2" t="s">
        <v>338</v>
      </c>
      <c r="AW2" t="s">
        <v>339</v>
      </c>
      <c r="AX2" t="s">
        <v>245</v>
      </c>
      <c r="AY2" t="s">
        <v>130</v>
      </c>
      <c r="AZ2" t="s">
        <v>58</v>
      </c>
      <c r="BA2" t="s">
        <v>61</v>
      </c>
      <c r="BB2" t="s">
        <v>62</v>
      </c>
      <c r="BC2" t="s">
        <v>340</v>
      </c>
      <c r="BD2" t="s">
        <v>131</v>
      </c>
      <c r="BE2" t="s">
        <v>59</v>
      </c>
      <c r="BF2" t="s">
        <v>63</v>
      </c>
      <c r="BG2" t="s">
        <v>64</v>
      </c>
      <c r="BH2" t="s">
        <v>341</v>
      </c>
      <c r="BI2" t="s">
        <v>246</v>
      </c>
      <c r="BJ2" t="s">
        <v>245</v>
      </c>
      <c r="BK2" t="s">
        <v>342</v>
      </c>
      <c r="BL2" t="s">
        <v>247</v>
      </c>
      <c r="BM2" t="s">
        <v>340</v>
      </c>
      <c r="BN2" t="s">
        <v>20</v>
      </c>
      <c r="BO2" t="s">
        <v>20</v>
      </c>
      <c r="BP2">
        <v>3.82</v>
      </c>
      <c r="BQ2">
        <v>-9.73</v>
      </c>
      <c r="BR2">
        <v>-17.579999999999998</v>
      </c>
      <c r="BS2">
        <v>10.33</v>
      </c>
      <c r="BT2" t="s">
        <v>241</v>
      </c>
      <c r="BU2" t="s">
        <v>171</v>
      </c>
      <c r="BV2">
        <v>3.92</v>
      </c>
      <c r="BW2">
        <v>2.77</v>
      </c>
      <c r="BX2">
        <v>3.47</v>
      </c>
      <c r="BY2">
        <v>-14.77</v>
      </c>
      <c r="BZ2">
        <v>-5.98</v>
      </c>
      <c r="CA2">
        <v>1.64</v>
      </c>
      <c r="CB2">
        <v>0.47</v>
      </c>
      <c r="CC2">
        <v>-23.84</v>
      </c>
      <c r="CD2" t="s">
        <v>343</v>
      </c>
      <c r="CE2" t="s">
        <v>344</v>
      </c>
      <c r="CF2" s="7">
        <v>-0.76480137509549273</v>
      </c>
      <c r="CG2" s="8">
        <v>-1.6432104663212435</v>
      </c>
      <c r="CH2" s="7">
        <v>-0.91681301593780518</v>
      </c>
      <c r="CI2" s="7">
        <v>-0.3970717191696167</v>
      </c>
      <c r="CJ2" s="7">
        <v>-2.472592331469059E-2</v>
      </c>
      <c r="CK2" s="7">
        <v>-8.6485579609870911E-2</v>
      </c>
      <c r="CL2" s="7">
        <v>0.1949400007724762</v>
      </c>
      <c r="CM2" s="8">
        <v>0.65306121110916138</v>
      </c>
      <c r="CN2" s="8">
        <v>-2.6243095397949219</v>
      </c>
      <c r="CO2" s="8">
        <v>0.89330542087554932</v>
      </c>
      <c r="CP2" s="8">
        <v>1.2547169923782349</v>
      </c>
      <c r="CQ2" s="8">
        <v>-0.48418492078781128</v>
      </c>
      <c r="CR2">
        <v>1189.1545846153738</v>
      </c>
      <c r="CS2">
        <v>48.333477837925884</v>
      </c>
      <c r="CT2">
        <v>0</v>
      </c>
      <c r="CU2" s="7">
        <v>-0.24603124745190144</v>
      </c>
      <c r="CV2" s="8">
        <v>-6.1482167243957518E-2</v>
      </c>
      <c r="CW2">
        <v>0.06</v>
      </c>
      <c r="CX2" t="e">
        <v>#VALUE!</v>
      </c>
      <c r="CY2" t="s">
        <v>152</v>
      </c>
      <c r="CZ2">
        <v>-0.24603124745190144</v>
      </c>
      <c r="DA2" t="e">
        <v>#VALUE!</v>
      </c>
      <c r="DB2" t="s">
        <v>153</v>
      </c>
      <c r="DC2">
        <v>-0.23372968507930636</v>
      </c>
      <c r="DD2" t="e">
        <v>#VALUE!</v>
      </c>
      <c r="DE2" t="s">
        <v>153</v>
      </c>
      <c r="DF2">
        <v>-0.21650749775767328</v>
      </c>
      <c r="DG2" t="e">
        <v>#VALUE!</v>
      </c>
      <c r="DH2" t="s">
        <v>153</v>
      </c>
      <c r="DI2">
        <v>-0.19682499796152117</v>
      </c>
      <c r="DJ2" t="e">
        <v>#VALUE!</v>
      </c>
      <c r="DK2" t="s">
        <v>153</v>
      </c>
      <c r="DL2">
        <v>-0.17222187321633101</v>
      </c>
      <c r="DM2">
        <v>-509999999.99999994</v>
      </c>
      <c r="DN2">
        <v>-0.24603124745190144</v>
      </c>
      <c r="DO2">
        <v>29712003200</v>
      </c>
      <c r="DP2">
        <v>-1131881000</v>
      </c>
      <c r="DQ2">
        <v>12</v>
      </c>
      <c r="DR2">
        <v>-0.51877012764359132</v>
      </c>
      <c r="DS2">
        <v>-1.5817282990772858</v>
      </c>
      <c r="DT2" s="9">
        <v>-0.82333333333333325</v>
      </c>
      <c r="DU2">
        <v>-1.2983333333333333</v>
      </c>
      <c r="DV2">
        <v>-2.1216666666666666</v>
      </c>
      <c r="DW2">
        <v>-3.0886666666666667</v>
      </c>
      <c r="DX2">
        <v>0.36575354838709639</v>
      </c>
      <c r="DY2">
        <v>-3.0138101479569892</v>
      </c>
      <c r="DZ2">
        <v>4653</v>
      </c>
      <c r="EA2">
        <v>-3.0012350758544706</v>
      </c>
      <c r="EB2">
        <v>3</v>
      </c>
      <c r="EC2">
        <v>3.0077675349283253E-2</v>
      </c>
      <c r="ED2">
        <v>0.1931106909650028</v>
      </c>
      <c r="EE2" s="10">
        <v>-3.0609099999999998</v>
      </c>
      <c r="EF2">
        <v>-3.0969099999999998</v>
      </c>
      <c r="EG2">
        <v>21.155753548387096</v>
      </c>
      <c r="EH2" t="s">
        <v>345</v>
      </c>
      <c r="EI2">
        <v>0</v>
      </c>
      <c r="EJ2">
        <v>0</v>
      </c>
      <c r="EK2" s="12">
        <v>45470</v>
      </c>
      <c r="EL2" s="13">
        <v>-3.06</v>
      </c>
      <c r="EM2" s="13">
        <v>-5.41</v>
      </c>
      <c r="EN2" s="13">
        <v>-0.48</v>
      </c>
      <c r="EO2" s="13">
        <v>6.22</v>
      </c>
      <c r="EP2" s="13">
        <v>-3.6</v>
      </c>
    </row>
    <row r="3" spans="1:146" ht="96" x14ac:dyDescent="0.25">
      <c r="A3" s="6"/>
      <c r="B3" s="6"/>
      <c r="C3" s="6" t="str">
        <f>""&amp;CHAR(10)&amp;Basic_Fundamental_Information_Constructure(F3)&amp;CHAR(10)&amp;Basic_Fundamental_Information_Concatenate("")</f>
        <v xml:space="preserve">
市值96.450667亿, 利润3649.20万; PE48.96; 平均PE99.06; 平均PEG6.84, PB3.22; ROIC6.08%; ROE5.82%; 股利率1.0604%; 毛利22.03%; 净利5.9133%; 上一年度营收增-77.22%, 利润增-81.57%; 当季营收增-53.83%, 利润增-57.32%; 过往5年营收增-14.49%, 利润增16.82%
Income profile:
</v>
      </c>
      <c r="D3" t="s">
        <v>65</v>
      </c>
      <c r="E3" t="s">
        <v>66</v>
      </c>
      <c r="F3">
        <v>9.43</v>
      </c>
      <c r="G3">
        <v>0.96</v>
      </c>
      <c r="H3" t="s">
        <v>346</v>
      </c>
      <c r="I3">
        <v>9645066700</v>
      </c>
      <c r="J3">
        <v>48.96</v>
      </c>
      <c r="K3">
        <v>3.22</v>
      </c>
      <c r="L3" t="s">
        <v>57</v>
      </c>
      <c r="M3" t="s">
        <v>347</v>
      </c>
      <c r="N3" t="s">
        <v>348</v>
      </c>
      <c r="O3" t="s">
        <v>349</v>
      </c>
      <c r="P3">
        <v>-4.16</v>
      </c>
      <c r="Q3" t="s">
        <v>349</v>
      </c>
      <c r="R3">
        <v>36492018</v>
      </c>
      <c r="S3" s="5">
        <v>-8.4699999999999998E-2</v>
      </c>
      <c r="T3" t="s">
        <v>350</v>
      </c>
      <c r="U3">
        <v>1022806650</v>
      </c>
      <c r="V3">
        <v>1022806650</v>
      </c>
      <c r="W3">
        <v>2.04</v>
      </c>
      <c r="X3">
        <v>0.13</v>
      </c>
      <c r="Y3">
        <v>5.19</v>
      </c>
      <c r="Z3" t="s">
        <v>351</v>
      </c>
      <c r="AA3" t="s">
        <v>352</v>
      </c>
      <c r="AB3" t="s">
        <v>353</v>
      </c>
      <c r="AC3" t="s">
        <v>354</v>
      </c>
      <c r="AD3" t="s">
        <v>20</v>
      </c>
      <c r="AE3">
        <v>-482391</v>
      </c>
      <c r="AF3" t="s">
        <v>355</v>
      </c>
      <c r="AG3" t="s">
        <v>356</v>
      </c>
      <c r="AH3" t="s">
        <v>357</v>
      </c>
      <c r="AI3" t="s">
        <v>358</v>
      </c>
      <c r="AJ3" t="s">
        <v>359</v>
      </c>
      <c r="AK3" t="s">
        <v>360</v>
      </c>
      <c r="AL3" t="s">
        <v>361</v>
      </c>
      <c r="AM3" t="s">
        <v>20</v>
      </c>
      <c r="AN3" t="s">
        <v>362</v>
      </c>
      <c r="AO3" t="s">
        <v>363</v>
      </c>
      <c r="AP3" t="s">
        <v>364</v>
      </c>
      <c r="AQ3" t="s">
        <v>365</v>
      </c>
      <c r="AR3" t="s">
        <v>20</v>
      </c>
      <c r="AS3" t="s">
        <v>366</v>
      </c>
      <c r="AT3" t="s">
        <v>297</v>
      </c>
      <c r="AU3" t="s">
        <v>367</v>
      </c>
      <c r="AV3" t="s">
        <v>368</v>
      </c>
      <c r="AW3" t="s">
        <v>369</v>
      </c>
      <c r="AX3" t="s">
        <v>248</v>
      </c>
      <c r="AY3" t="s">
        <v>132</v>
      </c>
      <c r="AZ3" t="s">
        <v>67</v>
      </c>
      <c r="BA3" t="s">
        <v>69</v>
      </c>
      <c r="BB3" t="s">
        <v>70</v>
      </c>
      <c r="BC3" t="s">
        <v>249</v>
      </c>
      <c r="BD3" t="s">
        <v>119</v>
      </c>
      <c r="BE3" t="s">
        <v>68</v>
      </c>
      <c r="BF3" t="s">
        <v>71</v>
      </c>
      <c r="BG3" t="s">
        <v>72</v>
      </c>
      <c r="BH3" t="s">
        <v>370</v>
      </c>
      <c r="BI3" t="s">
        <v>251</v>
      </c>
      <c r="BJ3" t="s">
        <v>248</v>
      </c>
      <c r="BK3" t="s">
        <v>240</v>
      </c>
      <c r="BL3" t="s">
        <v>252</v>
      </c>
      <c r="BM3" t="s">
        <v>249</v>
      </c>
      <c r="BN3">
        <v>5.19</v>
      </c>
      <c r="BO3">
        <v>7.29</v>
      </c>
      <c r="BP3">
        <v>5.76</v>
      </c>
      <c r="BQ3">
        <v>4.8899999999999997</v>
      </c>
      <c r="BR3">
        <v>7.12</v>
      </c>
      <c r="BS3">
        <v>5.45</v>
      </c>
      <c r="BT3" t="s">
        <v>371</v>
      </c>
      <c r="BU3" t="s">
        <v>172</v>
      </c>
      <c r="BV3">
        <v>23.8</v>
      </c>
      <c r="BW3">
        <v>22.32</v>
      </c>
      <c r="BX3">
        <v>19.97</v>
      </c>
      <c r="BY3">
        <v>6.43</v>
      </c>
      <c r="BZ3">
        <v>6.21</v>
      </c>
      <c r="CA3">
        <v>5.0999999999999996</v>
      </c>
      <c r="CB3">
        <v>-5.7</v>
      </c>
      <c r="CC3">
        <v>-29.15</v>
      </c>
      <c r="CD3" t="s">
        <v>372</v>
      </c>
      <c r="CE3" t="s">
        <v>373</v>
      </c>
      <c r="CF3" s="7">
        <v>-0.53834115805946803</v>
      </c>
      <c r="CG3" s="8">
        <v>-0.57322721324244008</v>
      </c>
      <c r="CH3" s="7">
        <v>-0.77220076322555542</v>
      </c>
      <c r="CI3" s="7">
        <v>9.621894359588623E-2</v>
      </c>
      <c r="CJ3" s="7">
        <v>7.3939390480518341E-2</v>
      </c>
      <c r="CK3" s="7">
        <v>4.7286555171012878E-2</v>
      </c>
      <c r="CL3" s="7">
        <v>-0.16969697177410126</v>
      </c>
      <c r="CM3" s="8">
        <v>-0.81569695472717285</v>
      </c>
      <c r="CN3" s="8">
        <v>0.36551722884178162</v>
      </c>
      <c r="CO3" s="8">
        <v>0.88822972774505615</v>
      </c>
      <c r="CP3" s="8">
        <v>0.96221059560775757</v>
      </c>
      <c r="CQ3" s="8">
        <v>-0.55918949842453003</v>
      </c>
      <c r="CR3">
        <v>99.059430111804403</v>
      </c>
      <c r="CS3">
        <v>6.8368445712257193</v>
      </c>
      <c r="CT3">
        <v>1.0604453870625663</v>
      </c>
      <c r="CU3" s="7">
        <v>-0.14489056915044785</v>
      </c>
      <c r="CV3" s="8">
        <v>0.16821421980857848</v>
      </c>
      <c r="CW3">
        <v>0.06</v>
      </c>
      <c r="CX3">
        <v>268.93748492820345</v>
      </c>
      <c r="CY3" t="s">
        <v>374</v>
      </c>
      <c r="CZ3">
        <v>-0.14489056915044785</v>
      </c>
      <c r="DA3">
        <v>89.645828309401153</v>
      </c>
      <c r="DB3" t="s">
        <v>375</v>
      </c>
      <c r="DC3">
        <v>-0.13764604069292544</v>
      </c>
      <c r="DD3">
        <v>44.822914154700577</v>
      </c>
      <c r="DE3" t="s">
        <v>376</v>
      </c>
      <c r="DF3">
        <v>-0.1275037008523941</v>
      </c>
      <c r="DG3">
        <v>26.893748492820343</v>
      </c>
      <c r="DH3" t="s">
        <v>377</v>
      </c>
      <c r="DI3">
        <v>-0.11591245532035828</v>
      </c>
      <c r="DJ3">
        <v>13.446874246410172</v>
      </c>
      <c r="DK3" t="s">
        <v>378</v>
      </c>
      <c r="DL3">
        <v>-0.10142339840531349</v>
      </c>
      <c r="DM3">
        <v>36492000</v>
      </c>
      <c r="DN3">
        <v>-0.14489056915044785</v>
      </c>
      <c r="DO3">
        <v>9814066700</v>
      </c>
      <c r="DP3">
        <v>2133425300</v>
      </c>
      <c r="DQ3">
        <v>294</v>
      </c>
      <c r="DR3">
        <v>-0.39345058890902018</v>
      </c>
      <c r="DS3">
        <v>-0.74144143305101862</v>
      </c>
      <c r="DT3" s="9">
        <v>-0.87333333333333341</v>
      </c>
      <c r="DU3">
        <v>-3.3333333333333726E-3</v>
      </c>
      <c r="DV3">
        <v>-0.87666666666666682</v>
      </c>
      <c r="DW3">
        <v>-8.1955403087478551</v>
      </c>
      <c r="DX3">
        <v>0.27366257777777619</v>
      </c>
      <c r="DY3">
        <v>-8.0163594062893075</v>
      </c>
      <c r="DZ3">
        <v>1696</v>
      </c>
      <c r="EA3">
        <v>-8.0109297481549309</v>
      </c>
      <c r="EB3">
        <v>8</v>
      </c>
      <c r="EC3">
        <v>6.993648310753553E-2</v>
      </c>
      <c r="ED3">
        <v>0.83593512028886408</v>
      </c>
      <c r="EE3" s="10">
        <v>8.0960000000000001</v>
      </c>
      <c r="EF3">
        <v>8.0671999999999997</v>
      </c>
      <c r="EG3">
        <v>19.083662577777776</v>
      </c>
      <c r="EH3" t="s">
        <v>379</v>
      </c>
      <c r="EI3">
        <v>0</v>
      </c>
      <c r="EJ3">
        <v>0</v>
      </c>
      <c r="EK3" s="12">
        <v>45470</v>
      </c>
      <c r="EL3" s="13">
        <v>-0.28999999999999998</v>
      </c>
      <c r="EM3" s="13">
        <v>-4.13</v>
      </c>
      <c r="EN3" s="13">
        <v>0</v>
      </c>
      <c r="EO3" s="13">
        <v>3.28</v>
      </c>
      <c r="EP3" s="13">
        <v>-2.88</v>
      </c>
    </row>
    <row r="4" spans="1:146" ht="96" x14ac:dyDescent="0.25">
      <c r="A4" s="6"/>
      <c r="B4" s="6"/>
      <c r="C4" s="6" t="str">
        <f>""&amp;CHAR(10)&amp;Basic_Fundamental_Information_Constructure(F4)&amp;CHAR(10)&amp;Basic_Fundamental_Information_Concatenate("")</f>
        <v xml:space="preserve">
市值93.857631亿, 利润1.06亿; PE15.88; 平均PE20.91; 平均PEG2.76, PB1.45; ROIC7.1533%; ROE10.8633%; 股利率1.8382%; 毛利16.8867%; 净利5.3633%; 上一年度营收增-80.98%, 利润增-87.12%; 当季营收增-55.82%, 利润增-66.61%; 过往5年营收增-7.59%, 利润增13.54%
Income profile:
</v>
      </c>
      <c r="D4" t="s">
        <v>73</v>
      </c>
      <c r="E4" t="s">
        <v>74</v>
      </c>
      <c r="F4">
        <v>8.16</v>
      </c>
      <c r="G4">
        <v>0.49</v>
      </c>
      <c r="H4" t="s">
        <v>380</v>
      </c>
      <c r="I4">
        <v>9385763100</v>
      </c>
      <c r="J4">
        <v>15.88</v>
      </c>
      <c r="K4">
        <v>1.45</v>
      </c>
      <c r="L4" t="s">
        <v>57</v>
      </c>
      <c r="M4" t="s">
        <v>381</v>
      </c>
      <c r="N4" t="s">
        <v>382</v>
      </c>
      <c r="O4" t="s">
        <v>383</v>
      </c>
      <c r="P4">
        <v>-2.5</v>
      </c>
      <c r="Q4" t="s">
        <v>383</v>
      </c>
      <c r="R4">
        <v>106194153</v>
      </c>
      <c r="S4" s="5">
        <v>-9.5100000000000004E-2</v>
      </c>
      <c r="T4" t="s">
        <v>384</v>
      </c>
      <c r="U4">
        <v>1117662310</v>
      </c>
      <c r="V4">
        <v>1150216070</v>
      </c>
      <c r="W4">
        <v>1.75</v>
      </c>
      <c r="X4">
        <v>0.2</v>
      </c>
      <c r="Y4">
        <v>4.4800000000000004</v>
      </c>
      <c r="Z4" t="s">
        <v>385</v>
      </c>
      <c r="AA4" t="s">
        <v>386</v>
      </c>
      <c r="AB4" t="s">
        <v>387</v>
      </c>
      <c r="AC4" t="s">
        <v>388</v>
      </c>
      <c r="AD4" t="s">
        <v>20</v>
      </c>
      <c r="AE4">
        <v>-8598650</v>
      </c>
      <c r="AF4" t="s">
        <v>389</v>
      </c>
      <c r="AG4" t="s">
        <v>390</v>
      </c>
      <c r="AH4" t="s">
        <v>391</v>
      </c>
      <c r="AI4" t="s">
        <v>392</v>
      </c>
      <c r="AJ4" t="s">
        <v>393</v>
      </c>
      <c r="AK4" t="s">
        <v>394</v>
      </c>
      <c r="AL4" t="s">
        <v>395</v>
      </c>
      <c r="AM4" t="s">
        <v>20</v>
      </c>
      <c r="AN4" t="s">
        <v>396</v>
      </c>
      <c r="AO4" t="s">
        <v>397</v>
      </c>
      <c r="AP4" t="s">
        <v>398</v>
      </c>
      <c r="AQ4" t="s">
        <v>399</v>
      </c>
      <c r="AR4" t="s">
        <v>400</v>
      </c>
      <c r="AS4" t="s">
        <v>401</v>
      </c>
      <c r="AT4" t="s">
        <v>20</v>
      </c>
      <c r="AU4" t="s">
        <v>402</v>
      </c>
      <c r="AV4" t="s">
        <v>403</v>
      </c>
      <c r="AW4" t="s">
        <v>404</v>
      </c>
      <c r="AX4" t="s">
        <v>254</v>
      </c>
      <c r="AY4" t="s">
        <v>133</v>
      </c>
      <c r="AZ4" t="s">
        <v>75</v>
      </c>
      <c r="BA4" t="s">
        <v>77</v>
      </c>
      <c r="BB4" t="s">
        <v>78</v>
      </c>
      <c r="BC4" t="s">
        <v>255</v>
      </c>
      <c r="BD4" t="s">
        <v>134</v>
      </c>
      <c r="BE4" t="s">
        <v>76</v>
      </c>
      <c r="BF4" t="s">
        <v>79</v>
      </c>
      <c r="BG4" t="s">
        <v>54</v>
      </c>
      <c r="BH4" t="s">
        <v>405</v>
      </c>
      <c r="BI4" t="s">
        <v>257</v>
      </c>
      <c r="BJ4" t="s">
        <v>254</v>
      </c>
      <c r="BK4" t="s">
        <v>406</v>
      </c>
      <c r="BL4" t="s">
        <v>258</v>
      </c>
      <c r="BM4" t="s">
        <v>255</v>
      </c>
      <c r="BN4">
        <v>5.01</v>
      </c>
      <c r="BO4">
        <v>10.83</v>
      </c>
      <c r="BP4">
        <v>5.62</v>
      </c>
      <c r="BQ4">
        <v>7.3</v>
      </c>
      <c r="BR4">
        <v>15.61</v>
      </c>
      <c r="BS4">
        <v>9.68</v>
      </c>
      <c r="BT4" t="s">
        <v>407</v>
      </c>
      <c r="BU4" t="s">
        <v>172</v>
      </c>
      <c r="BV4">
        <v>16.75</v>
      </c>
      <c r="BW4">
        <v>17.670000000000002</v>
      </c>
      <c r="BX4">
        <v>16.239999999999998</v>
      </c>
      <c r="BY4">
        <v>5.56</v>
      </c>
      <c r="BZ4">
        <v>6.71</v>
      </c>
      <c r="CA4">
        <v>3.82</v>
      </c>
      <c r="CB4">
        <v>-4.9000000000000004</v>
      </c>
      <c r="CC4">
        <v>-17.16</v>
      </c>
      <c r="CD4" t="s">
        <v>408</v>
      </c>
      <c r="CE4" t="s">
        <v>409</v>
      </c>
      <c r="CF4" s="7">
        <v>-0.55822050290135394</v>
      </c>
      <c r="CG4" s="8">
        <v>-0.66605612264150948</v>
      </c>
      <c r="CH4" s="7">
        <v>-0.80980926752090454</v>
      </c>
      <c r="CI4" s="7">
        <v>0.10712643712759018</v>
      </c>
      <c r="CJ4" s="7">
        <v>0.27491763234138489</v>
      </c>
      <c r="CK4" s="7">
        <v>-4.4259648770093918E-2</v>
      </c>
      <c r="CL4" s="7">
        <v>9.2538036406040192E-2</v>
      </c>
      <c r="CM4" s="8">
        <v>-0.87120294570922852</v>
      </c>
      <c r="CN4" s="8">
        <v>0.950236976146698</v>
      </c>
      <c r="CO4" s="8">
        <v>9.8958335816860199E-2</v>
      </c>
      <c r="CP4" s="8">
        <v>-0.38658148050308228</v>
      </c>
      <c r="CQ4" s="8">
        <v>0.88554215431213379</v>
      </c>
      <c r="CR4">
        <v>20.911466245822503</v>
      </c>
      <c r="CS4">
        <v>2.7552296511833858</v>
      </c>
      <c r="CT4">
        <v>1.838235294117647</v>
      </c>
      <c r="CU4" s="7">
        <v>-7.589736208319664E-2</v>
      </c>
      <c r="CV4" s="8">
        <v>0.13539060801267624</v>
      </c>
      <c r="CW4">
        <v>0.06</v>
      </c>
      <c r="CX4">
        <v>75.422293396226422</v>
      </c>
      <c r="CY4" t="s">
        <v>410</v>
      </c>
      <c r="CZ4">
        <v>-7.589736208319664E-2</v>
      </c>
      <c r="DA4">
        <v>25.140764465408804</v>
      </c>
      <c r="DB4" t="s">
        <v>411</v>
      </c>
      <c r="DC4">
        <v>-7.21024939790368E-2</v>
      </c>
      <c r="DD4">
        <v>12.570382232704402</v>
      </c>
      <c r="DE4" t="s">
        <v>412</v>
      </c>
      <c r="DF4">
        <v>-6.6789678633213043E-2</v>
      </c>
      <c r="DG4">
        <v>7.5422293396226419</v>
      </c>
      <c r="DH4" t="s">
        <v>413</v>
      </c>
      <c r="DI4">
        <v>-6.0717889666557313E-2</v>
      </c>
      <c r="DJ4">
        <v>3.7711146698113209</v>
      </c>
      <c r="DK4" t="s">
        <v>414</v>
      </c>
      <c r="DL4">
        <v>-5.3128153458237647E-2</v>
      </c>
      <c r="DM4">
        <v>106000000</v>
      </c>
      <c r="DN4">
        <v>-7.589736208319664E-2</v>
      </c>
      <c r="DO4">
        <v>7994763100</v>
      </c>
      <c r="DP4">
        <v>4542492800</v>
      </c>
      <c r="DQ4">
        <v>299</v>
      </c>
      <c r="DR4">
        <v>-0.4823231408181573</v>
      </c>
      <c r="DS4">
        <v>-0.8014467306541857</v>
      </c>
      <c r="DT4" s="9">
        <v>-0.64</v>
      </c>
      <c r="DU4">
        <v>-0.39000000000000007</v>
      </c>
      <c r="DV4">
        <v>-1.03</v>
      </c>
      <c r="DW4">
        <v>-8.2855477855477861</v>
      </c>
      <c r="DX4">
        <v>0.40449936908517459</v>
      </c>
      <c r="DY4">
        <v>-8.0412614748553235</v>
      </c>
      <c r="DZ4">
        <v>1918</v>
      </c>
      <c r="EA4">
        <v>-8.0257742911425041</v>
      </c>
      <c r="EB4">
        <v>8</v>
      </c>
      <c r="EC4">
        <v>3.9824082791679309E-2</v>
      </c>
      <c r="ED4">
        <v>0.2756003921941379</v>
      </c>
      <c r="EE4" s="10">
        <v>2.9209999999999996E-2</v>
      </c>
      <c r="EF4">
        <v>4.981E-2</v>
      </c>
      <c r="EG4">
        <v>26.144499369085175</v>
      </c>
      <c r="EH4">
        <v>-1</v>
      </c>
      <c r="EI4">
        <v>0</v>
      </c>
      <c r="EJ4">
        <v>0</v>
      </c>
      <c r="EK4" s="12">
        <v>45470</v>
      </c>
      <c r="EL4" s="13">
        <v>-1.1200000000000001</v>
      </c>
      <c r="EM4" s="13">
        <v>-4.99</v>
      </c>
      <c r="EN4" s="13">
        <v>-0.95</v>
      </c>
      <c r="EO4" s="13">
        <v>5.3</v>
      </c>
      <c r="EP4" s="13">
        <v>-2.06</v>
      </c>
    </row>
    <row r="5" spans="1:146" ht="180" x14ac:dyDescent="0.25">
      <c r="A5" s="6" t="s">
        <v>124</v>
      </c>
      <c r="B5" s="6" t="s">
        <v>125</v>
      </c>
      <c r="C5" s="6" t="str">
        <f>"公司于2005年成立，以ODM制造起步，逐步发展成为拥有智慧显示、智慧家庭组网以及LED全产业链三大业务板块的综合型制造企业。"&amp;CHAR(10)&amp;Basic_Fundamental_Information_Constructure(F5)&amp;CHAR(10)&amp;Basic_Fundamental_Information_Concatenate("多媒体视听产品及运营服务 83.20亿 74.24% 利润占比54.09% 毛利10.74% 增速42%
LED产业链 25.89亿 23.10% 利润占比30.75% 毛利19.62% 增速89.51%
供应链管理 2.98亿 2.66% 利润占比15.16% 毛利84.05% 增速15.25%")</f>
        <v>公司于2005年成立，以ODM制造起步，逐步发展成为拥有智慧显示、智慧家庭组网以及LED全产业链三大业务板块的综合型制造企业。
市值253.96137亿, 利润11.46亿; PE16.52; 平均PE28.2; 平均PEG2.38, PB1.74; ROIC5.0733%; ROE7.4567%; 股利率1.3547%; 毛利16.3233%; 净利6.8267%; 上一年度营收增-33.32%, 利润增244.14%; 当季营收增28.83%, 利润增51.94%; 过往5年营收增11.85%, 利润增69.41%
Income profile:
多媒体视听产品及运营服务 83.20亿 74.24% 利润占比54.09% 毛利10.74% 增速42%
LED产业链 25.89亿 23.10% 利润占比30.75% 毛利19.62% 增速89.51%
供应链管理 2.98亿 2.66% 利润占比15.16% 毛利84.05% 增速15.25%</v>
      </c>
      <c r="D5" t="s">
        <v>80</v>
      </c>
      <c r="E5" t="s">
        <v>81</v>
      </c>
      <c r="F5">
        <v>5.61</v>
      </c>
      <c r="G5">
        <v>3.13</v>
      </c>
      <c r="H5" t="s">
        <v>306</v>
      </c>
      <c r="I5">
        <v>25396137000</v>
      </c>
      <c r="J5">
        <v>16.52</v>
      </c>
      <c r="K5">
        <v>1.74</v>
      </c>
      <c r="L5" t="s">
        <v>57</v>
      </c>
      <c r="M5" t="s">
        <v>259</v>
      </c>
      <c r="N5" t="s">
        <v>260</v>
      </c>
      <c r="O5" t="s">
        <v>261</v>
      </c>
      <c r="P5">
        <v>15.84</v>
      </c>
      <c r="Q5" t="s">
        <v>262</v>
      </c>
      <c r="R5">
        <v>1271857990</v>
      </c>
      <c r="S5" s="5">
        <v>0.44400000000000001</v>
      </c>
      <c r="T5" t="s">
        <v>263</v>
      </c>
      <c r="U5">
        <v>4524333000</v>
      </c>
      <c r="V5">
        <v>4526940600</v>
      </c>
      <c r="W5">
        <v>1.91</v>
      </c>
      <c r="X5">
        <v>0.47</v>
      </c>
      <c r="Y5">
        <v>10.42</v>
      </c>
      <c r="Z5" t="s">
        <v>264</v>
      </c>
      <c r="AA5" t="s">
        <v>265</v>
      </c>
      <c r="AB5" t="s">
        <v>253</v>
      </c>
      <c r="AC5" t="s">
        <v>266</v>
      </c>
      <c r="AD5" t="s">
        <v>267</v>
      </c>
      <c r="AE5">
        <v>48727649</v>
      </c>
      <c r="AF5" t="s">
        <v>268</v>
      </c>
      <c r="AG5" t="s">
        <v>269</v>
      </c>
      <c r="AH5" t="s">
        <v>270</v>
      </c>
      <c r="AI5" t="s">
        <v>271</v>
      </c>
      <c r="AJ5" t="s">
        <v>272</v>
      </c>
      <c r="AK5" t="s">
        <v>273</v>
      </c>
      <c r="AL5" t="s">
        <v>274</v>
      </c>
      <c r="AM5" t="s">
        <v>20</v>
      </c>
      <c r="AN5" t="s">
        <v>275</v>
      </c>
      <c r="AO5" t="s">
        <v>276</v>
      </c>
      <c r="AP5" t="s">
        <v>277</v>
      </c>
      <c r="AQ5" t="s">
        <v>278</v>
      </c>
      <c r="AR5" t="s">
        <v>20</v>
      </c>
      <c r="AS5" t="s">
        <v>279</v>
      </c>
      <c r="AT5" t="s">
        <v>280</v>
      </c>
      <c r="AU5" t="s">
        <v>281</v>
      </c>
      <c r="AV5" t="s">
        <v>282</v>
      </c>
      <c r="AW5" t="s">
        <v>283</v>
      </c>
      <c r="AX5" t="s">
        <v>135</v>
      </c>
      <c r="AY5" t="s">
        <v>82</v>
      </c>
      <c r="AZ5" t="s">
        <v>84</v>
      </c>
      <c r="BA5" t="s">
        <v>85</v>
      </c>
      <c r="BB5" t="s">
        <v>86</v>
      </c>
      <c r="BC5" t="s">
        <v>136</v>
      </c>
      <c r="BD5" t="s">
        <v>83</v>
      </c>
      <c r="BE5" t="s">
        <v>87</v>
      </c>
      <c r="BF5" t="s">
        <v>37</v>
      </c>
      <c r="BG5" t="s">
        <v>88</v>
      </c>
      <c r="BH5" t="s">
        <v>284</v>
      </c>
      <c r="BI5" t="s">
        <v>285</v>
      </c>
      <c r="BJ5" t="s">
        <v>242</v>
      </c>
      <c r="BK5" t="s">
        <v>286</v>
      </c>
      <c r="BL5" t="s">
        <v>287</v>
      </c>
      <c r="BM5" t="s">
        <v>243</v>
      </c>
      <c r="BN5">
        <v>2.12</v>
      </c>
      <c r="BO5">
        <v>2.6</v>
      </c>
      <c r="BP5">
        <v>10.5</v>
      </c>
      <c r="BQ5">
        <v>2.77</v>
      </c>
      <c r="BR5">
        <v>2.86</v>
      </c>
      <c r="BS5">
        <v>16.739999999999998</v>
      </c>
      <c r="BT5" t="s">
        <v>288</v>
      </c>
      <c r="BU5" t="s">
        <v>171</v>
      </c>
      <c r="BV5">
        <v>17.899999999999999</v>
      </c>
      <c r="BW5">
        <v>15.83</v>
      </c>
      <c r="BX5">
        <v>15.24</v>
      </c>
      <c r="BY5">
        <v>9.9499999999999993</v>
      </c>
      <c r="BZ5">
        <v>1.79</v>
      </c>
      <c r="CA5">
        <v>8.74</v>
      </c>
      <c r="CB5">
        <v>5.85</v>
      </c>
      <c r="CC5">
        <v>14.26</v>
      </c>
      <c r="CD5" t="s">
        <v>307</v>
      </c>
      <c r="CE5" t="s">
        <v>308</v>
      </c>
      <c r="CF5" s="7">
        <v>0.28831641946396014</v>
      </c>
      <c r="CG5" s="8">
        <v>0.51937285310734438</v>
      </c>
      <c r="CH5" s="7">
        <v>-0.33321502804756165</v>
      </c>
      <c r="CI5" s="7">
        <v>0.11651644855737686</v>
      </c>
      <c r="CJ5" s="7">
        <v>0.51751613616943359</v>
      </c>
      <c r="CK5" s="7">
        <v>3.3486098051071167E-2</v>
      </c>
      <c r="CL5" s="7">
        <v>0.25828525424003601</v>
      </c>
      <c r="CM5" s="8">
        <v>2.441441535949707</v>
      </c>
      <c r="CN5" s="8">
        <v>-0.81111747026443481</v>
      </c>
      <c r="CO5" s="8">
        <v>0.57410722970962524</v>
      </c>
      <c r="CP5" s="8">
        <v>1.5225225687026978</v>
      </c>
      <c r="CQ5" s="8">
        <v>-0.25628140568733215</v>
      </c>
      <c r="CR5">
        <v>28.202262076624098</v>
      </c>
      <c r="CS5">
        <v>2.3795806544562668</v>
      </c>
      <c r="CT5">
        <v>1.3547237076648841</v>
      </c>
      <c r="CU5" s="7">
        <v>0.1185177817940712</v>
      </c>
      <c r="CV5" s="8">
        <v>0.69413449168205266</v>
      </c>
      <c r="CW5">
        <v>0.06</v>
      </c>
      <c r="CX5">
        <v>19.915509024436382</v>
      </c>
      <c r="CY5">
        <v>1209265450.8830242</v>
      </c>
      <c r="CZ5">
        <v>0.1185177817940712</v>
      </c>
      <c r="DA5">
        <v>6.3534226965514868</v>
      </c>
      <c r="DB5">
        <v>3790576851.2886534</v>
      </c>
      <c r="DC5">
        <v>0.11259189270436763</v>
      </c>
      <c r="DD5">
        <v>3.0275269906826581</v>
      </c>
      <c r="DE5">
        <v>7954722476.1717634</v>
      </c>
      <c r="DF5">
        <v>0.10429564797878266</v>
      </c>
      <c r="DG5">
        <v>1.7517378752961079</v>
      </c>
      <c r="DH5">
        <v>13748139684.385752</v>
      </c>
      <c r="DI5">
        <v>9.4814225435256971E-2</v>
      </c>
      <c r="DJ5">
        <v>0.83264175880414626</v>
      </c>
      <c r="DK5">
        <v>28923767929.425732</v>
      </c>
      <c r="DL5">
        <v>8.2962447255849836E-2</v>
      </c>
      <c r="DM5">
        <v>1146000000</v>
      </c>
      <c r="DN5">
        <v>0.1185177817940712</v>
      </c>
      <c r="DO5">
        <v>24083137000</v>
      </c>
      <c r="DP5">
        <v>7092765000</v>
      </c>
      <c r="DQ5">
        <v>934</v>
      </c>
      <c r="DR5">
        <v>0.16979863766988895</v>
      </c>
      <c r="DS5">
        <v>-0.17476163857470828</v>
      </c>
      <c r="DT5" s="9">
        <v>-0.37333333333333335</v>
      </c>
      <c r="DU5">
        <v>0.48666666666666664</v>
      </c>
      <c r="DV5">
        <v>0.11333333333333329</v>
      </c>
      <c r="DW5">
        <v>8.4102384291725105</v>
      </c>
      <c r="DX5">
        <v>0.78002375296911819</v>
      </c>
      <c r="DY5">
        <v>8.0779550459235168</v>
      </c>
      <c r="DZ5">
        <v>1993</v>
      </c>
      <c r="EA5">
        <v>8.0474015736471021</v>
      </c>
      <c r="EB5">
        <v>8</v>
      </c>
      <c r="EC5">
        <v>3.5343958345731334E-2</v>
      </c>
      <c r="ED5">
        <v>0.18599758079441114</v>
      </c>
      <c r="EE5" s="10">
        <v>7.8009999999999982E-2</v>
      </c>
      <c r="EF5">
        <v>4.6710000000000002E-2</v>
      </c>
      <c r="EG5">
        <v>59.190023752969118</v>
      </c>
      <c r="EH5">
        <v>-1</v>
      </c>
      <c r="EI5">
        <v>0</v>
      </c>
      <c r="EJ5">
        <v>0</v>
      </c>
      <c r="EK5" s="12">
        <v>45245</v>
      </c>
      <c r="EL5" s="13">
        <v>-0.75</v>
      </c>
      <c r="EM5" s="13">
        <v>1.3299999999999999E-2</v>
      </c>
      <c r="EN5" s="13">
        <v>0.19</v>
      </c>
      <c r="EO5" s="13">
        <v>1.87</v>
      </c>
      <c r="EP5" s="13">
        <v>3.13</v>
      </c>
    </row>
    <row r="6" spans="1:146" ht="96" x14ac:dyDescent="0.25">
      <c r="A6" s="6"/>
      <c r="B6" s="6"/>
      <c r="C6" s="6" t="str">
        <f>""&amp;CHAR(10)&amp;Basic_Fundamental_Information_Constructure(F6)&amp;CHAR(10)&amp;Basic_Fundamental_Information_Concatenate("")</f>
        <v xml:space="preserve">
市值11.215765亿, 利润-1592.83万; PE; 平均PE-11.63; 平均PEG-.42, PB9.12; ROIC0%; ROE-18.67%; 股利率0%; 毛利6.5867%; 净利-17.2067%; 上一年度营收增-89%, 利润增-187.42%; 当季营收增-75.48%, 利润增-9.6%; 过往5年营收增-27.85%, 利润增-727.39%
Income profile:
</v>
      </c>
      <c r="D6" t="s">
        <v>89</v>
      </c>
      <c r="E6" t="s">
        <v>90</v>
      </c>
      <c r="F6">
        <v>6.71</v>
      </c>
      <c r="G6">
        <v>0.75</v>
      </c>
      <c r="H6" t="s">
        <v>415</v>
      </c>
      <c r="I6">
        <v>1121576500</v>
      </c>
      <c r="K6">
        <v>9.1199999999999992</v>
      </c>
      <c r="L6" t="s">
        <v>57</v>
      </c>
      <c r="M6" t="s">
        <v>256</v>
      </c>
      <c r="N6" t="s">
        <v>416</v>
      </c>
      <c r="O6" t="s">
        <v>417</v>
      </c>
      <c r="P6">
        <v>-8.32</v>
      </c>
      <c r="Q6" t="s">
        <v>417</v>
      </c>
      <c r="R6">
        <v>-15928331</v>
      </c>
      <c r="S6" s="5">
        <v>0.2069</v>
      </c>
      <c r="T6" t="s">
        <v>418</v>
      </c>
      <c r="U6">
        <v>164656680</v>
      </c>
      <c r="V6">
        <v>167150000</v>
      </c>
      <c r="W6">
        <v>3.44</v>
      </c>
      <c r="X6">
        <v>0.1</v>
      </c>
      <c r="Y6">
        <v>-38.11</v>
      </c>
      <c r="Z6" t="s">
        <v>419</v>
      </c>
      <c r="AA6" t="s">
        <v>420</v>
      </c>
      <c r="AB6" t="s">
        <v>421</v>
      </c>
      <c r="AC6" t="s">
        <v>422</v>
      </c>
      <c r="AD6" t="s">
        <v>20</v>
      </c>
      <c r="AE6">
        <v>1984172</v>
      </c>
      <c r="AF6" t="s">
        <v>310</v>
      </c>
      <c r="AG6">
        <v>4197.59</v>
      </c>
      <c r="AH6" t="s">
        <v>423</v>
      </c>
      <c r="AI6" t="s">
        <v>424</v>
      </c>
      <c r="AJ6" t="s">
        <v>425</v>
      </c>
      <c r="AK6" t="s">
        <v>426</v>
      </c>
      <c r="AL6" t="s">
        <v>427</v>
      </c>
      <c r="AM6" t="s">
        <v>20</v>
      </c>
      <c r="AN6" t="s">
        <v>428</v>
      </c>
      <c r="AO6" t="s">
        <v>429</v>
      </c>
      <c r="AP6" t="s">
        <v>20</v>
      </c>
      <c r="AQ6" t="s">
        <v>430</v>
      </c>
      <c r="AR6" t="s">
        <v>20</v>
      </c>
      <c r="AS6" t="s">
        <v>431</v>
      </c>
      <c r="AT6" t="s">
        <v>432</v>
      </c>
      <c r="AU6" t="s">
        <v>433</v>
      </c>
      <c r="AV6" t="s">
        <v>434</v>
      </c>
      <c r="AW6" t="s">
        <v>435</v>
      </c>
      <c r="AX6" t="s">
        <v>309</v>
      </c>
      <c r="AY6" t="s">
        <v>137</v>
      </c>
      <c r="AZ6" t="s">
        <v>91</v>
      </c>
      <c r="BA6" t="s">
        <v>22</v>
      </c>
      <c r="BB6" t="s">
        <v>93</v>
      </c>
      <c r="BC6" t="s">
        <v>436</v>
      </c>
      <c r="BD6" t="s">
        <v>138</v>
      </c>
      <c r="BE6" t="s">
        <v>92</v>
      </c>
      <c r="BF6" t="s">
        <v>94</v>
      </c>
      <c r="BG6" t="s">
        <v>95</v>
      </c>
      <c r="BH6" t="s">
        <v>437</v>
      </c>
      <c r="BI6" t="s">
        <v>53</v>
      </c>
      <c r="BJ6" t="s">
        <v>309</v>
      </c>
      <c r="BK6" t="s">
        <v>438</v>
      </c>
      <c r="BL6" t="s">
        <v>312</v>
      </c>
      <c r="BM6" t="s">
        <v>436</v>
      </c>
      <c r="BN6" t="s">
        <v>20</v>
      </c>
      <c r="BO6" t="s">
        <v>20</v>
      </c>
      <c r="BP6" t="s">
        <v>20</v>
      </c>
      <c r="BQ6">
        <v>-10.36</v>
      </c>
      <c r="BR6">
        <v>-2.41</v>
      </c>
      <c r="BS6">
        <v>-43.24</v>
      </c>
      <c r="BT6" t="s">
        <v>241</v>
      </c>
      <c r="BU6" t="s">
        <v>172</v>
      </c>
      <c r="BV6">
        <v>7.23</v>
      </c>
      <c r="BW6">
        <v>5.47</v>
      </c>
      <c r="BX6">
        <v>7.06</v>
      </c>
      <c r="BY6">
        <v>-28.38</v>
      </c>
      <c r="BZ6">
        <v>-1.56</v>
      </c>
      <c r="CA6">
        <v>-21.68</v>
      </c>
      <c r="CB6">
        <v>-3.31</v>
      </c>
      <c r="CC6">
        <v>-11.01</v>
      </c>
      <c r="CD6" t="s">
        <v>439</v>
      </c>
      <c r="CE6" t="s">
        <v>440</v>
      </c>
      <c r="CF6" s="7">
        <v>-0.75475941176470585</v>
      </c>
      <c r="CG6" s="8">
        <v>-9.6011215853574625E-2</v>
      </c>
      <c r="CH6" s="7">
        <v>-0.88999760150909424</v>
      </c>
      <c r="CI6" s="7">
        <v>-0.34315425157546997</v>
      </c>
      <c r="CJ6" s="7">
        <v>0.38038277626037598</v>
      </c>
      <c r="CK6" s="7">
        <v>-0.33755943179130554</v>
      </c>
      <c r="CL6" s="7">
        <v>-0.2022756040096283</v>
      </c>
      <c r="CM6" s="8">
        <v>-1.8741587400436401</v>
      </c>
      <c r="CN6" s="8">
        <v>0.95566475391387939</v>
      </c>
      <c r="CO6" s="8">
        <v>0.66032606363296509</v>
      </c>
      <c r="CP6" s="8">
        <v>-37.247585296630859</v>
      </c>
      <c r="CQ6" s="8">
        <v>1.1364964246749878</v>
      </c>
      <c r="CR6">
        <v>-11.628653924346848</v>
      </c>
      <c r="CS6">
        <v>-0.4175147056842417</v>
      </c>
      <c r="CT6">
        <v>0</v>
      </c>
      <c r="CU6" s="7">
        <v>-0.27852082252502441</v>
      </c>
      <c r="CV6" s="8">
        <v>-7.2738513588905338</v>
      </c>
      <c r="CW6">
        <v>0.06</v>
      </c>
      <c r="CX6" t="e">
        <v>#VALUE!</v>
      </c>
      <c r="CY6" t="s">
        <v>152</v>
      </c>
      <c r="CZ6">
        <v>-0.27852082252502441</v>
      </c>
      <c r="DA6" t="e">
        <v>#VALUE!</v>
      </c>
      <c r="DB6" t="s">
        <v>153</v>
      </c>
      <c r="DC6">
        <v>-0.26459478139877318</v>
      </c>
      <c r="DD6" t="e">
        <v>#VALUE!</v>
      </c>
      <c r="DE6" t="s">
        <v>153</v>
      </c>
      <c r="DF6">
        <v>-0.24509832382202149</v>
      </c>
      <c r="DG6" t="e">
        <v>#VALUE!</v>
      </c>
      <c r="DH6" t="s">
        <v>153</v>
      </c>
      <c r="DI6">
        <v>-0.22281665802001954</v>
      </c>
      <c r="DJ6" t="e">
        <v>#VALUE!</v>
      </c>
      <c r="DK6" t="s">
        <v>153</v>
      </c>
      <c r="DL6">
        <v>-0.19496457576751708</v>
      </c>
      <c r="DM6">
        <v>-15928300</v>
      </c>
      <c r="DN6">
        <v>-0.27852082252502441</v>
      </c>
      <c r="DO6">
        <v>1294576500</v>
      </c>
      <c r="DP6">
        <v>-42480440</v>
      </c>
      <c r="DQ6">
        <v>1317</v>
      </c>
      <c r="DR6">
        <v>-0.47623858923968143</v>
      </c>
      <c r="DS6">
        <v>7.1778401430369589</v>
      </c>
      <c r="DT6" s="9">
        <v>-1.0066666666666666</v>
      </c>
      <c r="DU6">
        <v>-2.3650000000000002</v>
      </c>
      <c r="DV6">
        <v>-3.371666666666667</v>
      </c>
      <c r="DW6">
        <v>-8.3006357856494102</v>
      </c>
      <c r="DX6">
        <v>0.29026950354609965</v>
      </c>
      <c r="DY6">
        <v>-8.0331509588317527</v>
      </c>
      <c r="DZ6">
        <v>4963</v>
      </c>
      <c r="EA6">
        <v>-8.0009536577198173</v>
      </c>
      <c r="EB6">
        <v>8</v>
      </c>
      <c r="EC6">
        <v>9.3018247083457975E-2</v>
      </c>
      <c r="ED6">
        <v>0.8435536942865689</v>
      </c>
      <c r="EE6" s="10">
        <v>-2.1456</v>
      </c>
      <c r="EF6">
        <v>-2.1355</v>
      </c>
      <c r="EG6">
        <v>18.1102695035461</v>
      </c>
      <c r="EH6" t="s">
        <v>305</v>
      </c>
      <c r="EI6">
        <v>0</v>
      </c>
      <c r="EJ6">
        <v>0</v>
      </c>
      <c r="EK6" s="12">
        <v>45470</v>
      </c>
      <c r="EL6" s="13">
        <v>-0.15</v>
      </c>
      <c r="EM6" s="13">
        <v>-4.82</v>
      </c>
      <c r="EN6" s="13">
        <v>1.84</v>
      </c>
      <c r="EO6" s="13">
        <v>4.22</v>
      </c>
      <c r="EP6" s="13">
        <v>-1.01</v>
      </c>
    </row>
    <row r="7" spans="1:146" ht="96" x14ac:dyDescent="0.25">
      <c r="C7" s="6" t="str">
        <f>""&amp;CHAR(10)&amp;Basic_Fundamental_Information_Constructure(F7)&amp;CHAR(10)&amp;Basic_Fundamental_Information_Concatenate("")</f>
        <v xml:space="preserve">
市值22.152亿, 利润1401.85万; PE25.39; 平均PE51.57; 平均PEG11.95, PB2.38; ROIC28.6767%; ROE26.925%; 股利率1.7606%; 毛利25.6267%; 净利11.7433%; 上一年度营收增-75.97%, 利润增-84.19%; 当季营收增-43.17%, 利润增-66.31%; 过往5年营收增4.32%, 利润增77.66%
Income profile:
</v>
      </c>
      <c r="D7" t="s">
        <v>441</v>
      </c>
      <c r="E7" t="s">
        <v>442</v>
      </c>
      <c r="F7">
        <v>35.5</v>
      </c>
      <c r="G7">
        <v>1.1100000000000001</v>
      </c>
      <c r="H7" t="s">
        <v>443</v>
      </c>
      <c r="I7">
        <v>2215200000</v>
      </c>
      <c r="J7">
        <v>25.39</v>
      </c>
      <c r="K7">
        <v>2.38</v>
      </c>
      <c r="L7" t="s">
        <v>57</v>
      </c>
      <c r="M7" t="s">
        <v>444</v>
      </c>
      <c r="N7" t="s">
        <v>445</v>
      </c>
      <c r="O7" t="s">
        <v>446</v>
      </c>
      <c r="P7" s="5">
        <v>20</v>
      </c>
      <c r="Q7" t="s">
        <v>446</v>
      </c>
      <c r="R7">
        <v>14018542</v>
      </c>
      <c r="S7">
        <v>-0.19359999999999999</v>
      </c>
      <c r="T7" t="s">
        <v>447</v>
      </c>
      <c r="U7">
        <v>15600000</v>
      </c>
      <c r="V7">
        <v>62400000</v>
      </c>
      <c r="W7">
        <v>1.48</v>
      </c>
      <c r="X7">
        <v>0.13</v>
      </c>
      <c r="Y7">
        <v>7.83</v>
      </c>
      <c r="Z7" t="s">
        <v>448</v>
      </c>
      <c r="AA7" t="s">
        <v>449</v>
      </c>
      <c r="AB7" t="s">
        <v>450</v>
      </c>
      <c r="AC7" t="s">
        <v>451</v>
      </c>
      <c r="AD7" t="s">
        <v>20</v>
      </c>
      <c r="AE7">
        <v>-1508149</v>
      </c>
      <c r="AF7" t="s">
        <v>452</v>
      </c>
      <c r="AG7" t="s">
        <v>453</v>
      </c>
      <c r="AH7" t="s">
        <v>454</v>
      </c>
      <c r="AI7" t="s">
        <v>455</v>
      </c>
      <c r="AJ7" t="s">
        <v>456</v>
      </c>
      <c r="AK7" t="s">
        <v>457</v>
      </c>
      <c r="AL7" t="s">
        <v>458</v>
      </c>
      <c r="AM7" t="s">
        <v>20</v>
      </c>
      <c r="AN7" t="s">
        <v>459</v>
      </c>
      <c r="AO7" t="s">
        <v>20</v>
      </c>
      <c r="AP7" t="s">
        <v>460</v>
      </c>
      <c r="AQ7" t="s">
        <v>461</v>
      </c>
      <c r="AR7" t="s">
        <v>20</v>
      </c>
      <c r="AS7" t="s">
        <v>462</v>
      </c>
      <c r="AT7" t="s">
        <v>463</v>
      </c>
      <c r="AU7" t="s">
        <v>464</v>
      </c>
      <c r="AV7" t="s">
        <v>465</v>
      </c>
      <c r="AW7" t="s">
        <v>466</v>
      </c>
      <c r="AX7" t="s">
        <v>467</v>
      </c>
      <c r="AY7" t="s">
        <v>468</v>
      </c>
      <c r="AZ7" t="s">
        <v>469</v>
      </c>
      <c r="BA7" t="s">
        <v>470</v>
      </c>
      <c r="BB7" t="s">
        <v>471</v>
      </c>
      <c r="BC7" t="s">
        <v>472</v>
      </c>
      <c r="BD7" t="s">
        <v>473</v>
      </c>
      <c r="BE7" t="s">
        <v>474</v>
      </c>
      <c r="BF7" t="s">
        <v>475</v>
      </c>
      <c r="BG7" t="s">
        <v>476</v>
      </c>
      <c r="BH7" t="s">
        <v>477</v>
      </c>
      <c r="BI7" t="s">
        <v>471</v>
      </c>
      <c r="BJ7" t="s">
        <v>467</v>
      </c>
      <c r="BK7" t="s">
        <v>478</v>
      </c>
      <c r="BL7" t="s">
        <v>479</v>
      </c>
      <c r="BM7" t="s">
        <v>472</v>
      </c>
      <c r="BN7">
        <v>16.07</v>
      </c>
      <c r="BO7">
        <v>32.53</v>
      </c>
      <c r="BP7">
        <v>37.43</v>
      </c>
      <c r="BQ7">
        <v>19.260000000000002</v>
      </c>
      <c r="BR7">
        <v>34.590000000000003</v>
      </c>
      <c r="BS7" t="s">
        <v>20</v>
      </c>
      <c r="BT7" t="s">
        <v>480</v>
      </c>
      <c r="BU7" t="s">
        <v>172</v>
      </c>
      <c r="BV7">
        <v>27.2</v>
      </c>
      <c r="BW7">
        <v>25.84</v>
      </c>
      <c r="BX7">
        <v>23.84</v>
      </c>
      <c r="BY7">
        <v>12.58</v>
      </c>
      <c r="BZ7">
        <v>11.9</v>
      </c>
      <c r="CA7">
        <v>10.75</v>
      </c>
      <c r="CB7">
        <v>-10.29</v>
      </c>
      <c r="CC7" s="7">
        <v>-14.23</v>
      </c>
      <c r="CD7" s="8" t="s">
        <v>481</v>
      </c>
      <c r="CE7" s="7" t="s">
        <v>482</v>
      </c>
      <c r="CF7" s="7">
        <v>-0.43174603174603177</v>
      </c>
      <c r="CG7" s="7">
        <v>-0.66306036461525519</v>
      </c>
      <c r="CH7" s="7">
        <v>-0.75973153114318848</v>
      </c>
      <c r="CI7" s="7">
        <v>0.19774919748306274</v>
      </c>
      <c r="CJ7" s="8">
        <v>0.3700440526008606</v>
      </c>
      <c r="CK7" s="8">
        <v>0.29344728589057922</v>
      </c>
      <c r="CL7" s="8">
        <v>0.11428571492433548</v>
      </c>
      <c r="CM7" s="8">
        <v>-0.84185534715652466</v>
      </c>
      <c r="CN7" s="8">
        <v>0.3251081109046936</v>
      </c>
      <c r="CO7">
        <v>0.10436394810676575</v>
      </c>
      <c r="CP7">
        <v>1.8249845504760742</v>
      </c>
      <c r="CQ7">
        <v>2.4704940319061279</v>
      </c>
      <c r="CR7" s="7">
        <v>51.565966276031872</v>
      </c>
      <c r="CS7" s="8">
        <v>11.947921231441962</v>
      </c>
      <c r="CT7">
        <v>1.7605633802816902</v>
      </c>
      <c r="CU7">
        <v>4.3158943951129916E-2</v>
      </c>
      <c r="CV7">
        <v>0.77661905884742732</v>
      </c>
      <c r="CW7">
        <v>0.06</v>
      </c>
      <c r="CX7">
        <v>123.89298520976051</v>
      </c>
      <c r="CY7">
        <v>13795777.033753693</v>
      </c>
      <c r="CZ7">
        <v>4.3158943951129916E-2</v>
      </c>
      <c r="DA7">
        <v>42.133949527099368</v>
      </c>
      <c r="DB7">
        <v>40565862.426466592</v>
      </c>
      <c r="DC7">
        <v>4.1000996753573417E-2</v>
      </c>
      <c r="DD7">
        <v>21.855980151065012</v>
      </c>
      <c r="DE7">
        <v>78202852.866185144</v>
      </c>
      <c r="DF7">
        <v>3.7979870676994328E-2</v>
      </c>
      <c r="DG7">
        <v>13.903807029789821</v>
      </c>
      <c r="DH7">
        <v>122930359.74520695</v>
      </c>
      <c r="DI7">
        <v>3.4527155160903933E-2</v>
      </c>
      <c r="DJ7">
        <v>8.113272694805568</v>
      </c>
      <c r="DK7">
        <v>210667145.58901688</v>
      </c>
      <c r="DL7">
        <v>3.0211260765790938E-2</v>
      </c>
      <c r="DM7">
        <v>14018500</v>
      </c>
      <c r="DN7">
        <v>4.3158943951129916E-2</v>
      </c>
      <c r="DO7">
        <v>1709200000</v>
      </c>
      <c r="DP7">
        <v>613510040</v>
      </c>
      <c r="DQ7" s="9">
        <v>2839</v>
      </c>
      <c r="DR7">
        <v>-0.47490497569716167</v>
      </c>
      <c r="DS7">
        <v>-1.4396794234626826</v>
      </c>
      <c r="DT7">
        <v>-0.37333333333333335</v>
      </c>
      <c r="DU7">
        <v>0.28816666666666663</v>
      </c>
      <c r="DV7">
        <v>-8.5166666666666724E-2</v>
      </c>
      <c r="DW7">
        <v>-9.7231201686577649</v>
      </c>
      <c r="DX7">
        <v>0.25884515158820409</v>
      </c>
      <c r="DY7">
        <v>-9.0714769226874648</v>
      </c>
      <c r="DZ7">
        <v>2229</v>
      </c>
      <c r="EA7">
        <v>-9.0402984372333819</v>
      </c>
      <c r="EB7" s="10">
        <v>9</v>
      </c>
      <c r="EC7" s="10">
        <v>0.13798878205128204</v>
      </c>
      <c r="ED7">
        <v>1.3960096153846153</v>
      </c>
      <c r="EE7">
        <v>26.050909999999998</v>
      </c>
      <c r="EF7">
        <v>26.046700000000001</v>
      </c>
      <c r="EG7">
        <v>16.098845151588204</v>
      </c>
      <c r="EH7" s="12" t="s">
        <v>483</v>
      </c>
      <c r="EI7">
        <v>0</v>
      </c>
      <c r="EJ7">
        <v>0</v>
      </c>
      <c r="EK7">
        <v>45470</v>
      </c>
      <c r="EL7">
        <v>-11.42</v>
      </c>
      <c r="EM7">
        <v>7.42</v>
      </c>
      <c r="EN7" s="13">
        <v>4.8899999999999997</v>
      </c>
      <c r="EO7" s="13">
        <v>-3.52</v>
      </c>
      <c r="EP7" s="13">
        <v>9.76</v>
      </c>
    </row>
    <row r="8" spans="1:146" ht="96" x14ac:dyDescent="0.25">
      <c r="A8" s="6"/>
      <c r="B8" s="6"/>
      <c r="C8" s="6" t="str">
        <f>""&amp;CHAR(10)&amp;Basic_Fundamental_Information_Constructure(F8)&amp;CHAR(10)&amp;Basic_Fundamental_Information_Concatenate("")</f>
        <v xml:space="preserve">
市值307.42195亿, 利润4.67亿; PE15.83; 平均PE28.65; 平均PEG1.44, PB1.61; ROIC8.9067%; ROE8.5567%; 股利率3.4195%; 毛利16.97%; 净利4.29%; 上一年度营收增-72.23%, 利润增-72.19%; 当季营收增-48.94%, 利润增-54.99%; 过往5年营收增-19.95%, 利润增-72.19%
Income profile:
</v>
      </c>
      <c r="D8" t="s">
        <v>96</v>
      </c>
      <c r="E8" t="s">
        <v>97</v>
      </c>
      <c r="F8">
        <v>23.55</v>
      </c>
      <c r="G8">
        <v>-1.46</v>
      </c>
      <c r="H8" t="s">
        <v>484</v>
      </c>
      <c r="I8">
        <v>30742195000</v>
      </c>
      <c r="J8">
        <v>15.83</v>
      </c>
      <c r="K8">
        <v>1.61</v>
      </c>
      <c r="L8" t="s">
        <v>57</v>
      </c>
      <c r="M8" t="s">
        <v>485</v>
      </c>
      <c r="N8" t="s">
        <v>486</v>
      </c>
      <c r="O8" t="s">
        <v>487</v>
      </c>
      <c r="P8">
        <v>10.61</v>
      </c>
      <c r="Q8" t="s">
        <v>487</v>
      </c>
      <c r="R8">
        <v>466728080</v>
      </c>
      <c r="S8" s="5">
        <v>-0.24809999999999999</v>
      </c>
      <c r="T8" t="s">
        <v>488</v>
      </c>
      <c r="U8">
        <v>1289081220</v>
      </c>
      <c r="V8">
        <v>1305401060</v>
      </c>
      <c r="W8">
        <v>1.69</v>
      </c>
      <c r="X8" t="s">
        <v>20</v>
      </c>
      <c r="Y8">
        <v>4.53</v>
      </c>
      <c r="Z8" t="s">
        <v>20</v>
      </c>
      <c r="AA8" t="s">
        <v>20</v>
      </c>
      <c r="AB8" t="s">
        <v>20</v>
      </c>
      <c r="AC8" t="s">
        <v>20</v>
      </c>
      <c r="AD8" t="s">
        <v>20</v>
      </c>
      <c r="AE8">
        <v>23803542</v>
      </c>
      <c r="AF8" t="s">
        <v>489</v>
      </c>
      <c r="AG8" t="s">
        <v>490</v>
      </c>
      <c r="AH8" t="s">
        <v>491</v>
      </c>
      <c r="AI8" t="s">
        <v>492</v>
      </c>
      <c r="AJ8" t="s">
        <v>493</v>
      </c>
      <c r="AK8" t="s">
        <v>20</v>
      </c>
      <c r="AL8" t="s">
        <v>494</v>
      </c>
      <c r="AM8" t="s">
        <v>20</v>
      </c>
      <c r="AN8" t="s">
        <v>495</v>
      </c>
      <c r="AO8" t="s">
        <v>20</v>
      </c>
      <c r="AP8" t="s">
        <v>496</v>
      </c>
      <c r="AQ8" t="s">
        <v>497</v>
      </c>
      <c r="AR8" t="s">
        <v>498</v>
      </c>
      <c r="AS8" t="s">
        <v>20</v>
      </c>
      <c r="AT8" t="s">
        <v>20</v>
      </c>
      <c r="AU8" t="s">
        <v>394</v>
      </c>
      <c r="AV8" t="s">
        <v>499</v>
      </c>
      <c r="AW8" t="s">
        <v>500</v>
      </c>
      <c r="AX8" t="s">
        <v>289</v>
      </c>
      <c r="AY8" t="s">
        <v>20</v>
      </c>
      <c r="AZ8" t="s">
        <v>98</v>
      </c>
      <c r="BA8" t="s">
        <v>100</v>
      </c>
      <c r="BB8" t="s">
        <v>101</v>
      </c>
      <c r="BC8" t="s">
        <v>290</v>
      </c>
      <c r="BD8" t="s">
        <v>20</v>
      </c>
      <c r="BE8" t="s">
        <v>20</v>
      </c>
      <c r="BF8" t="s">
        <v>20</v>
      </c>
      <c r="BG8" t="s">
        <v>20</v>
      </c>
      <c r="BH8" t="s">
        <v>501</v>
      </c>
      <c r="BI8" t="s">
        <v>291</v>
      </c>
      <c r="BJ8" t="s">
        <v>289</v>
      </c>
      <c r="BK8" t="s">
        <v>502</v>
      </c>
      <c r="BL8" t="s">
        <v>292</v>
      </c>
      <c r="BM8" t="s">
        <v>290</v>
      </c>
      <c r="BN8">
        <v>8.18</v>
      </c>
      <c r="BO8">
        <v>10.55</v>
      </c>
      <c r="BP8">
        <v>7.99</v>
      </c>
      <c r="BQ8">
        <v>8.48</v>
      </c>
      <c r="BR8">
        <v>10</v>
      </c>
      <c r="BS8">
        <v>7.19</v>
      </c>
      <c r="BT8" t="s">
        <v>503</v>
      </c>
      <c r="BU8" t="s">
        <v>171</v>
      </c>
      <c r="BV8">
        <v>16.940000000000001</v>
      </c>
      <c r="BW8">
        <v>18.22</v>
      </c>
      <c r="BX8">
        <v>15.75</v>
      </c>
      <c r="BY8">
        <v>4.76</v>
      </c>
      <c r="BZ8">
        <v>4.7</v>
      </c>
      <c r="CA8">
        <v>3.41</v>
      </c>
      <c r="CB8">
        <v>-4.8099999999999996</v>
      </c>
      <c r="CC8">
        <v>-13.42</v>
      </c>
      <c r="CD8" t="s">
        <v>504</v>
      </c>
      <c r="CE8" t="s">
        <v>505</v>
      </c>
      <c r="CF8" s="7">
        <v>-0.48936683417085425</v>
      </c>
      <c r="CG8" s="8">
        <v>-0.54992470588235287</v>
      </c>
      <c r="CH8" s="7">
        <v>-0.72228783369064331</v>
      </c>
      <c r="CI8" s="7" t="s">
        <v>20</v>
      </c>
      <c r="CJ8" s="7" t="s">
        <v>20</v>
      </c>
      <c r="CK8" s="7">
        <v>0.15276356041431427</v>
      </c>
      <c r="CL8" s="7">
        <v>-2.9122084379196167E-2</v>
      </c>
      <c r="CM8" s="8">
        <v>-0.72185820341110229</v>
      </c>
      <c r="CN8" s="8" t="s">
        <v>20</v>
      </c>
      <c r="CO8" s="8" t="s">
        <v>20</v>
      </c>
      <c r="CP8" s="8" t="s">
        <v>20</v>
      </c>
      <c r="CQ8" s="8" t="s">
        <v>20</v>
      </c>
      <c r="CR8">
        <v>28.65069431500466</v>
      </c>
      <c r="CS8">
        <v>1.4357739230491195</v>
      </c>
      <c r="CT8">
        <v>3.4195329087048836</v>
      </c>
      <c r="CU8" s="7">
        <v>-0.19954878588517508</v>
      </c>
      <c r="CV8" s="8">
        <v>-0.72185820341110229</v>
      </c>
      <c r="CW8">
        <v>0.06</v>
      </c>
      <c r="CX8">
        <v>54.235963597430406</v>
      </c>
      <c r="CY8" t="s">
        <v>506</v>
      </c>
      <c r="CZ8">
        <v>-0.19954878588517508</v>
      </c>
      <c r="DA8">
        <v>18.078654532476801</v>
      </c>
      <c r="DB8" t="s">
        <v>507</v>
      </c>
      <c r="DC8">
        <v>-0.18957134659091632</v>
      </c>
      <c r="DD8">
        <v>9.0393272662384003</v>
      </c>
      <c r="DE8" t="s">
        <v>508</v>
      </c>
      <c r="DF8">
        <v>-0.17560293157895407</v>
      </c>
      <c r="DG8">
        <v>5.4235963597430406</v>
      </c>
      <c r="DH8" t="s">
        <v>509</v>
      </c>
      <c r="DI8">
        <v>-0.15963902870814006</v>
      </c>
      <c r="DJ8">
        <v>2.7117981798715203</v>
      </c>
      <c r="DK8" t="s">
        <v>510</v>
      </c>
      <c r="DL8">
        <v>-0.13968415011962254</v>
      </c>
      <c r="DM8">
        <v>467000000</v>
      </c>
      <c r="DN8">
        <v>-0.19954878588517508</v>
      </c>
      <c r="DO8">
        <v>25328195000</v>
      </c>
      <c r="DP8">
        <v>33360873000</v>
      </c>
      <c r="DQ8">
        <v>2889</v>
      </c>
      <c r="DR8">
        <v>-0.28981804828567914</v>
      </c>
      <c r="DS8">
        <v>0.17193349752874942</v>
      </c>
      <c r="DT8" s="9">
        <v>-1.1599999999999999</v>
      </c>
      <c r="DU8">
        <v>-2.3199999999999998</v>
      </c>
      <c r="DV8">
        <v>-3.4799999999999995</v>
      </c>
      <c r="DW8">
        <v>-8.3584202682563333</v>
      </c>
      <c r="DX8">
        <v>0.34951243243243202</v>
      </c>
      <c r="DY8">
        <v>-8.0643408941877794</v>
      </c>
      <c r="DZ8">
        <v>1650</v>
      </c>
      <c r="EA8">
        <v>-8.0435654586868335</v>
      </c>
      <c r="EB8">
        <v>8</v>
      </c>
      <c r="EC8">
        <v>2.5440304146834385E-2</v>
      </c>
      <c r="ED8">
        <v>0.14171889825185219</v>
      </c>
      <c r="EE8" s="10">
        <v>1.0889</v>
      </c>
      <c r="EF8">
        <v>1.0752999999999999</v>
      </c>
      <c r="EG8">
        <v>17.179512432432432</v>
      </c>
      <c r="EH8" t="s">
        <v>511</v>
      </c>
      <c r="EI8">
        <v>0</v>
      </c>
      <c r="EJ8">
        <v>0</v>
      </c>
      <c r="EK8" s="12">
        <v>45470</v>
      </c>
      <c r="EL8" s="13">
        <v>-2.6</v>
      </c>
      <c r="EM8" s="13">
        <v>-4.8499999999999996</v>
      </c>
      <c r="EN8" s="13">
        <v>1.02</v>
      </c>
      <c r="EO8" s="13">
        <v>1.89</v>
      </c>
      <c r="EP8" s="13">
        <v>-1.36</v>
      </c>
    </row>
    <row r="9" spans="1:146" ht="96" x14ac:dyDescent="0.25">
      <c r="A9" s="6"/>
      <c r="B9" s="6"/>
      <c r="C9" s="6" t="str">
        <f>""&amp;CHAR(10)&amp;Basic_Fundamental_Information_Constructure(F9)&amp;CHAR(10)&amp;Basic_Fundamental_Information_Concatenate("")</f>
        <v xml:space="preserve">
市值201.26825亿, 利润1.76亿; PE25.79; 平均PE88.93; 平均PEG7.04, PB1.41; ROIC2.49%; ROE3.0533%; 股利率0%; 毛利11.0433%; 净利1.2533%; 上一年度营收增-74.3%, 利润增-62.39%; 当季营收增-49.04%, 利润增-13.04%; 过往5年营收增-12.63%, 利润增84.74%
Income profile:
</v>
      </c>
      <c r="D9" t="s">
        <v>102</v>
      </c>
      <c r="E9" t="s">
        <v>103</v>
      </c>
      <c r="F9">
        <v>4.3600000000000003</v>
      </c>
      <c r="G9">
        <v>0.46</v>
      </c>
      <c r="H9" t="s">
        <v>512</v>
      </c>
      <c r="I9">
        <v>20126825000</v>
      </c>
      <c r="J9">
        <v>25.79</v>
      </c>
      <c r="K9">
        <v>1.41</v>
      </c>
      <c r="L9" t="s">
        <v>57</v>
      </c>
      <c r="M9" t="s">
        <v>513</v>
      </c>
      <c r="N9" t="s">
        <v>514</v>
      </c>
      <c r="O9" t="s">
        <v>515</v>
      </c>
      <c r="P9">
        <v>3.61</v>
      </c>
      <c r="Q9" t="s">
        <v>515</v>
      </c>
      <c r="R9">
        <v>175663310</v>
      </c>
      <c r="S9" s="5">
        <v>1.1180000000000001</v>
      </c>
      <c r="T9" t="s">
        <v>461</v>
      </c>
      <c r="U9">
        <v>4614958600</v>
      </c>
      <c r="V9">
        <v>4616244200</v>
      </c>
      <c r="W9">
        <v>3.9</v>
      </c>
      <c r="X9">
        <v>0.25</v>
      </c>
      <c r="Y9">
        <v>1.86</v>
      </c>
      <c r="Z9" t="s">
        <v>516</v>
      </c>
      <c r="AA9" t="s">
        <v>517</v>
      </c>
      <c r="AB9" t="s">
        <v>518</v>
      </c>
      <c r="AC9" t="s">
        <v>519</v>
      </c>
      <c r="AD9" t="s">
        <v>20</v>
      </c>
      <c r="AE9">
        <v>75027109</v>
      </c>
      <c r="AF9" t="s">
        <v>520</v>
      </c>
      <c r="AG9" t="s">
        <v>521</v>
      </c>
      <c r="AH9" t="s">
        <v>522</v>
      </c>
      <c r="AI9" t="s">
        <v>523</v>
      </c>
      <c r="AJ9" t="s">
        <v>524</v>
      </c>
      <c r="AK9" t="s">
        <v>525</v>
      </c>
      <c r="AL9" t="s">
        <v>526</v>
      </c>
      <c r="AM9" t="s">
        <v>20</v>
      </c>
      <c r="AN9" t="s">
        <v>527</v>
      </c>
      <c r="AO9" t="s">
        <v>528</v>
      </c>
      <c r="AP9" t="s">
        <v>529</v>
      </c>
      <c r="AQ9" t="s">
        <v>530</v>
      </c>
      <c r="AR9" t="s">
        <v>531</v>
      </c>
      <c r="AS9" t="s">
        <v>532</v>
      </c>
      <c r="AT9" t="s">
        <v>533</v>
      </c>
      <c r="AU9" t="s">
        <v>534</v>
      </c>
      <c r="AV9" t="s">
        <v>535</v>
      </c>
      <c r="AW9" t="s">
        <v>536</v>
      </c>
      <c r="AX9" t="s">
        <v>293</v>
      </c>
      <c r="AY9" t="s">
        <v>139</v>
      </c>
      <c r="AZ9" t="s">
        <v>104</v>
      </c>
      <c r="BA9" t="s">
        <v>106</v>
      </c>
      <c r="BB9" t="s">
        <v>107</v>
      </c>
      <c r="BC9" t="s">
        <v>294</v>
      </c>
      <c r="BD9" t="s">
        <v>60</v>
      </c>
      <c r="BE9" t="s">
        <v>105</v>
      </c>
      <c r="BF9" t="s">
        <v>108</v>
      </c>
      <c r="BG9" t="s">
        <v>109</v>
      </c>
      <c r="BH9" t="s">
        <v>537</v>
      </c>
      <c r="BI9" t="s">
        <v>295</v>
      </c>
      <c r="BJ9" t="s">
        <v>293</v>
      </c>
      <c r="BK9" t="s">
        <v>538</v>
      </c>
      <c r="BL9" t="s">
        <v>296</v>
      </c>
      <c r="BM9" t="s">
        <v>294</v>
      </c>
      <c r="BN9">
        <v>3.17</v>
      </c>
      <c r="BO9">
        <v>2.68</v>
      </c>
      <c r="BP9">
        <v>1.62</v>
      </c>
      <c r="BQ9">
        <v>3.5</v>
      </c>
      <c r="BR9">
        <v>3.49</v>
      </c>
      <c r="BS9">
        <v>2.17</v>
      </c>
      <c r="BT9" t="s">
        <v>241</v>
      </c>
      <c r="BU9" t="s">
        <v>171</v>
      </c>
      <c r="BV9">
        <v>11.54</v>
      </c>
      <c r="BW9">
        <v>11.62</v>
      </c>
      <c r="BX9">
        <v>9.9700000000000006</v>
      </c>
      <c r="BY9">
        <v>1.85</v>
      </c>
      <c r="BZ9">
        <v>1.23</v>
      </c>
      <c r="CA9">
        <v>0.68</v>
      </c>
      <c r="CB9">
        <v>-2.9</v>
      </c>
      <c r="CC9">
        <v>-13.83</v>
      </c>
      <c r="CD9" t="s">
        <v>256</v>
      </c>
      <c r="CE9" t="s">
        <v>539</v>
      </c>
      <c r="CF9" s="7">
        <v>-0.49035245690764084</v>
      </c>
      <c r="CG9" s="8">
        <v>-0.13037965346534652</v>
      </c>
      <c r="CH9" s="7">
        <v>-0.74295538663864136</v>
      </c>
      <c r="CI9" s="7">
        <v>-7.1764037013053894E-2</v>
      </c>
      <c r="CJ9" s="7">
        <v>5.4887302219867706E-2</v>
      </c>
      <c r="CK9" s="7">
        <v>6.3687488436698914E-2</v>
      </c>
      <c r="CL9" s="7">
        <v>6.4855761826038361E-2</v>
      </c>
      <c r="CM9" s="8">
        <v>-0.6239316463470459</v>
      </c>
      <c r="CN9" s="8">
        <v>0.64210528135299683</v>
      </c>
      <c r="CO9" s="8">
        <v>5.282196044921875</v>
      </c>
      <c r="CP9" s="8">
        <v>-0.25090032815933228</v>
      </c>
      <c r="CQ9" s="8">
        <v>-0.8125043511390686</v>
      </c>
      <c r="CR9">
        <v>88.930343404220281</v>
      </c>
      <c r="CS9">
        <v>7.0435538677823724</v>
      </c>
      <c r="CT9">
        <v>0</v>
      </c>
      <c r="CU9" s="7">
        <v>-0.12625777423381807</v>
      </c>
      <c r="CV9" s="8">
        <v>0.84739300012588503</v>
      </c>
      <c r="CW9">
        <v>0.06</v>
      </c>
      <c r="CX9">
        <v>375.8228693181818</v>
      </c>
      <c r="CY9" t="s">
        <v>540</v>
      </c>
      <c r="CZ9">
        <v>-0.12625777423381807</v>
      </c>
      <c r="DA9">
        <v>125.27428977272727</v>
      </c>
      <c r="DB9" t="s">
        <v>541</v>
      </c>
      <c r="DC9">
        <v>-0.11994488552212716</v>
      </c>
      <c r="DD9">
        <v>62.637144886363636</v>
      </c>
      <c r="DE9" t="s">
        <v>542</v>
      </c>
      <c r="DF9">
        <v>-0.1111068413257599</v>
      </c>
      <c r="DG9">
        <v>37.582286931818182</v>
      </c>
      <c r="DH9" t="s">
        <v>543</v>
      </c>
      <c r="DI9">
        <v>-0.10100621938705445</v>
      </c>
      <c r="DJ9">
        <v>18.791143465909091</v>
      </c>
      <c r="DK9" t="s">
        <v>544</v>
      </c>
      <c r="DL9">
        <v>-8.8380441963672646E-2</v>
      </c>
      <c r="DM9">
        <v>176000000</v>
      </c>
      <c r="DN9">
        <v>-0.12625777423381807</v>
      </c>
      <c r="DO9">
        <v>66144825000</v>
      </c>
      <c r="DP9">
        <v>5186258000</v>
      </c>
      <c r="DQ9">
        <v>3509</v>
      </c>
      <c r="DR9">
        <v>-0.36409468267382278</v>
      </c>
      <c r="DS9">
        <v>-0.97777265359123156</v>
      </c>
      <c r="DT9" s="9">
        <v>-0.77333333333333332</v>
      </c>
      <c r="DU9">
        <v>4.666666666666671E-2</v>
      </c>
      <c r="DV9">
        <v>-0.72666666666666657</v>
      </c>
      <c r="DW9">
        <v>-8.2096890817064345</v>
      </c>
      <c r="DX9">
        <v>0.36831775700934655</v>
      </c>
      <c r="DY9">
        <v>-8.0290037234509839</v>
      </c>
      <c r="DZ9">
        <v>2597</v>
      </c>
      <c r="EA9">
        <v>-8.0142634749574011</v>
      </c>
      <c r="EB9">
        <v>8</v>
      </c>
      <c r="EC9">
        <v>6.4121391151707272E-2</v>
      </c>
      <c r="ED9">
        <v>0.4635803279211268</v>
      </c>
      <c r="EE9" s="10">
        <v>-1.03291</v>
      </c>
      <c r="EF9">
        <v>-1.0458099999999999</v>
      </c>
      <c r="EG9">
        <v>23.138317757009347</v>
      </c>
      <c r="EH9" t="s">
        <v>545</v>
      </c>
      <c r="EI9">
        <v>0</v>
      </c>
      <c r="EJ9">
        <v>0</v>
      </c>
      <c r="EK9" s="12">
        <v>45470</v>
      </c>
      <c r="EL9" s="13">
        <v>-1.96</v>
      </c>
      <c r="EM9" s="13">
        <v>-4.17</v>
      </c>
      <c r="EN9" s="13">
        <v>1.33</v>
      </c>
      <c r="EO9" s="13">
        <v>1.5</v>
      </c>
      <c r="EP9" s="13">
        <v>-1.29</v>
      </c>
    </row>
    <row r="10" spans="1:146" ht="96" x14ac:dyDescent="0.25">
      <c r="A10" s="6"/>
      <c r="B10" s="6"/>
      <c r="C10" s="6" t="str">
        <f>""&amp;CHAR(10)&amp;Basic_Fundamental_Information_Constructure(F10)&amp;CHAR(10)&amp;Basic_Fundamental_Information_Concatenate("")</f>
        <v xml:space="preserve">
市值40.6亿, 利润452.33万; PE; 平均PE51.94; 平均PEG3.03, PB3.93; ROIC5.56%; ROE1.0033%; 股利率0%; 毛利17.2167%; 净利-1.2033%; 上一年度营收增-72.45%, 利润增-92.51%; 当季营收增-42.73%, 利润增115.93%; 过往5年营收增-17.17%, 利润增1.71%
Income profile:
</v>
      </c>
      <c r="D10" t="s">
        <v>110</v>
      </c>
      <c r="E10" t="s">
        <v>111</v>
      </c>
      <c r="F10">
        <v>8.1199999999999992</v>
      </c>
      <c r="G10">
        <v>0.87</v>
      </c>
      <c r="H10" t="s">
        <v>546</v>
      </c>
      <c r="I10">
        <v>4060000000</v>
      </c>
      <c r="K10">
        <v>3.93</v>
      </c>
      <c r="L10" t="s">
        <v>57</v>
      </c>
      <c r="M10" t="s">
        <v>399</v>
      </c>
      <c r="N10" t="s">
        <v>547</v>
      </c>
      <c r="O10" t="s">
        <v>548</v>
      </c>
      <c r="P10">
        <v>22.51</v>
      </c>
      <c r="Q10" t="s">
        <v>548</v>
      </c>
      <c r="R10">
        <v>4523262</v>
      </c>
      <c r="S10" s="5">
        <v>-0.4834</v>
      </c>
      <c r="T10" t="s">
        <v>549</v>
      </c>
      <c r="U10">
        <v>500000000</v>
      </c>
      <c r="V10">
        <v>500000000</v>
      </c>
      <c r="W10">
        <v>3.12</v>
      </c>
      <c r="X10">
        <v>0.21</v>
      </c>
      <c r="Y10">
        <v>0.3</v>
      </c>
      <c r="Z10" t="s">
        <v>550</v>
      </c>
      <c r="AA10" t="s">
        <v>551</v>
      </c>
      <c r="AB10" t="s">
        <v>552</v>
      </c>
      <c r="AC10" t="s">
        <v>553</v>
      </c>
      <c r="AD10" t="s">
        <v>20</v>
      </c>
      <c r="AE10">
        <v>8865549</v>
      </c>
      <c r="AF10" t="s">
        <v>554</v>
      </c>
      <c r="AG10" t="s">
        <v>555</v>
      </c>
      <c r="AH10" t="s">
        <v>556</v>
      </c>
      <c r="AI10" t="s">
        <v>557</v>
      </c>
      <c r="AJ10" t="s">
        <v>558</v>
      </c>
      <c r="AK10" t="s">
        <v>559</v>
      </c>
      <c r="AL10" t="s">
        <v>560</v>
      </c>
      <c r="AM10" t="s">
        <v>20</v>
      </c>
      <c r="AN10" t="s">
        <v>561</v>
      </c>
      <c r="AO10" t="s">
        <v>562</v>
      </c>
      <c r="AP10" t="s">
        <v>563</v>
      </c>
      <c r="AQ10" t="s">
        <v>564</v>
      </c>
      <c r="AR10" t="s">
        <v>20</v>
      </c>
      <c r="AS10" t="s">
        <v>565</v>
      </c>
      <c r="AT10" t="s">
        <v>566</v>
      </c>
      <c r="AU10" t="s">
        <v>567</v>
      </c>
      <c r="AV10" t="s">
        <v>568</v>
      </c>
      <c r="AW10" t="s">
        <v>569</v>
      </c>
      <c r="AX10" t="s">
        <v>298</v>
      </c>
      <c r="AY10" t="s">
        <v>140</v>
      </c>
      <c r="AZ10" t="s">
        <v>112</v>
      </c>
      <c r="BA10" t="s">
        <v>114</v>
      </c>
      <c r="BB10" t="s">
        <v>115</v>
      </c>
      <c r="BC10" t="s">
        <v>570</v>
      </c>
      <c r="BD10" t="s">
        <v>141</v>
      </c>
      <c r="BE10" t="s">
        <v>113</v>
      </c>
      <c r="BF10" t="s">
        <v>21</v>
      </c>
      <c r="BG10" t="s">
        <v>116</v>
      </c>
      <c r="BH10" t="s">
        <v>571</v>
      </c>
      <c r="BI10" t="s">
        <v>299</v>
      </c>
      <c r="BJ10" t="s">
        <v>298</v>
      </c>
      <c r="BK10" t="s">
        <v>572</v>
      </c>
      <c r="BL10" t="s">
        <v>300</v>
      </c>
      <c r="BM10" t="s">
        <v>570</v>
      </c>
      <c r="BN10" t="s">
        <v>20</v>
      </c>
      <c r="BO10">
        <v>3.65</v>
      </c>
      <c r="BP10">
        <v>7.47</v>
      </c>
      <c r="BQ10">
        <v>-10.16</v>
      </c>
      <c r="BR10">
        <v>4.6900000000000004</v>
      </c>
      <c r="BS10">
        <v>8.48</v>
      </c>
      <c r="BT10" t="s">
        <v>241</v>
      </c>
      <c r="BU10" t="s">
        <v>172</v>
      </c>
      <c r="BV10">
        <v>11.58</v>
      </c>
      <c r="BW10">
        <v>20.57</v>
      </c>
      <c r="BX10">
        <v>19.5</v>
      </c>
      <c r="BY10">
        <v>-9.4499999999999993</v>
      </c>
      <c r="BZ10">
        <v>2.39</v>
      </c>
      <c r="CA10">
        <v>3.45</v>
      </c>
      <c r="CB10">
        <v>-7.94</v>
      </c>
      <c r="CC10">
        <v>-27.95</v>
      </c>
      <c r="CD10" t="s">
        <v>573</v>
      </c>
      <c r="CE10" t="s">
        <v>574</v>
      </c>
      <c r="CF10" s="7">
        <v>-0.4273356401384083</v>
      </c>
      <c r="CG10" s="8">
        <v>1.1592894194707095</v>
      </c>
      <c r="CH10" s="7">
        <v>-0.72451102733612061</v>
      </c>
      <c r="CI10" s="7">
        <v>-0.1405579149723053</v>
      </c>
      <c r="CJ10" s="7">
        <v>0.37869822978973389</v>
      </c>
      <c r="CK10" s="7">
        <v>-0.16782927513122559</v>
      </c>
      <c r="CL10" s="7">
        <v>-0.20411501824855804</v>
      </c>
      <c r="CM10" s="8">
        <v>-0.92511218786239624</v>
      </c>
      <c r="CN10" s="8">
        <v>-0.38590219616889954</v>
      </c>
      <c r="CO10" s="8">
        <v>-0.27678459882736206</v>
      </c>
      <c r="CP10" s="8">
        <v>0.1147540956735611</v>
      </c>
      <c r="CQ10" s="8">
        <v>1.5587892532348633</v>
      </c>
      <c r="CR10">
        <v>51.944684455233315</v>
      </c>
      <c r="CS10">
        <v>3.0259685603922382</v>
      </c>
      <c r="CT10">
        <v>0</v>
      </c>
      <c r="CU10" s="7">
        <v>-0.17166300117969513</v>
      </c>
      <c r="CV10" s="8">
        <v>1.7148873209953307E-2</v>
      </c>
      <c r="CW10">
        <v>0.06</v>
      </c>
      <c r="CX10">
        <v>1107.3773572391838</v>
      </c>
      <c r="CY10" t="s">
        <v>575</v>
      </c>
      <c r="CZ10">
        <v>-0.17166300117969513</v>
      </c>
      <c r="DA10">
        <v>369.12578574639457</v>
      </c>
      <c r="DB10" t="s">
        <v>576</v>
      </c>
      <c r="DC10">
        <v>-0.16307985112071036</v>
      </c>
      <c r="DD10">
        <v>184.56289287319728</v>
      </c>
      <c r="DE10" t="s">
        <v>577</v>
      </c>
      <c r="DF10">
        <v>-0.15106344103813171</v>
      </c>
      <c r="DG10">
        <v>110.73773572391838</v>
      </c>
      <c r="DH10" t="s">
        <v>578</v>
      </c>
      <c r="DI10">
        <v>-0.13733040094375612</v>
      </c>
      <c r="DJ10">
        <v>55.368867861959188</v>
      </c>
      <c r="DK10" t="s">
        <v>579</v>
      </c>
      <c r="DL10">
        <v>-0.12016410082578659</v>
      </c>
      <c r="DM10">
        <v>4523300</v>
      </c>
      <c r="DN10">
        <v>-0.17166300117969513</v>
      </c>
      <c r="DO10">
        <v>5009000000</v>
      </c>
      <c r="DP10">
        <v>292975400</v>
      </c>
      <c r="DQ10">
        <v>5013</v>
      </c>
      <c r="DR10">
        <v>-0.25567263895871317</v>
      </c>
      <c r="DS10">
        <v>1.1421405462607561</v>
      </c>
      <c r="DT10" s="9">
        <v>-0.85666666666666658</v>
      </c>
      <c r="DU10">
        <v>-0.41666666666666669</v>
      </c>
      <c r="DV10">
        <v>-1.2733333333333332</v>
      </c>
      <c r="DW10">
        <v>-9.2840787119856891</v>
      </c>
      <c r="DX10">
        <v>0.27561566149506361</v>
      </c>
      <c r="DY10">
        <v>-9.0271623739631774</v>
      </c>
      <c r="DZ10">
        <v>3091</v>
      </c>
      <c r="EA10">
        <v>-9.0107320612586417</v>
      </c>
      <c r="EB10">
        <v>9</v>
      </c>
      <c r="EC10">
        <v>0.13558300000000001</v>
      </c>
      <c r="ED10">
        <v>1.4179999999999999</v>
      </c>
      <c r="EE10" s="10">
        <v>-1.006</v>
      </c>
      <c r="EF10">
        <v>-1.0403100000000001</v>
      </c>
      <c r="EG10">
        <v>18.095615661495064</v>
      </c>
      <c r="EH10" t="s">
        <v>545</v>
      </c>
      <c r="EI10">
        <v>0</v>
      </c>
      <c r="EJ10">
        <v>0</v>
      </c>
      <c r="EK10" s="12">
        <v>45470</v>
      </c>
      <c r="EL10" s="13">
        <v>5.18</v>
      </c>
      <c r="EM10" s="13">
        <v>-6.09</v>
      </c>
      <c r="EN10" s="13">
        <v>-6.04</v>
      </c>
      <c r="EO10" s="13">
        <v>1.18</v>
      </c>
      <c r="EP10" s="13">
        <v>-4.63</v>
      </c>
    </row>
    <row r="11" spans="1:146" ht="156" x14ac:dyDescent="0.25">
      <c r="A11" s="6" t="s">
        <v>313</v>
      </c>
      <c r="B11" s="6" t="s">
        <v>314</v>
      </c>
      <c r="C11" s="6" t="str">
        <f>"公司的主营业务是智能投影产品的研发、生产及销售，同时向消费者提供围绕智能投影的配件产品及互联网增值服务。"&amp;CHAR(10)&amp;Basic_Fundamental_Information_Constructure(F11)&amp;CHAR(10)&amp;Basic_Fundamental_Information_Concatenate("(境外占比21%）
投影整机产品 37.85亿 93.73% 90.01% 34.46%
配件产品 1.59亿 3.93% 5.51% 50.29%
互联网增值服务 6401.60万 1.59% 4.06% 91.89%
其他业务 3042.01万 0.75% 0.42% 19.83%")</f>
        <v>公司的主营业务是智能投影产品的研发、生产及销售，同时向消费者提供围绕智能投影的配件产品及互联网增值服务。
市值48.65亿, 利润1431.91万; PE58.88; 平均PE21.3; 平均PEG3.79, PB1.61; ROIC12.5767%; ROE13.7067%; 股利率.4317%; 毛利34.37%; 净利9.07%; 上一年度营收增-80.46%, 利润增-97.14%; 当季营收增-49.29%, 利润增-84.56%; 过往5年营收增5.62%, 利润增211.11%
Income profile:
(境外占比21%）
投影整机产品 37.85亿 93.73% 90.01% 34.46%
配件产品 1.59亿 3.93% 5.51% 50.29%
互联网增值服务 6401.60万 1.59% 4.06% 91.89%
其他业务 3042.01万 0.75% 0.42% 19.83%</v>
      </c>
      <c r="D11" t="s">
        <v>117</v>
      </c>
      <c r="E11" t="s">
        <v>173</v>
      </c>
      <c r="F11">
        <v>69.5</v>
      </c>
      <c r="G11">
        <v>-4.79</v>
      </c>
      <c r="H11" t="s">
        <v>580</v>
      </c>
      <c r="I11">
        <v>4865000000</v>
      </c>
      <c r="J11">
        <v>58.88</v>
      </c>
      <c r="K11">
        <v>1.61</v>
      </c>
      <c r="L11" t="s">
        <v>57</v>
      </c>
      <c r="M11" t="s">
        <v>581</v>
      </c>
      <c r="N11" t="s">
        <v>582</v>
      </c>
      <c r="O11" t="s">
        <v>583</v>
      </c>
      <c r="P11">
        <v>-6.59</v>
      </c>
      <c r="Q11" t="s">
        <v>583</v>
      </c>
      <c r="R11">
        <v>14319148</v>
      </c>
      <c r="S11" s="5">
        <v>-0.72570000000000001</v>
      </c>
      <c r="T11" t="s">
        <v>584</v>
      </c>
      <c r="U11">
        <v>70000000</v>
      </c>
      <c r="V11">
        <v>70000000</v>
      </c>
      <c r="W11">
        <v>1.79</v>
      </c>
      <c r="X11">
        <v>0.15</v>
      </c>
      <c r="Y11">
        <v>1.72</v>
      </c>
      <c r="Z11" t="s">
        <v>585</v>
      </c>
      <c r="AA11" t="s">
        <v>244</v>
      </c>
      <c r="AB11" t="s">
        <v>586</v>
      </c>
      <c r="AC11" t="s">
        <v>587</v>
      </c>
      <c r="AD11" t="s">
        <v>20</v>
      </c>
      <c r="AE11">
        <v>-12422387</v>
      </c>
      <c r="AF11" t="s">
        <v>588</v>
      </c>
      <c r="AG11" t="s">
        <v>589</v>
      </c>
      <c r="AH11" t="s">
        <v>590</v>
      </c>
      <c r="AI11" t="s">
        <v>591</v>
      </c>
      <c r="AJ11" t="s">
        <v>592</v>
      </c>
      <c r="AK11" t="s">
        <v>20</v>
      </c>
      <c r="AL11" t="s">
        <v>593</v>
      </c>
      <c r="AM11" t="s">
        <v>20</v>
      </c>
      <c r="AN11" t="s">
        <v>594</v>
      </c>
      <c r="AO11" t="s">
        <v>311</v>
      </c>
      <c r="AP11" t="s">
        <v>595</v>
      </c>
      <c r="AQ11" t="s">
        <v>596</v>
      </c>
      <c r="AR11" t="s">
        <v>20</v>
      </c>
      <c r="AS11" t="s">
        <v>597</v>
      </c>
      <c r="AT11" t="s">
        <v>99</v>
      </c>
      <c r="AU11" t="s">
        <v>598</v>
      </c>
      <c r="AV11" t="s">
        <v>599</v>
      </c>
      <c r="AW11" t="s">
        <v>600</v>
      </c>
      <c r="AX11" t="s">
        <v>301</v>
      </c>
      <c r="AY11" t="s">
        <v>142</v>
      </c>
      <c r="AZ11" t="s">
        <v>118</v>
      </c>
      <c r="BA11" t="s">
        <v>120</v>
      </c>
      <c r="BB11" t="s">
        <v>121</v>
      </c>
      <c r="BC11" t="s">
        <v>302</v>
      </c>
      <c r="BD11" t="s">
        <v>143</v>
      </c>
      <c r="BE11" t="s">
        <v>36</v>
      </c>
      <c r="BF11" t="s">
        <v>122</v>
      </c>
      <c r="BG11" t="s">
        <v>123</v>
      </c>
      <c r="BH11" t="s">
        <v>601</v>
      </c>
      <c r="BI11" t="s">
        <v>303</v>
      </c>
      <c r="BJ11" t="s">
        <v>301</v>
      </c>
      <c r="BK11" t="s">
        <v>250</v>
      </c>
      <c r="BL11" t="s">
        <v>304</v>
      </c>
      <c r="BM11" t="s">
        <v>302</v>
      </c>
      <c r="BN11">
        <v>0.86</v>
      </c>
      <c r="BO11">
        <v>14.51</v>
      </c>
      <c r="BP11">
        <v>22.36</v>
      </c>
      <c r="BQ11">
        <v>2.75</v>
      </c>
      <c r="BR11">
        <v>17.149999999999999</v>
      </c>
      <c r="BS11">
        <v>21.22</v>
      </c>
      <c r="BT11" t="s">
        <v>602</v>
      </c>
      <c r="BU11" t="s">
        <v>172</v>
      </c>
      <c r="BV11">
        <v>31.25</v>
      </c>
      <c r="BW11">
        <v>35.979999999999997</v>
      </c>
      <c r="BX11">
        <v>35.880000000000003</v>
      </c>
      <c r="BY11">
        <v>3.37</v>
      </c>
      <c r="BZ11">
        <v>11.87</v>
      </c>
      <c r="CA11">
        <v>11.97</v>
      </c>
      <c r="CB11">
        <v>-9.67</v>
      </c>
      <c r="CC11">
        <v>-30.96</v>
      </c>
      <c r="CD11" t="s">
        <v>603</v>
      </c>
      <c r="CE11" t="s">
        <v>604</v>
      </c>
      <c r="CF11" s="7">
        <v>-0.49293177627535339</v>
      </c>
      <c r="CG11" s="8">
        <v>-0.84557786110455069</v>
      </c>
      <c r="CH11" s="7">
        <v>-0.80459499359130859</v>
      </c>
      <c r="CI11" s="7">
        <v>4.5567110180854797E-2</v>
      </c>
      <c r="CJ11" s="7">
        <v>0.42786425352096558</v>
      </c>
      <c r="CK11" s="7">
        <v>0.33648392558097839</v>
      </c>
      <c r="CL11" s="7">
        <v>0.27546709775924683</v>
      </c>
      <c r="CM11" s="8">
        <v>-0.97141897678375244</v>
      </c>
      <c r="CN11" s="8">
        <v>3.7267081439495087E-2</v>
      </c>
      <c r="CO11" s="8">
        <v>0.79553902149200439</v>
      </c>
      <c r="CP11" s="8">
        <v>1.8799376487731934</v>
      </c>
      <c r="CQ11" s="8">
        <v>8.8143148422241211</v>
      </c>
      <c r="CR11">
        <v>21.302820357672822</v>
      </c>
      <c r="CS11">
        <v>3.7934075486566163</v>
      </c>
      <c r="CT11">
        <v>0.43165467625899279</v>
      </c>
      <c r="CU11" s="7">
        <v>5.6157478690147401E-2</v>
      </c>
      <c r="CV11" s="8">
        <v>2.1111279234290121</v>
      </c>
      <c r="CW11">
        <v>0.06</v>
      </c>
      <c r="CX11">
        <v>301.18047801271985</v>
      </c>
      <c r="CY11">
        <v>14267192.974634046</v>
      </c>
      <c r="CZ11">
        <v>5.6157478690147401E-2</v>
      </c>
      <c r="DA11">
        <v>101.29530114391223</v>
      </c>
      <c r="DB11">
        <v>42420526.435823195</v>
      </c>
      <c r="DC11">
        <v>5.3349604755640032E-2</v>
      </c>
      <c r="DD11">
        <v>51.794606657298466</v>
      </c>
      <c r="DE11">
        <v>82962305.871561289</v>
      </c>
      <c r="DF11">
        <v>4.9418581247329715E-2</v>
      </c>
      <c r="DG11">
        <v>32.440985528657478</v>
      </c>
      <c r="DH11">
        <v>132455902.00100882</v>
      </c>
      <c r="DI11">
        <v>4.4925982952117922E-2</v>
      </c>
      <c r="DJ11">
        <v>18.336009650014329</v>
      </c>
      <c r="DK11">
        <v>234347607.90478981</v>
      </c>
      <c r="DL11">
        <v>3.9310235083103176E-2</v>
      </c>
      <c r="DM11">
        <v>14319100</v>
      </c>
      <c r="DN11">
        <v>5.6157478690147401E-2</v>
      </c>
      <c r="DO11">
        <v>4297000000</v>
      </c>
      <c r="DP11">
        <v>2763790100</v>
      </c>
      <c r="DQ11">
        <v>5074</v>
      </c>
      <c r="DR11">
        <v>-0.54908925496550076</v>
      </c>
      <c r="DS11">
        <v>-2.9567057845335629</v>
      </c>
      <c r="DT11" s="9">
        <v>-0.42333333333333339</v>
      </c>
      <c r="DU11">
        <v>0.42933333333333351</v>
      </c>
      <c r="DV11">
        <v>6.0000000000001164E-3</v>
      </c>
      <c r="DW11">
        <v>-9.3123385012919897</v>
      </c>
      <c r="DX11">
        <v>1.0475469735960825</v>
      </c>
      <c r="DY11">
        <v>-9.0398378305773281</v>
      </c>
      <c r="DZ11">
        <v>359</v>
      </c>
      <c r="EA11">
        <v>-9.0370390475680793</v>
      </c>
      <c r="EB11">
        <v>9</v>
      </c>
      <c r="EC11">
        <v>4.1349999999999998E-2</v>
      </c>
      <c r="ED11">
        <v>0.32419428571428571</v>
      </c>
      <c r="EE11" s="10">
        <v>6.0709999999999993E-2</v>
      </c>
      <c r="EF11">
        <v>9.280999999999999E-2</v>
      </c>
      <c r="EG11">
        <v>92.127546973596083</v>
      </c>
      <c r="EH11">
        <v>-1</v>
      </c>
      <c r="EI11">
        <v>0</v>
      </c>
      <c r="EJ11">
        <v>1</v>
      </c>
      <c r="EK11" s="12">
        <v>45470</v>
      </c>
      <c r="EL11" s="13">
        <v>-2.06</v>
      </c>
      <c r="EM11" s="13">
        <v>-3.72</v>
      </c>
      <c r="EN11">
        <v>1.0900000000000001</v>
      </c>
      <c r="EO11">
        <v>2.93</v>
      </c>
      <c r="EP11">
        <v>-3.21</v>
      </c>
    </row>
  </sheetData>
  <autoFilter ref="BU1:BU11"/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黑色家电&quot;,&quot;&quot;'" altText="更新基本面按钮_x000a_">
                <anchor moveWithCells="1" sizeWithCells="1">
                  <from>
                    <xdr:col>147</xdr:col>
                    <xdr:colOff>139700</xdr:colOff>
                    <xdr:row>0</xdr:row>
                    <xdr:rowOff>114300</xdr:rowOff>
                  </from>
                  <to>
                    <xdr:col>147</xdr:col>
                    <xdr:colOff>1581150</xdr:colOff>
                    <xdr:row>0</xdr:row>
                    <xdr:rowOff>425450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黑色电器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2024-07-07T15:25:11Z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