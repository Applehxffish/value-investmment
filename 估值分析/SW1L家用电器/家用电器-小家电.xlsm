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001Xiaofeng\value-investment-backup\估值分析\SW1L家用电器\"/>
    </mc:Choice>
  </mc:AlternateContent>
  <bookViews>
    <workbookView xWindow="0" yWindow="0" windowWidth="3800" windowHeight="2950"/>
  </bookViews>
  <sheets>
    <sheet name="小家电" sheetId="7" r:id="rId1"/>
    <sheet name="估值-增速与年化收益" sheetId="14" r:id="rId2"/>
  </sheets>
  <functionGroups builtInGroupCount="18"/>
  <definedNames>
    <definedName name="_xlnm._FilterDatabase" localSheetId="0" hidden="1">小家电!$BU$1:$BU$24</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 i="7" l="1"/>
  <c r="C23" i="7"/>
  <c r="C18" i="7"/>
  <c r="C15" i="7"/>
  <c r="C14" i="7"/>
  <c r="C9" i="7"/>
  <c r="C8" i="7"/>
  <c r="C5" i="7"/>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10" i="7"/>
  <c r="C22" i="7"/>
  <c r="C21" i="7"/>
  <c r="C20" i="7"/>
  <c r="C19" i="7"/>
  <c r="C17" i="7"/>
  <c r="C16" i="7"/>
  <c r="C13" i="7"/>
  <c r="C12" i="7"/>
  <c r="C11" i="7"/>
  <c r="C7" i="7"/>
  <c r="C6" i="7"/>
  <c r="C4" i="7"/>
  <c r="C3" i="7"/>
  <c r="C2" i="7"/>
</calcChain>
</file>

<file path=xl/sharedStrings.xml><?xml version="1.0" encoding="utf-8"?>
<sst xmlns="http://schemas.openxmlformats.org/spreadsheetml/2006/main" count="1436" uniqueCount="1112">
  <si>
    <t>&lt;-增速</t>
    <phoneticPr fontId="1" type="noConversion"/>
  </si>
  <si>
    <t>&lt;-估值</t>
    <phoneticPr fontId="1" type="noConversion"/>
  </si>
  <si>
    <t>&lt;-折合年化收益</t>
    <phoneticPr fontId="1" type="noConversion"/>
  </si>
  <si>
    <t>现价</t>
  </si>
  <si>
    <t>市净率</t>
  </si>
  <si>
    <t>预期多</t>
    <phoneticPr fontId="1" type="noConversion"/>
  </si>
  <si>
    <t>预期空</t>
    <phoneticPr fontId="1" type="noConversion"/>
  </si>
  <si>
    <t>已知和基本信息</t>
    <phoneticPr fontId="1" type="noConversion"/>
  </si>
  <si>
    <t>代码</t>
  </si>
  <si>
    <t>总市值</t>
  </si>
  <si>
    <t>TTM市盈率</t>
  </si>
  <si>
    <t>所属行业</t>
  </si>
  <si>
    <t>负债合计</t>
  </si>
  <si>
    <t>所有者权益合计</t>
  </si>
  <si>
    <t>主营业务收入</t>
  </si>
  <si>
    <t>净利润增长率</t>
  </si>
  <si>
    <t>总股本</t>
  </si>
  <si>
    <t>财务费用</t>
  </si>
  <si>
    <t>投资收益</t>
  </si>
  <si>
    <t>应收账款</t>
  </si>
  <si>
    <t>--</t>
  </si>
  <si>
    <t>流动资产</t>
  </si>
  <si>
    <t>营业收入[20191231]</t>
  </si>
  <si>
    <t>营业收入[20181231]</t>
  </si>
  <si>
    <t>营业收入[20171231]</t>
  </si>
  <si>
    <t>营业收入[20161231]</t>
  </si>
  <si>
    <t>净利润[20191231]</t>
  </si>
  <si>
    <t>净利润[20181231]</t>
  </si>
  <si>
    <t>净利润[20171231]</t>
  </si>
  <si>
    <t>净利润[20161231]</t>
  </si>
  <si>
    <t>投入资本回报率roic%[20191231]</t>
  </si>
  <si>
    <t>净资产收益率%[20191231]</t>
  </si>
  <si>
    <t>销售毛利率%[20191231]</t>
  </si>
  <si>
    <t>销售净利率%[20191231]</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</si>
  <si>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</si>
  <si>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</si>
  <si>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</si>
  <si>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</si>
  <si>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</si>
  <si>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</si>
  <si>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</si>
  <si>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</si>
  <si>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</si>
  <si>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</si>
  <si>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</si>
  <si>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</si>
  <si>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</si>
  <si>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</si>
  <si>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</si>
  <si>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3.28亿</t>
  </si>
  <si>
    <t>1.70亿</t>
  </si>
  <si>
    <t>2.68亿</t>
  </si>
  <si>
    <t>1.03亿</t>
  </si>
  <si>
    <t>1.00亿</t>
  </si>
  <si>
    <t>6.18亿</t>
  </si>
  <si>
    <t>0亿</t>
  </si>
  <si>
    <t>1.86亿</t>
  </si>
  <si>
    <t>5.02亿</t>
  </si>
  <si>
    <t>SZ002005</t>
  </si>
  <si>
    <t>ST德豪</t>
  </si>
  <si>
    <t>小家电</t>
  </si>
  <si>
    <t>22.16亿</t>
  </si>
  <si>
    <t>-5.96亿</t>
  </si>
  <si>
    <t>29.80亿</t>
  </si>
  <si>
    <t>40.01亿</t>
  </si>
  <si>
    <t>2.64亿</t>
  </si>
  <si>
    <t>-39.67亿</t>
  </si>
  <si>
    <t>SZ002032</t>
  </si>
  <si>
    <t>苏 泊 尔</t>
  </si>
  <si>
    <t>185.97亿</t>
  </si>
  <si>
    <t>18.46亿</t>
  </si>
  <si>
    <t>198.53亿</t>
  </si>
  <si>
    <t>178.51亿</t>
  </si>
  <si>
    <t>19.20亿</t>
  </si>
  <si>
    <t>16.70亿</t>
  </si>
  <si>
    <t>SZ002242</t>
  </si>
  <si>
    <t>九阳股份</t>
  </si>
  <si>
    <t>39.77亿</t>
  </si>
  <si>
    <t>112.24亿</t>
  </si>
  <si>
    <t>9.40亿</t>
  </si>
  <si>
    <t>1.43亿</t>
  </si>
  <si>
    <t>93.51亿</t>
  </si>
  <si>
    <t>81.69亿</t>
  </si>
  <si>
    <t>8.24亿</t>
  </si>
  <si>
    <t>7.54亿</t>
  </si>
  <si>
    <t>5.03亿</t>
  </si>
  <si>
    <t>SZ002403</t>
  </si>
  <si>
    <t>爱仕达</t>
  </si>
  <si>
    <t>28.93亿</t>
  </si>
  <si>
    <t>1.08亿</t>
  </si>
  <si>
    <t>2.83亿</t>
  </si>
  <si>
    <t>35.42亿</t>
  </si>
  <si>
    <t>32.58亿</t>
  </si>
  <si>
    <t>1.29亿</t>
  </si>
  <si>
    <t>1.49亿</t>
  </si>
  <si>
    <t>1.73亿</t>
  </si>
  <si>
    <t>1.37亿</t>
  </si>
  <si>
    <t>1.13亿</t>
  </si>
  <si>
    <t>1.31亿</t>
  </si>
  <si>
    <t>1.01亿</t>
  </si>
  <si>
    <t>1.05亿</t>
  </si>
  <si>
    <t>SZ002614</t>
  </si>
  <si>
    <t>奥佳华</t>
  </si>
  <si>
    <t>52.76亿</t>
  </si>
  <si>
    <t>54.47亿</t>
  </si>
  <si>
    <t>4.39亿</t>
  </si>
  <si>
    <t>3.45亿</t>
  </si>
  <si>
    <t>1.06亿</t>
  </si>
  <si>
    <t>SZ002705</t>
  </si>
  <si>
    <t>新宝股份</t>
  </si>
  <si>
    <t>131.91亿</t>
  </si>
  <si>
    <t>11.18亿</t>
  </si>
  <si>
    <t>91.25亿</t>
  </si>
  <si>
    <t>84.44亿</t>
  </si>
  <si>
    <t>6.87亿</t>
  </si>
  <si>
    <t>SZ002959</t>
  </si>
  <si>
    <t>小熊电器</t>
  </si>
  <si>
    <t>36.60亿</t>
  </si>
  <si>
    <t>4.28亿</t>
  </si>
  <si>
    <t>10.71亿</t>
  </si>
  <si>
    <t>7.83亿</t>
  </si>
  <si>
    <t>26.88亿</t>
  </si>
  <si>
    <t>20.41亿</t>
  </si>
  <si>
    <t>7.40亿</t>
  </si>
  <si>
    <t>SZ003023</t>
  </si>
  <si>
    <t>彩虹集团</t>
  </si>
  <si>
    <t>10.65亿</t>
  </si>
  <si>
    <t>10.06亿</t>
  </si>
  <si>
    <t>8421.60万</t>
  </si>
  <si>
    <t>1.39亿</t>
  </si>
  <si>
    <t>4.85亿</t>
  </si>
  <si>
    <t>SZ300247</t>
  </si>
  <si>
    <t>融捷健康</t>
  </si>
  <si>
    <t>5.14亿</t>
  </si>
  <si>
    <t>-6572.89万</t>
  </si>
  <si>
    <t>7.30亿</t>
  </si>
  <si>
    <t>10.63亿</t>
  </si>
  <si>
    <t>-7.16亿</t>
  </si>
  <si>
    <t>-7.82亿</t>
  </si>
  <si>
    <t>SZ300272</t>
  </si>
  <si>
    <t>开能健康</t>
  </si>
  <si>
    <t>11.81亿</t>
  </si>
  <si>
    <t>2641.76万</t>
  </si>
  <si>
    <t>2.81亿</t>
  </si>
  <si>
    <t>10.53亿</t>
  </si>
  <si>
    <t>9.01亿</t>
  </si>
  <si>
    <t>3.48亿</t>
  </si>
  <si>
    <t>SZ300824</t>
  </si>
  <si>
    <t>北鼎股份</t>
  </si>
  <si>
    <t>7.01亿</t>
  </si>
  <si>
    <t>5.51亿</t>
  </si>
  <si>
    <t>6.07亿</t>
  </si>
  <si>
    <t>5.30亿</t>
  </si>
  <si>
    <t>6577.77万</t>
  </si>
  <si>
    <t>6801.65万</t>
  </si>
  <si>
    <t>SH603355</t>
  </si>
  <si>
    <t>莱克电气</t>
  </si>
  <si>
    <t>62.81亿</t>
  </si>
  <si>
    <t>1.93亿</t>
  </si>
  <si>
    <t>57.03亿</t>
  </si>
  <si>
    <t>58.64亿</t>
  </si>
  <si>
    <t>4.23亿</t>
  </si>
  <si>
    <t>SH603486</t>
  </si>
  <si>
    <t>科沃斯</t>
  </si>
  <si>
    <t>72.34亿</t>
  </si>
  <si>
    <t>6.41亿</t>
  </si>
  <si>
    <t>53.12亿</t>
  </si>
  <si>
    <t>56.94亿</t>
  </si>
  <si>
    <t>1.21亿</t>
  </si>
  <si>
    <t>SH603579</t>
  </si>
  <si>
    <t>荣泰健康</t>
  </si>
  <si>
    <t>20.21亿</t>
  </si>
  <si>
    <t>23.14亿</t>
  </si>
  <si>
    <t>22.96亿</t>
  </si>
  <si>
    <t>2.96亿</t>
  </si>
  <si>
    <t>2.49亿</t>
  </si>
  <si>
    <t>SH603868</t>
  </si>
  <si>
    <t>飞科电器</t>
  </si>
  <si>
    <t>35.68亿</t>
  </si>
  <si>
    <t>6.38亿</t>
  </si>
  <si>
    <t>37.59亿</t>
  </si>
  <si>
    <t>6.86亿</t>
  </si>
  <si>
    <t>8.45亿</t>
  </si>
  <si>
    <t>SH605555</t>
  </si>
  <si>
    <t>德昌股份</t>
  </si>
  <si>
    <t>20.65亿</t>
  </si>
  <si>
    <t>3.04亿</t>
  </si>
  <si>
    <t>6.30亿</t>
  </si>
  <si>
    <t>12.01亿</t>
  </si>
  <si>
    <t>12.24亿</t>
  </si>
  <si>
    <t>1.50亿</t>
  </si>
  <si>
    <t>1.02亿</t>
  </si>
  <si>
    <t>SH688169</t>
  </si>
  <si>
    <t>石头科技</t>
  </si>
  <si>
    <t>45.30亿</t>
  </si>
  <si>
    <t>13.69亿</t>
  </si>
  <si>
    <t>42.05亿</t>
  </si>
  <si>
    <t>30.51亿</t>
  </si>
  <si>
    <t>3.08亿</t>
  </si>
  <si>
    <t>SH688793</t>
  </si>
  <si>
    <t>倍轻松</t>
  </si>
  <si>
    <t>8.26亿</t>
  </si>
  <si>
    <t>7070.74万</t>
  </si>
  <si>
    <t>1.57亿</t>
  </si>
  <si>
    <t>6.94亿</t>
  </si>
  <si>
    <t>5.08亿</t>
  </si>
  <si>
    <t>5457.56万</t>
  </si>
  <si>
    <t>4518.48万</t>
  </si>
  <si>
    <t>流通股本</t>
  </si>
  <si>
    <t>净利润[20201231]</t>
  </si>
  <si>
    <t>投入资本回报率roic%[20201231]</t>
  </si>
  <si>
    <t>净资产收益率%[20201231]</t>
  </si>
  <si>
    <t>20.78亿</t>
  </si>
  <si>
    <t>-5.29亿</t>
  </si>
  <si>
    <t>215.85亿</t>
  </si>
  <si>
    <t>19.44亿</t>
  </si>
  <si>
    <t>105.40亿</t>
  </si>
  <si>
    <t>7.46亿</t>
  </si>
  <si>
    <t>35.08亿</t>
  </si>
  <si>
    <t>-8850.74万</t>
  </si>
  <si>
    <t>79.27亿</t>
  </si>
  <si>
    <t>4.58亿</t>
  </si>
  <si>
    <t>70.61亿</t>
  </si>
  <si>
    <t>1.04亿</t>
  </si>
  <si>
    <t>149.12亿</t>
  </si>
  <si>
    <t>7.92亿</t>
  </si>
  <si>
    <t>36.06亿</t>
  </si>
  <si>
    <t>1.71亿</t>
  </si>
  <si>
    <t>11.44亿</t>
  </si>
  <si>
    <t>1.11亿</t>
  </si>
  <si>
    <t>5.27亿</t>
  </si>
  <si>
    <t>2420.32万</t>
  </si>
  <si>
    <t>15.11亿</t>
  </si>
  <si>
    <t>8.47亿</t>
  </si>
  <si>
    <t>SZ301187</t>
  </si>
  <si>
    <t>欧圣电气</t>
  </si>
  <si>
    <t>13.15亿</t>
  </si>
  <si>
    <t>1.16亿</t>
  </si>
  <si>
    <t>9.91亿</t>
  </si>
  <si>
    <t>6.10亿</t>
  </si>
  <si>
    <t>5863.01万</t>
  </si>
  <si>
    <t>4543.04万</t>
  </si>
  <si>
    <t>1.15亿</t>
  </si>
  <si>
    <t>SH603215</t>
  </si>
  <si>
    <t>比依股份</t>
  </si>
  <si>
    <t>16.34亿</t>
  </si>
  <si>
    <t>1.20亿</t>
  </si>
  <si>
    <t>11.63亿</t>
  </si>
  <si>
    <t>6318.06万</t>
  </si>
  <si>
    <t>4513.34万</t>
  </si>
  <si>
    <t>SH603219</t>
  </si>
  <si>
    <t>富佳股份</t>
  </si>
  <si>
    <t>26.01亿</t>
  </si>
  <si>
    <t>2.32亿</t>
  </si>
  <si>
    <t>20.95亿</t>
  </si>
  <si>
    <t>11.03亿</t>
  </si>
  <si>
    <t>13.83亿</t>
  </si>
  <si>
    <t>9.73亿</t>
  </si>
  <si>
    <t>1.72亿</t>
  </si>
  <si>
    <t>8428.65万</t>
  </si>
  <si>
    <t>79.46亿</t>
  </si>
  <si>
    <t>130.86亿</t>
  </si>
  <si>
    <t>20.10亿</t>
  </si>
  <si>
    <t>26.13亿</t>
  </si>
  <si>
    <t>2.36亿</t>
  </si>
  <si>
    <t>1.35亿</t>
  </si>
  <si>
    <t>40.05亿</t>
  </si>
  <si>
    <t>6.55亿</t>
  </si>
  <si>
    <t>28.42亿</t>
  </si>
  <si>
    <t>3.01亿</t>
  </si>
  <si>
    <t>10.30亿</t>
  </si>
  <si>
    <t>58.37亿</t>
  </si>
  <si>
    <t>14.02亿</t>
  </si>
  <si>
    <t>11.90亿</t>
  </si>
  <si>
    <t>9186.19万</t>
  </si>
  <si>
    <t>2.93亿</t>
  </si>
  <si>
    <r>
      <t>1.问：电热毯的使用年限为多长？答：现在适用的电热毯行业推荐标准QB/T2994“安全使用年限”规定：“</t>
    </r>
    <r>
      <rPr>
        <sz val="9"/>
        <color rgb="FFFF0000"/>
        <rFont val="宋体"/>
        <family val="3"/>
        <charset val="134"/>
        <scheme val="minor"/>
      </rPr>
      <t>电热毯的安全使用年限为6年</t>
    </r>
    <r>
      <rPr>
        <sz val="9"/>
        <color theme="1"/>
        <rFont val="宋体"/>
        <family val="2"/>
        <charset val="134"/>
        <scheme val="minor"/>
      </rPr>
      <t>”。公司在产品和使用手册上显著标识使用期限相关信息等方式进行宣传，确保产品使用安全，同时加快产品升级换代，促进新旧更替。</t>
    </r>
    <phoneticPr fontId="1" type="noConversion"/>
  </si>
  <si>
    <t>1.产品过于单一和季节性：公司随时关注和分析柔性取暖行业新的变化和动态，在产品功能提升、新技术新材料的研发运用以及行业整合方面下功夫，适用于不同场景的多用途电热毯及相关产品是我们围绕相近行业深度发掘的方向之一。</t>
    <phoneticPr fontId="1" type="noConversion"/>
  </si>
  <si>
    <t xml:space="preserve">    名称</t>
  </si>
  <si>
    <t>LY营业总收入[20211231]</t>
  </si>
  <si>
    <t>净利润?</t>
  </si>
  <si>
    <t>权益乘数[20220630]</t>
  </si>
  <si>
    <t>总资产周转率[20220630]</t>
  </si>
  <si>
    <t>净利润／营业总收入%[20220630]</t>
  </si>
  <si>
    <t>营业总成本[20220630]</t>
  </si>
  <si>
    <t>营业成本[20220630]</t>
  </si>
  <si>
    <t>管理费用[20220630]</t>
  </si>
  <si>
    <t>研发费用总额[20220630]</t>
  </si>
  <si>
    <t>扣非净利润</t>
  </si>
  <si>
    <t>营业总收入[20201231]</t>
  </si>
  <si>
    <t>投入资本回报率roic%[20211231]</t>
  </si>
  <si>
    <t>净资产收益率%[20211231]</t>
  </si>
  <si>
    <t>细分行业</t>
  </si>
  <si>
    <t>单季营收增速</t>
  </si>
  <si>
    <t>单季利润增速</t>
  </si>
  <si>
    <t>承担负债现期溢价</t>
    <phoneticPr fontId="1" type="noConversion"/>
  </si>
  <si>
    <t>清算价格</t>
    <phoneticPr fontId="1" type="noConversion"/>
  </si>
  <si>
    <t>策略1利润单季最佳增速</t>
    <phoneticPr fontId="1" type="noConversion"/>
  </si>
  <si>
    <t>利润成长策略</t>
    <phoneticPr fontId="1" type="noConversion"/>
  </si>
  <si>
    <t>基本面排序</t>
    <phoneticPr fontId="1" type="noConversion"/>
  </si>
  <si>
    <t>价格箱体形态过滤</t>
    <phoneticPr fontId="1" type="noConversion"/>
  </si>
  <si>
    <t>N-2</t>
    <phoneticPr fontId="1" type="noConversion"/>
  </si>
  <si>
    <t>N-1</t>
    <phoneticPr fontId="1" type="noConversion"/>
  </si>
  <si>
    <t>N</t>
    <phoneticPr fontId="1" type="noConversion"/>
  </si>
  <si>
    <t>SZ001259</t>
  </si>
  <si>
    <t>利仁科技</t>
  </si>
  <si>
    <t>6590.44万</t>
  </si>
  <si>
    <t>7.22亿</t>
  </si>
  <si>
    <t>5.24亿</t>
  </si>
  <si>
    <t>4.88亿</t>
  </si>
  <si>
    <t>6756.75万</t>
  </si>
  <si>
    <t>3788.84万</t>
  </si>
  <si>
    <t>1181.08万</t>
  </si>
  <si>
    <t>亏损</t>
  </si>
  <si>
    <t>扭亏</t>
  </si>
  <si>
    <t>13.09亿</t>
  </si>
  <si>
    <t>1.48亿</t>
  </si>
  <si>
    <t>9.33亿</t>
  </si>
  <si>
    <t>3.32亿</t>
  </si>
  <si>
    <t>4.16亿</t>
  </si>
  <si>
    <t>3.23亿</t>
  </si>
  <si>
    <t>6.63亿</t>
  </si>
  <si>
    <t>33.07亿</t>
  </si>
  <si>
    <t>31.53亿</t>
  </si>
  <si>
    <t>1.17亿</t>
  </si>
  <si>
    <t>3.06亿</t>
  </si>
  <si>
    <t>2.47亿</t>
  </si>
  <si>
    <t>1.68亿</t>
  </si>
  <si>
    <t>1.09亿</t>
  </si>
  <si>
    <t>-3.69亿</t>
  </si>
  <si>
    <t>2.73亿</t>
  </si>
  <si>
    <t>4.57亿</t>
  </si>
  <si>
    <t>1.38亿</t>
  </si>
  <si>
    <t>6.57亿</t>
  </si>
  <si>
    <t>1.61亿</t>
  </si>
  <si>
    <t>涨幅</t>
  </si>
  <si>
    <t>成交量[20221212]</t>
  </si>
  <si>
    <t>营业收入(同比增长率) %[20220930]</t>
  </si>
  <si>
    <t>LY净利润[20211231]</t>
  </si>
  <si>
    <t>销售费用[20220930]</t>
  </si>
  <si>
    <t>其他收入[20220930]</t>
  </si>
  <si>
    <t>货币资金[20220930]</t>
  </si>
  <si>
    <t>应收票据[20220930]</t>
  </si>
  <si>
    <t>固定资产[20220930]</t>
  </si>
  <si>
    <t>在建工程[20220930]</t>
  </si>
  <si>
    <t>短期借款[20220930]</t>
  </si>
  <si>
    <t>应付票据[20220930]</t>
  </si>
  <si>
    <t>应付账款[20220930]</t>
  </si>
  <si>
    <t>预收款项[20220930]</t>
  </si>
  <si>
    <t>流动负债[20220930]</t>
  </si>
  <si>
    <t>长期借款[20220930]</t>
  </si>
  <si>
    <t>经营活动产生的现金流量净额[20220930]</t>
  </si>
  <si>
    <t>投资活动产生的现金流量净额[20220930]</t>
  </si>
  <si>
    <t>筹资活动产生的现金流量净额[20220930]</t>
  </si>
  <si>
    <t>CYLQ营业收入[20220630]</t>
  </si>
  <si>
    <t>LYCQ营业收入[20210930]</t>
  </si>
  <si>
    <t>LYLQ营业收入[20210630]</t>
  </si>
  <si>
    <t>CYLQ净利润[20220630]</t>
  </si>
  <si>
    <t>LYCQ净利润[20210930]</t>
  </si>
  <si>
    <t>LYLQ净利润[20210630]</t>
  </si>
  <si>
    <t>分红明细[20211231]</t>
  </si>
  <si>
    <t>销售毛利率%[20220630]</t>
  </si>
  <si>
    <t>销售净利率%[20220630]</t>
  </si>
  <si>
    <t>区间涨跌幅:前复权%[20221206-20221212]</t>
  </si>
  <si>
    <t>指数@区间涨跌幅:不复权%[20221101-20221212]</t>
  </si>
  <si>
    <t>指数@区间成交量[20221206-20221212]</t>
  </si>
  <si>
    <t>指数@区间成交量[20221101-20221212]</t>
  </si>
  <si>
    <t>价格变动策略</t>
    <phoneticPr fontId="1" type="noConversion"/>
  </si>
  <si>
    <t>成交量综合策略</t>
    <phoneticPr fontId="1" type="noConversion"/>
  </si>
  <si>
    <t>市销率</t>
    <phoneticPr fontId="1" type="noConversion"/>
  </si>
  <si>
    <t>扣非对比净利润</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</si>
  <si>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</si>
  <si>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</si>
  <si>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</si>
  <si>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</si>
  <si>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</si>
  <si>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</si>
  <si>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</si>
  <si>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</si>
  <si>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</si>
  <si>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</si>
  <si>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</si>
  <si>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</si>
  <si>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</si>
  <si>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原始顺序</t>
    <phoneticPr fontId="1" type="noConversion"/>
  </si>
  <si>
    <t>策略1营收单季最佳增速</t>
    <phoneticPr fontId="1" type="noConversion"/>
  </si>
  <si>
    <t>营收成长策略</t>
    <phoneticPr fontId="1" type="noConversion"/>
  </si>
  <si>
    <t>营收和利润加权</t>
    <phoneticPr fontId="1" type="noConversion"/>
  </si>
  <si>
    <t>量价齐升策略</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</si>
  <si>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</si>
  <si>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</si>
  <si>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</si>
  <si>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</si>
  <si>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</si>
  <si>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</si>
  <si>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</si>
  <si>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价格右侧初期策略</t>
    <phoneticPr fontId="1" type="noConversion"/>
  </si>
  <si>
    <t>N日期</t>
    <phoneticPr fontId="1" type="noConversion"/>
  </si>
  <si>
    <t>N-4</t>
    <phoneticPr fontId="1" type="noConversion"/>
  </si>
  <si>
    <t>N-3</t>
    <phoneticPr fontId="1" type="noConversion"/>
  </si>
  <si>
    <t>不分配不转增</t>
  </si>
  <si>
    <t>10派3元(含税)</t>
  </si>
  <si>
    <t>10派1元(含税)</t>
  </si>
  <si>
    <t>10派4元(含税)</t>
  </si>
  <si>
    <t>1-0</t>
  </si>
  <si>
    <t>1.78亿</t>
  </si>
  <si>
    <t>1.问：前三季度利润亏损原因是什么？答：宏观经济环境不确定性进一步加大，受新冠疫情反复，地缘危机冲突以及主要经济体通货膨胀高企等因素影响，海内外主要消费市场的居民消费需求均出现不同程度的疲软。</t>
    <phoneticPr fontId="1" type="noConversion"/>
  </si>
  <si>
    <t>1.问：公司如何应对新进入品牌？答：按摩器行业是增长较快的朝阳行业，当前市场渗透率也还很低。随着行业规模的扩大和增速的加快，相信会有更多的品牌进入市场，能够一起把市场做的更大。倍轻松在行业深耕了二十余年，开创了行业内多个产品品类，目前是行业的领导品牌，产品技术和渠道布局都形成了一定的竞争壁垒和优势，在行业中占据了中高端的价位段，能够在竞争中具有相应竞争优势。</t>
    <phoneticPr fontId="1" type="noConversion"/>
  </si>
  <si>
    <t>3.16亿</t>
  </si>
  <si>
    <t>2.33亿</t>
  </si>
  <si>
    <t>2.43亿</t>
  </si>
  <si>
    <t>1874.04万</t>
  </si>
  <si>
    <t>11.85亿</t>
  </si>
  <si>
    <t>3.81亿</t>
  </si>
  <si>
    <t>-1.33亿</t>
  </si>
  <si>
    <t>201.71亿</t>
  </si>
  <si>
    <t>20.68亿</t>
  </si>
  <si>
    <t>1.74亿</t>
  </si>
  <si>
    <t>99.83亿</t>
  </si>
  <si>
    <t>8.81亿</t>
  </si>
  <si>
    <t>1-1</t>
  </si>
  <si>
    <t>101.77亿</t>
  </si>
  <si>
    <t>43.18亿</t>
  </si>
  <si>
    <t>5.05亿</t>
  </si>
  <si>
    <t>29.40亿</t>
  </si>
  <si>
    <t>-7872.86万</t>
  </si>
  <si>
    <t>3.92亿</t>
  </si>
  <si>
    <t>11.65亿</t>
  </si>
  <si>
    <t>-6689.89万</t>
  </si>
  <si>
    <t>1.22亿</t>
  </si>
  <si>
    <t>60.24亿</t>
  </si>
  <si>
    <t>7.71亿</t>
  </si>
  <si>
    <t>23.44亿</t>
  </si>
  <si>
    <t>4220.47万</t>
  </si>
  <si>
    <t>1.51亿</t>
  </si>
  <si>
    <t>136.96亿</t>
  </si>
  <si>
    <t>9.61亿</t>
  </si>
  <si>
    <t>5.84亿</t>
  </si>
  <si>
    <t>1.23亿</t>
  </si>
  <si>
    <t>3.22亿</t>
  </si>
  <si>
    <t>12.84亿</t>
  </si>
  <si>
    <t>63.55亿</t>
  </si>
  <si>
    <t>3.95亿</t>
  </si>
  <si>
    <t>41.18亿</t>
  </si>
  <si>
    <t>3.86亿</t>
  </si>
  <si>
    <t>23.41亿</t>
  </si>
  <si>
    <t>2.37亿</t>
  </si>
  <si>
    <t>-1-0</t>
  </si>
  <si>
    <t>11.77亿</t>
  </si>
  <si>
    <t>1.59亿</t>
  </si>
  <si>
    <t>5.87亿</t>
  </si>
  <si>
    <t>6229.53万</t>
  </si>
  <si>
    <t>10派3.5元(含税)</t>
  </si>
  <si>
    <t>4.63亿</t>
  </si>
  <si>
    <t>1.26亿</t>
  </si>
  <si>
    <t>2.71亿</t>
  </si>
  <si>
    <t>2103.99万</t>
  </si>
  <si>
    <t>16.61亿</t>
  </si>
  <si>
    <t>1.36亿</t>
  </si>
  <si>
    <t>1.58亿</t>
  </si>
  <si>
    <t>7.96亿</t>
  </si>
  <si>
    <t>5378.22万</t>
  </si>
  <si>
    <t>8.05亿</t>
  </si>
  <si>
    <t>4697.02万</t>
  </si>
  <si>
    <t>3.91亿</t>
  </si>
  <si>
    <t>3.21亿</t>
  </si>
  <si>
    <t>5.35亿</t>
  </si>
  <si>
    <t>3763.45万</t>
  </si>
  <si>
    <t>6.91亿</t>
  </si>
  <si>
    <t>4.76亿</t>
  </si>
  <si>
    <t>6610.80万</t>
  </si>
  <si>
    <t>SZ301332</t>
  </si>
  <si>
    <t>德尔玛</t>
  </si>
  <si>
    <t>1.91亿</t>
  </si>
  <si>
    <t>4.29亿</t>
  </si>
  <si>
    <t>6.08亿</t>
  </si>
  <si>
    <t>1.77亿</t>
  </si>
  <si>
    <t>30.38亿</t>
  </si>
  <si>
    <t>22.28亿</t>
  </si>
  <si>
    <t>15.17亿</t>
  </si>
  <si>
    <t>9.67亿</t>
  </si>
  <si>
    <t>4042.47万</t>
  </si>
  <si>
    <t>15.55亿</t>
  </si>
  <si>
    <t>6747.08万</t>
  </si>
  <si>
    <t>14.99亿</t>
  </si>
  <si>
    <t>8.51亿</t>
  </si>
  <si>
    <t>1.27亿</t>
  </si>
  <si>
    <t>27.44亿</t>
  </si>
  <si>
    <t>3.47亿</t>
  </si>
  <si>
    <t>1.53亿</t>
  </si>
  <si>
    <t>1.28亿</t>
  </si>
  <si>
    <t>9.77亿</t>
  </si>
  <si>
    <t>5.22亿</t>
  </si>
  <si>
    <t>36.50亿</t>
  </si>
  <si>
    <t>5.74亿</t>
  </si>
  <si>
    <t>153.25亿</t>
  </si>
  <si>
    <t>16.98亿</t>
  </si>
  <si>
    <t>34.16亿</t>
  </si>
  <si>
    <t>71.44亿</t>
  </si>
  <si>
    <t>20.05亿</t>
  </si>
  <si>
    <t>1.64亿</t>
  </si>
  <si>
    <t>8.90亿</t>
  </si>
  <si>
    <t>46.27亿</t>
  </si>
  <si>
    <t>8.23亿</t>
  </si>
  <si>
    <t>26.74亿</t>
  </si>
  <si>
    <t>19.38亿</t>
  </si>
  <si>
    <t>2.99亿</t>
  </si>
  <si>
    <t>18.35亿</t>
  </si>
  <si>
    <t>16.91亿</t>
  </si>
  <si>
    <t>2.98亿</t>
  </si>
  <si>
    <t>3.26亿</t>
  </si>
  <si>
    <t>13.42亿</t>
  </si>
  <si>
    <t>-1-1</t>
  </si>
  <si>
    <t>24.82亿</t>
  </si>
  <si>
    <t>66.29亿</t>
  </si>
  <si>
    <t>11.83亿</t>
  </si>
  <si>
    <t>33.74亿</t>
  </si>
  <si>
    <t>7.39亿</t>
  </si>
  <si>
    <t>8.96亿</t>
  </si>
  <si>
    <t>-1.24亿</t>
  </si>
  <si>
    <t>5.99亿</t>
  </si>
  <si>
    <t>-2534.65万</t>
  </si>
  <si>
    <t>2-1</t>
  </si>
  <si>
    <t/>
  </si>
  <si>
    <t>1.33亿</t>
  </si>
  <si>
    <t>2.24亿</t>
  </si>
  <si>
    <t>3.44亿</t>
  </si>
  <si>
    <t>87.04万</t>
  </si>
  <si>
    <t>8476.88万</t>
  </si>
  <si>
    <t>1243.50万</t>
  </si>
  <si>
    <t>8543.66万</t>
  </si>
  <si>
    <t>1531.87万</t>
  </si>
  <si>
    <t>580.10万</t>
  </si>
  <si>
    <t>12469199亿</t>
  </si>
  <si>
    <t>58884393亿</t>
  </si>
  <si>
    <t>595.17万</t>
  </si>
  <si>
    <t>727997630亿</t>
  </si>
  <si>
    <t>1183.32万</t>
  </si>
  <si>
    <t>5595.74万</t>
  </si>
  <si>
    <t>20.42万</t>
  </si>
  <si>
    <t>7174.46万</t>
  </si>
  <si>
    <t>1598.86万</t>
  </si>
  <si>
    <t>-1520.07万</t>
  </si>
  <si>
    <t>-905.41万</t>
  </si>
  <si>
    <t>5142.77万</t>
  </si>
  <si>
    <t>2110.42万</t>
  </si>
  <si>
    <t>537.66万</t>
  </si>
  <si>
    <t>3991.03万</t>
  </si>
  <si>
    <t>012435000</t>
  </si>
  <si>
    <t>037305000</t>
  </si>
  <si>
    <t>074610000</t>
  </si>
  <si>
    <t>0124350000</t>
  </si>
  <si>
    <t>0248700000</t>
  </si>
  <si>
    <t>1195.01万</t>
  </si>
  <si>
    <t>12.85亿</t>
  </si>
  <si>
    <t>5.36亿</t>
  </si>
  <si>
    <t>-1583.40万</t>
  </si>
  <si>
    <t>468.37万</t>
  </si>
  <si>
    <t>3569.48万</t>
  </si>
  <si>
    <t>1019373亿</t>
  </si>
  <si>
    <t>35.46万</t>
  </si>
  <si>
    <t>-17118633亿</t>
  </si>
  <si>
    <t>2.22亿</t>
  </si>
  <si>
    <t>136367940亿</t>
  </si>
  <si>
    <t>2170.76万</t>
  </si>
  <si>
    <t>541071050亿</t>
  </si>
  <si>
    <t>5070.00万</t>
  </si>
  <si>
    <t>520.25万</t>
  </si>
  <si>
    <t>11.13亿</t>
  </si>
  <si>
    <t>900.00万</t>
  </si>
  <si>
    <t>-3269.25万</t>
  </si>
  <si>
    <t>-475.94万</t>
  </si>
  <si>
    <t>1154.53万</t>
  </si>
  <si>
    <t>7.87亿</t>
  </si>
  <si>
    <t>-2.29亿</t>
  </si>
  <si>
    <t>133.84万</t>
  </si>
  <si>
    <t>67.25亿</t>
  </si>
  <si>
    <t>68.50亿</t>
  </si>
  <si>
    <t>53.78亿</t>
  </si>
  <si>
    <t>4.70亿</t>
  </si>
  <si>
    <t>48.37亿</t>
  </si>
  <si>
    <t>40.65亿</t>
  </si>
  <si>
    <t>5.89亿</t>
  </si>
  <si>
    <t>9216.16万</t>
  </si>
  <si>
    <t>8474117亿</t>
  </si>
  <si>
    <t>103.32万</t>
  </si>
  <si>
    <t>460726000亿</t>
  </si>
  <si>
    <t>46.20亿</t>
  </si>
  <si>
    <t>2294917600亿</t>
  </si>
  <si>
    <t>1420.12万</t>
  </si>
  <si>
    <t>10207327300亿</t>
  </si>
  <si>
    <t>3059.64万</t>
  </si>
  <si>
    <t>13.93亿</t>
  </si>
  <si>
    <t>31.00亿</t>
  </si>
  <si>
    <t>59.12亿</t>
  </si>
  <si>
    <t>10.43亿</t>
  </si>
  <si>
    <t>2.05亿</t>
  </si>
  <si>
    <t>-2.16亿</t>
  </si>
  <si>
    <t>213.04亿</t>
  </si>
  <si>
    <t>21.80亿</t>
  </si>
  <si>
    <t>10派27.3元(含税)</t>
  </si>
  <si>
    <t>826.44万</t>
  </si>
  <si>
    <t>6566.33万</t>
  </si>
  <si>
    <t>0470000000</t>
  </si>
  <si>
    <t>01410000000</t>
  </si>
  <si>
    <t>02820000000</t>
  </si>
  <si>
    <t>04700000000</t>
  </si>
  <si>
    <t>09400000000</t>
  </si>
  <si>
    <t>391.38万</t>
  </si>
  <si>
    <t>41.26亿</t>
  </si>
  <si>
    <t>36.21亿</t>
  </si>
  <si>
    <t>1.30亿</t>
  </si>
  <si>
    <t>15.09亿</t>
  </si>
  <si>
    <t>8952.71万</t>
  </si>
  <si>
    <t>4025380亿</t>
  </si>
  <si>
    <t>125416859亿</t>
  </si>
  <si>
    <t>29.16亿</t>
  </si>
  <si>
    <t>774490830亿</t>
  </si>
  <si>
    <t>5519095000亿</t>
  </si>
  <si>
    <t>941.98万</t>
  </si>
  <si>
    <t>21.83亿</t>
  </si>
  <si>
    <t>11.79亿</t>
  </si>
  <si>
    <t>39.38亿</t>
  </si>
  <si>
    <t>3.13亿</t>
  </si>
  <si>
    <t>-874.80万</t>
  </si>
  <si>
    <t>96.13亿</t>
  </si>
  <si>
    <t>3.89亿</t>
  </si>
  <si>
    <t>10派1.5元(含税)</t>
  </si>
  <si>
    <t>1669.00万</t>
  </si>
  <si>
    <t>0130000000</t>
  </si>
  <si>
    <t>0390000000</t>
  </si>
  <si>
    <t>0780000000</t>
  </si>
  <si>
    <t>01300000000</t>
  </si>
  <si>
    <t>02600000000</t>
  </si>
  <si>
    <t>1555.11万</t>
  </si>
  <si>
    <t>30.64亿</t>
  </si>
  <si>
    <t>16.71亿</t>
  </si>
  <si>
    <t>6.84亿</t>
  </si>
  <si>
    <t>2051.20万</t>
  </si>
  <si>
    <t>1.18亿</t>
  </si>
  <si>
    <t>5163.31万</t>
  </si>
  <si>
    <t>12006649亿</t>
  </si>
  <si>
    <t>9.70万</t>
  </si>
  <si>
    <t>-2847198亿</t>
  </si>
  <si>
    <t>3.64亿</t>
  </si>
  <si>
    <t>656880920亿</t>
  </si>
  <si>
    <t>3930.08万</t>
  </si>
  <si>
    <t>1965429800亿</t>
  </si>
  <si>
    <t>3957.15万</t>
  </si>
  <si>
    <t>11.92亿</t>
  </si>
  <si>
    <t>5.71亿</t>
  </si>
  <si>
    <t>24.08亿</t>
  </si>
  <si>
    <t>-1081.74万</t>
  </si>
  <si>
    <t>-1601.11万</t>
  </si>
  <si>
    <t>24.57亿</t>
  </si>
  <si>
    <t>-3.78亿</t>
  </si>
  <si>
    <t>4577.89万</t>
  </si>
  <si>
    <t>020512000</t>
  </si>
  <si>
    <t>061536000</t>
  </si>
  <si>
    <t>0123072000</t>
  </si>
  <si>
    <t>0205120000</t>
  </si>
  <si>
    <t>0410240000</t>
  </si>
  <si>
    <t>335.42万</t>
  </si>
  <si>
    <t>45.95亿</t>
  </si>
  <si>
    <t>10.51亿</t>
  </si>
  <si>
    <t>499.69万</t>
  </si>
  <si>
    <t>10.61亿</t>
  </si>
  <si>
    <t>6.45亿</t>
  </si>
  <si>
    <t>9372.16万</t>
  </si>
  <si>
    <t>21805060亿</t>
  </si>
  <si>
    <t>182.15万</t>
  </si>
  <si>
    <t>-9959873亿</t>
  </si>
  <si>
    <t>8.80亿</t>
  </si>
  <si>
    <t>635647680亿</t>
  </si>
  <si>
    <t>55.00万</t>
  </si>
  <si>
    <t>4547319000亿</t>
  </si>
  <si>
    <t>4.00亿</t>
  </si>
  <si>
    <t>4.74亿</t>
  </si>
  <si>
    <t>5.07亿</t>
  </si>
  <si>
    <t>24.12亿</t>
  </si>
  <si>
    <t>-1.86亿</t>
  </si>
  <si>
    <t>4359.05万</t>
  </si>
  <si>
    <t>50.30亿</t>
  </si>
  <si>
    <t>1755.94万</t>
  </si>
  <si>
    <t>04996900</t>
  </si>
  <si>
    <t>014990700</t>
  </si>
  <si>
    <t>029981400</t>
  </si>
  <si>
    <t>049969000</t>
  </si>
  <si>
    <t>099938000</t>
  </si>
  <si>
    <t>351.82万</t>
  </si>
  <si>
    <t>67.00亿</t>
  </si>
  <si>
    <t>79.33亿</t>
  </si>
  <si>
    <t>34.74亿</t>
  </si>
  <si>
    <t>31.72亿</t>
  </si>
  <si>
    <t>27.13亿</t>
  </si>
  <si>
    <t>-38448312亿</t>
  </si>
  <si>
    <t>277.87万</t>
  </si>
  <si>
    <t>212523020亿</t>
  </si>
  <si>
    <t>34.66亿</t>
  </si>
  <si>
    <t>1531835200亿</t>
  </si>
  <si>
    <t>1.32亿</t>
  </si>
  <si>
    <t>7372936100亿</t>
  </si>
  <si>
    <t>6.11亿</t>
  </si>
  <si>
    <t>25.07亿</t>
  </si>
  <si>
    <t>13.12亿</t>
  </si>
  <si>
    <t>57.82亿</t>
  </si>
  <si>
    <t>-2.15亿</t>
  </si>
  <si>
    <t>-2.02亿</t>
  </si>
  <si>
    <t>146.47亿</t>
  </si>
  <si>
    <t>2513.22万</t>
  </si>
  <si>
    <t>0173000000</t>
  </si>
  <si>
    <t>0519000000</t>
  </si>
  <si>
    <t>01038000000</t>
  </si>
  <si>
    <t>01730000000</t>
  </si>
  <si>
    <t>03460000000</t>
  </si>
  <si>
    <t>116.81万</t>
  </si>
  <si>
    <t>26.50亿</t>
  </si>
  <si>
    <t>28.84亿</t>
  </si>
  <si>
    <t>11.94亿</t>
  </si>
  <si>
    <t>10.40亿</t>
  </si>
  <si>
    <t>7.34亿</t>
  </si>
  <si>
    <t>2.13亿</t>
  </si>
  <si>
    <t>4694.55万</t>
  </si>
  <si>
    <t>2546880亿</t>
  </si>
  <si>
    <t>963.71万</t>
  </si>
  <si>
    <t>114529113亿</t>
  </si>
  <si>
    <t>15.04亿</t>
  </si>
  <si>
    <t>110783510亿</t>
  </si>
  <si>
    <t>3852370700亿</t>
  </si>
  <si>
    <t>3.03亿</t>
  </si>
  <si>
    <t>1709.50万</t>
  </si>
  <si>
    <t>12.77亿</t>
  </si>
  <si>
    <t>3.20亿</t>
  </si>
  <si>
    <t>4.79万</t>
  </si>
  <si>
    <t>-1.75亿</t>
  </si>
  <si>
    <t>3594.37万</t>
  </si>
  <si>
    <t>47.12亿</t>
  </si>
  <si>
    <t>4.45亿</t>
  </si>
  <si>
    <t>10派12元(含税)</t>
  </si>
  <si>
    <t>672.42万</t>
  </si>
  <si>
    <t>5366.68万</t>
  </si>
  <si>
    <t>116.17万</t>
  </si>
  <si>
    <t>15.48亿</t>
  </si>
  <si>
    <t>3.15亿</t>
  </si>
  <si>
    <t>3734.67万</t>
  </si>
  <si>
    <t>1.79亿</t>
  </si>
  <si>
    <t>6368.99万</t>
  </si>
  <si>
    <t>2363.18万</t>
  </si>
  <si>
    <t>20.04万</t>
  </si>
  <si>
    <t>37241021亿</t>
  </si>
  <si>
    <t>11.93亿</t>
  </si>
  <si>
    <t>91873761亿</t>
  </si>
  <si>
    <t>36.38万</t>
  </si>
  <si>
    <t>1857031000亿</t>
  </si>
  <si>
    <t>5127.99万</t>
  </si>
  <si>
    <t>9428.86万</t>
  </si>
  <si>
    <t>101.52万</t>
  </si>
  <si>
    <t>7.53亿</t>
  </si>
  <si>
    <t>1.76亿</t>
  </si>
  <si>
    <t>-7968.08万</t>
  </si>
  <si>
    <t>-590.30万</t>
  </si>
  <si>
    <t>9466.63万</t>
  </si>
  <si>
    <t>12.94亿</t>
  </si>
  <si>
    <t>604.46万</t>
  </si>
  <si>
    <t>4959.69万</t>
  </si>
  <si>
    <t>037346700</t>
  </si>
  <si>
    <t>0112040100</t>
  </si>
  <si>
    <t>0224080200</t>
  </si>
  <si>
    <t>0373467000</t>
  </si>
  <si>
    <t>0746934000</t>
  </si>
  <si>
    <t>1465.23万</t>
  </si>
  <si>
    <t>10.98亿</t>
  </si>
  <si>
    <t>2082.58万</t>
  </si>
  <si>
    <t>1.45亿</t>
  </si>
  <si>
    <t>1128.53万</t>
  </si>
  <si>
    <t>1136.39万</t>
  </si>
  <si>
    <t>230549亿</t>
  </si>
  <si>
    <t>20229367亿</t>
  </si>
  <si>
    <t>28774611亿</t>
  </si>
  <si>
    <t>849978930亿</t>
  </si>
  <si>
    <t>105.89万</t>
  </si>
  <si>
    <t>4766.95万</t>
  </si>
  <si>
    <t>5353.71万</t>
  </si>
  <si>
    <t>5373.99万</t>
  </si>
  <si>
    <t>-321.00万</t>
  </si>
  <si>
    <t>5.29亿</t>
  </si>
  <si>
    <t>2658.26万</t>
  </si>
  <si>
    <t>5927.73万</t>
  </si>
  <si>
    <t>020825800</t>
  </si>
  <si>
    <t>062477400</t>
  </si>
  <si>
    <t>0124954800</t>
  </si>
  <si>
    <t>0208258000</t>
  </si>
  <si>
    <t>0416516000</t>
  </si>
  <si>
    <t>-2-0</t>
  </si>
  <si>
    <t>682.33万</t>
  </si>
  <si>
    <t>16.27亿</t>
  </si>
  <si>
    <t>13.38亿</t>
  </si>
  <si>
    <t>2229.14万</t>
  </si>
  <si>
    <t>2.29亿</t>
  </si>
  <si>
    <t>3949.66万</t>
  </si>
  <si>
    <t>5595.35万</t>
  </si>
  <si>
    <t>-5718306亿</t>
  </si>
  <si>
    <t>20501857亿</t>
  </si>
  <si>
    <t>203297760亿</t>
  </si>
  <si>
    <t>1463.06万</t>
  </si>
  <si>
    <t>1418052400亿</t>
  </si>
  <si>
    <t>9726.50万</t>
  </si>
  <si>
    <t>1493.05万</t>
  </si>
  <si>
    <t>2.12亿</t>
  </si>
  <si>
    <t>1268.11万</t>
  </si>
  <si>
    <t>5509.85万</t>
  </si>
  <si>
    <t>-1646.95万</t>
  </si>
  <si>
    <t>-3686.16万</t>
  </si>
  <si>
    <t>9256.19万</t>
  </si>
  <si>
    <t>16.72亿</t>
  </si>
  <si>
    <t>3820.21万</t>
  </si>
  <si>
    <t>022291400</t>
  </si>
  <si>
    <t>066874200</t>
  </si>
  <si>
    <t>0133748400</t>
  </si>
  <si>
    <t>0222914000</t>
  </si>
  <si>
    <t>0445828000</t>
  </si>
  <si>
    <t>146.41万</t>
  </si>
  <si>
    <t>2.27亿</t>
  </si>
  <si>
    <t>7.66亿</t>
  </si>
  <si>
    <t>2259.41万</t>
  </si>
  <si>
    <t>8018.99万</t>
  </si>
  <si>
    <t>3758.46万</t>
  </si>
  <si>
    <t>1629.91万</t>
  </si>
  <si>
    <t>3799415亿</t>
  </si>
  <si>
    <t>2.31万</t>
  </si>
  <si>
    <t>20736921亿</t>
  </si>
  <si>
    <t>36282358亿</t>
  </si>
  <si>
    <t>786818760亿</t>
  </si>
  <si>
    <t>648.21万</t>
  </si>
  <si>
    <t>1588.91万</t>
  </si>
  <si>
    <t>2143.61万</t>
  </si>
  <si>
    <t>2764.69万</t>
  </si>
  <si>
    <t>1.19亿</t>
  </si>
  <si>
    <t>-208.67万</t>
  </si>
  <si>
    <t>-1162.99万</t>
  </si>
  <si>
    <t>6.65亿</t>
  </si>
  <si>
    <t>7135.73万</t>
  </si>
  <si>
    <t>10派2元(含税)</t>
  </si>
  <si>
    <t>900.52万</t>
  </si>
  <si>
    <t>022594100</t>
  </si>
  <si>
    <t>067782300</t>
  </si>
  <si>
    <t>0135564600</t>
  </si>
  <si>
    <t>0225941000</t>
  </si>
  <si>
    <t>0451882000</t>
  </si>
  <si>
    <t>379.42万</t>
  </si>
  <si>
    <t>8.28亿</t>
  </si>
  <si>
    <t>14.97亿</t>
  </si>
  <si>
    <t>4278.30万</t>
  </si>
  <si>
    <t>2.66亿</t>
  </si>
  <si>
    <t>1.97亿</t>
  </si>
  <si>
    <t>4140.89万</t>
  </si>
  <si>
    <t>1548.48万</t>
  </si>
  <si>
    <t>1863146亿</t>
  </si>
  <si>
    <t>39958087亿</t>
  </si>
  <si>
    <t>11.29亿</t>
  </si>
  <si>
    <t>240656220亿</t>
  </si>
  <si>
    <t>1767607000亿</t>
  </si>
  <si>
    <t>3.58亿</t>
  </si>
  <si>
    <t>2.03亿</t>
  </si>
  <si>
    <t>3.33亿</t>
  </si>
  <si>
    <t>5364.84万</t>
  </si>
  <si>
    <t>5565.62万</t>
  </si>
  <si>
    <t>1.07亿</t>
  </si>
  <si>
    <t>12.16亿</t>
  </si>
  <si>
    <t>1.75亿</t>
  </si>
  <si>
    <t>10派8.3元(含税)</t>
  </si>
  <si>
    <t>1709.45万</t>
  </si>
  <si>
    <t>-2-1</t>
  </si>
  <si>
    <t>187.28万</t>
  </si>
  <si>
    <t>15.30亿</t>
  </si>
  <si>
    <t>28.11亿</t>
  </si>
  <si>
    <t>7.16亿</t>
  </si>
  <si>
    <t>2335.40万</t>
  </si>
  <si>
    <t>6.99亿</t>
  </si>
  <si>
    <t>4.95亿</t>
  </si>
  <si>
    <t>3364.70万</t>
  </si>
  <si>
    <t>5357703亿</t>
  </si>
  <si>
    <t>11.89万</t>
  </si>
  <si>
    <t>21280169亿</t>
  </si>
  <si>
    <t>9.68亿</t>
  </si>
  <si>
    <t>285125310亿</t>
  </si>
  <si>
    <t>811.35万</t>
  </si>
  <si>
    <t>2774293200亿</t>
  </si>
  <si>
    <t>5.23亿</t>
  </si>
  <si>
    <t>6.92亿</t>
  </si>
  <si>
    <t>13.24亿</t>
  </si>
  <si>
    <t>8987.74万</t>
  </si>
  <si>
    <t>-4.81亿</t>
  </si>
  <si>
    <t>-501.28万</t>
  </si>
  <si>
    <t>1069.00万</t>
  </si>
  <si>
    <t>9197.15万</t>
  </si>
  <si>
    <t>3-1</t>
  </si>
  <si>
    <t>116.48万</t>
  </si>
  <si>
    <t>5.44亿</t>
  </si>
  <si>
    <t>11.28亿</t>
  </si>
  <si>
    <t>1014.56万</t>
  </si>
  <si>
    <t>3.11亿</t>
  </si>
  <si>
    <t>2.79亿</t>
  </si>
  <si>
    <t>295.87万</t>
  </si>
  <si>
    <t>1727.08万</t>
  </si>
  <si>
    <t>-294495亿</t>
  </si>
  <si>
    <t>9474839亿</t>
  </si>
  <si>
    <t>312214110亿</t>
  </si>
  <si>
    <t>206.20万</t>
  </si>
  <si>
    <t>973221770亿</t>
  </si>
  <si>
    <t>8621.74万</t>
  </si>
  <si>
    <t>1411.38万</t>
  </si>
  <si>
    <t>3291.53万</t>
  </si>
  <si>
    <t>-380.20万</t>
  </si>
  <si>
    <t>15.60亿</t>
  </si>
  <si>
    <t>2.02亿</t>
  </si>
  <si>
    <t>10派3.75元(含税)</t>
  </si>
  <si>
    <t>518.77万</t>
  </si>
  <si>
    <t>3433.74万</t>
  </si>
  <si>
    <t>372.73万</t>
  </si>
  <si>
    <t>16.48亿</t>
  </si>
  <si>
    <t>4.25亿</t>
  </si>
  <si>
    <t>4928.87万</t>
  </si>
  <si>
    <t>3.82亿</t>
  </si>
  <si>
    <t>3.38亿</t>
  </si>
  <si>
    <t>335.12万</t>
  </si>
  <si>
    <t>2291.09万</t>
  </si>
  <si>
    <t>-1095997亿</t>
  </si>
  <si>
    <t>47590845亿</t>
  </si>
  <si>
    <t>8.64亿</t>
  </si>
  <si>
    <t>488288230亿</t>
  </si>
  <si>
    <t>1819842300亿</t>
  </si>
  <si>
    <t>2697.95万</t>
  </si>
  <si>
    <t>134.41万</t>
  </si>
  <si>
    <t>9.22亿</t>
  </si>
  <si>
    <t>9781.70万</t>
  </si>
  <si>
    <t>-8309.83万</t>
  </si>
  <si>
    <t>3481.01万</t>
  </si>
  <si>
    <t>26.93亿</t>
  </si>
  <si>
    <t>2.61亿</t>
  </si>
  <si>
    <t>1968.39万</t>
  </si>
  <si>
    <t>173.91万</t>
  </si>
  <si>
    <t>81.74亿</t>
  </si>
  <si>
    <t>46.48亿</t>
  </si>
  <si>
    <t>23.13亿</t>
  </si>
  <si>
    <t>2.72亿</t>
  </si>
  <si>
    <t>19.66亿</t>
  </si>
  <si>
    <t>17.13亿</t>
  </si>
  <si>
    <t>7707.04万</t>
  </si>
  <si>
    <t>80.20万</t>
  </si>
  <si>
    <t>982728030亿</t>
  </si>
  <si>
    <t>67.63亿</t>
  </si>
  <si>
    <t>2088110000亿</t>
  </si>
  <si>
    <t>6076.91万</t>
  </si>
  <si>
    <t>10773112900亿</t>
  </si>
  <si>
    <t>42.47亿</t>
  </si>
  <si>
    <t>4.68亿</t>
  </si>
  <si>
    <t>12.90亿</t>
  </si>
  <si>
    <t>74.67亿</t>
  </si>
  <si>
    <t>2.00亿</t>
  </si>
  <si>
    <t>3.30亿</t>
  </si>
  <si>
    <t>-2.48亿</t>
  </si>
  <si>
    <t>9.41亿</t>
  </si>
  <si>
    <t>99.37亿</t>
  </si>
  <si>
    <t>87.92亿</t>
  </si>
  <si>
    <t>11.17亿</t>
  </si>
  <si>
    <t>1007.96万</t>
  </si>
  <si>
    <t>6673.41万</t>
  </si>
  <si>
    <t>0272000000</t>
  </si>
  <si>
    <t>0816000000</t>
  </si>
  <si>
    <t>01632000000</t>
  </si>
  <si>
    <t>02720000000</t>
  </si>
  <si>
    <t>05440000000</t>
  </si>
  <si>
    <t>494.23万</t>
  </si>
  <si>
    <t>68.39亿</t>
  </si>
  <si>
    <t>68.37亿</t>
  </si>
  <si>
    <t>31.76亿</t>
  </si>
  <si>
    <t>9.62亿</t>
  </si>
  <si>
    <t>-6231723亿</t>
  </si>
  <si>
    <t>531.98万</t>
  </si>
  <si>
    <t>286546650亿</t>
  </si>
  <si>
    <t>48.31亿</t>
  </si>
  <si>
    <t>1444131700亿</t>
  </si>
  <si>
    <t>10566916900亿</t>
  </si>
  <si>
    <t>6.93亿</t>
  </si>
  <si>
    <t>8.66亿</t>
  </si>
  <si>
    <t>4.46亿</t>
  </si>
  <si>
    <t>55.14亿</t>
  </si>
  <si>
    <t>8090.58万</t>
  </si>
  <si>
    <t>-7.18亿</t>
  </si>
  <si>
    <t>155.02亿</t>
  </si>
  <si>
    <t>6.12亿</t>
  </si>
  <si>
    <t>3170.33万</t>
  </si>
  <si>
    <t>2.06亿</t>
  </si>
  <si>
    <t>162.19万</t>
  </si>
  <si>
    <t>14.12亿</t>
  </si>
  <si>
    <t>20.57亿</t>
  </si>
  <si>
    <t>4.01亿</t>
  </si>
  <si>
    <t>6274.18万</t>
  </si>
  <si>
    <t>2.57亿</t>
  </si>
  <si>
    <t>3927.71万</t>
  </si>
  <si>
    <t>2052.12万</t>
  </si>
  <si>
    <t>-1932491亿</t>
  </si>
  <si>
    <t>2.75万</t>
  </si>
  <si>
    <t>61055838亿</t>
  </si>
  <si>
    <t>191129730亿</t>
  </si>
  <si>
    <t>2215838600亿</t>
  </si>
  <si>
    <t>9042.96万</t>
  </si>
  <si>
    <t>2.41亿</t>
  </si>
  <si>
    <t>821.75万</t>
  </si>
  <si>
    <t>-1.50亿</t>
  </si>
  <si>
    <t>-8844.70万</t>
  </si>
  <si>
    <t>1.63亿</t>
  </si>
  <si>
    <t>18.55亿</t>
  </si>
  <si>
    <t>10转3股派10元(含税)</t>
  </si>
  <si>
    <t>834.56万</t>
  </si>
  <si>
    <t>5049.38万</t>
  </si>
  <si>
    <t>062741800</t>
  </si>
  <si>
    <t>0188225400</t>
  </si>
  <si>
    <t>0376450800</t>
  </si>
  <si>
    <t>0627418000</t>
  </si>
  <si>
    <t>01254836000</t>
  </si>
  <si>
    <t>182.26万</t>
  </si>
  <si>
    <t>8.83亿</t>
  </si>
  <si>
    <t>37.56亿</t>
  </si>
  <si>
    <t>11.74亿</t>
  </si>
  <si>
    <t>1.80亿</t>
  </si>
  <si>
    <t>5.04亿</t>
  </si>
  <si>
    <t>4291.35万</t>
  </si>
  <si>
    <t>2938114亿</t>
  </si>
  <si>
    <t>973.94万</t>
  </si>
  <si>
    <t>165511910亿</t>
  </si>
  <si>
    <t>210116700亿</t>
  </si>
  <si>
    <t>2858421300亿</t>
  </si>
  <si>
    <t>2.95亿</t>
  </si>
  <si>
    <t>2.38亿</t>
  </si>
  <si>
    <t>-526.60万</t>
  </si>
  <si>
    <t>50.60亿</t>
  </si>
  <si>
    <t>10.20亿</t>
  </si>
  <si>
    <t>10派23元(含税)</t>
  </si>
  <si>
    <t>520.41万</t>
  </si>
  <si>
    <t>3266.85万</t>
  </si>
  <si>
    <t>0180000000</t>
  </si>
  <si>
    <t>0540000000</t>
  </si>
  <si>
    <t>01080000000</t>
  </si>
  <si>
    <t>01800000000</t>
  </si>
  <si>
    <t>03600000000</t>
  </si>
  <si>
    <t>259.70万</t>
  </si>
  <si>
    <t>15.41亿</t>
  </si>
  <si>
    <t>28.14亿</t>
  </si>
  <si>
    <t>8.25亿</t>
  </si>
  <si>
    <t>8529.09万</t>
  </si>
  <si>
    <t>7.37亿</t>
  </si>
  <si>
    <t>6.81亿</t>
  </si>
  <si>
    <t>239.52万</t>
  </si>
  <si>
    <t>3818.09万</t>
  </si>
  <si>
    <t>2148588亿</t>
  </si>
  <si>
    <t>50.59万</t>
  </si>
  <si>
    <t>81308184亿</t>
  </si>
  <si>
    <t>930634010亿</t>
  </si>
  <si>
    <t>3250478200亿</t>
  </si>
  <si>
    <t>500.00万</t>
  </si>
  <si>
    <t>6.27亿</t>
  </si>
  <si>
    <t>13.86亿</t>
  </si>
  <si>
    <t>5000.28万</t>
  </si>
  <si>
    <t>2.01亿</t>
  </si>
  <si>
    <t>27.75亿</t>
  </si>
  <si>
    <t>1205.45万</t>
  </si>
  <si>
    <t>8094.46万</t>
  </si>
  <si>
    <t>95.23万</t>
  </si>
  <si>
    <t>29.95亿</t>
  </si>
  <si>
    <t>117.87亿</t>
  </si>
  <si>
    <t>18.41亿</t>
  </si>
  <si>
    <t>3.99亿</t>
  </si>
  <si>
    <t>14.27亿</t>
  </si>
  <si>
    <t>8.01亿</t>
  </si>
  <si>
    <t>5087.01万</t>
  </si>
  <si>
    <t>73531069亿</t>
  </si>
  <si>
    <t>344.49万</t>
  </si>
  <si>
    <t>341859410亿</t>
  </si>
  <si>
    <t>12.02亿</t>
  </si>
  <si>
    <t>195402810亿</t>
  </si>
  <si>
    <t>8370810000亿</t>
  </si>
  <si>
    <t>12.48亿</t>
  </si>
  <si>
    <t>25.98亿</t>
  </si>
  <si>
    <t>-1.67亿</t>
  </si>
  <si>
    <t>86.54亿</t>
  </si>
  <si>
    <t>20.51亿</t>
  </si>
  <si>
    <t>10转4股派46.8元(含税)</t>
  </si>
  <si>
    <t>565.65万</t>
  </si>
  <si>
    <t>3922.31万</t>
  </si>
  <si>
    <t>28.33万</t>
  </si>
  <si>
    <t>3.94亿</t>
  </si>
  <si>
    <t>1561.01万</t>
  </si>
  <si>
    <t>2.82亿</t>
  </si>
  <si>
    <t>1.41亿</t>
  </si>
  <si>
    <t>1432.62万</t>
  </si>
  <si>
    <t>191048亿</t>
  </si>
  <si>
    <t>2.12万</t>
  </si>
  <si>
    <t>15593736亿</t>
  </si>
  <si>
    <t>57506075亿</t>
  </si>
  <si>
    <t>82.97万</t>
  </si>
  <si>
    <t>578321120亿</t>
  </si>
  <si>
    <t>2000.00万</t>
  </si>
  <si>
    <t>8674.14万</t>
  </si>
  <si>
    <t>4134.43万</t>
  </si>
  <si>
    <t>-3370.06万</t>
  </si>
  <si>
    <t>-1126.54万</t>
  </si>
  <si>
    <t>12.75亿</t>
  </si>
  <si>
    <t>-5086.54万</t>
  </si>
  <si>
    <t>121.39万</t>
  </si>
  <si>
    <t>1697.75万</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</si>
</sst>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宋体"/>
      <family val="2"/>
      <charset val="134"/>
      <scheme val="minor"/>
    </font>
    <font>
      <sz val="9"/>
      <name val="宋体"/>
      <family val="2"/>
      <charset val="134"/>
      <scheme val="minor"/>
    </font>
    <font>
      <sz val="9"/>
      <color theme="1"/>
      <name val="宋体"/>
      <family val="2"/>
      <charset val="134"/>
      <scheme val="minor"/>
    </font>
    <font>
      <sz val="11"/>
      <color rgb="FFFF0000"/>
      <name val="宋体"/>
      <family val="2"/>
      <charset val="134"/>
      <scheme val="minor"/>
    </font>
    <font>
      <sz val="11"/>
      <name val="宋体"/>
      <family val="2"/>
      <charset val="134"/>
      <scheme val="minor"/>
    </font>
    <font>
      <sz val="9"/>
      <color rgb="FFFF0000"/>
      <name val="宋体"/>
      <family val="3"/>
      <charset val="134"/>
      <scheme val="minor"/>
    </font>
    <font>
      <sz val="11"/>
      <color rgb="FF000000"/>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15">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0" fontId="2" fillId="0" borderId="0" xfId="0" applyFont="1" applyAlignment="1">
      <alignment vertical="center" wrapText="1"/>
    </xf>
    <xf numFmtId="10" fontId="0" fillId="0" borderId="0" xfId="0" applyNumberFormat="1">
      <alignment vertical="center"/>
    </xf>
    <xf numFmtId="0" fontId="0" fillId="4" borderId="0" xfId="0" applyFill="1">
      <alignment vertical="center"/>
    </xf>
    <xf numFmtId="0" fontId="0" fillId="5" borderId="0" xfId="0" applyFill="1">
      <alignment vertical="center"/>
    </xf>
    <xf numFmtId="0" fontId="4" fillId="0" borderId="0" xfId="0" applyFont="1">
      <alignment vertical="center"/>
    </xf>
    <xf numFmtId="0" fontId="3" fillId="0" borderId="0" xfId="0" applyFont="1">
      <alignment vertical="center"/>
    </xf>
    <xf numFmtId="0" fontId="4" fillId="0" borderId="0" xfId="0" applyFont="1" applyFill="1">
      <alignment vertical="center"/>
    </xf>
    <xf numFmtId="14" fontId="0" fillId="0" borderId="0" xfId="0" applyNumberFormat="1">
      <alignment vertical="center"/>
    </xf>
    <xf numFmtId="0" fontId="0" fillId="0" borderId="0" xfId="0" applyNumberFormat="1">
      <alignment vertical="center"/>
    </xf>
    <xf numFmtId="9" fontId="0" fillId="0" borderId="0" xfId="0" applyNumberFormat="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260350</xdr:colOff>
          <xdr:row>0</xdr:row>
          <xdr:rowOff>63500</xdr:rowOff>
        </xdr:from>
        <xdr:to>
          <xdr:col>147</xdr:col>
          <xdr:colOff>1460500</xdr:colOff>
          <xdr:row>0</xdr:row>
          <xdr:rowOff>368300</xdr:rowOff>
        </xdr:to>
        <xdr:sp macro="" textlink="">
          <xdr:nvSpPr>
            <xdr:cNvPr id="2049" name="Button 1" descr="更新基本面按钮&#10;"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24"/>
  <sheetViews>
    <sheetView tabSelected="1" zoomScale="85" zoomScaleNormal="85" workbookViewId="0">
      <pane xSplit="5" ySplit="1" topLeftCell="F2" activePane="bottomRight" state="frozen"/>
      <selection pane="topRight" activeCell="F1" sqref="F1"/>
      <selection pane="bottomLeft" activeCell="A2" sqref="A2"/>
      <selection pane="bottomRight" activeCell="D24" sqref="D24:EP24"/>
    </sheetView>
  </sheetViews>
  <sheetFormatPr defaultRowHeight="14" x14ac:dyDescent="0.25"/>
  <cols>
    <col min="1" max="1" width="34.36328125" customWidth="1"/>
    <col min="2" max="2" width="44.1796875" customWidth="1"/>
    <col min="3" max="3" width="47.81640625" customWidth="1"/>
    <col min="16" max="16" width="9.81640625" customWidth="1"/>
    <col min="148" max="148" width="25.08984375" customWidth="1"/>
  </cols>
  <sheetData>
    <row r="1" spans="1:146" ht="37" customHeight="1" x14ac:dyDescent="0.25">
      <c r="A1" s="3" t="s">
        <v>5</v>
      </c>
      <c r="B1" s="4" t="s">
        <v>6</v>
      </c>
      <c r="C1" s="3" t="s">
        <v>7</v>
      </c>
      <c r="D1" t="s">
        <v>8</v>
      </c>
      <c r="E1" t="s">
        <v>278</v>
      </c>
      <c r="F1" t="s">
        <v>3</v>
      </c>
      <c r="G1" t="s">
        <v>335</v>
      </c>
      <c r="H1" t="s">
        <v>336</v>
      </c>
      <c r="I1" t="s">
        <v>9</v>
      </c>
      <c r="J1" t="s">
        <v>10</v>
      </c>
      <c r="K1" t="s">
        <v>4</v>
      </c>
      <c r="L1" t="s">
        <v>11</v>
      </c>
      <c r="M1" t="s">
        <v>12</v>
      </c>
      <c r="N1" t="s">
        <v>13</v>
      </c>
      <c r="O1" t="s">
        <v>14</v>
      </c>
      <c r="P1" t="s">
        <v>337</v>
      </c>
      <c r="Q1" t="s">
        <v>279</v>
      </c>
      <c r="R1" t="s">
        <v>280</v>
      </c>
      <c r="S1" t="s">
        <v>15</v>
      </c>
      <c r="T1" t="s">
        <v>338</v>
      </c>
      <c r="U1" t="s">
        <v>208</v>
      </c>
      <c r="V1" t="s">
        <v>16</v>
      </c>
      <c r="W1" t="s">
        <v>281</v>
      </c>
      <c r="X1" t="s">
        <v>282</v>
      </c>
      <c r="Y1" t="s">
        <v>283</v>
      </c>
      <c r="Z1" t="s">
        <v>284</v>
      </c>
      <c r="AA1" t="s">
        <v>285</v>
      </c>
      <c r="AB1" t="s">
        <v>339</v>
      </c>
      <c r="AC1" t="s">
        <v>286</v>
      </c>
      <c r="AD1" t="s">
        <v>287</v>
      </c>
      <c r="AE1" t="s">
        <v>17</v>
      </c>
      <c r="AF1" t="s">
        <v>18</v>
      </c>
      <c r="AG1" t="s">
        <v>340</v>
      </c>
      <c r="AH1" t="s">
        <v>288</v>
      </c>
      <c r="AI1" t="s">
        <v>341</v>
      </c>
      <c r="AJ1" t="s">
        <v>19</v>
      </c>
      <c r="AK1" t="s">
        <v>342</v>
      </c>
      <c r="AL1" t="s">
        <v>21</v>
      </c>
      <c r="AM1" t="s">
        <v>343</v>
      </c>
      <c r="AN1" t="s">
        <v>344</v>
      </c>
      <c r="AO1" t="s">
        <v>345</v>
      </c>
      <c r="AP1" t="s">
        <v>346</v>
      </c>
      <c r="AQ1" t="s">
        <v>347</v>
      </c>
      <c r="AR1" t="s">
        <v>348</v>
      </c>
      <c r="AS1" t="s">
        <v>349</v>
      </c>
      <c r="AT1" t="s">
        <v>350</v>
      </c>
      <c r="AU1" t="s">
        <v>351</v>
      </c>
      <c r="AV1" t="s">
        <v>352</v>
      </c>
      <c r="AW1" t="s">
        <v>353</v>
      </c>
      <c r="AX1" t="s">
        <v>289</v>
      </c>
      <c r="AY1" t="s">
        <v>22</v>
      </c>
      <c r="AZ1" t="s">
        <v>23</v>
      </c>
      <c r="BA1" t="s">
        <v>24</v>
      </c>
      <c r="BB1" t="s">
        <v>25</v>
      </c>
      <c r="BC1" t="s">
        <v>209</v>
      </c>
      <c r="BD1" t="s">
        <v>26</v>
      </c>
      <c r="BE1" t="s">
        <v>27</v>
      </c>
      <c r="BF1" t="s">
        <v>28</v>
      </c>
      <c r="BG1" t="s">
        <v>29</v>
      </c>
      <c r="BH1" t="s">
        <v>354</v>
      </c>
      <c r="BI1" t="s">
        <v>355</v>
      </c>
      <c r="BJ1" t="s">
        <v>356</v>
      </c>
      <c r="BK1" t="s">
        <v>357</v>
      </c>
      <c r="BL1" t="s">
        <v>358</v>
      </c>
      <c r="BM1" t="s">
        <v>359</v>
      </c>
      <c r="BN1" t="s">
        <v>290</v>
      </c>
      <c r="BO1" t="s">
        <v>210</v>
      </c>
      <c r="BP1" t="s">
        <v>30</v>
      </c>
      <c r="BQ1" t="s">
        <v>291</v>
      </c>
      <c r="BR1" t="s">
        <v>211</v>
      </c>
      <c r="BS1" t="s">
        <v>31</v>
      </c>
      <c r="BT1" t="s">
        <v>360</v>
      </c>
      <c r="BU1" t="s">
        <v>292</v>
      </c>
      <c r="BV1" t="s">
        <v>361</v>
      </c>
      <c r="BW1" t="s">
        <v>47</v>
      </c>
      <c r="BX1" t="s">
        <v>32</v>
      </c>
      <c r="BY1" t="s">
        <v>362</v>
      </c>
      <c r="BZ1" t="s">
        <v>48</v>
      </c>
      <c r="CA1" t="s">
        <v>33</v>
      </c>
      <c r="CB1" t="s">
        <v>363</v>
      </c>
      <c r="CC1" t="s">
        <v>364</v>
      </c>
      <c r="CD1" t="s">
        <v>365</v>
      </c>
      <c r="CE1" t="s">
        <v>366</v>
      </c>
      <c r="CF1" s="1" t="s">
        <v>293</v>
      </c>
      <c r="CG1" s="1" t="s">
        <v>294</v>
      </c>
      <c r="CH1" s="1" t="s">
        <v>34</v>
      </c>
      <c r="CI1" s="1" t="s">
        <v>35</v>
      </c>
      <c r="CJ1" s="1" t="s">
        <v>36</v>
      </c>
      <c r="CK1" s="1" t="s">
        <v>37</v>
      </c>
      <c r="CL1" s="1" t="s">
        <v>38</v>
      </c>
      <c r="CM1" s="1" t="s">
        <v>39</v>
      </c>
      <c r="CN1" s="1" t="s">
        <v>40</v>
      </c>
      <c r="CO1" s="1" t="s">
        <v>41</v>
      </c>
      <c r="CP1" s="1" t="s">
        <v>42</v>
      </c>
      <c r="CQ1" s="1" t="s">
        <v>43</v>
      </c>
      <c r="CR1" s="1" t="s">
        <v>369</v>
      </c>
      <c r="CS1" s="1" t="s">
        <v>370</v>
      </c>
      <c r="CT1" s="1" t="s">
        <v>371</v>
      </c>
      <c r="CU1" s="1" t="s">
        <v>372</v>
      </c>
      <c r="CV1" s="1" t="s">
        <v>373</v>
      </c>
      <c r="CW1" s="1" t="s">
        <v>374</v>
      </c>
      <c r="CX1">
        <v>1</v>
      </c>
      <c r="CY1" t="s">
        <v>375</v>
      </c>
      <c r="CZ1" t="s">
        <v>376</v>
      </c>
      <c r="DA1">
        <v>3</v>
      </c>
      <c r="DB1" t="s">
        <v>377</v>
      </c>
      <c r="DC1" t="s">
        <v>378</v>
      </c>
      <c r="DD1">
        <v>6</v>
      </c>
      <c r="DE1" t="s">
        <v>379</v>
      </c>
      <c r="DF1" t="s">
        <v>380</v>
      </c>
      <c r="DG1">
        <v>10</v>
      </c>
      <c r="DH1" t="s">
        <v>381</v>
      </c>
      <c r="DI1" t="s">
        <v>382</v>
      </c>
      <c r="DJ1">
        <v>20</v>
      </c>
      <c r="DK1" t="s">
        <v>383</v>
      </c>
      <c r="DL1" t="s">
        <v>44</v>
      </c>
      <c r="DM1" t="s">
        <v>45</v>
      </c>
      <c r="DN1" s="2" t="s">
        <v>46</v>
      </c>
      <c r="DO1" t="s">
        <v>295</v>
      </c>
      <c r="DP1" t="s">
        <v>296</v>
      </c>
      <c r="DQ1" s="11" t="s">
        <v>384</v>
      </c>
      <c r="DR1" s="1" t="s">
        <v>385</v>
      </c>
      <c r="DS1" s="1" t="s">
        <v>297</v>
      </c>
      <c r="DT1" t="s">
        <v>386</v>
      </c>
      <c r="DU1" t="s">
        <v>298</v>
      </c>
      <c r="DV1" t="s">
        <v>387</v>
      </c>
      <c r="DW1" t="s">
        <v>367</v>
      </c>
      <c r="DX1" t="s">
        <v>368</v>
      </c>
      <c r="DY1" t="s">
        <v>388</v>
      </c>
      <c r="DZ1" t="s">
        <v>299</v>
      </c>
      <c r="EA1" t="s">
        <v>389</v>
      </c>
      <c r="EB1" t="s">
        <v>390</v>
      </c>
      <c r="EC1" t="s">
        <v>391</v>
      </c>
      <c r="ED1" t="s">
        <v>392</v>
      </c>
      <c r="EE1" t="s">
        <v>393</v>
      </c>
      <c r="EF1" t="s">
        <v>394</v>
      </c>
      <c r="EG1" t="s">
        <v>395</v>
      </c>
      <c r="EH1" t="s">
        <v>300</v>
      </c>
      <c r="EI1" t="s">
        <v>396</v>
      </c>
      <c r="EK1" s="12" t="s">
        <v>397</v>
      </c>
      <c r="EL1" t="s">
        <v>398</v>
      </c>
      <c r="EM1" t="s">
        <v>399</v>
      </c>
      <c r="EN1" t="s">
        <v>301</v>
      </c>
      <c r="EO1" t="s">
        <v>302</v>
      </c>
      <c r="EP1" t="s">
        <v>303</v>
      </c>
    </row>
    <row r="2" spans="1:146" ht="96" x14ac:dyDescent="0.25">
      <c r="A2" s="5"/>
      <c r="B2" s="5"/>
      <c r="C2" s="5" t="str">
        <f>""&amp;CHAR(10)&amp;Basic_Fundamental_Information_Constructure(F2)&amp;CHAR(10)&amp;Basic_Fundamental_Information_Concatenate("")</f>
        <v xml:space="preserve">
市值15.43159亿, 利润1243.50万; PE94.98; 平均PE37.48; 平均PEG4.16, PB2.02; ROIC9.6033%; ROE10.8333%; 股利率1.9075%; 毛利28.4967%; 净利7.54%; 上一年度营收增-81.28%, 利润增-75.82%; 当季营收增-49.38%, 利润增-33.65%; 过往5年营收增-9.02%, 利润增39.78%
Income profile:
</v>
      </c>
      <c r="D2" t="s">
        <v>304</v>
      </c>
      <c r="E2" t="s">
        <v>305</v>
      </c>
      <c r="F2">
        <v>20.97</v>
      </c>
      <c r="G2">
        <v>-0.76</v>
      </c>
      <c r="H2" t="s">
        <v>527</v>
      </c>
      <c r="I2">
        <v>1543159000</v>
      </c>
      <c r="J2">
        <v>94.98</v>
      </c>
      <c r="K2">
        <v>2.02</v>
      </c>
      <c r="L2" t="s">
        <v>60</v>
      </c>
      <c r="M2" t="s">
        <v>528</v>
      </c>
      <c r="N2" t="s">
        <v>431</v>
      </c>
      <c r="O2" t="s">
        <v>438</v>
      </c>
      <c r="P2">
        <v>-18.850000000000001</v>
      </c>
      <c r="Q2" t="s">
        <v>438</v>
      </c>
      <c r="R2">
        <v>12434953</v>
      </c>
      <c r="S2" s="6">
        <v>-0.28089999999999998</v>
      </c>
      <c r="T2" t="s">
        <v>529</v>
      </c>
      <c r="U2">
        <v>21928888</v>
      </c>
      <c r="V2">
        <v>73588888</v>
      </c>
      <c r="W2">
        <v>1.1000000000000001</v>
      </c>
      <c r="X2">
        <v>0.15</v>
      </c>
      <c r="Y2">
        <v>9.86</v>
      </c>
      <c r="Z2" t="s">
        <v>89</v>
      </c>
      <c r="AA2" t="s">
        <v>530</v>
      </c>
      <c r="AB2" t="s">
        <v>531</v>
      </c>
      <c r="AC2" t="s">
        <v>532</v>
      </c>
      <c r="AD2" t="s">
        <v>20</v>
      </c>
      <c r="AE2">
        <v>-2447724</v>
      </c>
      <c r="AF2" t="s">
        <v>55</v>
      </c>
      <c r="AG2">
        <v>877.15</v>
      </c>
      <c r="AH2" t="s">
        <v>533</v>
      </c>
      <c r="AI2" t="s">
        <v>466</v>
      </c>
      <c r="AJ2" t="s">
        <v>534</v>
      </c>
      <c r="AK2" t="s">
        <v>535</v>
      </c>
      <c r="AL2" t="s">
        <v>536</v>
      </c>
      <c r="AM2" t="s">
        <v>20</v>
      </c>
      <c r="AN2" t="s">
        <v>537</v>
      </c>
      <c r="AO2" t="s">
        <v>20</v>
      </c>
      <c r="AP2" t="s">
        <v>20</v>
      </c>
      <c r="AQ2" t="s">
        <v>538</v>
      </c>
      <c r="AR2" t="s">
        <v>539</v>
      </c>
      <c r="AS2" t="s">
        <v>540</v>
      </c>
      <c r="AT2" t="s">
        <v>20</v>
      </c>
      <c r="AU2" t="s">
        <v>541</v>
      </c>
      <c r="AV2" t="s">
        <v>542</v>
      </c>
      <c r="AW2" t="s">
        <v>543</v>
      </c>
      <c r="AX2" t="s">
        <v>333</v>
      </c>
      <c r="AY2" t="s">
        <v>267</v>
      </c>
      <c r="AZ2" t="s">
        <v>307</v>
      </c>
      <c r="BA2" t="s">
        <v>308</v>
      </c>
      <c r="BB2" t="s">
        <v>309</v>
      </c>
      <c r="BC2" t="s">
        <v>544</v>
      </c>
      <c r="BD2" t="s">
        <v>306</v>
      </c>
      <c r="BE2" t="s">
        <v>310</v>
      </c>
      <c r="BF2" t="s">
        <v>311</v>
      </c>
      <c r="BG2" t="s">
        <v>312</v>
      </c>
      <c r="BH2" t="s">
        <v>474</v>
      </c>
      <c r="BI2" t="s">
        <v>410</v>
      </c>
      <c r="BJ2" t="s">
        <v>333</v>
      </c>
      <c r="BK2" t="s">
        <v>545</v>
      </c>
      <c r="BL2" t="s">
        <v>411</v>
      </c>
      <c r="BM2" t="s">
        <v>544</v>
      </c>
      <c r="BN2">
        <v>1.19</v>
      </c>
      <c r="BO2">
        <v>8.4600000000000009</v>
      </c>
      <c r="BP2">
        <v>19.16</v>
      </c>
      <c r="BQ2">
        <v>2.1800000000000002</v>
      </c>
      <c r="BR2">
        <v>10.36</v>
      </c>
      <c r="BS2">
        <v>19.96</v>
      </c>
      <c r="BT2" t="s">
        <v>403</v>
      </c>
      <c r="BU2" t="s">
        <v>60</v>
      </c>
      <c r="BV2">
        <v>25.84</v>
      </c>
      <c r="BW2">
        <v>30.95</v>
      </c>
      <c r="BX2">
        <v>28.7</v>
      </c>
      <c r="BY2">
        <v>4.8600000000000003</v>
      </c>
      <c r="BZ2">
        <v>7.84</v>
      </c>
      <c r="CA2">
        <v>9.92</v>
      </c>
      <c r="CB2">
        <v>-2.78</v>
      </c>
      <c r="CC2">
        <v>-8.75</v>
      </c>
      <c r="CD2" t="s">
        <v>546</v>
      </c>
      <c r="CE2" t="s">
        <v>547</v>
      </c>
      <c r="CF2" s="7">
        <v>-0.49382716049382724</v>
      </c>
      <c r="CG2" s="8">
        <v>-0.33646277560777788</v>
      </c>
      <c r="CH2" s="7">
        <v>-0.81278538703918457</v>
      </c>
      <c r="CI2" s="7">
        <v>3.0534351244568825E-3</v>
      </c>
      <c r="CJ2" s="7">
        <v>-9.2797785997390747E-2</v>
      </c>
      <c r="CK2" s="7">
        <v>0.3778626024723053</v>
      </c>
      <c r="CL2" s="7">
        <v>7.3770493268966675E-2</v>
      </c>
      <c r="CM2" s="8">
        <v>-0.75820422172546387</v>
      </c>
      <c r="CN2" s="8">
        <v>-0.21966211497783661</v>
      </c>
      <c r="CO2" s="8">
        <v>-2.4613961577415466E-2</v>
      </c>
      <c r="CP2" s="8">
        <v>0.7833295464515686</v>
      </c>
      <c r="CQ2" s="8">
        <v>2.2079453468322754</v>
      </c>
      <c r="CR2">
        <v>37.480514812143113</v>
      </c>
      <c r="CS2">
        <v>4.1562202184177721</v>
      </c>
      <c r="CT2">
        <v>1.9074868860276586</v>
      </c>
      <c r="CU2" s="7">
        <v>-9.0179328434169287E-2</v>
      </c>
      <c r="CV2" s="8">
        <v>0.3977589190006256</v>
      </c>
      <c r="CW2">
        <v>0.06</v>
      </c>
      <c r="CX2">
        <v>68.912569360675519</v>
      </c>
      <c r="CY2" t="s">
        <v>548</v>
      </c>
      <c r="CZ2">
        <v>-9.0179328434169287E-2</v>
      </c>
      <c r="DA2">
        <v>22.970856453558504</v>
      </c>
      <c r="DB2" t="s">
        <v>549</v>
      </c>
      <c r="DC2">
        <v>-8.5670362012460824E-2</v>
      </c>
      <c r="DD2">
        <v>11.485428226779252</v>
      </c>
      <c r="DE2" t="s">
        <v>550</v>
      </c>
      <c r="DF2">
        <v>-7.9357809022068973E-2</v>
      </c>
      <c r="DG2">
        <v>6.8912569360675509</v>
      </c>
      <c r="DH2" t="s">
        <v>551</v>
      </c>
      <c r="DI2">
        <v>-7.2143462747335435E-2</v>
      </c>
      <c r="DJ2">
        <v>3.4456284680337754</v>
      </c>
      <c r="DK2" t="s">
        <v>552</v>
      </c>
      <c r="DL2">
        <v>-6.3125529903918495E-2</v>
      </c>
      <c r="DM2">
        <v>12435000</v>
      </c>
      <c r="DN2">
        <v>-9.0179328434169287E-2</v>
      </c>
      <c r="DO2">
        <v>856927800</v>
      </c>
      <c r="DP2">
        <v>656253030</v>
      </c>
      <c r="DQ2">
        <v>461</v>
      </c>
      <c r="DR2">
        <v>-0.40364783205965793</v>
      </c>
      <c r="DS2">
        <v>-0.73422169460840347</v>
      </c>
      <c r="DT2" s="9">
        <v>-0.65666666666666662</v>
      </c>
      <c r="DU2">
        <v>4.9999999999999307E-3</v>
      </c>
      <c r="DV2">
        <v>-0.65166666666666673</v>
      </c>
      <c r="DW2">
        <v>-8.3177142857142865</v>
      </c>
      <c r="DX2">
        <v>0.32471710310371066</v>
      </c>
      <c r="DY2">
        <v>-8.0428015481860928</v>
      </c>
      <c r="DZ2">
        <v>2448</v>
      </c>
      <c r="EA2">
        <v>-8.0222970100335385</v>
      </c>
      <c r="EB2">
        <v>8</v>
      </c>
      <c r="EC2">
        <v>7.3062661308321439E-2</v>
      </c>
      <c r="ED2">
        <v>0.54234139262982206</v>
      </c>
      <c r="EE2" s="10">
        <v>1.0407</v>
      </c>
      <c r="EF2">
        <v>1.0159</v>
      </c>
      <c r="EG2">
        <v>19.134717103103711</v>
      </c>
      <c r="EH2" t="s">
        <v>404</v>
      </c>
      <c r="EI2">
        <v>0</v>
      </c>
      <c r="EJ2">
        <v>0</v>
      </c>
      <c r="EK2" s="12">
        <v>45470</v>
      </c>
      <c r="EL2" s="13">
        <v>2.35</v>
      </c>
      <c r="EM2" s="13">
        <v>2.89</v>
      </c>
      <c r="EN2" s="13">
        <v>-3.25</v>
      </c>
      <c r="EO2" s="13">
        <v>2.0699999999999998</v>
      </c>
      <c r="EP2" s="13">
        <v>-2.48</v>
      </c>
    </row>
    <row r="3" spans="1:146" ht="96" x14ac:dyDescent="0.25">
      <c r="A3" s="5"/>
      <c r="B3" s="5"/>
      <c r="C3" s="5" t="str">
        <f>""&amp;CHAR(10)&amp;Basic_Fundamental_Information_Constructure(F3)&amp;CHAR(10)&amp;Basic_Fundamental_Information_Concatenate("")</f>
        <v xml:space="preserve">
市值17.874734亿, 利润-1583.40万; PE; 平均PE-2.06; 平均PEG-.05, PB4.85; ROIC0%; ROE-28.68%; 股利率0%; 毛利7.0167%; 净利-28.6467%; 上一年度营收增-87.09%, 利润增95.71%; 当季营收增-59.84%, 利润增88.09%; 过往5年营收增-37.49%, 利润增-16.38%
Income profile:
</v>
      </c>
      <c r="D3" t="s">
        <v>58</v>
      </c>
      <c r="E3" t="s">
        <v>59</v>
      </c>
      <c r="F3">
        <v>1.02</v>
      </c>
      <c r="G3">
        <v>-0.97</v>
      </c>
      <c r="H3" t="s">
        <v>553</v>
      </c>
      <c r="I3">
        <v>1787473400</v>
      </c>
      <c r="K3">
        <v>4.8499999999999996</v>
      </c>
      <c r="L3" t="s">
        <v>60</v>
      </c>
      <c r="M3" t="s">
        <v>554</v>
      </c>
      <c r="N3" t="s">
        <v>555</v>
      </c>
      <c r="O3" t="s">
        <v>489</v>
      </c>
      <c r="P3">
        <v>-13.7</v>
      </c>
      <c r="Q3" t="s">
        <v>489</v>
      </c>
      <c r="R3">
        <v>-15833968</v>
      </c>
      <c r="S3" s="6">
        <v>0.62539999999999996</v>
      </c>
      <c r="T3" t="s">
        <v>556</v>
      </c>
      <c r="U3">
        <v>1752424900</v>
      </c>
      <c r="V3">
        <v>1752424900</v>
      </c>
      <c r="W3">
        <v>3.24</v>
      </c>
      <c r="X3">
        <v>0.09</v>
      </c>
      <c r="Y3">
        <v>-10.48</v>
      </c>
      <c r="Z3" t="s">
        <v>417</v>
      </c>
      <c r="AA3" t="s">
        <v>454</v>
      </c>
      <c r="AB3" t="s">
        <v>557</v>
      </c>
      <c r="AC3" t="s">
        <v>558</v>
      </c>
      <c r="AD3" t="s">
        <v>20</v>
      </c>
      <c r="AE3">
        <v>384804</v>
      </c>
      <c r="AF3" t="s">
        <v>559</v>
      </c>
      <c r="AG3" t="s">
        <v>560</v>
      </c>
      <c r="AH3" t="s">
        <v>561</v>
      </c>
      <c r="AI3" t="s">
        <v>562</v>
      </c>
      <c r="AJ3" t="s">
        <v>563</v>
      </c>
      <c r="AK3" t="s">
        <v>564</v>
      </c>
      <c r="AL3" t="s">
        <v>565</v>
      </c>
      <c r="AM3" t="s">
        <v>20</v>
      </c>
      <c r="AN3" t="s">
        <v>203</v>
      </c>
      <c r="AO3" t="s">
        <v>566</v>
      </c>
      <c r="AP3" t="s">
        <v>490</v>
      </c>
      <c r="AQ3" t="s">
        <v>330</v>
      </c>
      <c r="AR3" t="s">
        <v>567</v>
      </c>
      <c r="AS3" t="s">
        <v>568</v>
      </c>
      <c r="AT3" t="s">
        <v>569</v>
      </c>
      <c r="AU3" t="s">
        <v>570</v>
      </c>
      <c r="AV3" t="s">
        <v>571</v>
      </c>
      <c r="AW3" t="s">
        <v>572</v>
      </c>
      <c r="AX3" t="s">
        <v>412</v>
      </c>
      <c r="AY3" t="s">
        <v>212</v>
      </c>
      <c r="AZ3" t="s">
        <v>61</v>
      </c>
      <c r="BA3" t="s">
        <v>63</v>
      </c>
      <c r="BB3" t="s">
        <v>64</v>
      </c>
      <c r="BC3" t="s">
        <v>329</v>
      </c>
      <c r="BD3" t="s">
        <v>213</v>
      </c>
      <c r="BE3" t="s">
        <v>62</v>
      </c>
      <c r="BF3" t="s">
        <v>65</v>
      </c>
      <c r="BG3" t="s">
        <v>66</v>
      </c>
      <c r="BH3" t="s">
        <v>573</v>
      </c>
      <c r="BI3" t="s">
        <v>413</v>
      </c>
      <c r="BJ3" t="s">
        <v>412</v>
      </c>
      <c r="BK3" t="s">
        <v>574</v>
      </c>
      <c r="BL3" t="s">
        <v>414</v>
      </c>
      <c r="BM3" t="s">
        <v>329</v>
      </c>
      <c r="BN3" t="s">
        <v>20</v>
      </c>
      <c r="BO3" t="s">
        <v>20</v>
      </c>
      <c r="BP3" t="s">
        <v>20</v>
      </c>
      <c r="BQ3">
        <v>-20.48</v>
      </c>
      <c r="BR3">
        <v>-30.2</v>
      </c>
      <c r="BS3">
        <v>-35.36</v>
      </c>
      <c r="BT3" t="s">
        <v>400</v>
      </c>
      <c r="BU3" t="s">
        <v>60</v>
      </c>
      <c r="BV3">
        <v>8.75</v>
      </c>
      <c r="BW3">
        <v>6.47</v>
      </c>
      <c r="BX3">
        <v>5.83</v>
      </c>
      <c r="BY3">
        <v>-28.82</v>
      </c>
      <c r="BZ3">
        <v>-31.37</v>
      </c>
      <c r="CA3">
        <v>-25.75</v>
      </c>
      <c r="CB3">
        <v>-2.86</v>
      </c>
      <c r="CC3">
        <v>0</v>
      </c>
      <c r="CD3" t="s">
        <v>454</v>
      </c>
      <c r="CE3" t="s">
        <v>494</v>
      </c>
      <c r="CF3" s="7">
        <v>-0.59842519685039375</v>
      </c>
      <c r="CG3" s="8">
        <v>0.88094760902255642</v>
      </c>
      <c r="CH3" s="7">
        <v>-0.87088608741760254</v>
      </c>
      <c r="CI3" s="7">
        <v>-0.42974016070365906</v>
      </c>
      <c r="CJ3" s="7">
        <v>-6.2274366617202759E-2</v>
      </c>
      <c r="CK3" s="7">
        <v>-0.25637584924697876</v>
      </c>
      <c r="CL3" s="7">
        <v>-0.25518620014190674</v>
      </c>
      <c r="CM3" s="8">
        <v>0.95708948373794556</v>
      </c>
      <c r="CN3" s="8">
        <v>0.30245748162269592</v>
      </c>
      <c r="CO3" s="8">
        <v>0.112416110932827</v>
      </c>
      <c r="CP3" s="8">
        <v>-3.2575757503509521</v>
      </c>
      <c r="CQ3" s="8">
        <v>1.0665490627288818</v>
      </c>
      <c r="CR3">
        <v>-2.0573915071916735</v>
      </c>
      <c r="CS3">
        <v>-5.4879500844832396E-2</v>
      </c>
      <c r="CT3">
        <v>0</v>
      </c>
      <c r="CU3" s="7">
        <v>-0.37489253282546997</v>
      </c>
      <c r="CV3" s="8">
        <v>-0.16381272226572036</v>
      </c>
      <c r="CW3">
        <v>0.06</v>
      </c>
      <c r="CX3" t="e">
        <v>#VALUE!</v>
      </c>
      <c r="CY3" t="s">
        <v>313</v>
      </c>
      <c r="CZ3">
        <v>-0.37489253282546997</v>
      </c>
      <c r="DA3" t="e">
        <v>#VALUE!</v>
      </c>
      <c r="DB3" t="s">
        <v>314</v>
      </c>
      <c r="DC3">
        <v>-0.35614790618419645</v>
      </c>
      <c r="DD3" t="e">
        <v>#VALUE!</v>
      </c>
      <c r="DE3" t="s">
        <v>314</v>
      </c>
      <c r="DF3">
        <v>-0.32990542888641355</v>
      </c>
      <c r="DG3" t="e">
        <v>#VALUE!</v>
      </c>
      <c r="DH3" t="s">
        <v>314</v>
      </c>
      <c r="DI3">
        <v>-0.299914026260376</v>
      </c>
      <c r="DJ3" t="e">
        <v>#VALUE!</v>
      </c>
      <c r="DK3" t="s">
        <v>314</v>
      </c>
      <c r="DL3">
        <v>-0.26242477297782896</v>
      </c>
      <c r="DM3">
        <v>-15834000</v>
      </c>
      <c r="DN3">
        <v>-0.37489253282546997</v>
      </c>
      <c r="DO3">
        <v>2536473400</v>
      </c>
      <c r="DP3">
        <v>-571928950</v>
      </c>
      <c r="DQ3">
        <v>525</v>
      </c>
      <c r="DR3">
        <v>-0.22353266402492378</v>
      </c>
      <c r="DS3">
        <v>1.0447603312882767</v>
      </c>
      <c r="DT3" s="9">
        <v>-1.1399999999999999</v>
      </c>
      <c r="DU3">
        <v>-1.8950000000000002</v>
      </c>
      <c r="DV3">
        <v>-3.0350000000000001</v>
      </c>
      <c r="DW3">
        <v>-4</v>
      </c>
      <c r="DX3">
        <v>0.3195121951219505</v>
      </c>
      <c r="DY3">
        <v>-4</v>
      </c>
      <c r="DZ3">
        <v>4618</v>
      </c>
      <c r="EA3">
        <v>-4</v>
      </c>
      <c r="EB3">
        <v>4</v>
      </c>
      <c r="EC3">
        <v>7.1900370737713215E-2</v>
      </c>
      <c r="ED3">
        <v>0.32754613336069349</v>
      </c>
      <c r="EE3" s="10">
        <v>-2.1410999999999998</v>
      </c>
      <c r="EF3">
        <v>-1.0437000000000001</v>
      </c>
      <c r="EG3">
        <v>10.219512195121951</v>
      </c>
      <c r="EH3" t="s">
        <v>447</v>
      </c>
      <c r="EI3">
        <v>0</v>
      </c>
      <c r="EJ3">
        <v>0</v>
      </c>
      <c r="EK3" s="12">
        <v>45470</v>
      </c>
      <c r="EL3" s="13">
        <v>-4.6500000000000004</v>
      </c>
      <c r="EM3" s="13">
        <v>4.88</v>
      </c>
      <c r="EN3" s="13">
        <v>4.6500000000000004</v>
      </c>
      <c r="EO3" s="13">
        <v>5.56</v>
      </c>
      <c r="EP3" s="13">
        <v>5.26</v>
      </c>
    </row>
    <row r="4" spans="1:146" ht="168" x14ac:dyDescent="0.25">
      <c r="A4" s="5"/>
      <c r="B4" s="5"/>
      <c r="C4" s="5" t="str">
        <f>"公司是一家主要从事厨房炊具和厨卫小家电、大家电、健康家电的研发、制造和销售的企业。其主要产品有电锅、套装锅和炒锅等。公司是中国较大的炊具研发、制造商，是国内炊具行业第一家上市的企业和省级高新技术企业"&amp;CHAR(10)&amp;Basic_Fundamental_Information_Constructure(F4)&amp;CHAR(10)&amp;Basic_Fundamental_Information_Concatenate("烹饪电器 45.89亿 44.45% 44.27% 25.60%
炊具及用具 30.67亿 29.70% 31.27% 27.06%
食物料理电器 15.68亿 15.19% 12.19% 20.63%
其它家用电器 11.00亿 10.66% 12.27% 29.59%")</f>
        <v>公司是一家主要从事厨房炊具和厨卫小家电、大家电、健康家电的研发、制造和销售的企业。其主要产品有电锅、套装锅和炒锅等。公司是中国较大的炊具研发、制造商，是国内炊具行业第一家上市的企业和省级高新技术企业
市值383.38551亿, 利润4.70亿; PE17.34; 平均PE23.19; 平均PEG1.97, PB5.66; ROIC24.5433%; ROE25.51%; 股利率5.7077%; 毛利25.03%; 净利9.82%; 上一年度营收增-73.34%, 利润增-77.27%; 当季营收增-46.13%, 利润增-46.7%; 过往5年营收增-11.79%, 利润增-10.89%
Income profile:
烹饪电器 45.89亿 44.45% 44.27% 25.60%
炊具及用具 30.67亿 29.70% 31.27% 27.06%
食物料理电器 15.68亿 15.19% 12.19% 20.63%
其它家用电器 11.00亿 10.66% 12.27% 29.59%</v>
      </c>
      <c r="D4" t="s">
        <v>67</v>
      </c>
      <c r="E4" t="s">
        <v>68</v>
      </c>
      <c r="F4">
        <v>47.83</v>
      </c>
      <c r="G4">
        <v>0.59</v>
      </c>
      <c r="H4" t="s">
        <v>575</v>
      </c>
      <c r="I4">
        <v>38338551000</v>
      </c>
      <c r="J4">
        <v>17.34</v>
      </c>
      <c r="K4">
        <v>5.66</v>
      </c>
      <c r="L4" t="s">
        <v>60</v>
      </c>
      <c r="M4" t="s">
        <v>576</v>
      </c>
      <c r="N4" t="s">
        <v>577</v>
      </c>
      <c r="O4" t="s">
        <v>578</v>
      </c>
      <c r="P4">
        <v>8.3800000000000008</v>
      </c>
      <c r="Q4" t="s">
        <v>578</v>
      </c>
      <c r="R4">
        <v>469544890</v>
      </c>
      <c r="S4" s="6">
        <v>7.2300000000000003E-2</v>
      </c>
      <c r="T4" t="s">
        <v>579</v>
      </c>
      <c r="U4">
        <v>799387340</v>
      </c>
      <c r="V4">
        <v>801558660</v>
      </c>
      <c r="W4">
        <v>1.89</v>
      </c>
      <c r="X4">
        <v>0.41</v>
      </c>
      <c r="Y4">
        <v>8.73</v>
      </c>
      <c r="Z4" t="s">
        <v>580</v>
      </c>
      <c r="AA4" t="s">
        <v>581</v>
      </c>
      <c r="AB4" t="s">
        <v>582</v>
      </c>
      <c r="AC4" t="s">
        <v>583</v>
      </c>
      <c r="AD4" t="s">
        <v>20</v>
      </c>
      <c r="AE4">
        <v>-30641351</v>
      </c>
      <c r="AF4" t="s">
        <v>584</v>
      </c>
      <c r="AG4" t="s">
        <v>585</v>
      </c>
      <c r="AH4" t="s">
        <v>586</v>
      </c>
      <c r="AI4" t="s">
        <v>587</v>
      </c>
      <c r="AJ4" t="s">
        <v>588</v>
      </c>
      <c r="AK4" t="s">
        <v>589</v>
      </c>
      <c r="AL4" t="s">
        <v>590</v>
      </c>
      <c r="AM4" t="s">
        <v>20</v>
      </c>
      <c r="AN4" t="s">
        <v>591</v>
      </c>
      <c r="AO4" t="s">
        <v>20</v>
      </c>
      <c r="AP4" t="s">
        <v>592</v>
      </c>
      <c r="AQ4" t="s">
        <v>593</v>
      </c>
      <c r="AR4" t="s">
        <v>20</v>
      </c>
      <c r="AS4" t="s">
        <v>594</v>
      </c>
      <c r="AT4" t="s">
        <v>20</v>
      </c>
      <c r="AU4" t="s">
        <v>595</v>
      </c>
      <c r="AV4" t="s">
        <v>596</v>
      </c>
      <c r="AW4" t="s">
        <v>597</v>
      </c>
      <c r="AX4" t="s">
        <v>415</v>
      </c>
      <c r="AY4" t="s">
        <v>214</v>
      </c>
      <c r="AZ4" t="s">
        <v>69</v>
      </c>
      <c r="BA4" t="s">
        <v>71</v>
      </c>
      <c r="BB4" t="s">
        <v>72</v>
      </c>
      <c r="BC4" t="s">
        <v>416</v>
      </c>
      <c r="BD4" t="s">
        <v>215</v>
      </c>
      <c r="BE4" t="s">
        <v>70</v>
      </c>
      <c r="BF4" t="s">
        <v>73</v>
      </c>
      <c r="BG4" t="s">
        <v>74</v>
      </c>
      <c r="BH4" t="s">
        <v>598</v>
      </c>
      <c r="BI4" t="s">
        <v>418</v>
      </c>
      <c r="BJ4" t="s">
        <v>415</v>
      </c>
      <c r="BK4" t="s">
        <v>599</v>
      </c>
      <c r="BL4" t="s">
        <v>419</v>
      </c>
      <c r="BM4" t="s">
        <v>416</v>
      </c>
      <c r="BN4">
        <v>20.68</v>
      </c>
      <c r="BO4">
        <v>27.18</v>
      </c>
      <c r="BP4">
        <v>25.77</v>
      </c>
      <c r="BQ4">
        <v>21.83</v>
      </c>
      <c r="BR4">
        <v>27.89</v>
      </c>
      <c r="BS4">
        <v>26.81</v>
      </c>
      <c r="BT4" t="s">
        <v>600</v>
      </c>
      <c r="BU4" t="s">
        <v>60</v>
      </c>
      <c r="BV4">
        <v>26.3</v>
      </c>
      <c r="BW4">
        <v>25.79</v>
      </c>
      <c r="BX4">
        <v>23</v>
      </c>
      <c r="BY4">
        <v>10.23</v>
      </c>
      <c r="BZ4">
        <v>10.24</v>
      </c>
      <c r="CA4">
        <v>8.99</v>
      </c>
      <c r="CB4">
        <v>-4.53</v>
      </c>
      <c r="CC4">
        <v>-11.67</v>
      </c>
      <c r="CD4" t="s">
        <v>601</v>
      </c>
      <c r="CE4" t="s">
        <v>602</v>
      </c>
      <c r="CF4" s="7">
        <v>-0.46128418311128921</v>
      </c>
      <c r="CG4" s="8">
        <v>-0.46703190692395008</v>
      </c>
      <c r="CH4" s="7">
        <v>-0.73337960243225098</v>
      </c>
      <c r="CI4" s="7">
        <v>-6.5508484840393066E-2</v>
      </c>
      <c r="CJ4" s="7">
        <v>0.16067114472389221</v>
      </c>
      <c r="CK4" s="7">
        <v>-6.326507031917572E-2</v>
      </c>
      <c r="CL4" s="7">
        <v>0.11215056478977203</v>
      </c>
      <c r="CM4" s="8">
        <v>-0.77272725105285645</v>
      </c>
      <c r="CN4" s="8">
        <v>6.3786007463932037E-2</v>
      </c>
      <c r="CO4" s="8">
        <v>5.3087756037712097E-2</v>
      </c>
      <c r="CP4" s="8">
        <v>-3.854166716337204E-2</v>
      </c>
      <c r="CQ4" s="8">
        <v>0.1497005969285965</v>
      </c>
      <c r="CR4">
        <v>23.193315789473683</v>
      </c>
      <c r="CS4">
        <v>1.9677649873520622</v>
      </c>
      <c r="CT4">
        <v>5.7077148233326369</v>
      </c>
      <c r="CU4" s="7">
        <v>-0.1178662896156311</v>
      </c>
      <c r="CV4" s="8">
        <v>-0.10893891155719757</v>
      </c>
      <c r="CW4">
        <v>0.06</v>
      </c>
      <c r="CX4">
        <v>81.305427659574462</v>
      </c>
      <c r="CY4" t="s">
        <v>603</v>
      </c>
      <c r="CZ4">
        <v>-0.1178662896156311</v>
      </c>
      <c r="DA4">
        <v>27.101809219858158</v>
      </c>
      <c r="DB4" t="s">
        <v>604</v>
      </c>
      <c r="DC4">
        <v>-0.11197297513484954</v>
      </c>
      <c r="DD4">
        <v>13.550904609929079</v>
      </c>
      <c r="DE4" t="s">
        <v>605</v>
      </c>
      <c r="DF4">
        <v>-0.10372233486175537</v>
      </c>
      <c r="DG4">
        <v>8.130542765957447</v>
      </c>
      <c r="DH4" t="s">
        <v>606</v>
      </c>
      <c r="DI4">
        <v>-9.4293031692504886E-2</v>
      </c>
      <c r="DJ4">
        <v>4.0652713829787235</v>
      </c>
      <c r="DK4" t="s">
        <v>607</v>
      </c>
      <c r="DL4">
        <v>-8.2506402730941772E-2</v>
      </c>
      <c r="DM4">
        <v>470000000</v>
      </c>
      <c r="DN4">
        <v>-0.1178662896156311</v>
      </c>
      <c r="DO4">
        <v>38213551000</v>
      </c>
      <c r="DP4">
        <v>4295327300</v>
      </c>
      <c r="DQ4">
        <v>550</v>
      </c>
      <c r="DR4">
        <v>-0.3434178934956581</v>
      </c>
      <c r="DS4">
        <v>-0.35809299536675254</v>
      </c>
      <c r="DT4" s="9">
        <v>-0.64</v>
      </c>
      <c r="DU4">
        <v>-0.55333333333333334</v>
      </c>
      <c r="DV4">
        <v>-1.1933333333333334</v>
      </c>
      <c r="DW4">
        <v>-8.3881748071979434</v>
      </c>
      <c r="DX4">
        <v>0.31586025984073146</v>
      </c>
      <c r="DY4">
        <v>-8.0488557820975597</v>
      </c>
      <c r="DZ4">
        <v>2464</v>
      </c>
      <c r="EA4">
        <v>-8.0252979255244892</v>
      </c>
      <c r="EB4">
        <v>8</v>
      </c>
      <c r="EC4">
        <v>1.0310411966605166E-2</v>
      </c>
      <c r="ED4">
        <v>8.1919519152846537E-2</v>
      </c>
      <c r="EE4" s="10">
        <v>2.0404100000000001</v>
      </c>
      <c r="EF4">
        <v>2.0506099999999998</v>
      </c>
      <c r="EG4">
        <v>19.125860259840731</v>
      </c>
      <c r="EH4" t="s">
        <v>522</v>
      </c>
      <c r="EI4">
        <v>0</v>
      </c>
      <c r="EJ4">
        <v>0</v>
      </c>
      <c r="EK4" s="12">
        <v>45470</v>
      </c>
      <c r="EL4" s="13">
        <v>-1.57</v>
      </c>
      <c r="EM4" s="13">
        <v>-0.36</v>
      </c>
      <c r="EN4" s="13">
        <v>0.75</v>
      </c>
      <c r="EO4" s="13">
        <v>0.08</v>
      </c>
      <c r="EP4" s="13">
        <v>-1.02</v>
      </c>
    </row>
    <row r="5" spans="1:146" ht="168" x14ac:dyDescent="0.25">
      <c r="A5" s="5"/>
      <c r="B5" s="5"/>
      <c r="C5" s="5" t="str">
        <f>"公司主要从事小家电系列产品的研发、生产和销售。公司主要产品有豆浆机、电磁炉、电饭煲和料理机等厨房小家电产品，其中，豆浆机、破壁料理机、榨汁机、面条机和空气炸锅等主要优势品类牢牢占据市场第一的位置，其他大部分品类位列行业前三。"&amp;CHAR(10)&amp;Basic_Fundamental_Information_Constructure(F5)&amp;CHAR(10)&amp;Basic_Fundamental_Information_Concatenate("营养煲系列 16.40亿 34.81% 25.58% 19.89%
食品加工机系列 15.11亿 32.09% 41.51% 35.03%
西式电器系列 11.35亿 24.09% 30.12% 33.84%")</f>
        <v>公司主要从事小家电系列产品的研发、生产和销售。公司主要产品有豆浆机、电磁炉、电饭煲和料理机等厨房小家电产品，其中，豆浆机、破壁料理机、榨汁机、面条机和空气炸锅等主要优势品类牢牢占据市场第一的位置，其他大部分品类位列行业前三。
市值77.852226亿, 利润1.30亿; PE19.58; 平均PE11.9; 平均PEG1.09, PB2.16; ROIC12.6033%; ROE13.9833%; 股利率1.4778%; 毛利27.58%; 净利5.28%; 上一年度营收增-79.71%, 利润增-75.47%; 当季营收增-52.18%, 利润增-47.38%; 过往5年营收增-10.95%, 利润增-20.34%
Income profile:
营养煲系列 16.40亿 34.81% 25.58% 19.89%
食品加工机系列 15.11亿 32.09% 41.51% 35.03%
西式电器系列 11.35亿 24.09% 30.12% 33.84%</v>
      </c>
      <c r="D5" t="s">
        <v>75</v>
      </c>
      <c r="E5" t="s">
        <v>76</v>
      </c>
      <c r="F5">
        <v>10.15</v>
      </c>
      <c r="G5">
        <v>-0.88</v>
      </c>
      <c r="H5" t="s">
        <v>608</v>
      </c>
      <c r="I5">
        <v>7785222600</v>
      </c>
      <c r="J5">
        <v>19.579999999999998</v>
      </c>
      <c r="K5">
        <v>2.16</v>
      </c>
      <c r="L5" t="s">
        <v>60</v>
      </c>
      <c r="M5" t="s">
        <v>609</v>
      </c>
      <c r="N5" t="s">
        <v>610</v>
      </c>
      <c r="O5" t="s">
        <v>185</v>
      </c>
      <c r="P5">
        <v>9.15</v>
      </c>
      <c r="Q5" t="s">
        <v>185</v>
      </c>
      <c r="R5">
        <v>129962893</v>
      </c>
      <c r="S5" s="6">
        <v>7.0599999999999996E-2</v>
      </c>
      <c r="T5" t="s">
        <v>611</v>
      </c>
      <c r="U5">
        <v>765705700</v>
      </c>
      <c r="V5">
        <v>767017000</v>
      </c>
      <c r="W5">
        <v>2.1</v>
      </c>
      <c r="X5">
        <v>0.27</v>
      </c>
      <c r="Y5">
        <v>6.32</v>
      </c>
      <c r="Z5" t="s">
        <v>215</v>
      </c>
      <c r="AA5" t="s">
        <v>612</v>
      </c>
      <c r="AB5" t="s">
        <v>330</v>
      </c>
      <c r="AC5" t="s">
        <v>613</v>
      </c>
      <c r="AD5" t="s">
        <v>20</v>
      </c>
      <c r="AE5">
        <v>-23266571</v>
      </c>
      <c r="AF5" t="s">
        <v>614</v>
      </c>
      <c r="AG5">
        <v>2393.09</v>
      </c>
      <c r="AH5" t="s">
        <v>615</v>
      </c>
      <c r="AI5" t="s">
        <v>616</v>
      </c>
      <c r="AJ5" t="s">
        <v>617</v>
      </c>
      <c r="AK5" t="s">
        <v>233</v>
      </c>
      <c r="AL5" t="s">
        <v>618</v>
      </c>
      <c r="AM5" t="s">
        <v>20</v>
      </c>
      <c r="AN5" t="s">
        <v>619</v>
      </c>
      <c r="AO5" t="s">
        <v>20</v>
      </c>
      <c r="AP5" t="s">
        <v>620</v>
      </c>
      <c r="AQ5" t="s">
        <v>621</v>
      </c>
      <c r="AR5" t="s">
        <v>20</v>
      </c>
      <c r="AS5" t="s">
        <v>622</v>
      </c>
      <c r="AT5" t="s">
        <v>20</v>
      </c>
      <c r="AU5" t="s">
        <v>623</v>
      </c>
      <c r="AV5" t="s">
        <v>223</v>
      </c>
      <c r="AW5" t="s">
        <v>624</v>
      </c>
      <c r="AX5" t="s">
        <v>421</v>
      </c>
      <c r="AY5" t="s">
        <v>216</v>
      </c>
      <c r="AZ5" t="s">
        <v>78</v>
      </c>
      <c r="BA5" t="s">
        <v>81</v>
      </c>
      <c r="BB5" t="s">
        <v>82</v>
      </c>
      <c r="BC5" t="s">
        <v>152</v>
      </c>
      <c r="BD5" t="s">
        <v>217</v>
      </c>
      <c r="BE5" t="s">
        <v>79</v>
      </c>
      <c r="BF5" t="s">
        <v>83</v>
      </c>
      <c r="BG5" t="s">
        <v>84</v>
      </c>
      <c r="BH5" t="s">
        <v>625</v>
      </c>
      <c r="BI5" t="s">
        <v>422</v>
      </c>
      <c r="BJ5" t="s">
        <v>421</v>
      </c>
      <c r="BK5" t="s">
        <v>626</v>
      </c>
      <c r="BL5" t="s">
        <v>326</v>
      </c>
      <c r="BM5" t="s">
        <v>152</v>
      </c>
      <c r="BN5">
        <v>9.25</v>
      </c>
      <c r="BO5">
        <v>12.84</v>
      </c>
      <c r="BP5">
        <v>15.72</v>
      </c>
      <c r="BQ5">
        <v>10.75</v>
      </c>
      <c r="BR5">
        <v>13.75</v>
      </c>
      <c r="BS5">
        <v>17.45</v>
      </c>
      <c r="BT5" t="s">
        <v>627</v>
      </c>
      <c r="BU5" t="s">
        <v>60</v>
      </c>
      <c r="BV5">
        <v>25.86</v>
      </c>
      <c r="BW5">
        <v>29.09</v>
      </c>
      <c r="BX5">
        <v>27.79</v>
      </c>
      <c r="BY5">
        <v>4.0599999999999996</v>
      </c>
      <c r="BZ5">
        <v>5.13</v>
      </c>
      <c r="CA5">
        <v>6.65</v>
      </c>
      <c r="CB5">
        <v>-3.15</v>
      </c>
      <c r="CC5">
        <v>-15.7</v>
      </c>
      <c r="CD5" t="s">
        <v>628</v>
      </c>
      <c r="CE5" t="s">
        <v>611</v>
      </c>
      <c r="CF5" s="7">
        <v>-0.52176933765632239</v>
      </c>
      <c r="CG5" s="8">
        <v>-0.47383444129554664</v>
      </c>
      <c r="CH5" s="7">
        <v>-0.79709148406982422</v>
      </c>
      <c r="CI5" s="7">
        <v>-3.4440208226442337E-2</v>
      </c>
      <c r="CJ5" s="7">
        <v>-6.0940861701965332E-2</v>
      </c>
      <c r="CK5" s="7">
        <v>0.20029948651790619</v>
      </c>
      <c r="CL5" s="7">
        <v>0.14469337463378906</v>
      </c>
      <c r="CM5" s="8">
        <v>-0.75471699237823486</v>
      </c>
      <c r="CN5" s="8">
        <v>-0.28954422473907471</v>
      </c>
      <c r="CO5" s="8">
        <v>-0.20638297498226166</v>
      </c>
      <c r="CP5" s="8">
        <v>0.14077669382095337</v>
      </c>
      <c r="CQ5" s="8">
        <v>9.2838197946548462E-2</v>
      </c>
      <c r="CR5">
        <v>11.904010091743119</v>
      </c>
      <c r="CS5">
        <v>1.0871645329756476</v>
      </c>
      <c r="CT5">
        <v>1.4778325123152709</v>
      </c>
      <c r="CU5" s="7">
        <v>-0.10949593856930732</v>
      </c>
      <c r="CV5" s="8">
        <v>-0.20340586006641387</v>
      </c>
      <c r="CW5">
        <v>0.06</v>
      </c>
      <c r="CX5">
        <v>63.770943076923075</v>
      </c>
      <c r="CY5" t="s">
        <v>629</v>
      </c>
      <c r="CZ5">
        <v>-0.10949593856930732</v>
      </c>
      <c r="DA5">
        <v>21.256981025641025</v>
      </c>
      <c r="DB5" t="s">
        <v>630</v>
      </c>
      <c r="DC5">
        <v>-0.10402114164084195</v>
      </c>
      <c r="DD5">
        <v>10.628490512820512</v>
      </c>
      <c r="DE5" t="s">
        <v>631</v>
      </c>
      <c r="DF5">
        <v>-9.6356425940990448E-2</v>
      </c>
      <c r="DG5">
        <v>6.3770943076923077</v>
      </c>
      <c r="DH5" t="s">
        <v>632</v>
      </c>
      <c r="DI5">
        <v>-8.7596750855445868E-2</v>
      </c>
      <c r="DJ5">
        <v>3.1885471538461538</v>
      </c>
      <c r="DK5" t="s">
        <v>633</v>
      </c>
      <c r="DL5">
        <v>-7.6647156998515126E-2</v>
      </c>
      <c r="DM5">
        <v>130000000</v>
      </c>
      <c r="DN5">
        <v>-0.10949593856930732</v>
      </c>
      <c r="DO5">
        <v>8290222600</v>
      </c>
      <c r="DP5">
        <v>1581094999.9999995</v>
      </c>
      <c r="DQ5">
        <v>751</v>
      </c>
      <c r="DR5">
        <v>-0.41227339908701505</v>
      </c>
      <c r="DS5">
        <v>-0.27042858122913277</v>
      </c>
      <c r="DT5" s="9">
        <v>-0.65666666666666662</v>
      </c>
      <c r="DU5">
        <v>-0.83666666666666678</v>
      </c>
      <c r="DV5">
        <v>-1.4933333333333334</v>
      </c>
      <c r="DW5">
        <v>-8.2006369426751586</v>
      </c>
      <c r="DX5">
        <v>0.42838461538461486</v>
      </c>
      <c r="DY5">
        <v>-8.0257586967172951</v>
      </c>
      <c r="DZ5">
        <v>3305</v>
      </c>
      <c r="EA5">
        <v>-8.0090987177249939</v>
      </c>
      <c r="EB5">
        <v>8</v>
      </c>
      <c r="EC5">
        <v>2.1759622016200422E-2</v>
      </c>
      <c r="ED5">
        <v>0.16948776884997332</v>
      </c>
      <c r="EE5" s="10">
        <v>1.0434099999999999</v>
      </c>
      <c r="EF5">
        <v>1.0780099999999999</v>
      </c>
      <c r="EG5">
        <v>30.128384615384615</v>
      </c>
      <c r="EH5" t="s">
        <v>420</v>
      </c>
      <c r="EI5">
        <v>0</v>
      </c>
      <c r="EJ5">
        <v>0</v>
      </c>
      <c r="EK5" s="12">
        <v>45470</v>
      </c>
      <c r="EL5" s="13">
        <v>0.74</v>
      </c>
      <c r="EM5" s="13">
        <v>-2.48</v>
      </c>
      <c r="EN5" s="13">
        <v>1.6</v>
      </c>
      <c r="EO5" s="13">
        <v>1.86</v>
      </c>
      <c r="EP5" s="13">
        <v>-3.46</v>
      </c>
    </row>
    <row r="6" spans="1:146" ht="96" x14ac:dyDescent="0.25">
      <c r="A6" s="5"/>
      <c r="B6" s="5"/>
      <c r="C6" s="5" t="str">
        <f>""&amp;CHAR(10)&amp;Basic_Fundamental_Information_Constructure(F6)&amp;CHAR(10)&amp;Basic_Fundamental_Information_Concatenate("")</f>
        <v xml:space="preserve">
市值22.039316亿, 利润2051.20万; PE; 平均PE56.44; 平均PEG3.47, PB1.3; ROIC0%; ROE-5.0133%; 股利率0%; 毛利26.49%; 净利-7.5867%; 上一年度营收增-76.73%, 利润增126.05%; 当季营收增-41.29%, 利润增130.66%; 过往5年营收增-16.25%, 利润增-16.48%
Income profile:
</v>
      </c>
      <c r="D6" t="s">
        <v>86</v>
      </c>
      <c r="E6" t="s">
        <v>87</v>
      </c>
      <c r="F6">
        <v>6.47</v>
      </c>
      <c r="G6">
        <v>-5.69</v>
      </c>
      <c r="H6" t="s">
        <v>634</v>
      </c>
      <c r="I6">
        <v>2203931600</v>
      </c>
      <c r="K6">
        <v>1.3</v>
      </c>
      <c r="L6" t="s">
        <v>60</v>
      </c>
      <c r="M6" t="s">
        <v>635</v>
      </c>
      <c r="N6" t="s">
        <v>636</v>
      </c>
      <c r="O6" t="s">
        <v>637</v>
      </c>
      <c r="P6">
        <v>16.170000000000002</v>
      </c>
      <c r="Q6" t="s">
        <v>637</v>
      </c>
      <c r="R6">
        <v>20512013</v>
      </c>
      <c r="S6" s="6">
        <v>1.5269999999999999</v>
      </c>
      <c r="T6" t="s">
        <v>638</v>
      </c>
      <c r="U6">
        <v>305936450</v>
      </c>
      <c r="V6">
        <v>340638580</v>
      </c>
      <c r="W6">
        <v>2.86</v>
      </c>
      <c r="X6">
        <v>0.14000000000000001</v>
      </c>
      <c r="Y6">
        <v>3.1</v>
      </c>
      <c r="Z6" t="s">
        <v>468</v>
      </c>
      <c r="AA6" t="s">
        <v>579</v>
      </c>
      <c r="AB6" t="s">
        <v>639</v>
      </c>
      <c r="AC6" t="s">
        <v>640</v>
      </c>
      <c r="AD6" t="s">
        <v>20</v>
      </c>
      <c r="AE6">
        <v>11344672</v>
      </c>
      <c r="AF6" t="s">
        <v>641</v>
      </c>
      <c r="AG6" t="s">
        <v>642</v>
      </c>
      <c r="AH6" t="s">
        <v>643</v>
      </c>
      <c r="AI6" t="s">
        <v>644</v>
      </c>
      <c r="AJ6" t="s">
        <v>645</v>
      </c>
      <c r="AK6" t="s">
        <v>646</v>
      </c>
      <c r="AL6" t="s">
        <v>647</v>
      </c>
      <c r="AM6" t="s">
        <v>20</v>
      </c>
      <c r="AN6" t="s">
        <v>648</v>
      </c>
      <c r="AO6" t="s">
        <v>649</v>
      </c>
      <c r="AP6" t="s">
        <v>476</v>
      </c>
      <c r="AQ6" t="s">
        <v>650</v>
      </c>
      <c r="AR6" t="s">
        <v>20</v>
      </c>
      <c r="AS6" t="s">
        <v>651</v>
      </c>
      <c r="AT6" t="s">
        <v>325</v>
      </c>
      <c r="AU6" t="s">
        <v>652</v>
      </c>
      <c r="AV6" t="s">
        <v>653</v>
      </c>
      <c r="AW6" t="s">
        <v>611</v>
      </c>
      <c r="AX6" t="s">
        <v>424</v>
      </c>
      <c r="AY6" t="s">
        <v>218</v>
      </c>
      <c r="AZ6" t="s">
        <v>88</v>
      </c>
      <c r="BA6" t="s">
        <v>91</v>
      </c>
      <c r="BB6" t="s">
        <v>92</v>
      </c>
      <c r="BC6" t="s">
        <v>425</v>
      </c>
      <c r="BD6" t="s">
        <v>219</v>
      </c>
      <c r="BE6" t="s">
        <v>52</v>
      </c>
      <c r="BF6" t="s">
        <v>93</v>
      </c>
      <c r="BG6" t="s">
        <v>94</v>
      </c>
      <c r="BH6" t="s">
        <v>654</v>
      </c>
      <c r="BI6" t="s">
        <v>427</v>
      </c>
      <c r="BJ6" t="s">
        <v>424</v>
      </c>
      <c r="BK6" t="s">
        <v>655</v>
      </c>
      <c r="BL6" t="s">
        <v>428</v>
      </c>
      <c r="BM6" t="s">
        <v>425</v>
      </c>
      <c r="BN6" t="s">
        <v>20</v>
      </c>
      <c r="BO6" t="s">
        <v>20</v>
      </c>
      <c r="BP6" t="s">
        <v>20</v>
      </c>
      <c r="BQ6">
        <v>-7.3</v>
      </c>
      <c r="BR6">
        <v>-3.73</v>
      </c>
      <c r="BS6">
        <v>-4.01</v>
      </c>
      <c r="BT6" t="s">
        <v>400</v>
      </c>
      <c r="BU6" t="s">
        <v>60</v>
      </c>
      <c r="BV6">
        <v>26.84</v>
      </c>
      <c r="BW6">
        <v>27.6</v>
      </c>
      <c r="BX6">
        <v>25.03</v>
      </c>
      <c r="BY6">
        <v>-16.57</v>
      </c>
      <c r="BZ6">
        <v>-3.34</v>
      </c>
      <c r="CA6">
        <v>-2.85</v>
      </c>
      <c r="CB6">
        <v>-2.27</v>
      </c>
      <c r="CC6">
        <v>-15.2</v>
      </c>
      <c r="CD6" t="s">
        <v>656</v>
      </c>
      <c r="CE6" t="s">
        <v>459</v>
      </c>
      <c r="CF6" s="7">
        <v>-0.4128755364806867</v>
      </c>
      <c r="CG6" s="8">
        <v>1.3066121117088623</v>
      </c>
      <c r="CH6" s="7">
        <v>-0.76734691858291626</v>
      </c>
      <c r="CI6" s="7">
        <v>-0.1619156152009964</v>
      </c>
      <c r="CJ6" s="7">
        <v>0.21258212625980377</v>
      </c>
      <c r="CK6" s="7">
        <v>-0.18322986364364624</v>
      </c>
      <c r="CL6" s="7">
        <v>8.7170124053955078E-2</v>
      </c>
      <c r="CM6" s="8">
        <v>1.2605406045913696</v>
      </c>
      <c r="CN6" s="8">
        <v>0.11048568040132523</v>
      </c>
      <c r="CO6" s="8">
        <v>-1.8592950105667114</v>
      </c>
      <c r="CP6" s="8">
        <v>-0.20155039429664612</v>
      </c>
      <c r="CQ6" s="8">
        <v>-0.1342281848192215</v>
      </c>
      <c r="CR6">
        <v>56.444491113046148</v>
      </c>
      <c r="CS6">
        <v>3.4724807992746283</v>
      </c>
      <c r="CT6">
        <v>0</v>
      </c>
      <c r="CU6" s="7">
        <v>-0.16254802942276</v>
      </c>
      <c r="CV6" s="8">
        <v>-0.16480946093797683</v>
      </c>
      <c r="CW6">
        <v>0.06</v>
      </c>
      <c r="CX6">
        <v>175.35742979719188</v>
      </c>
      <c r="CY6" t="s">
        <v>657</v>
      </c>
      <c r="CZ6">
        <v>-0.16254802942276</v>
      </c>
      <c r="DA6">
        <v>58.452476599063964</v>
      </c>
      <c r="DB6" t="s">
        <v>658</v>
      </c>
      <c r="DC6">
        <v>-0.15442062795162201</v>
      </c>
      <c r="DD6">
        <v>29.226238299531982</v>
      </c>
      <c r="DE6" t="s">
        <v>659</v>
      </c>
      <c r="DF6">
        <v>-0.14304226589202881</v>
      </c>
      <c r="DG6">
        <v>17.535742979719188</v>
      </c>
      <c r="DH6" t="s">
        <v>660</v>
      </c>
      <c r="DI6">
        <v>-0.13003842353820802</v>
      </c>
      <c r="DJ6">
        <v>8.7678714898595942</v>
      </c>
      <c r="DK6" t="s">
        <v>661</v>
      </c>
      <c r="DL6">
        <v>-0.113783620595932</v>
      </c>
      <c r="DM6">
        <v>20512000</v>
      </c>
      <c r="DN6">
        <v>-0.16254802942276</v>
      </c>
      <c r="DO6">
        <v>3596931600</v>
      </c>
      <c r="DP6">
        <v>-442570200</v>
      </c>
      <c r="DQ6">
        <v>909</v>
      </c>
      <c r="DR6">
        <v>-0.25032750705792672</v>
      </c>
      <c r="DS6">
        <v>1.4714215726468391</v>
      </c>
      <c r="DT6" s="9">
        <v>-0.90666666666666662</v>
      </c>
      <c r="DU6">
        <v>-0.28333333333333349</v>
      </c>
      <c r="DV6">
        <v>-1.1900000000000002</v>
      </c>
      <c r="DW6">
        <v>-2.1520000000000001</v>
      </c>
      <c r="DX6">
        <v>0.79973987341772301</v>
      </c>
      <c r="DY6">
        <v>-2.0440404607594935</v>
      </c>
      <c r="DZ6">
        <v>4469</v>
      </c>
      <c r="EA6">
        <v>-2.0055244491872477</v>
      </c>
      <c r="EB6">
        <v>2</v>
      </c>
      <c r="EC6">
        <v>0.13439141274015409</v>
      </c>
      <c r="ED6">
        <v>0.4638347188976657</v>
      </c>
      <c r="EE6" s="10">
        <v>-1.0319</v>
      </c>
      <c r="EF6">
        <v>-1.0112000000000001</v>
      </c>
      <c r="EG6">
        <v>51.289739873417723</v>
      </c>
      <c r="EH6" t="s">
        <v>447</v>
      </c>
      <c r="EI6">
        <v>0</v>
      </c>
      <c r="EJ6">
        <v>0</v>
      </c>
      <c r="EK6" s="12">
        <v>45470</v>
      </c>
      <c r="EL6" s="13">
        <v>-1.19</v>
      </c>
      <c r="EM6" s="13">
        <v>-3.91</v>
      </c>
      <c r="EN6" s="13">
        <v>1.56</v>
      </c>
      <c r="EO6" s="13">
        <v>4.01</v>
      </c>
      <c r="EP6" s="13">
        <v>-2.0699999999999998</v>
      </c>
    </row>
    <row r="7" spans="1:146" ht="96" x14ac:dyDescent="0.25">
      <c r="A7" s="5"/>
      <c r="B7" s="5"/>
      <c r="C7" s="5" t="str">
        <f>""&amp;CHAR(10)&amp;Basic_Fundamental_Information_Constructure(F7)&amp;CHAR(10)&amp;Basic_Fundamental_Information_Concatenate("")</f>
        <v xml:space="preserve">
市值34.291133亿, 利润499.69万; PE38.51; 平均PE11.93; 平均PEG.94, PB.762; ROIC4.1567%; ROE4.7033%; 股利率5.4545%; 毛利33.0533%; 净利3.35%; 上一年度营收增-82.55%, 利润增-95.1%; 当季营收增-55.16%, 利润增-88.16%; 过往5年营收增-12.72%, 利润增-29.65%
Income profile:
</v>
      </c>
      <c r="D7" t="s">
        <v>101</v>
      </c>
      <c r="E7" t="s">
        <v>102</v>
      </c>
      <c r="F7">
        <v>5.5</v>
      </c>
      <c r="G7">
        <v>1.66</v>
      </c>
      <c r="H7" t="s">
        <v>662</v>
      </c>
      <c r="I7">
        <v>3429113300</v>
      </c>
      <c r="J7">
        <v>38.51</v>
      </c>
      <c r="K7">
        <v>0.76200000000000001</v>
      </c>
      <c r="L7" t="s">
        <v>60</v>
      </c>
      <c r="M7" t="s">
        <v>497</v>
      </c>
      <c r="N7" t="s">
        <v>663</v>
      </c>
      <c r="O7" t="s">
        <v>664</v>
      </c>
      <c r="P7">
        <v>-11.14</v>
      </c>
      <c r="Q7" t="s">
        <v>664</v>
      </c>
      <c r="R7">
        <v>4996915</v>
      </c>
      <c r="S7" s="6">
        <v>-0.73919999999999997</v>
      </c>
      <c r="T7" t="s">
        <v>665</v>
      </c>
      <c r="U7">
        <v>441012310</v>
      </c>
      <c r="V7">
        <v>623475150</v>
      </c>
      <c r="W7">
        <v>1.68</v>
      </c>
      <c r="X7">
        <v>0.13</v>
      </c>
      <c r="Y7">
        <v>0.49</v>
      </c>
      <c r="Z7" t="s">
        <v>666</v>
      </c>
      <c r="AA7" t="s">
        <v>667</v>
      </c>
      <c r="AB7" t="s">
        <v>326</v>
      </c>
      <c r="AC7" t="s">
        <v>668</v>
      </c>
      <c r="AD7" t="s">
        <v>20</v>
      </c>
      <c r="AE7">
        <v>15524364</v>
      </c>
      <c r="AF7" t="s">
        <v>669</v>
      </c>
      <c r="AG7" t="s">
        <v>670</v>
      </c>
      <c r="AH7" t="s">
        <v>671</v>
      </c>
      <c r="AI7" t="s">
        <v>672</v>
      </c>
      <c r="AJ7" t="s">
        <v>673</v>
      </c>
      <c r="AK7" t="s">
        <v>674</v>
      </c>
      <c r="AL7" t="s">
        <v>675</v>
      </c>
      <c r="AM7" t="s">
        <v>20</v>
      </c>
      <c r="AN7" t="s">
        <v>676</v>
      </c>
      <c r="AO7" t="s">
        <v>492</v>
      </c>
      <c r="AP7" t="s">
        <v>677</v>
      </c>
      <c r="AQ7" t="s">
        <v>678</v>
      </c>
      <c r="AR7" t="s">
        <v>20</v>
      </c>
      <c r="AS7" t="s">
        <v>679</v>
      </c>
      <c r="AT7" t="s">
        <v>500</v>
      </c>
      <c r="AU7" t="s">
        <v>680</v>
      </c>
      <c r="AV7" t="s">
        <v>50</v>
      </c>
      <c r="AW7" t="s">
        <v>681</v>
      </c>
      <c r="AX7" t="s">
        <v>430</v>
      </c>
      <c r="AY7" t="s">
        <v>220</v>
      </c>
      <c r="AZ7" t="s">
        <v>222</v>
      </c>
      <c r="BA7" t="s">
        <v>103</v>
      </c>
      <c r="BB7" t="s">
        <v>104</v>
      </c>
      <c r="BC7" t="s">
        <v>191</v>
      </c>
      <c r="BD7" t="s">
        <v>221</v>
      </c>
      <c r="BE7" t="s">
        <v>105</v>
      </c>
      <c r="BF7" t="s">
        <v>143</v>
      </c>
      <c r="BG7" t="s">
        <v>105</v>
      </c>
      <c r="BH7" t="s">
        <v>682</v>
      </c>
      <c r="BI7" t="s">
        <v>432</v>
      </c>
      <c r="BJ7" t="s">
        <v>430</v>
      </c>
      <c r="BK7" t="s">
        <v>52</v>
      </c>
      <c r="BL7" t="s">
        <v>433</v>
      </c>
      <c r="BM7" t="s">
        <v>191</v>
      </c>
      <c r="BN7">
        <v>1.67</v>
      </c>
      <c r="BO7">
        <v>2.38</v>
      </c>
      <c r="BP7">
        <v>8.42</v>
      </c>
      <c r="BQ7">
        <v>2.06</v>
      </c>
      <c r="BR7">
        <v>2.16</v>
      </c>
      <c r="BS7">
        <v>9.89</v>
      </c>
      <c r="BT7" t="s">
        <v>401</v>
      </c>
      <c r="BU7" t="s">
        <v>60</v>
      </c>
      <c r="BV7">
        <v>37.07</v>
      </c>
      <c r="BW7">
        <v>32.229999999999997</v>
      </c>
      <c r="BX7">
        <v>29.86</v>
      </c>
      <c r="BY7">
        <v>2.27</v>
      </c>
      <c r="BZ7">
        <v>1.85</v>
      </c>
      <c r="CA7">
        <v>5.93</v>
      </c>
      <c r="CB7">
        <v>-0.54</v>
      </c>
      <c r="CC7">
        <v>-15.64</v>
      </c>
      <c r="CD7" t="s">
        <v>683</v>
      </c>
      <c r="CE7" t="s">
        <v>458</v>
      </c>
      <c r="CF7" s="7">
        <v>-0.55162116040955633</v>
      </c>
      <c r="CG7" s="8">
        <v>-0.88160287835241102</v>
      </c>
      <c r="CH7" s="7">
        <v>-0.8255312442779541</v>
      </c>
      <c r="CI7" s="7">
        <v>-0.24006560444831848</v>
      </c>
      <c r="CJ7" s="7">
        <v>0.12264549732208252</v>
      </c>
      <c r="CK7" s="7">
        <v>0.33832445740699768</v>
      </c>
      <c r="CL7" s="7">
        <v>-3.1393390148878098E-2</v>
      </c>
      <c r="CM7" s="8">
        <v>-0.95101082324981689</v>
      </c>
      <c r="CN7" s="8">
        <v>-0.77729254961013794</v>
      </c>
      <c r="CO7" s="8">
        <v>4.3280180543661118E-2</v>
      </c>
      <c r="CP7" s="8">
        <v>0.56227755546569824</v>
      </c>
      <c r="CQ7" s="8">
        <v>-0.35990887880325317</v>
      </c>
      <c r="CR7">
        <v>11.934290485093099</v>
      </c>
      <c r="CS7">
        <v>0.93820046172868843</v>
      </c>
      <c r="CT7">
        <v>5.4545454545454541</v>
      </c>
      <c r="CU7" s="7">
        <v>-0.1272040568292141</v>
      </c>
      <c r="CV7" s="8">
        <v>-0.29653090313076974</v>
      </c>
      <c r="CW7">
        <v>0.06</v>
      </c>
      <c r="CX7">
        <v>450.30184714523006</v>
      </c>
      <c r="CY7" t="s">
        <v>684</v>
      </c>
      <c r="CZ7">
        <v>-0.1272040568292141</v>
      </c>
      <c r="DA7">
        <v>150.10061571507669</v>
      </c>
      <c r="DB7" t="s">
        <v>685</v>
      </c>
      <c r="DC7">
        <v>-0.12084385398775338</v>
      </c>
      <c r="DD7">
        <v>75.050307857538343</v>
      </c>
      <c r="DE7" t="s">
        <v>686</v>
      </c>
      <c r="DF7">
        <v>-0.1119395700097084</v>
      </c>
      <c r="DG7">
        <v>45.030184714523003</v>
      </c>
      <c r="DH7" t="s">
        <v>687</v>
      </c>
      <c r="DI7">
        <v>-0.10176324546337129</v>
      </c>
      <c r="DJ7">
        <v>22.515092357261501</v>
      </c>
      <c r="DK7" t="s">
        <v>688</v>
      </c>
      <c r="DL7">
        <v>-8.9042839780449856E-2</v>
      </c>
      <c r="DM7">
        <v>4996900</v>
      </c>
      <c r="DN7">
        <v>-0.1272040568292141</v>
      </c>
      <c r="DO7">
        <v>2250113300</v>
      </c>
      <c r="DP7">
        <v>2135319000</v>
      </c>
      <c r="DQ7">
        <v>1106</v>
      </c>
      <c r="DR7">
        <v>-0.42441710358034224</v>
      </c>
      <c r="DS7">
        <v>-0.58507197522164134</v>
      </c>
      <c r="DT7" s="9">
        <v>-0.80666666666666664</v>
      </c>
      <c r="DU7">
        <v>-1.0566666666666666</v>
      </c>
      <c r="DV7">
        <v>-1.8633333333333333</v>
      </c>
      <c r="DW7">
        <v>-2.1564000000000001</v>
      </c>
      <c r="DX7">
        <v>0.35911323529411687</v>
      </c>
      <c r="DY7">
        <v>-2.0201933099999998</v>
      </c>
      <c r="DZ7">
        <v>3907</v>
      </c>
      <c r="EA7">
        <v>-2.0047539240567516</v>
      </c>
      <c r="EB7">
        <v>2</v>
      </c>
      <c r="EC7">
        <v>2.8163752797525289E-2</v>
      </c>
      <c r="ED7">
        <v>0.21813219019234367</v>
      </c>
      <c r="EE7" s="10">
        <v>1.01301</v>
      </c>
      <c r="EF7">
        <v>1.0255099999999999</v>
      </c>
      <c r="EG7">
        <v>23.129113235294117</v>
      </c>
      <c r="EH7" t="s">
        <v>420</v>
      </c>
      <c r="EI7">
        <v>0</v>
      </c>
      <c r="EJ7">
        <v>0</v>
      </c>
      <c r="EK7" s="12">
        <v>45470</v>
      </c>
      <c r="EL7" s="13">
        <v>-0.89</v>
      </c>
      <c r="EM7" s="13">
        <v>-1.8</v>
      </c>
      <c r="EN7" s="13">
        <v>0</v>
      </c>
      <c r="EO7" s="13">
        <v>2.75</v>
      </c>
      <c r="EP7" s="13">
        <v>-1.25</v>
      </c>
    </row>
    <row r="8" spans="1:146" ht="180" x14ac:dyDescent="0.25">
      <c r="A8" s="5"/>
      <c r="B8" s="5"/>
      <c r="C8" s="5" t="str">
        <f>"公司是国内较早从事设计研发、生产、销售小家电产品的企业之一,主要从事小家电产品的研发、生产和销售,公司产品主要包括电热水壶、电热咖啡机、面包机、打蛋机、多士炉、搅拌机等。公司电热水壶系列产品于2007年2月被国家质检总局评定为出口免验产品"&amp;CHAR(10)&amp;Basic_Fundamental_Information_Constructure(F8)&amp;CHAR(10)&amp;Basic_Fundamental_Information_Concatenate("电热类厨房电器 34.11亿 47.86% 47.27% 18.42%
电动类厨房电器 15.92亿 22.34% 23.16% 19.34%
家居电器 11.02亿 15.47% 14.39% 17.35%
其他产品 8.79亿 12.33% 11.86% 17.94%")</f>
        <v>公司是国内较早从事设计研发、生产、销售小家电产品的企业之一,主要从事小家电产品的研发、生产和销售,公司产品主要包括电热水壶、电热咖啡机、面包机、打蛋机、多士炉、搅拌机等。公司电热水壶系列产品于2007年2月被国家质检总局评定为出口免验产品
市值108.64976亿, 利润1.73亿; PE10.74; 平均PE15.4; 平均PEG4.5, PB1.4; ROIC11.4267%; ROE12.5733%; 股利率3.012%; 毛利20.49%; 净利6.7333%; 上一年度营收增-74.63%, 利润增-82%; 当季营收增-45.33%, 利润增-56.3%; 过往5年营收增-3.42%, 利润增1.9%
Income profile:
电热类厨房电器 34.11亿 47.86% 47.27% 18.42%
电动类厨房电器 15.92亿 22.34% 23.16% 19.34%
家居电器 11.02亿 15.47% 14.39% 17.35%
其他产品 8.79亿 12.33% 11.86% 17.94%</v>
      </c>
      <c r="D8" t="s">
        <v>108</v>
      </c>
      <c r="E8" t="s">
        <v>109</v>
      </c>
      <c r="F8">
        <v>13.28</v>
      </c>
      <c r="G8">
        <v>0.53</v>
      </c>
      <c r="H8" t="s">
        <v>689</v>
      </c>
      <c r="I8">
        <v>10864976000</v>
      </c>
      <c r="J8">
        <v>10.74</v>
      </c>
      <c r="K8">
        <v>1.4</v>
      </c>
      <c r="L8" t="s">
        <v>60</v>
      </c>
      <c r="M8" t="s">
        <v>690</v>
      </c>
      <c r="N8" t="s">
        <v>691</v>
      </c>
      <c r="O8" t="s">
        <v>692</v>
      </c>
      <c r="P8">
        <v>22.79</v>
      </c>
      <c r="Q8" t="s">
        <v>692</v>
      </c>
      <c r="R8">
        <v>172612970</v>
      </c>
      <c r="S8" s="6">
        <v>0.24740000000000001</v>
      </c>
      <c r="T8" t="s">
        <v>95</v>
      </c>
      <c r="U8">
        <v>814386400</v>
      </c>
      <c r="V8">
        <v>818145780</v>
      </c>
      <c r="W8">
        <v>1.76</v>
      </c>
      <c r="X8">
        <v>0.24</v>
      </c>
      <c r="Y8">
        <v>5.54</v>
      </c>
      <c r="Z8" t="s">
        <v>693</v>
      </c>
      <c r="AA8" t="s">
        <v>694</v>
      </c>
      <c r="AB8" t="s">
        <v>332</v>
      </c>
      <c r="AC8" t="s">
        <v>473</v>
      </c>
      <c r="AD8" t="s">
        <v>20</v>
      </c>
      <c r="AE8">
        <v>-32348647</v>
      </c>
      <c r="AF8" t="s">
        <v>695</v>
      </c>
      <c r="AG8" t="s">
        <v>696</v>
      </c>
      <c r="AH8" t="s">
        <v>697</v>
      </c>
      <c r="AI8" t="s">
        <v>698</v>
      </c>
      <c r="AJ8" t="s">
        <v>699</v>
      </c>
      <c r="AK8" t="s">
        <v>700</v>
      </c>
      <c r="AL8" t="s">
        <v>701</v>
      </c>
      <c r="AM8" t="s">
        <v>20</v>
      </c>
      <c r="AN8" t="s">
        <v>676</v>
      </c>
      <c r="AO8" t="s">
        <v>702</v>
      </c>
      <c r="AP8" t="s">
        <v>703</v>
      </c>
      <c r="AQ8" t="s">
        <v>704</v>
      </c>
      <c r="AR8" t="s">
        <v>20</v>
      </c>
      <c r="AS8" t="s">
        <v>705</v>
      </c>
      <c r="AT8" t="s">
        <v>190</v>
      </c>
      <c r="AU8" t="s">
        <v>706</v>
      </c>
      <c r="AV8" t="s">
        <v>707</v>
      </c>
      <c r="AW8" t="s">
        <v>96</v>
      </c>
      <c r="AX8" t="s">
        <v>435</v>
      </c>
      <c r="AY8" t="s">
        <v>224</v>
      </c>
      <c r="AZ8" t="s">
        <v>110</v>
      </c>
      <c r="BA8" t="s">
        <v>112</v>
      </c>
      <c r="BB8" t="s">
        <v>113</v>
      </c>
      <c r="BC8" t="s">
        <v>436</v>
      </c>
      <c r="BD8" t="s">
        <v>225</v>
      </c>
      <c r="BE8" t="s">
        <v>111</v>
      </c>
      <c r="BF8" t="s">
        <v>114</v>
      </c>
      <c r="BG8" t="s">
        <v>85</v>
      </c>
      <c r="BH8" t="s">
        <v>708</v>
      </c>
      <c r="BI8" t="s">
        <v>441</v>
      </c>
      <c r="BJ8" t="s">
        <v>435</v>
      </c>
      <c r="BK8" t="s">
        <v>491</v>
      </c>
      <c r="BL8" t="s">
        <v>442</v>
      </c>
      <c r="BM8" t="s">
        <v>436</v>
      </c>
      <c r="BN8">
        <v>8.25</v>
      </c>
      <c r="BO8">
        <v>13.8</v>
      </c>
      <c r="BP8">
        <v>12.23</v>
      </c>
      <c r="BQ8">
        <v>10.119999999999999</v>
      </c>
      <c r="BR8">
        <v>14.73</v>
      </c>
      <c r="BS8">
        <v>12.87</v>
      </c>
      <c r="BT8" t="s">
        <v>403</v>
      </c>
      <c r="BU8" t="s">
        <v>60</v>
      </c>
      <c r="BV8">
        <v>22.74</v>
      </c>
      <c r="BW8">
        <v>21.12</v>
      </c>
      <c r="BX8">
        <v>17.61</v>
      </c>
      <c r="BY8">
        <v>7.15</v>
      </c>
      <c r="BZ8">
        <v>7.52</v>
      </c>
      <c r="CA8">
        <v>5.53</v>
      </c>
      <c r="CB8">
        <v>-5.61</v>
      </c>
      <c r="CC8">
        <v>-16.79</v>
      </c>
      <c r="CD8" t="s">
        <v>709</v>
      </c>
      <c r="CE8" t="s">
        <v>524</v>
      </c>
      <c r="CF8" s="7">
        <v>-0.45334382376081828</v>
      </c>
      <c r="CG8" s="8">
        <v>-0.56300513924050632</v>
      </c>
      <c r="CH8" s="7">
        <v>-0.74634933471679688</v>
      </c>
      <c r="CI8" s="7">
        <v>-8.1545062363147736E-2</v>
      </c>
      <c r="CJ8" s="7">
        <v>0.1304677426815033</v>
      </c>
      <c r="CK8" s="7">
        <v>0.44558900594711304</v>
      </c>
      <c r="CL8" s="7">
        <v>8.064897358417511E-2</v>
      </c>
      <c r="CM8" s="8">
        <v>-0.81997919082641602</v>
      </c>
      <c r="CN8" s="8">
        <v>0.21338383853435516</v>
      </c>
      <c r="CO8" s="8">
        <v>-0.29159212112426758</v>
      </c>
      <c r="CP8" s="8">
        <v>0.6273653507232666</v>
      </c>
      <c r="CQ8" s="8">
        <v>0.36580517888069153</v>
      </c>
      <c r="CR8">
        <v>15.396753897024091</v>
      </c>
      <c r="CS8">
        <v>4.4970129913594956</v>
      </c>
      <c r="CT8">
        <v>3.0120481927710845</v>
      </c>
      <c r="CU8" s="7">
        <v>-3.4237734973430634E-2</v>
      </c>
      <c r="CV8" s="8">
        <v>1.899661123752594E-2</v>
      </c>
      <c r="CW8">
        <v>0.06</v>
      </c>
      <c r="CX8">
        <v>55.676161849710979</v>
      </c>
      <c r="CY8" t="s">
        <v>710</v>
      </c>
      <c r="CZ8">
        <v>-3.4237734973430634E-2</v>
      </c>
      <c r="DA8">
        <v>18.558720616570326</v>
      </c>
      <c r="DB8" t="s">
        <v>711</v>
      </c>
      <c r="DC8">
        <v>-3.2525848224759103E-2</v>
      </c>
      <c r="DD8">
        <v>9.2793603082851632</v>
      </c>
      <c r="DE8" t="s">
        <v>712</v>
      </c>
      <c r="DF8">
        <v>-3.0129206776618959E-2</v>
      </c>
      <c r="DG8">
        <v>5.5676161849710981</v>
      </c>
      <c r="DH8" t="s">
        <v>713</v>
      </c>
      <c r="DI8">
        <v>-2.7390187978744509E-2</v>
      </c>
      <c r="DJ8">
        <v>2.7838080924855491</v>
      </c>
      <c r="DK8" t="s">
        <v>714</v>
      </c>
      <c r="DL8">
        <v>-2.3966414481401441E-2</v>
      </c>
      <c r="DM8">
        <v>173000000</v>
      </c>
      <c r="DN8">
        <v>-3.4237734973430634E-2</v>
      </c>
      <c r="DO8">
        <v>9631976000</v>
      </c>
      <c r="DP8">
        <v>1590936100</v>
      </c>
      <c r="DQ8">
        <v>1191</v>
      </c>
      <c r="DR8">
        <v>-0.41910608878738764</v>
      </c>
      <c r="DS8">
        <v>-0.58200175047803226</v>
      </c>
      <c r="DT8" s="9">
        <v>-0.65666666666666662</v>
      </c>
      <c r="DU8">
        <v>-0.20333333333333334</v>
      </c>
      <c r="DV8">
        <v>-0.86</v>
      </c>
      <c r="DW8">
        <v>-8.3341274568195356</v>
      </c>
      <c r="DX8">
        <v>0.34896390977443648</v>
      </c>
      <c r="DY8">
        <v>-8.0631380306036089</v>
      </c>
      <c r="DZ8">
        <v>1159</v>
      </c>
      <c r="EA8">
        <v>-8.0488176827622038</v>
      </c>
      <c r="EB8">
        <v>8</v>
      </c>
      <c r="EC8">
        <v>3.0718486380263425E-2</v>
      </c>
      <c r="ED8">
        <v>0.1625627159013153</v>
      </c>
      <c r="EE8" s="10">
        <v>-1.0842099999999999</v>
      </c>
      <c r="EF8">
        <v>-1.10741</v>
      </c>
      <c r="EG8">
        <v>16.188963909774436</v>
      </c>
      <c r="EH8" t="s">
        <v>512</v>
      </c>
      <c r="EI8">
        <v>0</v>
      </c>
      <c r="EJ8">
        <v>1</v>
      </c>
      <c r="EK8" s="12">
        <v>45470</v>
      </c>
      <c r="EL8" s="13">
        <v>0.48</v>
      </c>
      <c r="EM8" s="13">
        <v>-2.0499999999999998</v>
      </c>
      <c r="EN8" s="13">
        <v>0.77</v>
      </c>
      <c r="EO8" s="13">
        <v>1.31</v>
      </c>
      <c r="EP8" s="13">
        <v>-2.3199999999999998</v>
      </c>
    </row>
    <row r="9" spans="1:146" ht="113.4" customHeight="1" x14ac:dyDescent="0.25">
      <c r="A9" s="5"/>
      <c r="B9" s="5"/>
      <c r="C9" s="5" t="str">
        <f>"公司主营业务为创意小家电研发、设计、生产和销售，创意小家电产品包括厨房小家电、生活小家电及其他小家电。"&amp;CHAR(10)&amp;Basic_Fundamental_Information_Constructure(F9)&amp;CHAR(10)&amp;Basic_Fundamental_Information_Concatenate("厨房小家电 29.33亿 81.34% 89.03% 39.35%
生活小家电 4.07亿 11.27% 9.59% 30.58%")</f>
        <v>公司主营业务为创意小家电研发、设计、生产和销售，创意小家电产品包括厨房小家电、生活小家电及其他小家电。
市值72.388628亿, 利润1.51亿; PE16.79; 平均PE25.52; 平均PEG13.32, PB2.58; ROIC12.8233%; ROE14.7667%; 股利率2.6002%; 毛利35.28%; 净利8.8933%; 上一年度营收增-71.01%, 利润增-60.88%; 当季营收增-49%, 利润增-36.37%; 过往5年营收增1.92%, 利润增9.08%
Income profile:
厨房小家电 29.33亿 81.34% 89.03% 39.35%
生活小家电 4.07亿 11.27% 9.59% 30.58%</v>
      </c>
      <c r="D9" t="s">
        <v>115</v>
      </c>
      <c r="E9" t="s">
        <v>116</v>
      </c>
      <c r="F9">
        <v>46.15</v>
      </c>
      <c r="G9">
        <v>1.72</v>
      </c>
      <c r="H9" t="s">
        <v>715</v>
      </c>
      <c r="I9">
        <v>7238862800</v>
      </c>
      <c r="J9">
        <v>16.79</v>
      </c>
      <c r="K9">
        <v>2.58</v>
      </c>
      <c r="L9" t="s">
        <v>60</v>
      </c>
      <c r="M9" t="s">
        <v>716</v>
      </c>
      <c r="N9" t="s">
        <v>717</v>
      </c>
      <c r="O9" t="s">
        <v>718</v>
      </c>
      <c r="P9">
        <v>-4.58</v>
      </c>
      <c r="Q9" t="s">
        <v>718</v>
      </c>
      <c r="R9">
        <v>150796560</v>
      </c>
      <c r="S9" s="6">
        <v>-8.5300000000000001E-2</v>
      </c>
      <c r="T9" t="s">
        <v>434</v>
      </c>
      <c r="U9">
        <v>154160220</v>
      </c>
      <c r="V9">
        <v>156855100</v>
      </c>
      <c r="W9">
        <v>1.86</v>
      </c>
      <c r="X9">
        <v>0.22</v>
      </c>
      <c r="Y9">
        <v>12.63</v>
      </c>
      <c r="Z9" t="s">
        <v>719</v>
      </c>
      <c r="AA9" t="s">
        <v>720</v>
      </c>
      <c r="AB9" t="s">
        <v>721</v>
      </c>
      <c r="AC9" t="s">
        <v>722</v>
      </c>
      <c r="AD9" t="s">
        <v>20</v>
      </c>
      <c r="AE9">
        <v>2340504</v>
      </c>
      <c r="AF9" t="s">
        <v>723</v>
      </c>
      <c r="AG9" t="s">
        <v>724</v>
      </c>
      <c r="AH9" t="s">
        <v>725</v>
      </c>
      <c r="AI9" t="s">
        <v>726</v>
      </c>
      <c r="AJ9" t="s">
        <v>727</v>
      </c>
      <c r="AK9" t="s">
        <v>20</v>
      </c>
      <c r="AL9" t="s">
        <v>728</v>
      </c>
      <c r="AM9" t="s">
        <v>20</v>
      </c>
      <c r="AN9" t="s">
        <v>729</v>
      </c>
      <c r="AO9" t="s">
        <v>730</v>
      </c>
      <c r="AP9" t="s">
        <v>731</v>
      </c>
      <c r="AQ9" t="s">
        <v>732</v>
      </c>
      <c r="AR9" t="s">
        <v>20</v>
      </c>
      <c r="AS9" t="s">
        <v>499</v>
      </c>
      <c r="AT9" t="s">
        <v>733</v>
      </c>
      <c r="AU9" t="s">
        <v>93</v>
      </c>
      <c r="AV9" t="s">
        <v>734</v>
      </c>
      <c r="AW9" t="s">
        <v>735</v>
      </c>
      <c r="AX9" t="s">
        <v>443</v>
      </c>
      <c r="AY9" t="s">
        <v>226</v>
      </c>
      <c r="AZ9" t="s">
        <v>117</v>
      </c>
      <c r="BA9" t="s">
        <v>121</v>
      </c>
      <c r="BB9" t="s">
        <v>122</v>
      </c>
      <c r="BC9" t="s">
        <v>444</v>
      </c>
      <c r="BD9" t="s">
        <v>90</v>
      </c>
      <c r="BE9" t="s">
        <v>118</v>
      </c>
      <c r="BF9" t="s">
        <v>51</v>
      </c>
      <c r="BG9" t="s">
        <v>56</v>
      </c>
      <c r="BH9" t="s">
        <v>736</v>
      </c>
      <c r="BI9" t="s">
        <v>445</v>
      </c>
      <c r="BJ9" t="s">
        <v>443</v>
      </c>
      <c r="BK9" t="s">
        <v>737</v>
      </c>
      <c r="BL9" t="s">
        <v>446</v>
      </c>
      <c r="BM9" t="s">
        <v>444</v>
      </c>
      <c r="BN9">
        <v>10.47</v>
      </c>
      <c r="BO9">
        <v>14.68</v>
      </c>
      <c r="BP9">
        <v>13.32</v>
      </c>
      <c r="BQ9">
        <v>12.67</v>
      </c>
      <c r="BR9">
        <v>17.5</v>
      </c>
      <c r="BS9">
        <v>14.13</v>
      </c>
      <c r="BT9" t="s">
        <v>738</v>
      </c>
      <c r="BU9" t="s">
        <v>60</v>
      </c>
      <c r="BV9">
        <v>36.61</v>
      </c>
      <c r="BW9">
        <v>36.450000000000003</v>
      </c>
      <c r="BX9">
        <v>32.78</v>
      </c>
      <c r="BY9">
        <v>9.4499999999999993</v>
      </c>
      <c r="BZ9">
        <v>9.3699999999999992</v>
      </c>
      <c r="CA9">
        <v>7.86</v>
      </c>
      <c r="CB9">
        <v>-4.07</v>
      </c>
      <c r="CC9">
        <v>-27.85</v>
      </c>
      <c r="CD9" t="s">
        <v>739</v>
      </c>
      <c r="CE9" t="s">
        <v>740</v>
      </c>
      <c r="CF9" s="7">
        <v>-0.48996155489107218</v>
      </c>
      <c r="CG9" s="8">
        <v>-0.36372759493670886</v>
      </c>
      <c r="CH9" s="7">
        <v>-0.71005344390869141</v>
      </c>
      <c r="CI9" s="7">
        <v>0.14198558032512665</v>
      </c>
      <c r="CJ9" s="7">
        <v>-1.4754063449800014E-2</v>
      </c>
      <c r="CK9" s="7">
        <v>0.3616071343421936</v>
      </c>
      <c r="CL9" s="7">
        <v>0.31700152158737183</v>
      </c>
      <c r="CM9" s="8">
        <v>-0.60880827903747559</v>
      </c>
      <c r="CN9" s="8">
        <v>0.36395758390426636</v>
      </c>
      <c r="CO9" s="8">
        <v>-0.33878505229949951</v>
      </c>
      <c r="CP9" s="8">
        <v>0.5970149040222168</v>
      </c>
      <c r="CQ9" s="8">
        <v>0.44086021184921265</v>
      </c>
      <c r="CR9">
        <v>25.51890528789659</v>
      </c>
      <c r="CS9">
        <v>13.320689401321017</v>
      </c>
      <c r="CT9">
        <v>2.6002166847237271</v>
      </c>
      <c r="CU9" s="7">
        <v>1.915734577924013E-2</v>
      </c>
      <c r="CV9" s="8">
        <v>9.0847873687744135E-2</v>
      </c>
      <c r="CW9">
        <v>0.06</v>
      </c>
      <c r="CX9">
        <v>48.248888420664002</v>
      </c>
      <c r="CY9">
        <v>145181848.31383517</v>
      </c>
      <c r="CZ9">
        <v>1.915734577924013E-2</v>
      </c>
      <c r="DA9">
        <v>16.749934858019063</v>
      </c>
      <c r="DB9">
        <v>418202390.59893465</v>
      </c>
      <c r="DC9">
        <v>1.8199478490278122E-2</v>
      </c>
      <c r="DD9">
        <v>8.9194342042547721</v>
      </c>
      <c r="DE9">
        <v>785348334.83703732</v>
      </c>
      <c r="DF9">
        <v>1.6858464285731314E-2</v>
      </c>
      <c r="DG9">
        <v>5.8338942634640611</v>
      </c>
      <c r="DH9">
        <v>1200718162.4578569</v>
      </c>
      <c r="DI9">
        <v>1.5325876623392104E-2</v>
      </c>
      <c r="DJ9">
        <v>3.5964122972760246</v>
      </c>
      <c r="DK9">
        <v>1947736305.235522</v>
      </c>
      <c r="DL9">
        <v>1.3410142045468091E-2</v>
      </c>
      <c r="DM9">
        <v>151000000</v>
      </c>
      <c r="DN9">
        <v>1.915734577924013E-2</v>
      </c>
      <c r="DO9">
        <v>7004862800</v>
      </c>
      <c r="DP9">
        <v>1847370700</v>
      </c>
      <c r="DQ9">
        <v>1419</v>
      </c>
      <c r="DR9">
        <v>-0.50911890067031229</v>
      </c>
      <c r="DS9">
        <v>-0.45457546862445297</v>
      </c>
      <c r="DT9" s="9">
        <v>-0.55666666666666675</v>
      </c>
      <c r="DU9">
        <v>-0.32</v>
      </c>
      <c r="DV9">
        <v>-0.87666666666666671</v>
      </c>
      <c r="DW9">
        <v>-8.146140035906642</v>
      </c>
      <c r="DX9">
        <v>0.33529534088114143</v>
      </c>
      <c r="DY9">
        <v>-8.0183106656153047</v>
      </c>
      <c r="DZ9">
        <v>1311</v>
      </c>
      <c r="EA9">
        <v>-8.0136129586443339</v>
      </c>
      <c r="EB9">
        <v>8</v>
      </c>
      <c r="EC9">
        <v>4.286886432127486E-2</v>
      </c>
      <c r="ED9">
        <v>0.34214252517132054</v>
      </c>
      <c r="EE9" s="10">
        <v>-1.0075000000000001</v>
      </c>
      <c r="EF9">
        <v>-1.02291</v>
      </c>
      <c r="EG9">
        <v>21.125295340881141</v>
      </c>
      <c r="EH9" t="s">
        <v>512</v>
      </c>
      <c r="EI9">
        <v>0</v>
      </c>
      <c r="EJ9">
        <v>1</v>
      </c>
      <c r="EK9" s="12">
        <v>45470</v>
      </c>
      <c r="EL9" s="13">
        <v>0.28999999999999998</v>
      </c>
      <c r="EM9" s="13">
        <v>-4.6399999999999997</v>
      </c>
      <c r="EN9" s="13">
        <v>-0.47</v>
      </c>
      <c r="EO9" s="13">
        <v>2.5</v>
      </c>
      <c r="EP9" s="13">
        <v>-3.04</v>
      </c>
    </row>
    <row r="10" spans="1:146" ht="156" x14ac:dyDescent="0.25">
      <c r="A10" s="5" t="s">
        <v>276</v>
      </c>
      <c r="B10" s="5" t="s">
        <v>277</v>
      </c>
      <c r="C10" s="5" t="str">
        <f>"公司的主营业务是家用柔性取暖器具和家用卫生杀虫用品的研发、生产和销售。主要产品有家用柔性取暖器具、家用卫生杀虫用品;"&amp;CHAR(10)&amp;Basic_Fundamental_Information_Constructure(C10)&amp;CHAR(10)&amp;Basic_Fundamental_Information_Concatenate("家用柔性取暖产品 3.46亿 64.93% 67.12% 46.63%
家用卫生杀虫用品 1.71亿 32.15% 30.66% 43.03%
其他产品 1091.41万 2.05% 1.69% 37.29%
其他业务收入 464.84万 0.87% 0.53% 27.31%")</f>
        <v>公司的主营业务是家用柔性取暖器具和家用卫生杀虫用品的研发、生产和销售。主要产品有家用柔性取暖器具、家用卫生杀虫用品;
市值21.837314亿, 利润9465.93万; PE22.98; 平均PE21.12; 平均PEG2.77, PB1.52; ROIC6.6867%; ROE8.2267%; 股利率1.6884%; 毛利45.0367%; 净利10.6667%; 上一年度营收增2.88%, 利润增-14.72%; 当季营收增10.22%, 利润增-29.55%; 过往5年营收增7.61%, 利润增11.05%
Income profile:
家用柔性取暖产品 3.46亿 64.93% 67.12% 46.63%
家用卫生杀虫用品 1.71亿 32.15% 30.66% 43.03%
其他产品 1091.41万 2.05% 1.69% 37.29%
其他业务收入 464.84万 0.87% 0.53% 27.31%</v>
      </c>
      <c r="D10" t="s">
        <v>124</v>
      </c>
      <c r="E10" t="s">
        <v>125</v>
      </c>
      <c r="F10">
        <v>15.5</v>
      </c>
      <c r="G10">
        <v>0.65</v>
      </c>
      <c r="H10" t="s">
        <v>741</v>
      </c>
      <c r="I10">
        <v>1632794800</v>
      </c>
      <c r="J10">
        <v>14.49</v>
      </c>
      <c r="K10">
        <v>1.08</v>
      </c>
      <c r="L10" t="s">
        <v>60</v>
      </c>
      <c r="M10" t="s">
        <v>450</v>
      </c>
      <c r="N10" t="s">
        <v>742</v>
      </c>
      <c r="O10" t="s">
        <v>743</v>
      </c>
      <c r="P10">
        <v>14.39</v>
      </c>
      <c r="Q10" t="s">
        <v>743</v>
      </c>
      <c r="R10">
        <v>37346716</v>
      </c>
      <c r="S10" s="6">
        <v>0.30520000000000003</v>
      </c>
      <c r="T10" t="s">
        <v>744</v>
      </c>
      <c r="U10">
        <v>52334881</v>
      </c>
      <c r="V10">
        <v>105341600</v>
      </c>
      <c r="W10">
        <v>1.49</v>
      </c>
      <c r="X10">
        <v>0.14000000000000001</v>
      </c>
      <c r="Y10">
        <v>12.1</v>
      </c>
      <c r="Z10" t="s">
        <v>455</v>
      </c>
      <c r="AA10" t="s">
        <v>745</v>
      </c>
      <c r="AB10" t="s">
        <v>746</v>
      </c>
      <c r="AC10" t="s">
        <v>747</v>
      </c>
      <c r="AD10" t="s">
        <v>20</v>
      </c>
      <c r="AE10">
        <v>-5222830</v>
      </c>
      <c r="AF10" t="s">
        <v>55</v>
      </c>
      <c r="AG10" t="s">
        <v>748</v>
      </c>
      <c r="AH10" t="s">
        <v>749</v>
      </c>
      <c r="AI10" t="s">
        <v>750</v>
      </c>
      <c r="AJ10" t="s">
        <v>751</v>
      </c>
      <c r="AK10" t="s">
        <v>752</v>
      </c>
      <c r="AL10" t="s">
        <v>753</v>
      </c>
      <c r="AM10" t="s">
        <v>20</v>
      </c>
      <c r="AN10" t="s">
        <v>754</v>
      </c>
      <c r="AO10" t="s">
        <v>20</v>
      </c>
      <c r="AP10" t="s">
        <v>755</v>
      </c>
      <c r="AQ10" t="s">
        <v>242</v>
      </c>
      <c r="AR10" t="s">
        <v>756</v>
      </c>
      <c r="AS10" t="s">
        <v>757</v>
      </c>
      <c r="AT10" t="s">
        <v>20</v>
      </c>
      <c r="AU10" t="s">
        <v>758</v>
      </c>
      <c r="AV10" t="s">
        <v>759</v>
      </c>
      <c r="AW10" t="s">
        <v>760</v>
      </c>
      <c r="AX10" t="s">
        <v>448</v>
      </c>
      <c r="AY10" t="s">
        <v>228</v>
      </c>
      <c r="AZ10" t="s">
        <v>126</v>
      </c>
      <c r="BA10" t="s">
        <v>127</v>
      </c>
      <c r="BB10" t="s">
        <v>119</v>
      </c>
      <c r="BC10" t="s">
        <v>761</v>
      </c>
      <c r="BD10" t="s">
        <v>229</v>
      </c>
      <c r="BE10" t="s">
        <v>97</v>
      </c>
      <c r="BF10" t="s">
        <v>128</v>
      </c>
      <c r="BG10" t="s">
        <v>129</v>
      </c>
      <c r="BH10" t="s">
        <v>762</v>
      </c>
      <c r="BI10" t="s">
        <v>450</v>
      </c>
      <c r="BJ10" t="s">
        <v>448</v>
      </c>
      <c r="BK10" t="s">
        <v>223</v>
      </c>
      <c r="BL10" t="s">
        <v>451</v>
      </c>
      <c r="BM10" t="s">
        <v>761</v>
      </c>
      <c r="BN10">
        <v>3.52</v>
      </c>
      <c r="BO10">
        <v>5.79</v>
      </c>
      <c r="BP10">
        <v>7.57</v>
      </c>
      <c r="BQ10">
        <v>4.25</v>
      </c>
      <c r="BR10">
        <v>6.88</v>
      </c>
      <c r="BS10">
        <v>8.51</v>
      </c>
      <c r="BT10" t="s">
        <v>403</v>
      </c>
      <c r="BU10" t="s">
        <v>60</v>
      </c>
      <c r="BV10">
        <v>42.86</v>
      </c>
      <c r="BW10">
        <v>43.84</v>
      </c>
      <c r="BX10">
        <v>43.92</v>
      </c>
      <c r="BY10">
        <v>8.1999999999999993</v>
      </c>
      <c r="BZ10">
        <v>8.11</v>
      </c>
      <c r="CA10">
        <v>10.06</v>
      </c>
      <c r="CB10">
        <v>-2.82</v>
      </c>
      <c r="CC10">
        <v>-9.52</v>
      </c>
      <c r="CD10" t="s">
        <v>763</v>
      </c>
      <c r="CE10" t="s">
        <v>764</v>
      </c>
      <c r="CF10" s="7">
        <v>-0.46337308347529815</v>
      </c>
      <c r="CG10" s="8">
        <v>-0.40048902565683125</v>
      </c>
      <c r="CH10" s="7">
        <v>-0.73237043619155884</v>
      </c>
      <c r="CI10" s="7">
        <v>2.8846098110079765E-2</v>
      </c>
      <c r="CJ10" s="7">
        <v>7.4178405106067657E-2</v>
      </c>
      <c r="CK10" s="7">
        <v>5.8648113161325455E-2</v>
      </c>
      <c r="CL10" s="7">
        <v>-6.0690943151712418E-2</v>
      </c>
      <c r="CM10" s="8">
        <v>-0.605491042137146</v>
      </c>
      <c r="CN10" s="8">
        <v>-0.14715048670768738</v>
      </c>
      <c r="CO10" s="8">
        <v>-1.7699114978313446E-2</v>
      </c>
      <c r="CP10" s="8">
        <v>0.34178778529167175</v>
      </c>
      <c r="CQ10" s="8">
        <v>-0.39412948489189148</v>
      </c>
      <c r="CR10">
        <v>16.913463932227149</v>
      </c>
      <c r="CS10">
        <v>1.3393858842830983</v>
      </c>
      <c r="CT10">
        <v>2.5806451612903225</v>
      </c>
      <c r="CU10" s="7">
        <v>-0.12627775259315968</v>
      </c>
      <c r="CV10" s="8">
        <v>-0.16453646868467331</v>
      </c>
      <c r="CW10">
        <v>0.06</v>
      </c>
      <c r="CX10">
        <v>17.988063202371293</v>
      </c>
      <c r="CY10" t="s">
        <v>765</v>
      </c>
      <c r="CZ10">
        <v>-0.12627775259315968</v>
      </c>
      <c r="DA10">
        <v>5.9960210674570975</v>
      </c>
      <c r="DB10" t="s">
        <v>766</v>
      </c>
      <c r="DC10">
        <v>-0.11996386496350168</v>
      </c>
      <c r="DD10">
        <v>2.9980105337285488</v>
      </c>
      <c r="DE10" t="s">
        <v>767</v>
      </c>
      <c r="DF10">
        <v>-0.11112442228198052</v>
      </c>
      <c r="DG10">
        <v>1.7988063202371294</v>
      </c>
      <c r="DH10" t="s">
        <v>768</v>
      </c>
      <c r="DI10">
        <v>-0.10102220207452775</v>
      </c>
      <c r="DJ10">
        <v>0.89940316011856469</v>
      </c>
      <c r="DK10" t="s">
        <v>769</v>
      </c>
      <c r="DL10">
        <v>-8.8394426815211771E-2</v>
      </c>
      <c r="DM10">
        <v>37346700</v>
      </c>
      <c r="DN10">
        <v>-0.12627775259315968</v>
      </c>
      <c r="DO10">
        <v>671794800</v>
      </c>
      <c r="DP10">
        <v>1104031000</v>
      </c>
      <c r="DQ10">
        <v>1479</v>
      </c>
      <c r="DR10">
        <v>-0.3370953308821385</v>
      </c>
      <c r="DS10">
        <v>-0.23595255697215795</v>
      </c>
      <c r="DT10" s="9">
        <v>-0.77333333333333332</v>
      </c>
      <c r="DU10">
        <v>-0.53666666666666663</v>
      </c>
      <c r="DV10">
        <v>-1.31</v>
      </c>
      <c r="DW10">
        <v>-8.2962184873949578</v>
      </c>
      <c r="DX10">
        <v>0.35187455264341194</v>
      </c>
      <c r="DY10">
        <v>-8.0361014956359682</v>
      </c>
      <c r="DZ10">
        <v>2204</v>
      </c>
      <c r="EA10">
        <v>-8.0205305178704744</v>
      </c>
      <c r="EB10">
        <v>8</v>
      </c>
      <c r="EC10">
        <v>5.7380939723717883E-2</v>
      </c>
      <c r="ED10">
        <v>0.47081969516316435</v>
      </c>
      <c r="EE10" s="10">
        <v>-1.0277000000000001</v>
      </c>
      <c r="EF10">
        <v>-1.0195000000000001</v>
      </c>
      <c r="EG10">
        <v>23.121874552643412</v>
      </c>
      <c r="EH10" t="s">
        <v>447</v>
      </c>
      <c r="EI10">
        <v>0</v>
      </c>
      <c r="EJ10">
        <v>0</v>
      </c>
      <c r="EK10" s="12">
        <v>45470</v>
      </c>
      <c r="EL10" s="13">
        <v>0.19</v>
      </c>
      <c r="EM10" s="13">
        <v>-2.19</v>
      </c>
      <c r="EN10" s="13">
        <v>2.4300000000000002</v>
      </c>
      <c r="EO10" s="13">
        <v>1.28</v>
      </c>
      <c r="EP10" s="13">
        <v>-0.82</v>
      </c>
    </row>
    <row r="11" spans="1:146" ht="96" x14ac:dyDescent="0.25">
      <c r="A11" s="5"/>
      <c r="B11" s="5"/>
      <c r="C11" s="5" t="str">
        <f>""&amp;CHAR(10)&amp;Basic_Fundamental_Information_Constructure(F11)&amp;CHAR(10)&amp;Basic_Fundamental_Information_Concatenate("")</f>
        <v xml:space="preserve">
市值19.859796亿, 利润2082.58万; PE54.83; 平均PE-8.56; 平均PEG-.32, PB1.92; ROIC6.7%; ROE6.5433%; 股利率0%; 毛利27.0133%; 净利14.2233%; 上一年度营收增-61.99%, 利润增-83.47%; 当季营收增-35.06%, 利润增-1.02%; 过往5年营收增-26.5%, 利润增114.64%
Income profile:
</v>
      </c>
      <c r="D11" t="s">
        <v>131</v>
      </c>
      <c r="E11" t="s">
        <v>132</v>
      </c>
      <c r="F11">
        <v>2.4700000000000002</v>
      </c>
      <c r="G11">
        <v>3.78</v>
      </c>
      <c r="H11" t="s">
        <v>770</v>
      </c>
      <c r="I11">
        <v>1985979600</v>
      </c>
      <c r="J11">
        <v>54.83</v>
      </c>
      <c r="K11">
        <v>1.92</v>
      </c>
      <c r="L11" t="s">
        <v>60</v>
      </c>
      <c r="M11" t="s">
        <v>94</v>
      </c>
      <c r="N11" t="s">
        <v>771</v>
      </c>
      <c r="O11" t="s">
        <v>758</v>
      </c>
      <c r="P11">
        <v>11.42</v>
      </c>
      <c r="Q11" t="s">
        <v>758</v>
      </c>
      <c r="R11">
        <v>20825835</v>
      </c>
      <c r="S11" s="14">
        <v>0.86119999999999997</v>
      </c>
      <c r="T11" t="s">
        <v>772</v>
      </c>
      <c r="U11">
        <v>803275310</v>
      </c>
      <c r="V11">
        <v>804040310</v>
      </c>
      <c r="W11">
        <v>1.1399999999999999</v>
      </c>
      <c r="X11">
        <v>0.14000000000000001</v>
      </c>
      <c r="Y11">
        <v>16</v>
      </c>
      <c r="Z11" t="s">
        <v>773</v>
      </c>
      <c r="AA11" t="s">
        <v>429</v>
      </c>
      <c r="AB11" t="s">
        <v>774</v>
      </c>
      <c r="AC11" t="s">
        <v>775</v>
      </c>
      <c r="AD11" t="s">
        <v>20</v>
      </c>
      <c r="AE11">
        <v>-3654260</v>
      </c>
      <c r="AF11" t="s">
        <v>776</v>
      </c>
      <c r="AG11">
        <v>3568.23</v>
      </c>
      <c r="AH11" t="s">
        <v>777</v>
      </c>
      <c r="AI11" t="s">
        <v>525</v>
      </c>
      <c r="AJ11" t="s">
        <v>778</v>
      </c>
      <c r="AK11" t="s">
        <v>20</v>
      </c>
      <c r="AL11" t="s">
        <v>779</v>
      </c>
      <c r="AM11" t="s">
        <v>20</v>
      </c>
      <c r="AN11" t="s">
        <v>780</v>
      </c>
      <c r="AO11" t="s">
        <v>20</v>
      </c>
      <c r="AP11" t="s">
        <v>20</v>
      </c>
      <c r="AQ11" t="s">
        <v>781</v>
      </c>
      <c r="AR11" t="s">
        <v>20</v>
      </c>
      <c r="AS11" t="s">
        <v>490</v>
      </c>
      <c r="AT11" t="s">
        <v>20</v>
      </c>
      <c r="AU11" t="s">
        <v>782</v>
      </c>
      <c r="AV11" t="s">
        <v>783</v>
      </c>
      <c r="AW11" t="s">
        <v>784</v>
      </c>
      <c r="AX11" t="s">
        <v>453</v>
      </c>
      <c r="AY11" t="s">
        <v>230</v>
      </c>
      <c r="AZ11" t="s">
        <v>133</v>
      </c>
      <c r="BA11" t="s">
        <v>135</v>
      </c>
      <c r="BB11" t="s">
        <v>136</v>
      </c>
      <c r="BC11" t="s">
        <v>454</v>
      </c>
      <c r="BD11" t="s">
        <v>231</v>
      </c>
      <c r="BE11" t="s">
        <v>134</v>
      </c>
      <c r="BF11" t="s">
        <v>137</v>
      </c>
      <c r="BG11" t="s">
        <v>138</v>
      </c>
      <c r="BH11" t="s">
        <v>785</v>
      </c>
      <c r="BI11" t="s">
        <v>455</v>
      </c>
      <c r="BJ11" t="s">
        <v>453</v>
      </c>
      <c r="BK11" t="s">
        <v>786</v>
      </c>
      <c r="BL11" t="s">
        <v>456</v>
      </c>
      <c r="BM11" t="s">
        <v>454</v>
      </c>
      <c r="BN11">
        <v>2.95</v>
      </c>
      <c r="BO11">
        <v>13.69</v>
      </c>
      <c r="BP11">
        <v>3.46</v>
      </c>
      <c r="BQ11">
        <v>2.56</v>
      </c>
      <c r="BR11">
        <v>14.12</v>
      </c>
      <c r="BS11">
        <v>2.95</v>
      </c>
      <c r="BT11" t="s">
        <v>400</v>
      </c>
      <c r="BU11" t="s">
        <v>60</v>
      </c>
      <c r="BV11">
        <v>32.86</v>
      </c>
      <c r="BW11">
        <v>24.02</v>
      </c>
      <c r="BX11">
        <v>24.16</v>
      </c>
      <c r="BY11">
        <v>7.92</v>
      </c>
      <c r="BZ11">
        <v>28.78</v>
      </c>
      <c r="CA11">
        <v>5.97</v>
      </c>
      <c r="CB11">
        <v>1.65</v>
      </c>
      <c r="CC11">
        <v>-14.53</v>
      </c>
      <c r="CD11" t="s">
        <v>787</v>
      </c>
      <c r="CE11" t="s">
        <v>320</v>
      </c>
      <c r="CF11" s="7">
        <v>-0.35055350553505538</v>
      </c>
      <c r="CG11" s="8">
        <v>-1.017424037186471E-2</v>
      </c>
      <c r="CH11" s="7">
        <v>-0.61987042427062988</v>
      </c>
      <c r="CI11" s="7">
        <v>-0.12144212424755096</v>
      </c>
      <c r="CJ11" s="7">
        <v>2.5291828438639641E-2</v>
      </c>
      <c r="CK11" s="7">
        <v>-0.29589042067527771</v>
      </c>
      <c r="CL11" s="7">
        <v>-0.31326434016227722</v>
      </c>
      <c r="CM11" s="8">
        <v>-0.83471590280532837</v>
      </c>
      <c r="CN11" s="8">
        <v>4.2059230804443359</v>
      </c>
      <c r="CO11" s="8">
        <v>1.3682276010513306</v>
      </c>
      <c r="CP11" s="8">
        <v>0.90819984674453735</v>
      </c>
      <c r="CQ11" s="8">
        <v>8.439897745847702E-2</v>
      </c>
      <c r="CR11">
        <v>-8.5559549476523973</v>
      </c>
      <c r="CS11">
        <v>-0.3228234702067983</v>
      </c>
      <c r="CT11">
        <v>0</v>
      </c>
      <c r="CU11" s="7">
        <v>-0.26503509618341925</v>
      </c>
      <c r="CV11" s="8">
        <v>1.1464067205786705</v>
      </c>
      <c r="CW11">
        <v>0.06</v>
      </c>
      <c r="CX11">
        <v>49.793025958186483</v>
      </c>
      <c r="CY11" t="s">
        <v>788</v>
      </c>
      <c r="CZ11">
        <v>-0.26503509618341925</v>
      </c>
      <c r="DA11">
        <v>16.597675319395492</v>
      </c>
      <c r="DB11" t="s">
        <v>789</v>
      </c>
      <c r="DC11">
        <v>-0.25178334137424829</v>
      </c>
      <c r="DD11">
        <v>8.298837659697746</v>
      </c>
      <c r="DE11" t="s">
        <v>790</v>
      </c>
      <c r="DF11">
        <v>-0.23323088464140895</v>
      </c>
      <c r="DG11">
        <v>4.9793025958186483</v>
      </c>
      <c r="DH11" t="s">
        <v>791</v>
      </c>
      <c r="DI11">
        <v>-0.21202807694673542</v>
      </c>
      <c r="DJ11">
        <v>2.4896512979093242</v>
      </c>
      <c r="DK11" t="s">
        <v>792</v>
      </c>
      <c r="DL11">
        <v>-0.18552456732839345</v>
      </c>
      <c r="DM11">
        <v>20825800</v>
      </c>
      <c r="DN11">
        <v>-0.26503509618341925</v>
      </c>
      <c r="DO11">
        <v>1036979600</v>
      </c>
      <c r="DP11">
        <v>721978930</v>
      </c>
      <c r="DQ11">
        <v>1732</v>
      </c>
      <c r="DR11">
        <v>-8.5518409351636127E-2</v>
      </c>
      <c r="DS11">
        <v>-1.1565809609505353</v>
      </c>
      <c r="DT11" s="9">
        <v>-0.98999999999999988</v>
      </c>
      <c r="DU11">
        <v>-0.35000000000000009</v>
      </c>
      <c r="DV11">
        <v>-1.3399999999999999</v>
      </c>
      <c r="DW11">
        <v>-2.1452999999999998</v>
      </c>
      <c r="DX11">
        <v>0.50352105263157632</v>
      </c>
      <c r="DY11">
        <v>-2.0266656089473685</v>
      </c>
      <c r="DZ11">
        <v>2985</v>
      </c>
      <c r="EA11">
        <v>-2.0110889273998351</v>
      </c>
      <c r="EB11">
        <v>2</v>
      </c>
      <c r="EC11">
        <v>7.3724288773531751E-2</v>
      </c>
      <c r="ED11">
        <v>0.40172115251286344</v>
      </c>
      <c r="EE11" s="10">
        <v>-2.1023000000000001</v>
      </c>
      <c r="EF11">
        <v>-2.0743</v>
      </c>
      <c r="EG11">
        <v>32.183521052631576</v>
      </c>
      <c r="EH11" t="s">
        <v>793</v>
      </c>
      <c r="EI11">
        <v>0</v>
      </c>
      <c r="EJ11">
        <v>0</v>
      </c>
      <c r="EK11" s="12">
        <v>45470</v>
      </c>
      <c r="EL11" s="13">
        <v>-0.4</v>
      </c>
      <c r="EM11" s="13">
        <v>-2.78</v>
      </c>
      <c r="EN11" s="13">
        <v>-1.22</v>
      </c>
      <c r="EO11" s="13">
        <v>3.31</v>
      </c>
      <c r="EP11" s="13">
        <v>-2.8</v>
      </c>
    </row>
    <row r="12" spans="1:146" ht="96" x14ac:dyDescent="0.25">
      <c r="A12" s="5"/>
      <c r="B12" s="5"/>
      <c r="C12" s="5" t="str">
        <f>""&amp;CHAR(10)&amp;Basic_Fundamental_Information_Constructure(F12)&amp;CHAR(10)&amp;Basic_Fundamental_Information_Concatenate("")</f>
        <v xml:space="preserve">
市值27.417851亿, 利润2229.14万; PE19.85; 平均PE23.66; 平均PEG11.64, PB2.32; ROIC7.56%; ROE9.2867%; 股利率2.1053%; 毛利34.9733%; 净利7.64%; 上一年度营收增-77.06%, 利润增-75.92%; 当季营收增-52.14%, 利润增-58.55%; 过往5年营收增-2.03%, 利润增12.98%
Income profile:
</v>
      </c>
      <c r="D12" t="s">
        <v>139</v>
      </c>
      <c r="E12" t="s">
        <v>140</v>
      </c>
      <c r="F12">
        <v>4.75</v>
      </c>
      <c r="G12">
        <v>1.71</v>
      </c>
      <c r="H12" t="s">
        <v>794</v>
      </c>
      <c r="I12">
        <v>2741785100</v>
      </c>
      <c r="J12">
        <v>19.850000000000001</v>
      </c>
      <c r="K12">
        <v>2.3199999999999998</v>
      </c>
      <c r="L12" t="s">
        <v>60</v>
      </c>
      <c r="M12" t="s">
        <v>795</v>
      </c>
      <c r="N12" t="s">
        <v>796</v>
      </c>
      <c r="O12" t="s">
        <v>413</v>
      </c>
      <c r="P12">
        <v>2.5099999999999998</v>
      </c>
      <c r="Q12" t="s">
        <v>413</v>
      </c>
      <c r="R12">
        <v>22291406</v>
      </c>
      <c r="S12" s="6">
        <v>0.34239999999999998</v>
      </c>
      <c r="T12" t="s">
        <v>797</v>
      </c>
      <c r="U12">
        <v>431120450</v>
      </c>
      <c r="V12">
        <v>577217910</v>
      </c>
      <c r="W12">
        <v>2.2400000000000002</v>
      </c>
      <c r="X12">
        <v>0.13</v>
      </c>
      <c r="Y12">
        <v>7.7</v>
      </c>
      <c r="Z12" t="s">
        <v>106</v>
      </c>
      <c r="AA12" t="s">
        <v>798</v>
      </c>
      <c r="AB12" t="s">
        <v>799</v>
      </c>
      <c r="AC12" t="s">
        <v>800</v>
      </c>
      <c r="AD12" t="s">
        <v>20</v>
      </c>
      <c r="AE12">
        <v>1541717</v>
      </c>
      <c r="AF12" t="s">
        <v>801</v>
      </c>
      <c r="AG12">
        <v>4434.59</v>
      </c>
      <c r="AH12" t="s">
        <v>802</v>
      </c>
      <c r="AI12" t="s">
        <v>518</v>
      </c>
      <c r="AJ12" t="s">
        <v>803</v>
      </c>
      <c r="AK12" t="s">
        <v>804</v>
      </c>
      <c r="AL12" t="s">
        <v>805</v>
      </c>
      <c r="AM12" t="s">
        <v>20</v>
      </c>
      <c r="AN12" t="s">
        <v>806</v>
      </c>
      <c r="AO12" t="s">
        <v>720</v>
      </c>
      <c r="AP12" t="s">
        <v>807</v>
      </c>
      <c r="AQ12" t="s">
        <v>808</v>
      </c>
      <c r="AR12" t="s">
        <v>20</v>
      </c>
      <c r="AS12" t="s">
        <v>750</v>
      </c>
      <c r="AT12" t="s">
        <v>809</v>
      </c>
      <c r="AU12" t="s">
        <v>810</v>
      </c>
      <c r="AV12" t="s">
        <v>811</v>
      </c>
      <c r="AW12" t="s">
        <v>812</v>
      </c>
      <c r="AX12" t="s">
        <v>457</v>
      </c>
      <c r="AY12" t="s">
        <v>232</v>
      </c>
      <c r="AZ12" t="s">
        <v>141</v>
      </c>
      <c r="BA12" t="s">
        <v>144</v>
      </c>
      <c r="BB12" t="s">
        <v>145</v>
      </c>
      <c r="BC12" t="s">
        <v>813</v>
      </c>
      <c r="BD12" t="s">
        <v>100</v>
      </c>
      <c r="BE12" t="s">
        <v>142</v>
      </c>
      <c r="BF12" t="s">
        <v>99</v>
      </c>
      <c r="BG12" t="s">
        <v>146</v>
      </c>
      <c r="BH12" t="s">
        <v>814</v>
      </c>
      <c r="BI12" t="s">
        <v>460</v>
      </c>
      <c r="BJ12" t="s">
        <v>457</v>
      </c>
      <c r="BK12" t="s">
        <v>700</v>
      </c>
      <c r="BL12" t="s">
        <v>461</v>
      </c>
      <c r="BM12" t="s">
        <v>813</v>
      </c>
      <c r="BN12">
        <v>7.71</v>
      </c>
      <c r="BO12">
        <v>6.51</v>
      </c>
      <c r="BP12">
        <v>8.4600000000000009</v>
      </c>
      <c r="BQ12">
        <v>11.33</v>
      </c>
      <c r="BR12">
        <v>7.63</v>
      </c>
      <c r="BS12">
        <v>8.9</v>
      </c>
      <c r="BT12" t="s">
        <v>402</v>
      </c>
      <c r="BU12" t="s">
        <v>60</v>
      </c>
      <c r="BV12">
        <v>37.53</v>
      </c>
      <c r="BW12">
        <v>33.950000000000003</v>
      </c>
      <c r="BX12">
        <v>33.44</v>
      </c>
      <c r="BY12">
        <v>9.18</v>
      </c>
      <c r="BZ12">
        <v>5.99</v>
      </c>
      <c r="CA12">
        <v>7.75</v>
      </c>
      <c r="CB12">
        <v>-3.06</v>
      </c>
      <c r="CC12">
        <v>-17.96</v>
      </c>
      <c r="CD12" t="s">
        <v>815</v>
      </c>
      <c r="CE12" t="s">
        <v>676</v>
      </c>
      <c r="CF12" s="7">
        <v>-0.52135678391959794</v>
      </c>
      <c r="CG12" s="8">
        <v>-0.58552446720290352</v>
      </c>
      <c r="CH12" s="7">
        <v>-0.77062016725540161</v>
      </c>
      <c r="CI12" s="7">
        <v>9.9271915853023529E-2</v>
      </c>
      <c r="CJ12" s="7">
        <v>0.27942433953285217</v>
      </c>
      <c r="CK12" s="7">
        <v>0.12155739217996597</v>
      </c>
      <c r="CL12" s="7">
        <v>0.16870144009590149</v>
      </c>
      <c r="CM12" s="8">
        <v>-0.75917303562164307</v>
      </c>
      <c r="CN12" s="8">
        <v>-0.11845805495977402</v>
      </c>
      <c r="CO12" s="8">
        <v>2.9746229648590088</v>
      </c>
      <c r="CP12" s="8">
        <v>-0.73843961954116821</v>
      </c>
      <c r="CQ12" s="8">
        <v>-0.70977014303207397</v>
      </c>
      <c r="CR12">
        <v>23.660864563726168</v>
      </c>
      <c r="CS12">
        <v>11.636672423950996</v>
      </c>
      <c r="CT12">
        <v>2.1052631578947367</v>
      </c>
      <c r="CU12" s="7">
        <v>-2.0333015918731691E-2</v>
      </c>
      <c r="CV12" s="8">
        <v>0.1297564223408699</v>
      </c>
      <c r="CW12">
        <v>0.06</v>
      </c>
      <c r="CX12">
        <v>135.96207954637214</v>
      </c>
      <c r="CY12" t="s">
        <v>816</v>
      </c>
      <c r="CZ12">
        <v>-2.0333015918731691E-2</v>
      </c>
      <c r="DA12">
        <v>45.320693182124046</v>
      </c>
      <c r="DB12" t="s">
        <v>817</v>
      </c>
      <c r="DC12">
        <v>-1.9316365122795106E-2</v>
      </c>
      <c r="DD12">
        <v>22.660346591062023</v>
      </c>
      <c r="DE12" t="s">
        <v>818</v>
      </c>
      <c r="DF12">
        <v>-1.7893054008483889E-2</v>
      </c>
      <c r="DG12">
        <v>13.596207954637215</v>
      </c>
      <c r="DH12" t="s">
        <v>819</v>
      </c>
      <c r="DI12">
        <v>-1.6266412734985355E-2</v>
      </c>
      <c r="DJ12">
        <v>6.7981039773186076</v>
      </c>
      <c r="DK12" t="s">
        <v>820</v>
      </c>
      <c r="DL12">
        <v>-1.4233111143112183E-2</v>
      </c>
      <c r="DM12">
        <v>22291400</v>
      </c>
      <c r="DN12">
        <v>-2.0333015918731691E-2</v>
      </c>
      <c r="DO12">
        <v>3030785100</v>
      </c>
      <c r="DP12">
        <v>225052400</v>
      </c>
      <c r="DQ12">
        <v>1757</v>
      </c>
      <c r="DR12">
        <v>-0.50102376800086623</v>
      </c>
      <c r="DS12">
        <v>-0.71528088954377345</v>
      </c>
      <c r="DT12" s="9">
        <v>-0.54</v>
      </c>
      <c r="DU12">
        <v>-0.61999999999999988</v>
      </c>
      <c r="DV12">
        <v>-1.1599999999999999</v>
      </c>
      <c r="DW12">
        <v>-8.1703786191536754</v>
      </c>
      <c r="DX12">
        <v>0.30550524999999862</v>
      </c>
      <c r="DY12">
        <v>-8.0162720526169267</v>
      </c>
      <c r="DZ12">
        <v>1328</v>
      </c>
      <c r="EA12">
        <v>-8.0120432295493575</v>
      </c>
      <c r="EB12">
        <v>8</v>
      </c>
      <c r="EC12">
        <v>6.6183150831199952E-2</v>
      </c>
      <c r="ED12">
        <v>0.69297919047591572</v>
      </c>
      <c r="EE12" s="10">
        <v>4.1200000000000001E-2</v>
      </c>
      <c r="EF12">
        <v>1.89E-2</v>
      </c>
      <c r="EG12">
        <v>21.095505249999999</v>
      </c>
      <c r="EH12" t="s">
        <v>523</v>
      </c>
      <c r="EI12">
        <v>0</v>
      </c>
      <c r="EJ12">
        <v>1</v>
      </c>
      <c r="EK12" s="12">
        <v>45470</v>
      </c>
      <c r="EL12" s="13">
        <v>-0.4</v>
      </c>
      <c r="EM12" s="13">
        <v>-4.42</v>
      </c>
      <c r="EN12" s="13">
        <v>0.84</v>
      </c>
      <c r="EO12" s="13">
        <v>2.71</v>
      </c>
      <c r="EP12" s="13">
        <v>-2.23</v>
      </c>
    </row>
    <row r="13" spans="1:146" ht="96" x14ac:dyDescent="0.25">
      <c r="A13" s="5"/>
      <c r="B13" s="5"/>
      <c r="C13" s="5" t="str">
        <f>""&amp;CHAR(10)&amp;Basic_Fundamental_Information_Constructure(F13)&amp;CHAR(10)&amp;Basic_Fundamental_Information_Concatenate("")</f>
        <v xml:space="preserve">
市值23.268162亿, 利润2259.41万; PE30.48; 平均PE33.94; 平均PEG3.66, PB3.04; ROIC8.94%; ROE9.9567%; 股利率2.805%; 毛利49.6467%; 净利9.7933%; 上一年度营收增-80.25%, 利润增-51.9%; 当季营收增-50.47%, 利润增-39.96%; 过往5年营收增-9.28%, 利润增-10.33%
Income profile:
</v>
      </c>
      <c r="D13" t="s">
        <v>147</v>
      </c>
      <c r="E13" t="s">
        <v>148</v>
      </c>
      <c r="F13">
        <v>7.13</v>
      </c>
      <c r="G13">
        <v>1.28</v>
      </c>
      <c r="H13" t="s">
        <v>821</v>
      </c>
      <c r="I13">
        <v>2326816200</v>
      </c>
      <c r="J13">
        <v>30.48</v>
      </c>
      <c r="K13">
        <v>3.04</v>
      </c>
      <c r="L13" t="s">
        <v>60</v>
      </c>
      <c r="M13" t="s">
        <v>822</v>
      </c>
      <c r="N13" t="s">
        <v>823</v>
      </c>
      <c r="O13" t="s">
        <v>449</v>
      </c>
      <c r="P13">
        <v>-6.52</v>
      </c>
      <c r="Q13" t="s">
        <v>449</v>
      </c>
      <c r="R13">
        <v>22594123</v>
      </c>
      <c r="S13" s="6">
        <v>0.28249999999999997</v>
      </c>
      <c r="T13" t="s">
        <v>824</v>
      </c>
      <c r="U13">
        <v>316060310</v>
      </c>
      <c r="V13">
        <v>326341680</v>
      </c>
      <c r="W13">
        <v>1.19</v>
      </c>
      <c r="X13">
        <v>0.17</v>
      </c>
      <c r="Y13">
        <v>14.18</v>
      </c>
      <c r="Z13" t="s">
        <v>80</v>
      </c>
      <c r="AA13" t="s">
        <v>825</v>
      </c>
      <c r="AB13" t="s">
        <v>826</v>
      </c>
      <c r="AC13" t="s">
        <v>827</v>
      </c>
      <c r="AD13" t="s">
        <v>20</v>
      </c>
      <c r="AE13">
        <v>-1586430</v>
      </c>
      <c r="AF13" t="s">
        <v>828</v>
      </c>
      <c r="AG13" t="s">
        <v>829</v>
      </c>
      <c r="AH13" t="s">
        <v>830</v>
      </c>
      <c r="AI13" t="s">
        <v>426</v>
      </c>
      <c r="AJ13" t="s">
        <v>831</v>
      </c>
      <c r="AK13" t="s">
        <v>20</v>
      </c>
      <c r="AL13" t="s">
        <v>832</v>
      </c>
      <c r="AM13" t="s">
        <v>20</v>
      </c>
      <c r="AN13" t="s">
        <v>833</v>
      </c>
      <c r="AO13" t="s">
        <v>834</v>
      </c>
      <c r="AP13" t="s">
        <v>835</v>
      </c>
      <c r="AQ13" t="s">
        <v>836</v>
      </c>
      <c r="AR13" t="s">
        <v>20</v>
      </c>
      <c r="AS13" t="s">
        <v>837</v>
      </c>
      <c r="AT13" t="s">
        <v>20</v>
      </c>
      <c r="AU13" t="s">
        <v>838</v>
      </c>
      <c r="AV13" t="s">
        <v>429</v>
      </c>
      <c r="AW13" t="s">
        <v>839</v>
      </c>
      <c r="AX13" t="s">
        <v>462</v>
      </c>
      <c r="AY13" t="s">
        <v>233</v>
      </c>
      <c r="AZ13" t="s">
        <v>149</v>
      </c>
      <c r="BA13" t="s">
        <v>150</v>
      </c>
      <c r="BB13" t="s">
        <v>151</v>
      </c>
      <c r="BC13" t="s">
        <v>463</v>
      </c>
      <c r="BD13" t="s">
        <v>89</v>
      </c>
      <c r="BE13" t="s">
        <v>53</v>
      </c>
      <c r="BF13" t="s">
        <v>153</v>
      </c>
      <c r="BG13" t="s">
        <v>154</v>
      </c>
      <c r="BH13" t="s">
        <v>840</v>
      </c>
      <c r="BI13" t="s">
        <v>465</v>
      </c>
      <c r="BJ13" t="s">
        <v>462</v>
      </c>
      <c r="BK13" t="s">
        <v>841</v>
      </c>
      <c r="BL13" t="s">
        <v>467</v>
      </c>
      <c r="BM13" t="s">
        <v>463</v>
      </c>
      <c r="BN13">
        <v>5.31</v>
      </c>
      <c r="BO13">
        <v>5.95</v>
      </c>
      <c r="BP13">
        <v>15.56</v>
      </c>
      <c r="BQ13">
        <v>7.25</v>
      </c>
      <c r="BR13">
        <v>6.64</v>
      </c>
      <c r="BS13">
        <v>15.98</v>
      </c>
      <c r="BT13" t="s">
        <v>842</v>
      </c>
      <c r="BU13" t="s">
        <v>60</v>
      </c>
      <c r="BV13">
        <v>50.75</v>
      </c>
      <c r="BW13">
        <v>48.74</v>
      </c>
      <c r="BX13">
        <v>49.45</v>
      </c>
      <c r="BY13">
        <v>10.73</v>
      </c>
      <c r="BZ13">
        <v>5.84</v>
      </c>
      <c r="CA13">
        <v>12.81</v>
      </c>
      <c r="CB13">
        <v>-1.66</v>
      </c>
      <c r="CC13">
        <v>-21.65</v>
      </c>
      <c r="CD13" t="s">
        <v>843</v>
      </c>
      <c r="CE13" t="s">
        <v>265</v>
      </c>
      <c r="CF13" s="7">
        <v>-0.50467289719626163</v>
      </c>
      <c r="CG13" s="8">
        <v>-0.39964333258047802</v>
      </c>
      <c r="CH13" s="7">
        <v>-0.80248445272445679</v>
      </c>
      <c r="CI13" s="7">
        <v>-4.958677664399147E-2</v>
      </c>
      <c r="CJ13" s="7">
        <v>0.20827388763427734</v>
      </c>
      <c r="CK13" s="7">
        <v>0.2722322940826416</v>
      </c>
      <c r="CL13" s="7">
        <v>-9.2257000505924225E-2</v>
      </c>
      <c r="CM13" s="8">
        <v>-0.51896947622299194</v>
      </c>
      <c r="CN13" s="8">
        <v>-0.56509071588516235</v>
      </c>
      <c r="CO13" s="8">
        <v>7.9999998211860657E-2</v>
      </c>
      <c r="CP13" s="8">
        <v>0.52027207612991333</v>
      </c>
      <c r="CQ13" s="8">
        <v>-3.291548416018486E-2</v>
      </c>
      <c r="CR13">
        <v>33.938516403574987</v>
      </c>
      <c r="CS13">
        <v>3.6585708396567953</v>
      </c>
      <c r="CT13">
        <v>2.8050490883590462</v>
      </c>
      <c r="CU13" s="7">
        <v>-9.2764409631490713E-2</v>
      </c>
      <c r="CV13" s="8">
        <v>-0.10334072038531303</v>
      </c>
      <c r="CW13">
        <v>0.06</v>
      </c>
      <c r="CX13">
        <v>79.127568701563689</v>
      </c>
      <c r="CY13" t="s">
        <v>844</v>
      </c>
      <c r="CZ13">
        <v>-9.2764409631490713E-2</v>
      </c>
      <c r="DA13">
        <v>26.375856233854559</v>
      </c>
      <c r="DB13" t="s">
        <v>845</v>
      </c>
      <c r="DC13">
        <v>-8.812618914991617E-2</v>
      </c>
      <c r="DD13">
        <v>13.18792811692728</v>
      </c>
      <c r="DE13" t="s">
        <v>846</v>
      </c>
      <c r="DF13">
        <v>-8.163268047571183E-2</v>
      </c>
      <c r="DG13">
        <v>7.9127568701563682</v>
      </c>
      <c r="DH13" t="s">
        <v>847</v>
      </c>
      <c r="DI13">
        <v>-7.421152770519257E-2</v>
      </c>
      <c r="DJ13">
        <v>3.9563784350781841</v>
      </c>
      <c r="DK13" t="s">
        <v>848</v>
      </c>
      <c r="DL13">
        <v>-6.4935086742043499E-2</v>
      </c>
      <c r="DM13">
        <v>22594100</v>
      </c>
      <c r="DN13">
        <v>-9.2764409631490713E-2</v>
      </c>
      <c r="DO13">
        <v>1787816200</v>
      </c>
      <c r="DP13">
        <v>667818760</v>
      </c>
      <c r="DQ13">
        <v>2281</v>
      </c>
      <c r="DR13">
        <v>-0.41190848756477094</v>
      </c>
      <c r="DS13">
        <v>-0.29630261219516496</v>
      </c>
      <c r="DT13" s="9">
        <v>-0.52333333333333332</v>
      </c>
      <c r="DU13">
        <v>-0.42</v>
      </c>
      <c r="DV13">
        <v>-0.94333333333333336</v>
      </c>
      <c r="DW13">
        <v>-3.0638988095238093</v>
      </c>
      <c r="DX13">
        <v>0.2567051851851852</v>
      </c>
      <c r="DY13">
        <v>-3.0042623819223988</v>
      </c>
      <c r="DZ13">
        <v>3074</v>
      </c>
      <c r="EA13">
        <v>-3.0016982797639931</v>
      </c>
      <c r="EB13">
        <v>3</v>
      </c>
      <c r="EC13">
        <v>2.7594391252750799E-2</v>
      </c>
      <c r="ED13">
        <v>0.4136768554969748</v>
      </c>
      <c r="EE13" s="10">
        <v>-2.004</v>
      </c>
      <c r="EF13">
        <v>-2.0767000000000002</v>
      </c>
      <c r="EG13">
        <v>19.066705185185185</v>
      </c>
      <c r="EH13" t="s">
        <v>793</v>
      </c>
      <c r="EI13">
        <v>0</v>
      </c>
      <c r="EJ13">
        <v>0</v>
      </c>
      <c r="EK13" s="12">
        <v>45470</v>
      </c>
      <c r="EL13" s="13">
        <v>0.44</v>
      </c>
      <c r="EM13" s="13">
        <v>-6.34</v>
      </c>
      <c r="EN13" s="13">
        <v>2.41</v>
      </c>
      <c r="EO13" s="13">
        <v>5.79</v>
      </c>
      <c r="EP13" s="13">
        <v>7.27</v>
      </c>
    </row>
    <row r="14" spans="1:146" ht="144" x14ac:dyDescent="0.25">
      <c r="A14" s="5"/>
      <c r="B14" s="5"/>
      <c r="C14" s="5" t="str">
        <f>"公司的主营业务为空气动力设备和清洁设备的研发、生产和销售；公司的主要产品为小型空压机和干湿两用吸尘器。公司是国内综合优势领先的空气动力设备和清洁设备制造商之一。"&amp;CHAR(10)&amp;Basic_Fundamental_Information_Constructure(F14)&amp;CHAR(10)&amp;Basic_Fundamental_Information_Concatenate("干湿两用吸尘器 2.92亿 42.93% 44.46% 26.12%
小型空压机 2.59亿 38.13% 27.55% 18.23%
配件及其他 1.25亿 18.34% 25.68% 35.31%")</f>
        <v>公司的主营业务为空气动力设备和清洁设备的研发、生产和销售；公司的主要产品为小型空压机和干湿两用吸尘器。公司是国内综合优势领先的空气动力设备和清洁设备制造商之一。
市值45.231918亿, 利润4278.30万; PE22.76; 平均PE48.39; 平均PEG16.12, PB3.02; ROIC15.1767%; ROE16.64%; 股利率3.3508%; 毛利29.7233%; 净利11.92%; 上一年度营收增-74.61%, 利润增-73.43%; 当季营收增-31.51%, 利润增-35.28%; 过往5年营收增3%, 利润增22.55%
Income profile:
干湿两用吸尘器 2.92亿 42.93% 44.46% 26.12%
小型空压机 2.59亿 38.13% 27.55% 18.23%
配件及其他 1.25亿 18.34% 25.68% 35.31%</v>
      </c>
      <c r="D14" t="s">
        <v>234</v>
      </c>
      <c r="E14" t="s">
        <v>235</v>
      </c>
      <c r="F14">
        <v>24.77</v>
      </c>
      <c r="G14">
        <v>6.95</v>
      </c>
      <c r="H14" t="s">
        <v>849</v>
      </c>
      <c r="I14">
        <v>4523191800</v>
      </c>
      <c r="J14">
        <v>22.76</v>
      </c>
      <c r="K14">
        <v>3.02</v>
      </c>
      <c r="L14" t="s">
        <v>60</v>
      </c>
      <c r="M14" t="s">
        <v>850</v>
      </c>
      <c r="N14" t="s">
        <v>851</v>
      </c>
      <c r="O14" t="s">
        <v>510</v>
      </c>
      <c r="P14">
        <v>33.799999999999997</v>
      </c>
      <c r="Q14" t="s">
        <v>510</v>
      </c>
      <c r="R14">
        <v>42783013</v>
      </c>
      <c r="S14" s="6">
        <v>1.2669999999999999</v>
      </c>
      <c r="T14" t="s">
        <v>852</v>
      </c>
      <c r="U14">
        <v>47874222</v>
      </c>
      <c r="V14">
        <v>182607660</v>
      </c>
      <c r="W14">
        <v>1.7</v>
      </c>
      <c r="X14">
        <v>0.13</v>
      </c>
      <c r="Y14">
        <v>13.13</v>
      </c>
      <c r="Z14" t="s">
        <v>853</v>
      </c>
      <c r="AA14" t="s">
        <v>854</v>
      </c>
      <c r="AB14" t="s">
        <v>855</v>
      </c>
      <c r="AC14" t="s">
        <v>856</v>
      </c>
      <c r="AD14" t="s">
        <v>20</v>
      </c>
      <c r="AE14">
        <v>-5370006</v>
      </c>
      <c r="AF14" t="s">
        <v>857</v>
      </c>
      <c r="AG14" t="s">
        <v>20</v>
      </c>
      <c r="AH14" t="s">
        <v>858</v>
      </c>
      <c r="AI14" t="s">
        <v>859</v>
      </c>
      <c r="AJ14" t="s">
        <v>860</v>
      </c>
      <c r="AK14" t="s">
        <v>20</v>
      </c>
      <c r="AL14" t="s">
        <v>861</v>
      </c>
      <c r="AM14" t="s">
        <v>20</v>
      </c>
      <c r="AN14" t="s">
        <v>862</v>
      </c>
      <c r="AO14" t="s">
        <v>408</v>
      </c>
      <c r="AP14" t="s">
        <v>863</v>
      </c>
      <c r="AQ14" t="s">
        <v>864</v>
      </c>
      <c r="AR14" t="s">
        <v>20</v>
      </c>
      <c r="AS14" t="s">
        <v>317</v>
      </c>
      <c r="AT14" t="s">
        <v>865</v>
      </c>
      <c r="AU14" t="s">
        <v>866</v>
      </c>
      <c r="AV14" t="s">
        <v>414</v>
      </c>
      <c r="AW14" t="s">
        <v>867</v>
      </c>
      <c r="AX14" t="s">
        <v>440</v>
      </c>
      <c r="AY14" t="s">
        <v>236</v>
      </c>
      <c r="AZ14" t="s">
        <v>238</v>
      </c>
      <c r="BA14" t="s">
        <v>239</v>
      </c>
      <c r="BB14" t="s">
        <v>187</v>
      </c>
      <c r="BC14" t="s">
        <v>334</v>
      </c>
      <c r="BD14" t="s">
        <v>237</v>
      </c>
      <c r="BE14" t="s">
        <v>96</v>
      </c>
      <c r="BF14" t="s">
        <v>240</v>
      </c>
      <c r="BG14" t="s">
        <v>241</v>
      </c>
      <c r="BH14" t="s">
        <v>868</v>
      </c>
      <c r="BI14" t="s">
        <v>469</v>
      </c>
      <c r="BJ14" t="s">
        <v>440</v>
      </c>
      <c r="BK14" t="s">
        <v>869</v>
      </c>
      <c r="BL14" t="s">
        <v>470</v>
      </c>
      <c r="BM14" t="s">
        <v>334</v>
      </c>
      <c r="BN14">
        <v>5.32</v>
      </c>
      <c r="BO14">
        <v>15.6</v>
      </c>
      <c r="BP14">
        <v>24.61</v>
      </c>
      <c r="BQ14">
        <v>8.66</v>
      </c>
      <c r="BR14">
        <v>14.5</v>
      </c>
      <c r="BS14">
        <v>26.76</v>
      </c>
      <c r="BT14" t="s">
        <v>870</v>
      </c>
      <c r="BU14" t="s">
        <v>60</v>
      </c>
      <c r="BV14">
        <v>35.78</v>
      </c>
      <c r="BW14">
        <v>29.84</v>
      </c>
      <c r="BX14">
        <v>23.55</v>
      </c>
      <c r="BY14">
        <v>14.38</v>
      </c>
      <c r="BZ14">
        <v>12.56</v>
      </c>
      <c r="CA14">
        <v>8.82</v>
      </c>
      <c r="CB14">
        <v>2.14</v>
      </c>
      <c r="CC14">
        <v>19.2</v>
      </c>
      <c r="CD14" t="s">
        <v>871</v>
      </c>
      <c r="CE14" t="s">
        <v>100</v>
      </c>
      <c r="CF14" s="7">
        <v>-0.31512605042016806</v>
      </c>
      <c r="CG14" s="8">
        <v>-0.35283153324862349</v>
      </c>
      <c r="CH14" s="7">
        <v>-0.74610590934753418</v>
      </c>
      <c r="CI14" s="7">
        <v>-2.3574192076921463E-2</v>
      </c>
      <c r="CJ14" s="7">
        <v>0.32694253325462341</v>
      </c>
      <c r="CK14" s="7">
        <v>0.62459015846252441</v>
      </c>
      <c r="CL14" s="7">
        <v>-3.1746033579111099E-2</v>
      </c>
      <c r="CM14" s="8">
        <v>-0.73426705598831177</v>
      </c>
      <c r="CN14" s="8">
        <v>0.38793104887008667</v>
      </c>
      <c r="CO14" s="8">
        <v>-0.15328466892242432</v>
      </c>
      <c r="CP14" s="8">
        <v>1.3366837501525879</v>
      </c>
      <c r="CQ14" s="8">
        <v>0.29054772853851318</v>
      </c>
      <c r="CR14">
        <v>48.389882025912755</v>
      </c>
      <c r="CS14">
        <v>16.118510438636495</v>
      </c>
      <c r="CT14">
        <v>3.3508276140492534</v>
      </c>
      <c r="CU14" s="7">
        <v>3.0021311342716218E-2</v>
      </c>
      <c r="CV14" s="8">
        <v>0.22552216053009033</v>
      </c>
      <c r="CW14">
        <v>0.06</v>
      </c>
      <c r="CX14">
        <v>92.708967275986964</v>
      </c>
      <c r="CY14">
        <v>41573020.531297565</v>
      </c>
      <c r="CZ14">
        <v>3.0021311342716218E-2</v>
      </c>
      <c r="DA14">
        <v>31.885652534537922</v>
      </c>
      <c r="DB14">
        <v>120875424.95249906</v>
      </c>
      <c r="DC14">
        <v>2.8520245775580405E-2</v>
      </c>
      <c r="DD14">
        <v>16.779891716968944</v>
      </c>
      <c r="DE14">
        <v>229691100.81338516</v>
      </c>
      <c r="DF14">
        <v>2.6418753981590274E-2</v>
      </c>
      <c r="DG14">
        <v>10.839774503691611</v>
      </c>
      <c r="DH14">
        <v>355560145.52585113</v>
      </c>
      <c r="DI14">
        <v>2.4017049074172975E-2</v>
      </c>
      <c r="DJ14">
        <v>6.5225267036799952</v>
      </c>
      <c r="DK14">
        <v>590904717.61893642</v>
      </c>
      <c r="DL14">
        <v>2.1014917939901352E-2</v>
      </c>
      <c r="DM14">
        <v>42783000</v>
      </c>
      <c r="DN14">
        <v>3.0021311342716218E-2</v>
      </c>
      <c r="DO14">
        <v>3854191800</v>
      </c>
      <c r="DP14">
        <v>834607000</v>
      </c>
      <c r="DQ14">
        <v>2613</v>
      </c>
      <c r="DR14">
        <v>-0.3451473617628843</v>
      </c>
      <c r="DS14">
        <v>-0.57835369377871382</v>
      </c>
      <c r="DT14" s="9">
        <v>-0.40666666666666668</v>
      </c>
      <c r="DU14">
        <v>-0.20333333333333334</v>
      </c>
      <c r="DV14">
        <v>-0.61</v>
      </c>
      <c r="DW14">
        <v>3.0361904761904763</v>
      </c>
      <c r="DX14">
        <v>0.44280476190476281</v>
      </c>
      <c r="DY14">
        <v>3.0058919818594103</v>
      </c>
      <c r="DZ14">
        <v>1803</v>
      </c>
      <c r="EA14">
        <v>3.0038130692777045</v>
      </c>
      <c r="EB14">
        <v>3</v>
      </c>
      <c r="EC14">
        <v>9.361326901620666E-2</v>
      </c>
      <c r="ED14">
        <v>0.57500326108992361</v>
      </c>
      <c r="EE14" s="10">
        <v>-2.0684100000000001</v>
      </c>
      <c r="EF14">
        <v>-2.08541</v>
      </c>
      <c r="EG14">
        <v>28.162804761904763</v>
      </c>
      <c r="EH14" t="s">
        <v>872</v>
      </c>
      <c r="EI14">
        <v>0</v>
      </c>
      <c r="EJ14">
        <v>0</v>
      </c>
      <c r="EK14" s="12">
        <v>45470</v>
      </c>
      <c r="EL14" s="13">
        <v>0.26</v>
      </c>
      <c r="EM14" s="13">
        <v>-4.8099999999999996</v>
      </c>
      <c r="EN14" s="13">
        <v>0.84</v>
      </c>
      <c r="EO14" s="13">
        <v>5.85</v>
      </c>
      <c r="EP14" s="13">
        <v>-1.7</v>
      </c>
    </row>
    <row r="15" spans="1:146" ht="96" x14ac:dyDescent="0.25">
      <c r="C15" s="5" t="str">
        <f>""&amp;CHAR(10)&amp;Basic_Fundamental_Information_Constructure(F15)&amp;CHAR(10)&amp;Basic_Fundamental_Information_Concatenate("")</f>
        <v xml:space="preserve">
市值40.802125亿, 利润2335.40万; PE37.49; 平均PE34.54; 平均PEG2.45, PB1.45; ROIC10.1233%; ROE9.525%; 股利率1.1312%; 毛利29.8167%; 净利4.8567%; 上一年度营收增-78.35%, 利润增-87.77%; 当季营收增-53.95%, 利润增-65.39%; 过往5年营收增14.12%, 利润增30.66%
Income profile:
</v>
      </c>
      <c r="D15" t="s">
        <v>471</v>
      </c>
      <c r="E15" t="s">
        <v>472</v>
      </c>
      <c r="F15">
        <v>8.84</v>
      </c>
      <c r="G15">
        <v>1.96</v>
      </c>
      <c r="H15" t="s">
        <v>873</v>
      </c>
      <c r="I15">
        <v>4080212500</v>
      </c>
      <c r="J15">
        <v>37.49</v>
      </c>
      <c r="K15">
        <v>1.45</v>
      </c>
      <c r="L15" t="s">
        <v>60</v>
      </c>
      <c r="M15" t="s">
        <v>874</v>
      </c>
      <c r="N15" t="s">
        <v>875</v>
      </c>
      <c r="O15" t="s">
        <v>876</v>
      </c>
      <c r="P15" s="6">
        <v>7.69</v>
      </c>
      <c r="Q15" t="s">
        <v>876</v>
      </c>
      <c r="R15">
        <v>23354010</v>
      </c>
      <c r="S15">
        <v>5.1599999999999997E-3</v>
      </c>
      <c r="T15" t="s">
        <v>877</v>
      </c>
      <c r="U15">
        <v>264897500</v>
      </c>
      <c r="V15">
        <v>461562500</v>
      </c>
      <c r="W15">
        <v>1.49</v>
      </c>
      <c r="X15">
        <v>0.17</v>
      </c>
      <c r="Y15">
        <v>3.29</v>
      </c>
      <c r="Z15" t="s">
        <v>878</v>
      </c>
      <c r="AA15" t="s">
        <v>879</v>
      </c>
      <c r="AB15" t="s">
        <v>458</v>
      </c>
      <c r="AC15" t="s">
        <v>880</v>
      </c>
      <c r="AD15" t="s">
        <v>20</v>
      </c>
      <c r="AE15">
        <v>-6675486</v>
      </c>
      <c r="AF15" t="s">
        <v>881</v>
      </c>
      <c r="AG15" t="s">
        <v>882</v>
      </c>
      <c r="AH15" t="s">
        <v>883</v>
      </c>
      <c r="AI15" t="s">
        <v>884</v>
      </c>
      <c r="AJ15" t="s">
        <v>885</v>
      </c>
      <c r="AK15" t="s">
        <v>886</v>
      </c>
      <c r="AL15" t="s">
        <v>887</v>
      </c>
      <c r="AM15" t="s">
        <v>20</v>
      </c>
      <c r="AN15" t="s">
        <v>888</v>
      </c>
      <c r="AO15" t="s">
        <v>20</v>
      </c>
      <c r="AP15" t="s">
        <v>889</v>
      </c>
      <c r="AQ15" t="s">
        <v>331</v>
      </c>
      <c r="AR15" t="s">
        <v>20</v>
      </c>
      <c r="AS15" t="s">
        <v>890</v>
      </c>
      <c r="AT15" t="s">
        <v>20</v>
      </c>
      <c r="AU15" t="s">
        <v>891</v>
      </c>
      <c r="AV15" t="s">
        <v>892</v>
      </c>
      <c r="AW15" t="s">
        <v>893</v>
      </c>
      <c r="AX15" t="s">
        <v>322</v>
      </c>
      <c r="AY15" t="s">
        <v>477</v>
      </c>
      <c r="AZ15" t="s">
        <v>478</v>
      </c>
      <c r="BA15" t="s">
        <v>479</v>
      </c>
      <c r="BB15" t="s">
        <v>480</v>
      </c>
      <c r="BC15" t="s">
        <v>473</v>
      </c>
      <c r="BD15" t="s">
        <v>50</v>
      </c>
      <c r="BE15" t="s">
        <v>95</v>
      </c>
      <c r="BF15" t="s">
        <v>229</v>
      </c>
      <c r="BG15" t="s">
        <v>481</v>
      </c>
      <c r="BH15" t="s">
        <v>323</v>
      </c>
      <c r="BI15" t="s">
        <v>482</v>
      </c>
      <c r="BJ15" t="s">
        <v>322</v>
      </c>
      <c r="BK15" t="s">
        <v>328</v>
      </c>
      <c r="BL15" t="s">
        <v>483</v>
      </c>
      <c r="BM15" t="s">
        <v>473</v>
      </c>
      <c r="BN15">
        <v>3.27</v>
      </c>
      <c r="BO15">
        <v>12.56</v>
      </c>
      <c r="BP15">
        <v>14.54</v>
      </c>
      <c r="BQ15">
        <v>4.8899999999999997</v>
      </c>
      <c r="BR15">
        <v>14.16</v>
      </c>
      <c r="BS15" t="s">
        <v>20</v>
      </c>
      <c r="BT15" t="s">
        <v>402</v>
      </c>
      <c r="BU15" t="s">
        <v>60</v>
      </c>
      <c r="BV15">
        <v>30.76</v>
      </c>
      <c r="BW15">
        <v>29.5</v>
      </c>
      <c r="BX15">
        <v>29.19</v>
      </c>
      <c r="BY15">
        <v>3.28</v>
      </c>
      <c r="BZ15">
        <v>5.62</v>
      </c>
      <c r="CA15">
        <v>5.67</v>
      </c>
      <c r="CB15">
        <v>0</v>
      </c>
      <c r="CC15" s="7">
        <v>-17.77</v>
      </c>
      <c r="CD15" s="8" t="s">
        <v>894</v>
      </c>
      <c r="CE15" s="7" t="s">
        <v>895</v>
      </c>
      <c r="CF15" s="7">
        <v>-0.5395498392282958</v>
      </c>
      <c r="CG15" s="7">
        <v>-0.65386493119986722</v>
      </c>
      <c r="CH15" s="7">
        <v>-0.78348958492279053</v>
      </c>
      <c r="CI15" s="7">
        <v>8.8545069098472595E-2</v>
      </c>
      <c r="CJ15" s="8">
        <v>0.36355480551719666</v>
      </c>
      <c r="CK15" s="8">
        <v>0.4686882495880127</v>
      </c>
      <c r="CL15" s="8">
        <v>0.56876933574676514</v>
      </c>
      <c r="CM15" s="8">
        <v>-0.87772774696350098</v>
      </c>
      <c r="CN15" s="8">
        <v>0.12352941185235977</v>
      </c>
      <c r="CO15">
        <v>-1.7341040074825287E-2</v>
      </c>
      <c r="CP15">
        <v>0.55855858325958252</v>
      </c>
      <c r="CQ15">
        <v>1.7458459138870239</v>
      </c>
      <c r="CR15" s="7">
        <v>34.540082821337606</v>
      </c>
      <c r="CS15" s="8">
        <v>2.4459463489954616</v>
      </c>
      <c r="CT15">
        <v>1.1312217194570136</v>
      </c>
      <c r="CU15">
        <v>0.14121357500553131</v>
      </c>
      <c r="CV15">
        <v>0.30657302439212797</v>
      </c>
      <c r="CW15">
        <v>0.06</v>
      </c>
      <c r="CX15">
        <v>111.33033840701292</v>
      </c>
      <c r="CY15">
        <v>25143303.61384828</v>
      </c>
      <c r="CZ15">
        <v>0.14121357500553131</v>
      </c>
      <c r="DA15">
        <v>34.846585774199582</v>
      </c>
      <c r="DB15">
        <v>80329605.836808771</v>
      </c>
      <c r="DC15">
        <v>0.13415289625525473</v>
      </c>
      <c r="DD15">
        <v>16.175486234009021</v>
      </c>
      <c r="DE15">
        <v>173052757.70410195</v>
      </c>
      <c r="DF15">
        <v>0.12426794600486755</v>
      </c>
      <c r="DG15">
        <v>9.0770454482527398</v>
      </c>
      <c r="DH15">
        <v>308383660.29541326</v>
      </c>
      <c r="DI15">
        <v>0.11297086000442505</v>
      </c>
      <c r="DJ15">
        <v>4.0196706615678659</v>
      </c>
      <c r="DK15">
        <v>696378568.21538007</v>
      </c>
      <c r="DL15">
        <v>9.8849502503871908E-2</v>
      </c>
      <c r="DM15">
        <v>23354000</v>
      </c>
      <c r="DN15">
        <v>0.14121357500553131</v>
      </c>
      <c r="DO15">
        <v>2799212500</v>
      </c>
      <c r="DP15">
        <v>1450293200</v>
      </c>
      <c r="DQ15" s="9">
        <v>2735</v>
      </c>
      <c r="DR15">
        <v>-0.68076341423382714</v>
      </c>
      <c r="DS15">
        <v>-0.96043795559199518</v>
      </c>
      <c r="DT15">
        <v>-0.42333333333333339</v>
      </c>
      <c r="DU15">
        <v>-0.45666666666666672</v>
      </c>
      <c r="DV15">
        <v>-0.88000000000000012</v>
      </c>
      <c r="DW15">
        <v>-3.0200178571428573</v>
      </c>
      <c r="DX15">
        <v>0.32623165366524898</v>
      </c>
      <c r="DY15">
        <v>-3.0023267086385488</v>
      </c>
      <c r="DZ15">
        <v>3270</v>
      </c>
      <c r="EA15">
        <v>-3.0008377972397122</v>
      </c>
      <c r="EB15" s="10">
        <v>3</v>
      </c>
      <c r="EC15" s="10">
        <v>2.316046039268788E-2</v>
      </c>
      <c r="ED15">
        <v>0.19926120514556533</v>
      </c>
      <c r="EE15">
        <v>3.1001099999999999</v>
      </c>
      <c r="EF15">
        <v>3.12791</v>
      </c>
      <c r="EG15">
        <v>21.116231653665249</v>
      </c>
      <c r="EH15" s="12" t="s">
        <v>896</v>
      </c>
      <c r="EI15">
        <v>0</v>
      </c>
      <c r="EJ15">
        <v>0</v>
      </c>
      <c r="EK15">
        <v>45470</v>
      </c>
      <c r="EL15">
        <v>-0.47</v>
      </c>
      <c r="EM15">
        <v>-5.0199999999999996</v>
      </c>
      <c r="EN15" s="13">
        <v>-2.57</v>
      </c>
      <c r="EO15" s="13">
        <v>4.96</v>
      </c>
      <c r="EP15" s="13">
        <v>-2.78</v>
      </c>
    </row>
    <row r="16" spans="1:146" ht="96" x14ac:dyDescent="0.25">
      <c r="A16" s="5"/>
      <c r="B16" s="5"/>
      <c r="C16" s="5" t="str">
        <f>""&amp;CHAR(10)&amp;Basic_Fundamental_Information_Constructure(F16)&amp;CHAR(10)&amp;Basic_Fundamental_Information_Concatenate("")</f>
        <v xml:space="preserve">
市值23.318141亿, 利润1014.56万; PE14.08; 平均PE26.78; 平均PEG4.39, PB2.07; ROIC22.2667%; ROE26.43%; 股利率3.034%; 毛利18.7167%; 净利10.7133%; 上一年度营收增-78.65%, 利润增-94.3%; 当季营收增-62.4%, 利润增-92.01%; 过往5年营收增6.1%, 利润增15%
Income profile:
</v>
      </c>
      <c r="D16" t="s">
        <v>243</v>
      </c>
      <c r="E16" t="s">
        <v>244</v>
      </c>
      <c r="F16">
        <v>12.36</v>
      </c>
      <c r="G16">
        <v>2.3199999999999998</v>
      </c>
      <c r="H16" t="s">
        <v>897</v>
      </c>
      <c r="I16">
        <v>2331814100</v>
      </c>
      <c r="J16">
        <v>14.08</v>
      </c>
      <c r="K16">
        <v>2.0699999999999998</v>
      </c>
      <c r="L16" t="s">
        <v>60</v>
      </c>
      <c r="M16" t="s">
        <v>898</v>
      </c>
      <c r="N16" t="s">
        <v>899</v>
      </c>
      <c r="O16" t="s">
        <v>732</v>
      </c>
      <c r="P16">
        <v>-15.39</v>
      </c>
      <c r="Q16" t="s">
        <v>732</v>
      </c>
      <c r="R16">
        <v>10145564</v>
      </c>
      <c r="S16" s="6">
        <v>-0.78120000000000001</v>
      </c>
      <c r="T16" t="s">
        <v>900</v>
      </c>
      <c r="U16">
        <v>70464150</v>
      </c>
      <c r="V16">
        <v>188658100</v>
      </c>
      <c r="W16">
        <v>1.46</v>
      </c>
      <c r="X16">
        <v>0.19</v>
      </c>
      <c r="Y16">
        <v>3.12</v>
      </c>
      <c r="Z16" t="s">
        <v>901</v>
      </c>
      <c r="AA16" t="s">
        <v>902</v>
      </c>
      <c r="AB16" t="s">
        <v>903</v>
      </c>
      <c r="AC16" t="s">
        <v>904</v>
      </c>
      <c r="AD16" t="s">
        <v>20</v>
      </c>
      <c r="AE16">
        <v>-6371595</v>
      </c>
      <c r="AF16" t="s">
        <v>905</v>
      </c>
      <c r="AG16" t="s">
        <v>20</v>
      </c>
      <c r="AH16" t="s">
        <v>906</v>
      </c>
      <c r="AI16" t="s">
        <v>318</v>
      </c>
      <c r="AJ16" t="s">
        <v>907</v>
      </c>
      <c r="AK16" t="s">
        <v>908</v>
      </c>
      <c r="AL16" t="s">
        <v>909</v>
      </c>
      <c r="AM16" t="s">
        <v>20</v>
      </c>
      <c r="AN16" t="s">
        <v>910</v>
      </c>
      <c r="AO16" t="s">
        <v>20</v>
      </c>
      <c r="AP16" t="s">
        <v>459</v>
      </c>
      <c r="AQ16" t="s">
        <v>275</v>
      </c>
      <c r="AR16" t="s">
        <v>20</v>
      </c>
      <c r="AS16" t="s">
        <v>423</v>
      </c>
      <c r="AT16" t="s">
        <v>20</v>
      </c>
      <c r="AU16" t="s">
        <v>911</v>
      </c>
      <c r="AV16" t="s">
        <v>912</v>
      </c>
      <c r="AW16" t="s">
        <v>913</v>
      </c>
      <c r="AX16" t="s">
        <v>484</v>
      </c>
      <c r="AY16" t="s">
        <v>245</v>
      </c>
      <c r="AZ16" t="s">
        <v>247</v>
      </c>
      <c r="BA16" t="s">
        <v>123</v>
      </c>
      <c r="BB16" t="s">
        <v>54</v>
      </c>
      <c r="BC16" t="s">
        <v>405</v>
      </c>
      <c r="BD16" t="s">
        <v>246</v>
      </c>
      <c r="BE16" t="s">
        <v>107</v>
      </c>
      <c r="BF16" t="s">
        <v>248</v>
      </c>
      <c r="BG16" t="s">
        <v>249</v>
      </c>
      <c r="BH16" t="s">
        <v>914</v>
      </c>
      <c r="BI16" t="s">
        <v>485</v>
      </c>
      <c r="BJ16" t="s">
        <v>484</v>
      </c>
      <c r="BK16" t="s">
        <v>915</v>
      </c>
      <c r="BL16" t="s">
        <v>486</v>
      </c>
      <c r="BM16" t="s">
        <v>405</v>
      </c>
      <c r="BN16">
        <v>14.56</v>
      </c>
      <c r="BO16">
        <v>22.67</v>
      </c>
      <c r="BP16">
        <v>29.57</v>
      </c>
      <c r="BQ16">
        <v>16.78</v>
      </c>
      <c r="BR16">
        <v>21.24</v>
      </c>
      <c r="BS16">
        <v>41.27</v>
      </c>
      <c r="BT16" t="s">
        <v>916</v>
      </c>
      <c r="BU16" t="s">
        <v>60</v>
      </c>
      <c r="BV16">
        <v>21.21</v>
      </c>
      <c r="BW16">
        <v>19.55</v>
      </c>
      <c r="BX16">
        <v>15.39</v>
      </c>
      <c r="BY16">
        <v>12.92</v>
      </c>
      <c r="BZ16">
        <v>11.88</v>
      </c>
      <c r="CA16">
        <v>7.34</v>
      </c>
      <c r="CB16">
        <v>-3.36</v>
      </c>
      <c r="CC16">
        <v>-18.059999999999999</v>
      </c>
      <c r="CD16" t="s">
        <v>917</v>
      </c>
      <c r="CE16" t="s">
        <v>918</v>
      </c>
      <c r="CF16" s="7">
        <v>-0.62397179788484136</v>
      </c>
      <c r="CG16" s="8">
        <v>-0.92011366929133853</v>
      </c>
      <c r="CH16" s="7">
        <v>-0.78652435541152954</v>
      </c>
      <c r="CI16" s="7">
        <v>-8.2619301974773407E-2</v>
      </c>
      <c r="CJ16" s="7">
        <v>0.40498703718185425</v>
      </c>
      <c r="CK16" s="7">
        <v>0.57162171602249146</v>
      </c>
      <c r="CL16" s="7">
        <v>0.19741100072860718</v>
      </c>
      <c r="CM16" s="8">
        <v>-0.94300222396850586</v>
      </c>
      <c r="CN16" s="8">
        <v>0.48333331942558289</v>
      </c>
      <c r="CO16" s="8">
        <v>0.1320754736661911</v>
      </c>
      <c r="CP16" s="8">
        <v>0.67773020267486572</v>
      </c>
      <c r="CQ16" s="8">
        <v>0.39986351132392883</v>
      </c>
      <c r="CR16">
        <v>26.778883190202649</v>
      </c>
      <c r="CS16">
        <v>4.3917649651003616</v>
      </c>
      <c r="CT16">
        <v>3.0339805825242721</v>
      </c>
      <c r="CU16" s="7">
        <v>6.0975219309329989E-2</v>
      </c>
      <c r="CV16" s="8">
        <v>0.15000005662441254</v>
      </c>
      <c r="CW16">
        <v>0.06</v>
      </c>
      <c r="CX16">
        <v>172.11476474903552</v>
      </c>
      <c r="CY16">
        <v>10154934.136815792</v>
      </c>
      <c r="CZ16">
        <v>6.0975219309329989E-2</v>
      </c>
      <c r="DA16">
        <v>57.649622244741039</v>
      </c>
      <c r="DB16">
        <v>30317876.023193553</v>
      </c>
      <c r="DC16">
        <v>5.7926458343863486E-2</v>
      </c>
      <c r="DD16">
        <v>29.320060005665855</v>
      </c>
      <c r="DE16">
        <v>59611545.803871125</v>
      </c>
      <c r="DF16">
        <v>5.3658192992210391E-2</v>
      </c>
      <c r="DG16">
        <v>18.257123089155876</v>
      </c>
      <c r="DH16">
        <v>95733270.322208837</v>
      </c>
      <c r="DI16">
        <v>4.8780175447463991E-2</v>
      </c>
      <c r="DJ16">
        <v>10.193991741123547</v>
      </c>
      <c r="DK16">
        <v>171455318.42537689</v>
      </c>
      <c r="DL16">
        <v>4.2682653516530993E-2</v>
      </c>
      <c r="DM16">
        <v>10145600</v>
      </c>
      <c r="DN16">
        <v>6.0975219309329989E-2</v>
      </c>
      <c r="DO16">
        <v>1747814100</v>
      </c>
      <c r="DP16">
        <v>468221770</v>
      </c>
      <c r="DQ16">
        <v>4015</v>
      </c>
      <c r="DR16">
        <v>-0.68494701719417139</v>
      </c>
      <c r="DS16">
        <v>-1.0701137259157512</v>
      </c>
      <c r="DT16" s="9">
        <v>-0.42333333333333339</v>
      </c>
      <c r="DU16">
        <v>-0.29000000000000004</v>
      </c>
      <c r="DV16">
        <v>-0.71333333333333337</v>
      </c>
      <c r="DW16">
        <v>-8.1860465116279073</v>
      </c>
      <c r="DX16">
        <v>0.43108016332046151</v>
      </c>
      <c r="DY16">
        <v>-8.0281079373619466</v>
      </c>
      <c r="DZ16">
        <v>1462</v>
      </c>
      <c r="EA16">
        <v>-8.0200660969660245</v>
      </c>
      <c r="EB16">
        <v>8</v>
      </c>
      <c r="EC16">
        <v>2.7497891688721555E-2</v>
      </c>
      <c r="ED16">
        <v>0.18200861770578627</v>
      </c>
      <c r="EE16" s="10">
        <v>-2.0276000000000001</v>
      </c>
      <c r="EF16">
        <v>-2.0179</v>
      </c>
      <c r="EG16">
        <v>28.151080163320461</v>
      </c>
      <c r="EH16" t="s">
        <v>793</v>
      </c>
      <c r="EI16">
        <v>0</v>
      </c>
      <c r="EJ16">
        <v>1</v>
      </c>
      <c r="EK16" s="12">
        <v>45470</v>
      </c>
      <c r="EL16" s="13">
        <v>-0.27</v>
      </c>
      <c r="EM16" s="13">
        <v>-4.3499999999999996</v>
      </c>
      <c r="EN16" s="13">
        <v>2.23</v>
      </c>
      <c r="EO16" s="13">
        <v>3.27</v>
      </c>
      <c r="EP16" s="13">
        <v>-0.97</v>
      </c>
    </row>
    <row r="17" spans="1:146" ht="96" x14ac:dyDescent="0.25">
      <c r="A17" s="5"/>
      <c r="B17" s="5"/>
      <c r="C17" s="5" t="str">
        <f>""&amp;CHAR(10)&amp;Basic_Fundamental_Information_Constructure(F17)&amp;CHAR(10)&amp;Basic_Fundamental_Information_Concatenate("")</f>
        <v xml:space="preserve">
市值80.5609亿, 利润4928.87万; PE28.25; 平均PE47.6; 平均PEG16.05, PB4.97; ROIC15.9767%; ROE21.5067%; 股利率2.0906%; 毛利19.05%; 净利10.5267%; 上一年度营收增-84.51%, 利润增-85.8%; 当季营收增-56.5%, 利润增-54.36%; 过往5年营收增2.97%, 利润增13.41%
Income profile:
</v>
      </c>
      <c r="D17" t="s">
        <v>250</v>
      </c>
      <c r="E17" t="s">
        <v>251</v>
      </c>
      <c r="F17">
        <v>14.35</v>
      </c>
      <c r="G17">
        <v>1.2</v>
      </c>
      <c r="H17" t="s">
        <v>919</v>
      </c>
      <c r="I17">
        <v>8056090000</v>
      </c>
      <c r="J17">
        <v>28.25</v>
      </c>
      <c r="K17">
        <v>4.97</v>
      </c>
      <c r="L17" t="s">
        <v>60</v>
      </c>
      <c r="M17" t="s">
        <v>126</v>
      </c>
      <c r="N17" t="s">
        <v>920</v>
      </c>
      <c r="O17" t="s">
        <v>921</v>
      </c>
      <c r="P17">
        <v>1.9</v>
      </c>
      <c r="Q17" t="s">
        <v>921</v>
      </c>
      <c r="R17">
        <v>49288730</v>
      </c>
      <c r="S17" s="6">
        <v>0.9466</v>
      </c>
      <c r="T17" t="s">
        <v>922</v>
      </c>
      <c r="U17">
        <v>155285250</v>
      </c>
      <c r="V17">
        <v>561400000</v>
      </c>
      <c r="W17">
        <v>1.58</v>
      </c>
      <c r="X17">
        <v>0.16</v>
      </c>
      <c r="Y17">
        <v>11.37</v>
      </c>
      <c r="Z17" t="s">
        <v>923</v>
      </c>
      <c r="AA17" t="s">
        <v>924</v>
      </c>
      <c r="AB17" t="s">
        <v>925</v>
      </c>
      <c r="AC17" t="s">
        <v>926</v>
      </c>
      <c r="AD17" t="s">
        <v>20</v>
      </c>
      <c r="AE17">
        <v>-10456802</v>
      </c>
      <c r="AF17" t="s">
        <v>927</v>
      </c>
      <c r="AG17">
        <v>7880.73</v>
      </c>
      <c r="AH17" t="s">
        <v>928</v>
      </c>
      <c r="AI17" t="s">
        <v>929</v>
      </c>
      <c r="AJ17" t="s">
        <v>930</v>
      </c>
      <c r="AK17" t="s">
        <v>20</v>
      </c>
      <c r="AL17" t="s">
        <v>931</v>
      </c>
      <c r="AM17" t="s">
        <v>20</v>
      </c>
      <c r="AN17" t="s">
        <v>932</v>
      </c>
      <c r="AO17" t="s">
        <v>203</v>
      </c>
      <c r="AP17" t="s">
        <v>327</v>
      </c>
      <c r="AQ17" t="s">
        <v>308</v>
      </c>
      <c r="AR17" t="s">
        <v>933</v>
      </c>
      <c r="AS17" t="s">
        <v>934</v>
      </c>
      <c r="AT17" t="s">
        <v>20</v>
      </c>
      <c r="AU17" t="s">
        <v>935</v>
      </c>
      <c r="AV17" t="s">
        <v>936</v>
      </c>
      <c r="AW17" t="s">
        <v>937</v>
      </c>
      <c r="AX17" t="s">
        <v>487</v>
      </c>
      <c r="AY17" t="s">
        <v>252</v>
      </c>
      <c r="AZ17" t="s">
        <v>254</v>
      </c>
      <c r="BA17" t="s">
        <v>255</v>
      </c>
      <c r="BB17" t="s">
        <v>256</v>
      </c>
      <c r="BC17" t="s">
        <v>488</v>
      </c>
      <c r="BD17" t="s">
        <v>253</v>
      </c>
      <c r="BE17" t="s">
        <v>258</v>
      </c>
      <c r="BF17" t="s">
        <v>259</v>
      </c>
      <c r="BG17" t="s">
        <v>98</v>
      </c>
      <c r="BH17" t="s">
        <v>938</v>
      </c>
      <c r="BI17" t="s">
        <v>491</v>
      </c>
      <c r="BJ17" t="s">
        <v>487</v>
      </c>
      <c r="BK17" t="s">
        <v>939</v>
      </c>
      <c r="BL17" t="s">
        <v>89</v>
      </c>
      <c r="BM17" t="s">
        <v>488</v>
      </c>
      <c r="BN17">
        <v>10.3</v>
      </c>
      <c r="BO17">
        <v>21.1</v>
      </c>
      <c r="BP17">
        <v>16.53</v>
      </c>
      <c r="BQ17">
        <v>12.97</v>
      </c>
      <c r="BR17">
        <v>25.08</v>
      </c>
      <c r="BS17">
        <v>26.47</v>
      </c>
      <c r="BT17" t="s">
        <v>401</v>
      </c>
      <c r="BU17" t="s">
        <v>60</v>
      </c>
      <c r="BV17">
        <v>20.21</v>
      </c>
      <c r="BW17">
        <v>20.11</v>
      </c>
      <c r="BX17">
        <v>16.829999999999998</v>
      </c>
      <c r="BY17">
        <v>9.8800000000000008</v>
      </c>
      <c r="BZ17">
        <v>12.71</v>
      </c>
      <c r="CA17">
        <v>8.99</v>
      </c>
      <c r="CB17">
        <v>-2.78</v>
      </c>
      <c r="CC17">
        <v>-8.7200000000000006</v>
      </c>
      <c r="CD17" t="s">
        <v>940</v>
      </c>
      <c r="CE17" t="s">
        <v>316</v>
      </c>
      <c r="CF17" s="7">
        <v>-0.56499488229273287</v>
      </c>
      <c r="CG17" s="8">
        <v>-0.54362287037037038</v>
      </c>
      <c r="CH17" s="7">
        <v>-0.84511661529541016</v>
      </c>
      <c r="CI17" s="7">
        <v>5.4978881031274796E-2</v>
      </c>
      <c r="CJ17" s="7">
        <v>0.24152737855911255</v>
      </c>
      <c r="CK17" s="7">
        <v>0.89936530590057373</v>
      </c>
      <c r="CL17" s="7">
        <v>-0.20245841145515442</v>
      </c>
      <c r="CM17" s="8">
        <v>-0.85795760154724121</v>
      </c>
      <c r="CN17" s="8">
        <v>0.49568966031074524</v>
      </c>
      <c r="CO17" s="8">
        <v>0.34883719682693481</v>
      </c>
      <c r="CP17" s="8">
        <v>1.0406590700149536</v>
      </c>
      <c r="CQ17" s="8">
        <v>-0.35659164190292358</v>
      </c>
      <c r="CR17">
        <v>47.595234700492881</v>
      </c>
      <c r="CS17">
        <v>16.047318131885628</v>
      </c>
      <c r="CT17">
        <v>2.0905923344947737</v>
      </c>
      <c r="CU17" s="7">
        <v>2.9659307748079299E-2</v>
      </c>
      <c r="CV17" s="8">
        <v>0.13412733674049376</v>
      </c>
      <c r="CW17">
        <v>0.06</v>
      </c>
      <c r="CX17">
        <v>156.08643606385607</v>
      </c>
      <c r="CY17">
        <v>47877895.020568639</v>
      </c>
      <c r="CZ17">
        <v>2.9659307748079299E-2</v>
      </c>
      <c r="DA17">
        <v>53.699916571647663</v>
      </c>
      <c r="DB17">
        <v>139163903.35596204</v>
      </c>
      <c r="DC17">
        <v>2.8176342360675333E-2</v>
      </c>
      <c r="DD17">
        <v>28.27086123706858</v>
      </c>
      <c r="DE17">
        <v>264338957.95863941</v>
      </c>
      <c r="DF17">
        <v>2.6100190818309783E-2</v>
      </c>
      <c r="DG17">
        <v>18.27054737023775</v>
      </c>
      <c r="DH17">
        <v>409023870.41635495</v>
      </c>
      <c r="DI17">
        <v>2.3727446198463439E-2</v>
      </c>
      <c r="DJ17">
        <v>11.002845675080243</v>
      </c>
      <c r="DK17">
        <v>679196111.68639779</v>
      </c>
      <c r="DL17">
        <v>2.0761515423655508E-2</v>
      </c>
      <c r="DM17">
        <v>49288700</v>
      </c>
      <c r="DN17">
        <v>2.9659307748079299E-2</v>
      </c>
      <c r="DO17">
        <v>7473090000</v>
      </c>
      <c r="DP17">
        <v>897842299.99999988</v>
      </c>
      <c r="DQ17">
        <v>4019</v>
      </c>
      <c r="DR17">
        <v>-0.59465419004081221</v>
      </c>
      <c r="DS17">
        <v>-0.67775020711086409</v>
      </c>
      <c r="DT17" s="9">
        <v>-0.50666666666666671</v>
      </c>
      <c r="DU17">
        <v>-0.13666666666666669</v>
      </c>
      <c r="DV17">
        <v>-0.64333333333333342</v>
      </c>
      <c r="DW17">
        <v>-8.3188073394495419</v>
      </c>
      <c r="DX17">
        <v>0.36299932432432369</v>
      </c>
      <c r="DY17">
        <v>-8.042401160736425</v>
      </c>
      <c r="DZ17">
        <v>2021</v>
      </c>
      <c r="EA17">
        <v>-8.025631543153585</v>
      </c>
      <c r="EB17">
        <v>8</v>
      </c>
      <c r="EC17">
        <v>3.5062166013537586E-2</v>
      </c>
      <c r="ED17">
        <v>0.26362664766654792</v>
      </c>
      <c r="EE17" s="10">
        <v>5.3309999999999996E-2</v>
      </c>
      <c r="EF17">
        <v>8.4510000000000002E-2</v>
      </c>
      <c r="EG17">
        <v>23.132999324324324</v>
      </c>
      <c r="EH17">
        <v>-1</v>
      </c>
      <c r="EI17">
        <v>0</v>
      </c>
      <c r="EJ17">
        <v>0</v>
      </c>
      <c r="EK17" s="12">
        <v>45470</v>
      </c>
      <c r="EL17" s="13">
        <v>1.62</v>
      </c>
      <c r="EM17" s="13">
        <v>-1.96</v>
      </c>
      <c r="EN17" s="13">
        <v>-0.19</v>
      </c>
      <c r="EO17" s="13">
        <v>1.24</v>
      </c>
      <c r="EP17" s="13">
        <v>-3.12</v>
      </c>
    </row>
    <row r="18" spans="1:146" ht="156" x14ac:dyDescent="0.25">
      <c r="A18" s="5"/>
      <c r="B18" s="5"/>
      <c r="C18" s="5" t="str">
        <f>"公司专业从事吸尘器、空气净化器、净水机、厨房电器等高端健康生活小家电产品和园林工具产品，主要产品有吸尘器、园艺工具、厨房小家电、涡扇吹风机、智能舒适风扇。"&amp;CHAR(10)&amp;Basic_Fundamental_Information_Constructure(F18)&amp;CHAR(10)&amp;Basic_Fundamental_Information_Concatenate("环境清洁电器 48.64亿 61.22% 67.32% 23.96%
园林工具 10.58亿 4.34% 9.66% 15.81%
电机 9.48亿 11.93% 8.44% 15.40%
其他产品 7.71亿 9.71% 11.74% 26.36%")</f>
        <v>公司专业从事吸尘器、空气净化器、净水机、厨房电器等高端健康生活小家电产品和园林工具产品，主要产品有吸尘器、园艺工具、厨房小家电、涡扇吹风机、智能舒适风扇。
市值116.749397亿, 利润2.72亿; PE9.82; 平均PE22.91; 平均PEG6.45, PB2.58; ROIC10.6767%; ROE20.7233%; 股利率0%; 毛利23.4733%; 净利10.0333%; 上一年度营收增-76.72%, 利润增-73.59%; 当季营收增-36.63%, 利润增-52.62%; 过往5年营收增-3.55%, 利润增13.71%
Income profile:
环境清洁电器 48.64亿 61.22% 67.32% 23.96%
园林工具 10.58亿 4.34% 9.66% 15.81%
电机 9.48亿 11.93% 8.44% 15.40%
其他产品 7.71亿 9.71% 11.74% 26.36%</v>
      </c>
      <c r="D18" t="s">
        <v>155</v>
      </c>
      <c r="E18" t="s">
        <v>156</v>
      </c>
      <c r="F18">
        <v>20.350000000000001</v>
      </c>
      <c r="G18">
        <v>-0.15</v>
      </c>
      <c r="H18" t="s">
        <v>941</v>
      </c>
      <c r="I18">
        <v>11674939700</v>
      </c>
      <c r="J18">
        <v>9.82</v>
      </c>
      <c r="K18">
        <v>2.58</v>
      </c>
      <c r="L18" t="s">
        <v>60</v>
      </c>
      <c r="M18" t="s">
        <v>942</v>
      </c>
      <c r="N18" t="s">
        <v>943</v>
      </c>
      <c r="O18" t="s">
        <v>944</v>
      </c>
      <c r="P18">
        <v>11.68</v>
      </c>
      <c r="Q18" t="s">
        <v>944</v>
      </c>
      <c r="R18">
        <v>271959280</v>
      </c>
      <c r="S18" s="6">
        <v>0.36</v>
      </c>
      <c r="T18" t="s">
        <v>945</v>
      </c>
      <c r="U18">
        <v>568887750</v>
      </c>
      <c r="V18">
        <v>573707110</v>
      </c>
      <c r="W18">
        <v>2.95</v>
      </c>
      <c r="X18">
        <v>0.18</v>
      </c>
      <c r="Y18">
        <v>11.77</v>
      </c>
      <c r="Z18" t="s">
        <v>946</v>
      </c>
      <c r="AA18" t="s">
        <v>947</v>
      </c>
      <c r="AB18" t="s">
        <v>242</v>
      </c>
      <c r="AC18" t="s">
        <v>948</v>
      </c>
      <c r="AD18" t="s">
        <v>20</v>
      </c>
      <c r="AE18">
        <v>-54136335</v>
      </c>
      <c r="AF18" t="s">
        <v>55</v>
      </c>
      <c r="AG18" t="s">
        <v>949</v>
      </c>
      <c r="AH18" t="s">
        <v>950</v>
      </c>
      <c r="AI18" t="s">
        <v>951</v>
      </c>
      <c r="AJ18" t="s">
        <v>952</v>
      </c>
      <c r="AK18" t="s">
        <v>953</v>
      </c>
      <c r="AL18" t="s">
        <v>954</v>
      </c>
      <c r="AM18" t="s">
        <v>20</v>
      </c>
      <c r="AN18" t="s">
        <v>405</v>
      </c>
      <c r="AO18" t="s">
        <v>955</v>
      </c>
      <c r="AP18" t="s">
        <v>956</v>
      </c>
      <c r="AQ18" t="s">
        <v>957</v>
      </c>
      <c r="AR18" t="s">
        <v>20</v>
      </c>
      <c r="AS18" t="s">
        <v>958</v>
      </c>
      <c r="AT18" t="s">
        <v>959</v>
      </c>
      <c r="AU18" t="s">
        <v>960</v>
      </c>
      <c r="AV18" t="s">
        <v>961</v>
      </c>
      <c r="AW18" t="s">
        <v>962</v>
      </c>
      <c r="AX18" t="s">
        <v>963</v>
      </c>
      <c r="AY18" t="s">
        <v>260</v>
      </c>
      <c r="AZ18" t="s">
        <v>157</v>
      </c>
      <c r="BA18" t="s">
        <v>159</v>
      </c>
      <c r="BB18" t="s">
        <v>160</v>
      </c>
      <c r="BC18" t="s">
        <v>270</v>
      </c>
      <c r="BD18" t="s">
        <v>85</v>
      </c>
      <c r="BE18" t="s">
        <v>49</v>
      </c>
      <c r="BF18" t="s">
        <v>57</v>
      </c>
      <c r="BG18" t="s">
        <v>161</v>
      </c>
      <c r="BH18" t="s">
        <v>964</v>
      </c>
      <c r="BI18" t="s">
        <v>493</v>
      </c>
      <c r="BJ18" t="s">
        <v>963</v>
      </c>
      <c r="BK18" t="s">
        <v>965</v>
      </c>
      <c r="BL18" t="s">
        <v>494</v>
      </c>
      <c r="BM18" t="s">
        <v>270</v>
      </c>
      <c r="BN18">
        <v>6.37</v>
      </c>
      <c r="BO18">
        <v>14.32</v>
      </c>
      <c r="BP18">
        <v>11.34</v>
      </c>
      <c r="BQ18">
        <v>19.75</v>
      </c>
      <c r="BR18">
        <v>27.42</v>
      </c>
      <c r="BS18">
        <v>15</v>
      </c>
      <c r="BT18" t="s">
        <v>400</v>
      </c>
      <c r="BU18" t="s">
        <v>60</v>
      </c>
      <c r="BV18">
        <v>25.61</v>
      </c>
      <c r="BW18">
        <v>23.02</v>
      </c>
      <c r="BX18">
        <v>21.79</v>
      </c>
      <c r="BY18">
        <v>12.73</v>
      </c>
      <c r="BZ18">
        <v>11.04</v>
      </c>
      <c r="CA18">
        <v>6.33</v>
      </c>
      <c r="CB18">
        <v>-5.79</v>
      </c>
      <c r="CC18">
        <v>-25.43</v>
      </c>
      <c r="CD18" t="s">
        <v>966</v>
      </c>
      <c r="CE18" t="s">
        <v>967</v>
      </c>
      <c r="CF18" s="7">
        <v>-0.3663013698630137</v>
      </c>
      <c r="CG18" s="8">
        <v>-0.52620334494773524</v>
      </c>
      <c r="CH18" s="7">
        <v>-0.76723361015319824</v>
      </c>
      <c r="CI18" s="7">
        <v>0.25056639313697815</v>
      </c>
      <c r="CJ18" s="7">
        <v>0.26508516073226929</v>
      </c>
      <c r="CK18" s="7">
        <v>0.10135014355182648</v>
      </c>
      <c r="CL18" s="7">
        <v>-2.7455650269985199E-2</v>
      </c>
      <c r="CM18" s="8">
        <v>-0.73592233657836914</v>
      </c>
      <c r="CN18" s="8">
        <v>1.0477137565612793</v>
      </c>
      <c r="CO18" s="8">
        <v>0.53353661298751831</v>
      </c>
      <c r="CP18" s="8">
        <v>-0.3466135561466217</v>
      </c>
      <c r="CQ18" s="8">
        <v>0.18676123023033142</v>
      </c>
      <c r="CR18">
        <v>22.907010529758011</v>
      </c>
      <c r="CS18">
        <v>6.4458677193648199</v>
      </c>
      <c r="CT18">
        <v>0</v>
      </c>
      <c r="CU18" s="7">
        <v>-3.5537512600421907E-2</v>
      </c>
      <c r="CV18" s="8">
        <v>0.13709514141082763</v>
      </c>
      <c r="CW18">
        <v>0.06</v>
      </c>
      <c r="CX18">
        <v>55.885807720588232</v>
      </c>
      <c r="CY18" t="s">
        <v>968</v>
      </c>
      <c r="CZ18">
        <v>-3.5537512600421907E-2</v>
      </c>
      <c r="DA18">
        <v>18.628602573529413</v>
      </c>
      <c r="DB18" t="s">
        <v>969</v>
      </c>
      <c r="DC18">
        <v>-3.3760636970400812E-2</v>
      </c>
      <c r="DD18">
        <v>9.3143012867647066</v>
      </c>
      <c r="DE18" t="s">
        <v>970</v>
      </c>
      <c r="DF18">
        <v>-3.1273011088371279E-2</v>
      </c>
      <c r="DG18">
        <v>5.5885807720588234</v>
      </c>
      <c r="DH18" t="s">
        <v>971</v>
      </c>
      <c r="DI18">
        <v>-2.8430010080337527E-2</v>
      </c>
      <c r="DJ18">
        <v>2.7942903860294117</v>
      </c>
      <c r="DK18" t="s">
        <v>972</v>
      </c>
      <c r="DL18">
        <v>-2.4876258820295333E-2</v>
      </c>
      <c r="DM18">
        <v>272000000</v>
      </c>
      <c r="DN18">
        <v>-3.5537512600421907E-2</v>
      </c>
      <c r="DO18">
        <v>15200939700</v>
      </c>
      <c r="DP18">
        <v>3306112900</v>
      </c>
      <c r="DQ18">
        <v>4112</v>
      </c>
      <c r="DR18">
        <v>-0.33076385726259178</v>
      </c>
      <c r="DS18">
        <v>-0.66329848635856292</v>
      </c>
      <c r="DT18" s="9">
        <v>-0.49</v>
      </c>
      <c r="DU18">
        <v>-0.13666666666666669</v>
      </c>
      <c r="DV18">
        <v>-0.62666666666666671</v>
      </c>
      <c r="DW18">
        <v>-8.2276838379866302</v>
      </c>
      <c r="DX18">
        <v>0.35104122180414593</v>
      </c>
      <c r="DY18">
        <v>-8.0343896450745582</v>
      </c>
      <c r="DZ18">
        <v>4862</v>
      </c>
      <c r="EA18">
        <v>-8.001669008214968</v>
      </c>
      <c r="EB18">
        <v>8</v>
      </c>
      <c r="EC18">
        <v>1.7569243651172461E-2</v>
      </c>
      <c r="ED18">
        <v>0.11632085228994286</v>
      </c>
      <c r="EE18" s="10">
        <v>1.0590999999999999</v>
      </c>
      <c r="EF18">
        <v>1.0491999999999999</v>
      </c>
      <c r="EG18">
        <v>20.151041221804146</v>
      </c>
      <c r="EH18" t="s">
        <v>404</v>
      </c>
      <c r="EI18">
        <v>0</v>
      </c>
      <c r="EJ18">
        <v>0</v>
      </c>
      <c r="EK18" s="12">
        <v>45470</v>
      </c>
      <c r="EL18" s="13">
        <v>-2.96</v>
      </c>
      <c r="EM18" s="13">
        <v>-2.64</v>
      </c>
      <c r="EN18" s="13">
        <v>2.37</v>
      </c>
      <c r="EO18" s="13">
        <v>0.25</v>
      </c>
      <c r="EP18" s="13">
        <v>-0.99</v>
      </c>
    </row>
    <row r="19" spans="1:146" ht="132" x14ac:dyDescent="0.25">
      <c r="A19" s="5"/>
      <c r="B19" s="5"/>
      <c r="C19" s="5" t="str">
        <f>"公司主营业务是各类家庭服务机器人、清洁类小家电等智能家用设备及相关零部件的研发、设计、生产与销售，主要产品大致可划分为服务机器人和清洁类小家电等两大模块。"&amp;CHAR(10)&amp;Basic_Fundamental_Information_Constructure(F19)&amp;CHAR(10)&amp;Basic_Fundamental_Information_Concatenate("服务机器人 68.27亿 52.17% 50.51% 49.77%
智能生活电器 60.12亿 45.94% 49.10% 54.93%")</f>
        <v>公司主营业务是各类家庭服务机器人、清洁类小家电等智能家用设备及相关零部件的研发、设计、生产与销售，主要产品大致可划分为服务机器人和清洁类小家电等两大模块。
市值254.27776亿, 利润2.98亿; PE43.57; 平均PE29.04; 平均PEG2.9, PB3.78; ROIC24.92%; ROE30.2133%; 股利率.6801%; 毛利50.1733%; 净利10.1433%; 上一年度营收增-77.33%, 利润增-82.45%; 当季营收增-51.37%, 利润增-49.02%; 过往5年营收增10.03%, 利润增94.06%
Income profile:
服务机器人 68.27亿 52.17% 50.51% 49.77%
智能生活电器 60.12亿 45.94% 49.10% 54.93%</v>
      </c>
      <c r="D19" t="s">
        <v>162</v>
      </c>
      <c r="E19" t="s">
        <v>163</v>
      </c>
      <c r="F19">
        <v>44.11</v>
      </c>
      <c r="G19">
        <v>0.09</v>
      </c>
      <c r="H19" t="s">
        <v>973</v>
      </c>
      <c r="I19">
        <v>25427776000</v>
      </c>
      <c r="J19">
        <v>43.57</v>
      </c>
      <c r="K19">
        <v>3.78</v>
      </c>
      <c r="L19" t="s">
        <v>60</v>
      </c>
      <c r="M19" t="s">
        <v>974</v>
      </c>
      <c r="N19" t="s">
        <v>975</v>
      </c>
      <c r="O19" t="s">
        <v>692</v>
      </c>
      <c r="P19">
        <v>7.35</v>
      </c>
      <c r="Q19" t="s">
        <v>692</v>
      </c>
      <c r="R19">
        <v>297737150</v>
      </c>
      <c r="S19" s="6">
        <v>-8.7099999999999997E-2</v>
      </c>
      <c r="T19" t="s">
        <v>509</v>
      </c>
      <c r="U19">
        <v>569201440</v>
      </c>
      <c r="V19">
        <v>576462840</v>
      </c>
      <c r="W19">
        <v>1.99</v>
      </c>
      <c r="X19">
        <v>0.26</v>
      </c>
      <c r="Y19">
        <v>8.58</v>
      </c>
      <c r="Z19" t="s">
        <v>976</v>
      </c>
      <c r="AA19" t="s">
        <v>507</v>
      </c>
      <c r="AB19" t="s">
        <v>977</v>
      </c>
      <c r="AC19" t="s">
        <v>324</v>
      </c>
      <c r="AD19" t="s">
        <v>20</v>
      </c>
      <c r="AE19">
        <v>18546469</v>
      </c>
      <c r="AF19" t="s">
        <v>978</v>
      </c>
      <c r="AG19" t="s">
        <v>979</v>
      </c>
      <c r="AH19" t="s">
        <v>980</v>
      </c>
      <c r="AI19" t="s">
        <v>981</v>
      </c>
      <c r="AJ19" t="s">
        <v>982</v>
      </c>
      <c r="AK19" t="s">
        <v>20</v>
      </c>
      <c r="AL19" t="s">
        <v>983</v>
      </c>
      <c r="AM19" t="s">
        <v>20</v>
      </c>
      <c r="AN19" t="s">
        <v>984</v>
      </c>
      <c r="AO19" t="s">
        <v>985</v>
      </c>
      <c r="AP19" t="s">
        <v>986</v>
      </c>
      <c r="AQ19" t="s">
        <v>513</v>
      </c>
      <c r="AR19" t="s">
        <v>20</v>
      </c>
      <c r="AS19" t="s">
        <v>987</v>
      </c>
      <c r="AT19" t="s">
        <v>959</v>
      </c>
      <c r="AU19" t="s">
        <v>988</v>
      </c>
      <c r="AV19" t="s">
        <v>989</v>
      </c>
      <c r="AW19" t="s">
        <v>464</v>
      </c>
      <c r="AX19" t="s">
        <v>495</v>
      </c>
      <c r="AY19" t="s">
        <v>261</v>
      </c>
      <c r="AZ19" t="s">
        <v>164</v>
      </c>
      <c r="BA19" t="s">
        <v>166</v>
      </c>
      <c r="BB19" t="s">
        <v>167</v>
      </c>
      <c r="BC19" t="s">
        <v>496</v>
      </c>
      <c r="BD19" t="s">
        <v>262</v>
      </c>
      <c r="BE19" t="s">
        <v>165</v>
      </c>
      <c r="BF19" t="s">
        <v>168</v>
      </c>
      <c r="BG19" t="s">
        <v>130</v>
      </c>
      <c r="BH19" t="s">
        <v>990</v>
      </c>
      <c r="BI19" t="s">
        <v>498</v>
      </c>
      <c r="BJ19" t="s">
        <v>495</v>
      </c>
      <c r="BK19" t="s">
        <v>991</v>
      </c>
      <c r="BL19" t="s">
        <v>437</v>
      </c>
      <c r="BM19" t="s">
        <v>496</v>
      </c>
      <c r="BN19">
        <v>7.17</v>
      </c>
      <c r="BO19">
        <v>24.53</v>
      </c>
      <c r="BP19">
        <v>43.06</v>
      </c>
      <c r="BQ19">
        <v>9.2799999999999994</v>
      </c>
      <c r="BR19">
        <v>30.46</v>
      </c>
      <c r="BS19">
        <v>50.9</v>
      </c>
      <c r="BT19" t="s">
        <v>401</v>
      </c>
      <c r="BU19" t="s">
        <v>60</v>
      </c>
      <c r="BV19">
        <v>47.5</v>
      </c>
      <c r="BW19">
        <v>51.61</v>
      </c>
      <c r="BX19">
        <v>51.41</v>
      </c>
      <c r="BY19">
        <v>3.94</v>
      </c>
      <c r="BZ19">
        <v>11.1</v>
      </c>
      <c r="CA19">
        <v>15.39</v>
      </c>
      <c r="CB19">
        <v>-6.51</v>
      </c>
      <c r="CC19">
        <v>-16.47</v>
      </c>
      <c r="CD19" t="s">
        <v>992</v>
      </c>
      <c r="CE19" t="s">
        <v>993</v>
      </c>
      <c r="CF19" s="7">
        <v>-0.51371780515117582</v>
      </c>
      <c r="CG19" s="8">
        <v>-0.49017611301369862</v>
      </c>
      <c r="CH19" s="7">
        <v>-0.77331161499023438</v>
      </c>
      <c r="CI19" s="7">
        <v>0.17109884321689606</v>
      </c>
      <c r="CJ19" s="7">
        <v>0.80895775556564331</v>
      </c>
      <c r="CK19" s="7">
        <v>0.36182227730751038</v>
      </c>
      <c r="CL19" s="7">
        <v>-6.7088186740875244E-2</v>
      </c>
      <c r="CM19" s="8">
        <v>-0.82449942827224731</v>
      </c>
      <c r="CN19" s="8">
        <v>-0.15522387623786926</v>
      </c>
      <c r="CO19" s="8">
        <v>2.1357252597808838</v>
      </c>
      <c r="CP19" s="8">
        <v>4.297520637512207</v>
      </c>
      <c r="CQ19" s="8">
        <v>-0.75051546096801758</v>
      </c>
      <c r="CR19">
        <v>29.04371901770417</v>
      </c>
      <c r="CS19">
        <v>2.8958056779170565</v>
      </c>
      <c r="CT19">
        <v>0.68011788710043075</v>
      </c>
      <c r="CU19" s="7">
        <v>0.10029581487178803</v>
      </c>
      <c r="CV19" s="8">
        <v>0.94060142636299138</v>
      </c>
      <c r="CW19">
        <v>0.06</v>
      </c>
      <c r="CX19">
        <v>82.209626444869585</v>
      </c>
      <c r="CY19">
        <v>309328446.06772912</v>
      </c>
      <c r="CZ19">
        <v>0.10029581487178803</v>
      </c>
      <c r="DA19">
        <v>26.632408224568476</v>
      </c>
      <c r="DB19">
        <v>954843279.11964631</v>
      </c>
      <c r="DC19">
        <v>9.5281024128198624E-2</v>
      </c>
      <c r="DD19">
        <v>12.958132154360962</v>
      </c>
      <c r="DE19">
        <v>1962456911.0017757</v>
      </c>
      <c r="DF19">
        <v>8.8260317087173468E-2</v>
      </c>
      <c r="DG19">
        <v>7.6791656348529136</v>
      </c>
      <c r="DH19">
        <v>3311528518.7473469</v>
      </c>
      <c r="DI19">
        <v>8.0236651897430428E-2</v>
      </c>
      <c r="DJ19">
        <v>3.8524136159283651</v>
      </c>
      <c r="DK19">
        <v>6600998370.1793823</v>
      </c>
      <c r="DL19">
        <v>7.0207070410251621E-2</v>
      </c>
      <c r="DM19">
        <v>298000000</v>
      </c>
      <c r="DN19">
        <v>0.10029581487178803</v>
      </c>
      <c r="DO19">
        <v>25429776000</v>
      </c>
      <c r="DP19">
        <v>5052916900</v>
      </c>
      <c r="DQ19">
        <v>4153</v>
      </c>
      <c r="DR19">
        <v>-0.61401362002296389</v>
      </c>
      <c r="DS19">
        <v>-1.4307775393766899</v>
      </c>
      <c r="DT19" s="9">
        <v>-0.24000000000000007</v>
      </c>
      <c r="DU19">
        <v>-0.15483333333333341</v>
      </c>
      <c r="DV19">
        <v>-0.39483333333333348</v>
      </c>
      <c r="DW19">
        <v>-9.3952641165755928</v>
      </c>
      <c r="DX19">
        <v>0.33389951456310768</v>
      </c>
      <c r="DY19">
        <v>-9.0608309556651996</v>
      </c>
      <c r="DZ19">
        <v>2111</v>
      </c>
      <c r="EA19">
        <v>-9.0357009855264057</v>
      </c>
      <c r="EB19">
        <v>9</v>
      </c>
      <c r="EC19">
        <v>5.4996259602787236E-2</v>
      </c>
      <c r="ED19">
        <v>0.3573517418746367</v>
      </c>
      <c r="EE19" s="10">
        <v>-1.0520099999999999</v>
      </c>
      <c r="EF19">
        <v>-1.0766100000000001</v>
      </c>
      <c r="EG19">
        <v>18.153899514563108</v>
      </c>
      <c r="EH19" t="s">
        <v>512</v>
      </c>
      <c r="EI19">
        <v>0</v>
      </c>
      <c r="EJ19">
        <v>0</v>
      </c>
      <c r="EK19" s="12">
        <v>45470</v>
      </c>
      <c r="EL19" s="13">
        <v>-0.28000000000000003</v>
      </c>
      <c r="EM19" s="13">
        <v>-4.71</v>
      </c>
      <c r="EN19" s="13">
        <v>0.6</v>
      </c>
      <c r="EO19" s="13">
        <v>2.68</v>
      </c>
      <c r="EP19" s="13">
        <v>-2.46</v>
      </c>
    </row>
    <row r="20" spans="1:146" ht="96" x14ac:dyDescent="0.25">
      <c r="A20" s="5"/>
      <c r="B20" s="5"/>
      <c r="C20" s="5" t="str">
        <f>""&amp;CHAR(10)&amp;Basic_Fundamental_Information_Constructure(F20)&amp;CHAR(10)&amp;Basic_Fundamental_Information_Concatenate("")</f>
        <v xml:space="preserve">
市值26.745147亿, 利润6274.18万; PE11.73; 平均PE13.36; 平均PEG.78, PB1.33; ROIC7.24%; ROE10.2733%; 股利率6.7069%; 毛利28.06%; 净利9.3033%; 上一年度营收增-80%, 利润增-61.74%; 当季营收增-54.94%, 利润增-40.25%; 过往5年营收增-17.17%, 利润增-17.18%
Income profile:
</v>
      </c>
      <c r="D20" t="s">
        <v>169</v>
      </c>
      <c r="E20" t="s">
        <v>170</v>
      </c>
      <c r="F20">
        <v>14.91</v>
      </c>
      <c r="G20">
        <v>1.43</v>
      </c>
      <c r="H20" t="s">
        <v>994</v>
      </c>
      <c r="I20">
        <v>2674514700</v>
      </c>
      <c r="J20">
        <v>11.73</v>
      </c>
      <c r="K20">
        <v>1.33</v>
      </c>
      <c r="L20" t="s">
        <v>60</v>
      </c>
      <c r="M20" t="s">
        <v>995</v>
      </c>
      <c r="N20" t="s">
        <v>996</v>
      </c>
      <c r="O20" t="s">
        <v>997</v>
      </c>
      <c r="P20">
        <v>3.86</v>
      </c>
      <c r="Q20" t="s">
        <v>997</v>
      </c>
      <c r="R20">
        <v>62741790</v>
      </c>
      <c r="S20" s="6">
        <v>0.67310000000000003</v>
      </c>
      <c r="T20" t="s">
        <v>998</v>
      </c>
      <c r="U20">
        <v>179377240</v>
      </c>
      <c r="V20">
        <v>179377240</v>
      </c>
      <c r="W20">
        <v>1.68</v>
      </c>
      <c r="X20">
        <v>0.12</v>
      </c>
      <c r="Y20">
        <v>15.69</v>
      </c>
      <c r="Z20" t="s">
        <v>318</v>
      </c>
      <c r="AA20" t="s">
        <v>999</v>
      </c>
      <c r="AB20" t="s">
        <v>1000</v>
      </c>
      <c r="AC20" t="s">
        <v>1001</v>
      </c>
      <c r="AD20" t="s">
        <v>20</v>
      </c>
      <c r="AE20">
        <v>-8020862</v>
      </c>
      <c r="AF20" t="s">
        <v>1002</v>
      </c>
      <c r="AG20" t="s">
        <v>1003</v>
      </c>
      <c r="AH20" t="s">
        <v>1004</v>
      </c>
      <c r="AI20" t="s">
        <v>315</v>
      </c>
      <c r="AJ20" t="s">
        <v>1005</v>
      </c>
      <c r="AK20" t="s">
        <v>20</v>
      </c>
      <c r="AL20" t="s">
        <v>1006</v>
      </c>
      <c r="AM20" t="s">
        <v>20</v>
      </c>
      <c r="AN20" t="s">
        <v>1007</v>
      </c>
      <c r="AO20" t="s">
        <v>1008</v>
      </c>
      <c r="AP20" t="s">
        <v>1009</v>
      </c>
      <c r="AQ20" t="s">
        <v>408</v>
      </c>
      <c r="AR20" t="s">
        <v>20</v>
      </c>
      <c r="AS20" t="s">
        <v>840</v>
      </c>
      <c r="AT20" t="s">
        <v>20</v>
      </c>
      <c r="AU20" t="s">
        <v>1010</v>
      </c>
      <c r="AV20" t="s">
        <v>1011</v>
      </c>
      <c r="AW20" t="s">
        <v>1012</v>
      </c>
      <c r="AX20" t="s">
        <v>499</v>
      </c>
      <c r="AY20" t="s">
        <v>263</v>
      </c>
      <c r="AZ20" t="s">
        <v>171</v>
      </c>
      <c r="BA20" t="s">
        <v>172</v>
      </c>
      <c r="BB20" t="s">
        <v>173</v>
      </c>
      <c r="BC20" t="s">
        <v>500</v>
      </c>
      <c r="BD20" t="s">
        <v>264</v>
      </c>
      <c r="BE20" t="s">
        <v>158</v>
      </c>
      <c r="BF20" t="s">
        <v>174</v>
      </c>
      <c r="BG20" t="s">
        <v>175</v>
      </c>
      <c r="BH20" t="s">
        <v>1013</v>
      </c>
      <c r="BI20" t="s">
        <v>501</v>
      </c>
      <c r="BJ20" t="s">
        <v>499</v>
      </c>
      <c r="BK20" t="s">
        <v>863</v>
      </c>
      <c r="BL20" t="s">
        <v>100</v>
      </c>
      <c r="BM20" t="s">
        <v>500</v>
      </c>
      <c r="BN20">
        <v>5</v>
      </c>
      <c r="BO20">
        <v>6.28</v>
      </c>
      <c r="BP20">
        <v>10.44</v>
      </c>
      <c r="BQ20">
        <v>7.94</v>
      </c>
      <c r="BR20">
        <v>9.08</v>
      </c>
      <c r="BS20">
        <v>13.8</v>
      </c>
      <c r="BT20" t="s">
        <v>1014</v>
      </c>
      <c r="BU20" t="s">
        <v>60</v>
      </c>
      <c r="BV20">
        <v>30.82</v>
      </c>
      <c r="BW20">
        <v>26.52</v>
      </c>
      <c r="BX20">
        <v>26.84</v>
      </c>
      <c r="BY20">
        <v>10.96</v>
      </c>
      <c r="BZ20">
        <v>8.2200000000000006</v>
      </c>
      <c r="CA20">
        <v>8.73</v>
      </c>
      <c r="CB20">
        <v>-3.56</v>
      </c>
      <c r="CC20">
        <v>-16.52</v>
      </c>
      <c r="CD20" t="s">
        <v>1015</v>
      </c>
      <c r="CE20" t="s">
        <v>1016</v>
      </c>
      <c r="CF20" s="7">
        <v>-0.54943820224719098</v>
      </c>
      <c r="CG20" s="8">
        <v>-0.40245914285714285</v>
      </c>
      <c r="CH20" s="7">
        <v>-0.80000001192092896</v>
      </c>
      <c r="CI20" s="7">
        <v>-0.23268274962902069</v>
      </c>
      <c r="CJ20" s="7">
        <v>0.29292431473731995</v>
      </c>
      <c r="CK20" s="7">
        <v>-0.12662054598331451</v>
      </c>
      <c r="CL20" s="7">
        <v>7.8396657481789589E-3</v>
      </c>
      <c r="CM20" s="8">
        <v>-0.61742806434631348</v>
      </c>
      <c r="CN20" s="8">
        <v>-0.30508473515510559</v>
      </c>
      <c r="CO20" s="8">
        <v>0.2227979302406311</v>
      </c>
      <c r="CP20" s="8">
        <v>-0.34797295928001404</v>
      </c>
      <c r="CQ20" s="8">
        <v>0.18875502049922943</v>
      </c>
      <c r="CR20">
        <v>13.364312127719714</v>
      </c>
      <c r="CS20">
        <v>0.77831682875117636</v>
      </c>
      <c r="CT20">
        <v>6.7069081153588197</v>
      </c>
      <c r="CU20" s="7">
        <v>-0.17170786540955305</v>
      </c>
      <c r="CV20" s="8">
        <v>-0.17178656160831451</v>
      </c>
      <c r="CW20">
        <v>0.06</v>
      </c>
      <c r="CX20">
        <v>32.347090775208869</v>
      </c>
      <c r="CY20" t="s">
        <v>1017</v>
      </c>
      <c r="CZ20">
        <v>-0.17170786540955305</v>
      </c>
      <c r="DA20">
        <v>10.78236359173629</v>
      </c>
      <c r="DB20" t="s">
        <v>1018</v>
      </c>
      <c r="DC20">
        <v>-0.16312247213907538</v>
      </c>
      <c r="DD20">
        <v>5.3911817958681452</v>
      </c>
      <c r="DE20" t="s">
        <v>1019</v>
      </c>
      <c r="DF20">
        <v>-0.15110292156040669</v>
      </c>
      <c r="DG20">
        <v>3.2347090775208871</v>
      </c>
      <c r="DH20" t="s">
        <v>1020</v>
      </c>
      <c r="DI20">
        <v>-0.13736629232764244</v>
      </c>
      <c r="DJ20">
        <v>1.6173545387604435</v>
      </c>
      <c r="DK20" t="s">
        <v>1021</v>
      </c>
      <c r="DL20">
        <v>-0.12019550578668713</v>
      </c>
      <c r="DM20">
        <v>62741800</v>
      </c>
      <c r="DN20">
        <v>-0.17170786540955305</v>
      </c>
      <c r="DO20">
        <v>2029514700</v>
      </c>
      <c r="DP20">
        <v>1550838600</v>
      </c>
      <c r="DQ20">
        <v>4191</v>
      </c>
      <c r="DR20">
        <v>-0.3777303368376379</v>
      </c>
      <c r="DS20">
        <v>-0.23067258124882833</v>
      </c>
      <c r="DT20" s="9">
        <v>-0.79</v>
      </c>
      <c r="DU20">
        <v>-0.58666666666666667</v>
      </c>
      <c r="DV20">
        <v>-1.3766666666666667</v>
      </c>
      <c r="DW20">
        <v>-8.2154963680387407</v>
      </c>
      <c r="DX20">
        <v>0.40527969770546135</v>
      </c>
      <c r="DY20">
        <v>-8.0356171745660685</v>
      </c>
      <c r="DZ20">
        <v>2745</v>
      </c>
      <c r="EA20">
        <v>-8.0164842696377203</v>
      </c>
      <c r="EB20">
        <v>8</v>
      </c>
      <c r="EC20">
        <v>4.6525412031091562E-2</v>
      </c>
      <c r="ED20">
        <v>0.28149502133046533</v>
      </c>
      <c r="EE20" s="10">
        <v>1.0590999999999999</v>
      </c>
      <c r="EF20">
        <v>1.0001</v>
      </c>
      <c r="EG20">
        <v>24.165279697705461</v>
      </c>
      <c r="EH20" t="s">
        <v>404</v>
      </c>
      <c r="EI20">
        <v>0</v>
      </c>
      <c r="EJ20">
        <v>0</v>
      </c>
      <c r="EK20" s="12">
        <v>45470</v>
      </c>
      <c r="EL20" s="13">
        <v>-1.64</v>
      </c>
      <c r="EM20" s="13">
        <v>-4.25</v>
      </c>
      <c r="EN20" s="13">
        <v>10.01</v>
      </c>
      <c r="EO20" s="13">
        <v>3.88</v>
      </c>
      <c r="EP20" s="13">
        <v>-5.9</v>
      </c>
    </row>
    <row r="21" spans="1:146" ht="180" x14ac:dyDescent="0.25">
      <c r="A21" s="5"/>
      <c r="B21" s="5"/>
      <c r="C21" s="5" t="str">
        <f>"公司主营业务为个人护理电器产品的研发、生产和销售，以电动剃须刀和电吹风为主要产品。报告期内，公司被中国电子认证服务产业联盟评定为行业知名品牌企业"&amp;CHAR(10)&amp;Basic_Fundamental_Information_Constructure(F21)&amp;CHAR(10)&amp;Basic_Fundamental_Information_Concatenate("电动剃须刀 16.36亿 71.78% 77.35% 58.28%
电吹风 2.42亿 10.63% 7.76% 39.47%
电动理发器 1.45亿 6.35% 5.27% 44.88%
零配件及其他 6324.47万 2.77% 2.01% 39.19%
电动牙刷 6246.55万 2.74% 2.30% 45.48%
鼻毛修剪器 5582.70万 2.45% 2.81% 61.99%")</f>
        <v>公司主营业务为个人护理电器产品的研发、生产和销售，以电动剃须刀和电吹风为主要产品。报告期内，公司被中国电子认证服务产业联盟评定为行业知名品牌企业
市值154.55088亿, 利润1.80亿; PE17.57; 平均PE24.32; 平均PEG2.12, PB4.11; ROIC23.6467%; ROE23.92%; 股利率6.4825%; 毛利52.5867%; 净利17.9567%; 上一年度营收增-74.63%, 利润增-78.13%; 当季营收增-56.1%, 利润增-70.39%; 过往5年营收增-11.48%, 利润增-15.02%
Income profile:
电动剃须刀 16.36亿 71.78% 77.35% 58.28%
电吹风 2.42亿 10.63% 7.76% 39.47%
电动理发器 1.45亿 6.35% 5.27% 44.88%
零配件及其他 6324.47万 2.77% 2.01% 39.19%
电动牙刷 6246.55万 2.74% 2.30% 45.48%
鼻毛修剪器 5582.70万 2.45% 2.81% 61.99%</v>
      </c>
      <c r="D21" t="s">
        <v>176</v>
      </c>
      <c r="E21" t="s">
        <v>177</v>
      </c>
      <c r="F21">
        <v>35.479999999999997</v>
      </c>
      <c r="G21">
        <v>-2.39</v>
      </c>
      <c r="H21" t="s">
        <v>1022</v>
      </c>
      <c r="I21">
        <v>15455088000</v>
      </c>
      <c r="J21">
        <v>17.57</v>
      </c>
      <c r="K21">
        <v>4.1100000000000003</v>
      </c>
      <c r="L21" t="s">
        <v>60</v>
      </c>
      <c r="M21" t="s">
        <v>1023</v>
      </c>
      <c r="N21" t="s">
        <v>1024</v>
      </c>
      <c r="O21" t="s">
        <v>1025</v>
      </c>
      <c r="P21">
        <v>-14.52</v>
      </c>
      <c r="Q21" t="s">
        <v>1025</v>
      </c>
      <c r="R21">
        <v>180055870</v>
      </c>
      <c r="S21" s="6">
        <v>-0.43780000000000002</v>
      </c>
      <c r="T21" t="s">
        <v>1026</v>
      </c>
      <c r="U21">
        <v>435600000</v>
      </c>
      <c r="V21">
        <v>435600000</v>
      </c>
      <c r="W21">
        <v>1.21</v>
      </c>
      <c r="X21">
        <v>0.26</v>
      </c>
      <c r="Y21">
        <v>15.33</v>
      </c>
      <c r="Z21" t="s">
        <v>257</v>
      </c>
      <c r="AA21" t="s">
        <v>1027</v>
      </c>
      <c r="AB21" t="s">
        <v>442</v>
      </c>
      <c r="AC21" t="s">
        <v>1028</v>
      </c>
      <c r="AD21" t="s">
        <v>20</v>
      </c>
      <c r="AE21">
        <v>-2650893</v>
      </c>
      <c r="AF21" t="s">
        <v>1029</v>
      </c>
      <c r="AG21" t="s">
        <v>1030</v>
      </c>
      <c r="AH21" t="s">
        <v>1031</v>
      </c>
      <c r="AI21" t="s">
        <v>1025</v>
      </c>
      <c r="AJ21" t="s">
        <v>1032</v>
      </c>
      <c r="AK21" t="s">
        <v>20</v>
      </c>
      <c r="AL21" t="s">
        <v>1033</v>
      </c>
      <c r="AM21" t="s">
        <v>20</v>
      </c>
      <c r="AN21" t="s">
        <v>168</v>
      </c>
      <c r="AO21" t="s">
        <v>20</v>
      </c>
      <c r="AP21" t="s">
        <v>20</v>
      </c>
      <c r="AQ21" t="s">
        <v>1034</v>
      </c>
      <c r="AR21" t="s">
        <v>20</v>
      </c>
      <c r="AS21" t="s">
        <v>321</v>
      </c>
      <c r="AT21" t="s">
        <v>20</v>
      </c>
      <c r="AU21" t="s">
        <v>1035</v>
      </c>
      <c r="AV21" t="s">
        <v>319</v>
      </c>
      <c r="AW21" t="s">
        <v>1036</v>
      </c>
      <c r="AX21" t="s">
        <v>502</v>
      </c>
      <c r="AY21" t="s">
        <v>266</v>
      </c>
      <c r="AZ21" t="s">
        <v>178</v>
      </c>
      <c r="BA21" t="s">
        <v>180</v>
      </c>
      <c r="BB21" t="s">
        <v>77</v>
      </c>
      <c r="BC21" t="s">
        <v>503</v>
      </c>
      <c r="BD21" t="s">
        <v>165</v>
      </c>
      <c r="BE21" t="s">
        <v>179</v>
      </c>
      <c r="BF21" t="s">
        <v>181</v>
      </c>
      <c r="BG21" t="s">
        <v>182</v>
      </c>
      <c r="BH21" t="s">
        <v>1037</v>
      </c>
      <c r="BI21" t="s">
        <v>504</v>
      </c>
      <c r="BJ21" t="s">
        <v>502</v>
      </c>
      <c r="BK21" t="s">
        <v>1038</v>
      </c>
      <c r="BL21" t="s">
        <v>475</v>
      </c>
      <c r="BM21" t="s">
        <v>503</v>
      </c>
      <c r="BN21">
        <v>24.06</v>
      </c>
      <c r="BO21">
        <v>25.26</v>
      </c>
      <c r="BP21">
        <v>21.62</v>
      </c>
      <c r="BQ21">
        <v>23.94</v>
      </c>
      <c r="BR21">
        <v>25.73</v>
      </c>
      <c r="BS21">
        <v>22.09</v>
      </c>
      <c r="BT21" t="s">
        <v>1039</v>
      </c>
      <c r="BU21" t="s">
        <v>60</v>
      </c>
      <c r="BV21">
        <v>57.1</v>
      </c>
      <c r="BW21">
        <v>53.63</v>
      </c>
      <c r="BX21">
        <v>47.03</v>
      </c>
      <c r="BY21">
        <v>20.149999999999999</v>
      </c>
      <c r="BZ21">
        <v>17.78</v>
      </c>
      <c r="CA21">
        <v>15.94</v>
      </c>
      <c r="CB21">
        <v>-7.6</v>
      </c>
      <c r="CC21">
        <v>-26.01</v>
      </c>
      <c r="CD21" t="s">
        <v>1040</v>
      </c>
      <c r="CE21" t="s">
        <v>1041</v>
      </c>
      <c r="CF21" s="7">
        <v>-0.56095736724008971</v>
      </c>
      <c r="CG21" s="8">
        <v>-0.70385547697368422</v>
      </c>
      <c r="CH21" s="7">
        <v>-0.74627184867858887</v>
      </c>
      <c r="CI21" s="7">
        <v>0.15530583262443542</v>
      </c>
      <c r="CJ21" s="7">
        <v>0.12247756123542786</v>
      </c>
      <c r="CK21" s="7">
        <v>-5.0811402499675751E-2</v>
      </c>
      <c r="CL21" s="7">
        <v>-5.4815154522657394E-2</v>
      </c>
      <c r="CM21" s="8">
        <v>-0.78128796815872192</v>
      </c>
      <c r="CN21" s="8">
        <v>0.28393134474754333</v>
      </c>
      <c r="CO21" s="8">
        <v>4.7021941281855106E-3</v>
      </c>
      <c r="CP21" s="8">
        <v>-6.9970846176147461E-2</v>
      </c>
      <c r="CQ21" s="8">
        <v>-0.18816567957401276</v>
      </c>
      <c r="CR21">
        <v>24.319571990558615</v>
      </c>
      <c r="CS21">
        <v>2.1180052331823873</v>
      </c>
      <c r="CT21">
        <v>6.4825253664036087</v>
      </c>
      <c r="CU21" s="7">
        <v>-0.11482300236821175</v>
      </c>
      <c r="CV21" s="8">
        <v>-0.15015819100663066</v>
      </c>
      <c r="CW21">
        <v>0.06</v>
      </c>
      <c r="CX21">
        <v>69.900488888888887</v>
      </c>
      <c r="CY21" t="s">
        <v>1042</v>
      </c>
      <c r="CZ21">
        <v>-0.11482300236821175</v>
      </c>
      <c r="DA21">
        <v>23.300162962962961</v>
      </c>
      <c r="DB21" t="s">
        <v>1043</v>
      </c>
      <c r="DC21">
        <v>-0.10908185224980116</v>
      </c>
      <c r="DD21">
        <v>11.650081481481481</v>
      </c>
      <c r="DE21" t="s">
        <v>1044</v>
      </c>
      <c r="DF21">
        <v>-0.10104424208402633</v>
      </c>
      <c r="DG21">
        <v>6.9900488888888885</v>
      </c>
      <c r="DH21" t="s">
        <v>1045</v>
      </c>
      <c r="DI21">
        <v>-9.1858401894569397E-2</v>
      </c>
      <c r="DJ21">
        <v>3.4950244444444443</v>
      </c>
      <c r="DK21" t="s">
        <v>1046</v>
      </c>
      <c r="DL21">
        <v>-8.0376101657748222E-2</v>
      </c>
      <c r="DM21">
        <v>180000000</v>
      </c>
      <c r="DN21">
        <v>-0.11482300236821175</v>
      </c>
      <c r="DO21">
        <v>12582088000</v>
      </c>
      <c r="DP21">
        <v>2195421300</v>
      </c>
      <c r="DQ21">
        <v>4346</v>
      </c>
      <c r="DR21">
        <v>-0.44613436487187796</v>
      </c>
      <c r="DS21">
        <v>-0.55369728596705359</v>
      </c>
      <c r="DT21" s="9">
        <v>-0.62333333333333341</v>
      </c>
      <c r="DU21">
        <v>-0.72333333333333327</v>
      </c>
      <c r="DV21">
        <v>-1.3466666666666667</v>
      </c>
      <c r="DW21">
        <v>-9.2921953094963481</v>
      </c>
      <c r="DX21">
        <v>0.689300243353691</v>
      </c>
      <c r="DY21">
        <v>-9.0465467839095748</v>
      </c>
      <c r="DZ21">
        <v>3992</v>
      </c>
      <c r="EA21">
        <v>-9.0101838169101569</v>
      </c>
      <c r="EB21">
        <v>9</v>
      </c>
      <c r="EC21">
        <v>1.1946969696969697E-2</v>
      </c>
      <c r="ED21">
        <v>7.4996556473829204E-2</v>
      </c>
      <c r="EE21" s="10">
        <v>8.4610000000000005E-2</v>
      </c>
      <c r="EF21">
        <v>0.11141</v>
      </c>
      <c r="EG21">
        <v>53.159300243353691</v>
      </c>
      <c r="EH21">
        <v>-1</v>
      </c>
      <c r="EI21">
        <v>0</v>
      </c>
      <c r="EJ21">
        <v>0</v>
      </c>
      <c r="EK21" s="12">
        <v>45470</v>
      </c>
      <c r="EL21" s="13">
        <v>-1.59</v>
      </c>
      <c r="EM21" s="13">
        <v>-5.05</v>
      </c>
      <c r="EN21" s="13">
        <v>-4.8899999999999997</v>
      </c>
      <c r="EO21" s="13">
        <v>0.22</v>
      </c>
      <c r="EP21" s="13">
        <v>-2.68</v>
      </c>
    </row>
    <row r="22" spans="1:146" ht="96" x14ac:dyDescent="0.25">
      <c r="A22" s="5"/>
      <c r="B22" s="5"/>
      <c r="C22" s="5" t="str">
        <f>""&amp;CHAR(10)&amp;Basic_Fundamental_Information_Constructure(F22)&amp;CHAR(10)&amp;Basic_Fundamental_Information_Concatenate("")</f>
        <v xml:space="preserve">
市值65.498265亿, 利润8529.09万; PE17.93; 平均PE30.65; 平均PEG8.31, PB2.33; ROIC11.9467%; ROE22.8067%; 股利率1.9898%; 毛利18.7467%; 净利12.53%; 上一年度营收增-57.43%, 利润增-71.47%; 当季营收增-38.52%, 利润增-50.12%; 过往5年营收增3.69%, 利润增6.89%
Income profile:
</v>
      </c>
      <c r="D22" t="s">
        <v>183</v>
      </c>
      <c r="E22" t="s">
        <v>184</v>
      </c>
      <c r="F22">
        <v>17.59</v>
      </c>
      <c r="G22">
        <v>0.06</v>
      </c>
      <c r="H22" t="s">
        <v>1047</v>
      </c>
      <c r="I22">
        <v>6549826500</v>
      </c>
      <c r="J22">
        <v>17.93</v>
      </c>
      <c r="K22">
        <v>2.33</v>
      </c>
      <c r="L22" t="s">
        <v>60</v>
      </c>
      <c r="M22" t="s">
        <v>1048</v>
      </c>
      <c r="N22" t="s">
        <v>1049</v>
      </c>
      <c r="O22" t="s">
        <v>1050</v>
      </c>
      <c r="P22">
        <v>46.14</v>
      </c>
      <c r="Q22" t="s">
        <v>1050</v>
      </c>
      <c r="R22">
        <v>85290884</v>
      </c>
      <c r="S22" s="6">
        <v>1.0229999999999999</v>
      </c>
      <c r="T22" t="s">
        <v>1051</v>
      </c>
      <c r="U22">
        <v>135698420</v>
      </c>
      <c r="V22">
        <v>372360800</v>
      </c>
      <c r="W22">
        <v>1.64</v>
      </c>
      <c r="X22">
        <v>0.19</v>
      </c>
      <c r="Y22">
        <v>10.34</v>
      </c>
      <c r="Z22" t="s">
        <v>1052</v>
      </c>
      <c r="AA22" t="s">
        <v>1053</v>
      </c>
      <c r="AB22" t="s">
        <v>1054</v>
      </c>
      <c r="AC22" t="s">
        <v>1055</v>
      </c>
      <c r="AD22" t="s">
        <v>20</v>
      </c>
      <c r="AE22">
        <v>-14641475</v>
      </c>
      <c r="AF22" t="s">
        <v>1056</v>
      </c>
      <c r="AG22" t="s">
        <v>1057</v>
      </c>
      <c r="AH22" t="s">
        <v>1058</v>
      </c>
      <c r="AI22" t="s">
        <v>508</v>
      </c>
      <c r="AJ22" t="s">
        <v>1059</v>
      </c>
      <c r="AK22" t="s">
        <v>20</v>
      </c>
      <c r="AL22" t="s">
        <v>1060</v>
      </c>
      <c r="AM22" t="s">
        <v>20</v>
      </c>
      <c r="AN22" t="s">
        <v>328</v>
      </c>
      <c r="AO22" t="s">
        <v>1061</v>
      </c>
      <c r="AP22" t="s">
        <v>956</v>
      </c>
      <c r="AQ22" t="s">
        <v>1062</v>
      </c>
      <c r="AR22" t="s">
        <v>20</v>
      </c>
      <c r="AS22" t="s">
        <v>1063</v>
      </c>
      <c r="AT22" t="s">
        <v>269</v>
      </c>
      <c r="AU22" t="s">
        <v>1064</v>
      </c>
      <c r="AV22" t="s">
        <v>1065</v>
      </c>
      <c r="AW22" t="s">
        <v>509</v>
      </c>
      <c r="AX22" t="s">
        <v>505</v>
      </c>
      <c r="AY22" t="s">
        <v>268</v>
      </c>
      <c r="AZ22" t="s">
        <v>185</v>
      </c>
      <c r="BA22" t="s">
        <v>188</v>
      </c>
      <c r="BB22" t="s">
        <v>189</v>
      </c>
      <c r="BC22" t="s">
        <v>506</v>
      </c>
      <c r="BD22" t="s">
        <v>269</v>
      </c>
      <c r="BE22" t="s">
        <v>186</v>
      </c>
      <c r="BF22" t="s">
        <v>190</v>
      </c>
      <c r="BG22" t="s">
        <v>80</v>
      </c>
      <c r="BH22" t="s">
        <v>1066</v>
      </c>
      <c r="BI22" t="s">
        <v>511</v>
      </c>
      <c r="BJ22" t="s">
        <v>505</v>
      </c>
      <c r="BK22" t="s">
        <v>439</v>
      </c>
      <c r="BL22" t="s">
        <v>227</v>
      </c>
      <c r="BM22" t="s">
        <v>506</v>
      </c>
      <c r="BN22">
        <v>6.51</v>
      </c>
      <c r="BO22">
        <v>10.27</v>
      </c>
      <c r="BP22">
        <v>19.059999999999999</v>
      </c>
      <c r="BQ22">
        <v>10.1</v>
      </c>
      <c r="BR22">
        <v>12.39</v>
      </c>
      <c r="BS22">
        <v>45.93</v>
      </c>
      <c r="BT22" t="s">
        <v>452</v>
      </c>
      <c r="BU22" t="s">
        <v>60</v>
      </c>
      <c r="BV22">
        <v>19.11</v>
      </c>
      <c r="BW22">
        <v>17.79</v>
      </c>
      <c r="BX22">
        <v>19.34</v>
      </c>
      <c r="BY22">
        <v>11.61</v>
      </c>
      <c r="BZ22">
        <v>15.4</v>
      </c>
      <c r="CA22">
        <v>10.58</v>
      </c>
      <c r="CB22">
        <v>-5.48</v>
      </c>
      <c r="CC22">
        <v>-16</v>
      </c>
      <c r="CD22" t="s">
        <v>1067</v>
      </c>
      <c r="CE22" t="s">
        <v>1068</v>
      </c>
      <c r="CF22" s="7">
        <v>-0.38524590163934425</v>
      </c>
      <c r="CG22" s="8">
        <v>-0.50122290058479535</v>
      </c>
      <c r="CH22" s="7">
        <v>-0.57430338859558105</v>
      </c>
      <c r="CI22" s="7">
        <v>-0.31808581948280334</v>
      </c>
      <c r="CJ22" s="7">
        <v>0.37627115845680237</v>
      </c>
      <c r="CK22" s="7">
        <v>0.71940052509307861</v>
      </c>
      <c r="CL22" s="7">
        <v>-1.8790902569890022E-2</v>
      </c>
      <c r="CM22" s="8">
        <v>-0.71474617719650269</v>
      </c>
      <c r="CN22" s="8">
        <v>-6.6445181146264076E-3</v>
      </c>
      <c r="CO22" s="8">
        <v>-9.8684206604957581E-3</v>
      </c>
      <c r="CP22" s="8">
        <v>1.0266666412353516</v>
      </c>
      <c r="CQ22" s="8">
        <v>4.8951048403978348E-2</v>
      </c>
      <c r="CR22">
        <v>30.647459948440716</v>
      </c>
      <c r="CS22">
        <v>8.3059240772980143</v>
      </c>
      <c r="CT22">
        <v>1.9897669130187607</v>
      </c>
      <c r="CU22" s="7">
        <v>3.6898314580321313E-2</v>
      </c>
      <c r="CV22" s="8">
        <v>6.8871714733541006E-2</v>
      </c>
      <c r="CW22">
        <v>0.06</v>
      </c>
      <c r="CX22">
        <v>63.246983123058165</v>
      </c>
      <c r="CY22">
        <v>83432066.470791236</v>
      </c>
      <c r="CZ22">
        <v>3.6898314580321313E-2</v>
      </c>
      <c r="DA22">
        <v>21.624843630886861</v>
      </c>
      <c r="DB22">
        <v>244016862.73759153</v>
      </c>
      <c r="DC22">
        <v>3.5053398851305248E-2</v>
      </c>
      <c r="DD22">
        <v>11.294815053399088</v>
      </c>
      <c r="DE22">
        <v>467190164.25257707</v>
      </c>
      <c r="DF22">
        <v>3.2470516830682757E-2</v>
      </c>
      <c r="DG22">
        <v>7.238359303383894</v>
      </c>
      <c r="DH22">
        <v>729008643.92475128</v>
      </c>
      <c r="DI22">
        <v>2.9518651664257052E-2</v>
      </c>
      <c r="DJ22">
        <v>4.2868703135116126</v>
      </c>
      <c r="DK22">
        <v>1230927486.5087905</v>
      </c>
      <c r="DL22">
        <v>2.5828820206224918E-2</v>
      </c>
      <c r="DM22">
        <v>85290900</v>
      </c>
      <c r="DN22">
        <v>3.6898314580321313E-2</v>
      </c>
      <c r="DO22">
        <v>5276826500</v>
      </c>
      <c r="DP22">
        <v>1864478200</v>
      </c>
      <c r="DQ22">
        <v>4531</v>
      </c>
      <c r="DR22">
        <v>-0.42214421621966558</v>
      </c>
      <c r="DS22">
        <v>-0.57009461531833638</v>
      </c>
      <c r="DT22" s="9">
        <v>-0.38999999999999996</v>
      </c>
      <c r="DU22">
        <v>-0.32</v>
      </c>
      <c r="DV22">
        <v>-0.71</v>
      </c>
      <c r="DW22">
        <v>-8.3424999999999994</v>
      </c>
      <c r="DX22">
        <v>0.41892284352507803</v>
      </c>
      <c r="DY22">
        <v>-8.0510060739073399</v>
      </c>
      <c r="DZ22">
        <v>2990</v>
      </c>
      <c r="EA22">
        <v>-8.0211610326190925</v>
      </c>
      <c r="EB22">
        <v>8</v>
      </c>
      <c r="EC22">
        <v>3.2373171397204005E-2</v>
      </c>
      <c r="ED22">
        <v>0.21738217341889909</v>
      </c>
      <c r="EE22" s="10">
        <v>-2.0148100000000002</v>
      </c>
      <c r="EF22">
        <v>-2.0402100000000001</v>
      </c>
      <c r="EG22">
        <v>27.148922843525078</v>
      </c>
      <c r="EH22" t="s">
        <v>872</v>
      </c>
      <c r="EI22">
        <v>0</v>
      </c>
      <c r="EJ22">
        <v>0</v>
      </c>
      <c r="EK22" s="12">
        <v>45470</v>
      </c>
      <c r="EL22" s="13">
        <v>-0.98</v>
      </c>
      <c r="EM22" s="13">
        <v>-6.1</v>
      </c>
      <c r="EN22" s="13">
        <v>0.79</v>
      </c>
      <c r="EO22" s="13">
        <v>2.61</v>
      </c>
      <c r="EP22" s="13">
        <v>-2.54</v>
      </c>
    </row>
    <row r="23" spans="1:146" ht="156" x14ac:dyDescent="0.25">
      <c r="A23" s="5"/>
      <c r="B23" s="5"/>
      <c r="C23" s="5" t="str">
        <f>"公司主营业务为智能清洁机器人等智能硬件的设计、研发、生产(以委托加工生产方式实现)和销售，其主要产品为小米定制品牌“米家智能扫地机器人”、“米家手持无线吸尘器”，以及自有品牌“石头智能扫地机器人”、“石头手持吸尘器”和“小瓦智能扫地机器人”。"&amp;CHAR(10)&amp;Basic_Fundamental_Information_Constructure(F23)&amp;CHAR(10)&amp;Basic_Fundamental_Information_Concatenate("智能扫地机及配件 56.05亿 96.03% 96.13% 48.16%
手持清洁产品及配件 2.32亿 3.97% 3.87% 46.90%")</f>
        <v>公司主营业务为智能清洁机器人等智能硬件的设计、研发、生产(以委托加工生产方式实现)和销售，其主要产品为小米定制品牌“米家智能扫地机器人”、“米家手持无线吸尘器”，以及自有品牌“石头智能扫地机器人”、“石头手持吸尘器”和“小瓦智能扫地机器人”。
市值499.81702亿, 利润3.99亿; PE22.26; 平均PE55.09; 平均PEG17.49, PB4.24; ROIC13.9433%; ROE14.8367%; 股利率1.232%; 毛利50.8333%; 净利21.86%; 上一年度营收增-72.23%, 利润增-66.27%; 当季营收增-45.44%, 利润增-46.04%; 过往5年营收增3.15%, 利润增29.92%
Income profile:
智能扫地机及配件 56.05亿 96.03% 96.13% 48.16%
手持清洁产品及配件 2.32亿 3.97% 3.87% 46.90%</v>
      </c>
      <c r="D23" t="s">
        <v>192</v>
      </c>
      <c r="E23" t="s">
        <v>193</v>
      </c>
      <c r="F23">
        <v>379.86</v>
      </c>
      <c r="G23">
        <v>0.28000000000000003</v>
      </c>
      <c r="H23" t="s">
        <v>1069</v>
      </c>
      <c r="I23">
        <v>49981702000</v>
      </c>
      <c r="J23">
        <v>22.26</v>
      </c>
      <c r="K23">
        <v>4.24</v>
      </c>
      <c r="L23" t="s">
        <v>60</v>
      </c>
      <c r="M23" t="s">
        <v>1070</v>
      </c>
      <c r="N23" t="s">
        <v>1071</v>
      </c>
      <c r="O23" t="s">
        <v>1072</v>
      </c>
      <c r="P23">
        <v>58.69</v>
      </c>
      <c r="Q23" t="s">
        <v>1072</v>
      </c>
      <c r="R23">
        <v>398756540</v>
      </c>
      <c r="S23" s="6">
        <v>0.95230000000000004</v>
      </c>
      <c r="T23" t="s">
        <v>1073</v>
      </c>
      <c r="U23">
        <v>131579270</v>
      </c>
      <c r="V23">
        <v>131579270</v>
      </c>
      <c r="W23">
        <v>1.23</v>
      </c>
      <c r="X23">
        <v>0.13</v>
      </c>
      <c r="Y23">
        <v>21.66</v>
      </c>
      <c r="Z23" t="s">
        <v>1074</v>
      </c>
      <c r="AA23" t="s">
        <v>1075</v>
      </c>
      <c r="AB23" t="s">
        <v>923</v>
      </c>
      <c r="AC23" t="s">
        <v>1076</v>
      </c>
      <c r="AD23" t="s">
        <v>20</v>
      </c>
      <c r="AE23">
        <v>-13836867</v>
      </c>
      <c r="AF23" t="s">
        <v>1077</v>
      </c>
      <c r="AG23" t="s">
        <v>1078</v>
      </c>
      <c r="AH23" t="s">
        <v>1079</v>
      </c>
      <c r="AI23" t="s">
        <v>1080</v>
      </c>
      <c r="AJ23" t="s">
        <v>1081</v>
      </c>
      <c r="AK23" t="s">
        <v>20</v>
      </c>
      <c r="AL23" t="s">
        <v>1082</v>
      </c>
      <c r="AM23" t="s">
        <v>20</v>
      </c>
      <c r="AN23">
        <v>0</v>
      </c>
      <c r="AO23" t="s">
        <v>20</v>
      </c>
      <c r="AP23" t="s">
        <v>20</v>
      </c>
      <c r="AQ23" t="s">
        <v>1083</v>
      </c>
      <c r="AR23" t="s">
        <v>20</v>
      </c>
      <c r="AS23" t="s">
        <v>1084</v>
      </c>
      <c r="AT23" t="s">
        <v>20</v>
      </c>
      <c r="AU23" t="s">
        <v>409</v>
      </c>
      <c r="AV23" t="s">
        <v>1085</v>
      </c>
      <c r="AW23" t="s">
        <v>869</v>
      </c>
      <c r="AX23" t="s">
        <v>514</v>
      </c>
      <c r="AY23" t="s">
        <v>271</v>
      </c>
      <c r="AZ23" t="s">
        <v>194</v>
      </c>
      <c r="BA23" t="s">
        <v>196</v>
      </c>
      <c r="BB23" t="s">
        <v>197</v>
      </c>
      <c r="BC23" t="s">
        <v>515</v>
      </c>
      <c r="BD23" t="s">
        <v>272</v>
      </c>
      <c r="BE23" t="s">
        <v>195</v>
      </c>
      <c r="BF23" t="s">
        <v>120</v>
      </c>
      <c r="BG23" t="s">
        <v>198</v>
      </c>
      <c r="BH23" t="s">
        <v>1086</v>
      </c>
      <c r="BI23" t="s">
        <v>516</v>
      </c>
      <c r="BJ23" t="s">
        <v>514</v>
      </c>
      <c r="BK23" t="s">
        <v>1087</v>
      </c>
      <c r="BL23" t="s">
        <v>517</v>
      </c>
      <c r="BM23" t="s">
        <v>515</v>
      </c>
      <c r="BN23">
        <v>12.43</v>
      </c>
      <c r="BO23">
        <v>12.2</v>
      </c>
      <c r="BP23">
        <v>17.2</v>
      </c>
      <c r="BQ23">
        <v>13.35</v>
      </c>
      <c r="BR23">
        <v>13.16</v>
      </c>
      <c r="BS23">
        <v>18</v>
      </c>
      <c r="BT23" t="s">
        <v>1088</v>
      </c>
      <c r="BU23" t="s">
        <v>60</v>
      </c>
      <c r="BV23">
        <v>55.13</v>
      </c>
      <c r="BW23">
        <v>49.26</v>
      </c>
      <c r="BX23">
        <v>48.11</v>
      </c>
      <c r="BY23">
        <v>23.7</v>
      </c>
      <c r="BZ23">
        <v>17.850000000000001</v>
      </c>
      <c r="CA23">
        <v>24.03</v>
      </c>
      <c r="CB23">
        <v>-3.25</v>
      </c>
      <c r="CC23">
        <v>-10.59</v>
      </c>
      <c r="CD23" t="s">
        <v>1089</v>
      </c>
      <c r="CE23" t="s">
        <v>1090</v>
      </c>
      <c r="CF23" s="7">
        <v>-0.45435684647302904</v>
      </c>
      <c r="CG23" s="8">
        <v>-0.46041063599458726</v>
      </c>
      <c r="CH23" s="7">
        <v>-0.72228091955184937</v>
      </c>
      <c r="CI23" s="7">
        <v>0.13568612933158875</v>
      </c>
      <c r="CJ23" s="7">
        <v>0.28852105140686035</v>
      </c>
      <c r="CK23" s="7">
        <v>7.7288925647735596E-2</v>
      </c>
      <c r="CL23" s="7">
        <v>0.37823659181594849</v>
      </c>
      <c r="CM23" s="8">
        <v>-0.66272193193435669</v>
      </c>
      <c r="CN23" s="8">
        <v>-0.15620537102222443</v>
      </c>
      <c r="CO23" s="8">
        <v>2.4105234071612358E-2</v>
      </c>
      <c r="CP23" s="8">
        <v>0.74840348958969116</v>
      </c>
      <c r="CQ23" s="8">
        <v>1.5422078371047974</v>
      </c>
      <c r="CR23">
        <v>55.086372520205728</v>
      </c>
      <c r="CS23">
        <v>17.493093121087593</v>
      </c>
      <c r="CT23">
        <v>1.2320328542094454</v>
      </c>
      <c r="CU23" s="7">
        <v>3.1490355730056763E-2</v>
      </c>
      <c r="CV23" s="8">
        <v>0.29915785156190394</v>
      </c>
      <c r="CW23">
        <v>0.06</v>
      </c>
      <c r="CX23">
        <v>106.0856026254617</v>
      </c>
      <c r="CY23">
        <v>388268539.56254023</v>
      </c>
      <c r="CZ23">
        <v>3.1490355730056763E-2</v>
      </c>
      <c r="DA23">
        <v>36.440368436501764</v>
      </c>
      <c r="DB23">
        <v>1130331655.9977725</v>
      </c>
      <c r="DC23">
        <v>2.9915837943553923E-2</v>
      </c>
      <c r="DD23">
        <v>19.146079680240756</v>
      </c>
      <c r="DE23">
        <v>2151338691.1529899</v>
      </c>
      <c r="DF23">
        <v>2.771151304244995E-2</v>
      </c>
      <c r="DG23">
        <v>12.347340852908877</v>
      </c>
      <c r="DH23">
        <v>3335916817.2875237</v>
      </c>
      <c r="DI23">
        <v>2.5192284584045412E-2</v>
      </c>
      <c r="DJ23">
        <v>7.4047707665709295</v>
      </c>
      <c r="DK23">
        <v>5562589754.4259176</v>
      </c>
      <c r="DL23">
        <v>2.2043249011039732E-2</v>
      </c>
      <c r="DM23">
        <v>399000000</v>
      </c>
      <c r="DN23">
        <v>3.1490355730056763E-2</v>
      </c>
      <c r="DO23">
        <v>41189702000</v>
      </c>
      <c r="DP23">
        <v>5772810000</v>
      </c>
      <c r="DQ23">
        <v>4686</v>
      </c>
      <c r="DR23">
        <v>-0.4858472022030858</v>
      </c>
      <c r="DS23">
        <v>-0.7595684875564912</v>
      </c>
      <c r="DT23" s="9">
        <v>-0.54</v>
      </c>
      <c r="DU23">
        <v>-0.27000000000000007</v>
      </c>
      <c r="DV23">
        <v>-0.81</v>
      </c>
      <c r="DW23">
        <v>-8.3068932955618511</v>
      </c>
      <c r="DX23">
        <v>0.34421348644038902</v>
      </c>
      <c r="DY23">
        <v>-8.0442581521181555</v>
      </c>
      <c r="DZ23">
        <v>2602</v>
      </c>
      <c r="EA23">
        <v>-8.021722004992629</v>
      </c>
      <c r="EB23">
        <v>8</v>
      </c>
      <c r="EC23">
        <v>4.2989294590249666E-2</v>
      </c>
      <c r="ED23">
        <v>0.29809482907147911</v>
      </c>
      <c r="EE23" s="10">
        <v>-1.0664100000000001</v>
      </c>
      <c r="EF23">
        <v>-1.0985100000000001</v>
      </c>
      <c r="EG23">
        <v>20.144213486440389</v>
      </c>
      <c r="EH23" t="s">
        <v>512</v>
      </c>
      <c r="EI23">
        <v>0</v>
      </c>
      <c r="EJ23">
        <v>0</v>
      </c>
      <c r="EK23" s="12">
        <v>45470</v>
      </c>
      <c r="EL23" s="13">
        <v>-1.43</v>
      </c>
      <c r="EM23" s="13">
        <v>-7.59</v>
      </c>
      <c r="EN23" s="13">
        <v>-2.29</v>
      </c>
      <c r="EO23" s="13">
        <v>4.5</v>
      </c>
      <c r="EP23" s="13">
        <v>-3.21</v>
      </c>
    </row>
    <row r="24" spans="1:146" ht="216" x14ac:dyDescent="0.25">
      <c r="A24" s="5" t="s">
        <v>407</v>
      </c>
      <c r="B24" s="5" t="s">
        <v>406</v>
      </c>
      <c r="C24" s="5" t="str">
        <f>"公司是一家专注于健康智能硬件的设计、研发、生产、销售及服务的高新技术企业。主要产品为智能便携按摩器。公司产品由现代按摩器具融合驱动技术、仿生技术、信息技术等领域前沿科技成果以及传统中医理论发展而来。"&amp;CHAR(10)&amp;Basic_Fundamental_Information_Constructure(F24)&amp;CHAR(10)&amp;Basic_Fundamental_Information_Concatenate("颈部 3.10亿 26.08% 30.01% 65.29%
眼部 2.99亿 25.17% 23.05% 51.94%
头皮 1.22亿 10.22% 11.45% 63.57%
头部 9107.73万 7.66% 8.20% 60.79%
肩部 8561.21万 7.20% 4.97% 39.20%
其他 7840.18万 6.59% 5.81% 49.98%
腰背部 6733.40万 5.66% 5.34% 53.51%
艾灸 6024.50万 5.06% 4.91% 55.02%")</f>
        <v>公司是一家专注于健康智能硬件的设计、研发、生产、销售及服务的高新技术企业。主要产品为智能便携按摩器。公司产品由现代按摩器具融合驱动技术、仿生技术、信息技术等领域前沿科技成果以及传统中医理论发展而来。
市值24.941361亿, 利润1561.01万; PE; 平均PE97.21; 平均PEG63.15, PB6.34; ROIC18.23%; ROE-1.26%; 股利率0%; 毛利55.29%; 净利-3.3633%; 上一年度营收增-67.3%, 利润增112.59%; 当季营收增-51.09%, 利润增161.59%; 过往5年营收增1.54%, 利润增-8.43%
Income profile:
颈部 3.10亿 26.08% 30.01% 65.29%
眼部 2.99亿 25.17% 23.05% 51.94%
头皮 1.22亿 10.22% 11.45% 63.57%
头部 9107.73万 7.66% 8.20% 60.79%
肩部 8561.21万 7.20% 4.97% 39.20%
其他 7840.18万 6.59% 5.81% 49.98%
腰背部 6733.40万 5.66% 5.34% 53.51%
艾灸 6024.50万 5.06% 4.91% 55.02%</v>
      </c>
      <c r="D24" t="s">
        <v>199</v>
      </c>
      <c r="E24" t="s">
        <v>200</v>
      </c>
      <c r="F24">
        <v>29.02</v>
      </c>
      <c r="G24">
        <v>1.82</v>
      </c>
      <c r="H24" t="s">
        <v>1091</v>
      </c>
      <c r="I24">
        <v>2494136100</v>
      </c>
      <c r="K24">
        <v>6.34</v>
      </c>
      <c r="L24" t="s">
        <v>60</v>
      </c>
      <c r="M24" t="s">
        <v>526</v>
      </c>
      <c r="N24" t="s">
        <v>1092</v>
      </c>
      <c r="O24" t="s">
        <v>275</v>
      </c>
      <c r="P24">
        <v>28.59</v>
      </c>
      <c r="Q24" t="s">
        <v>275</v>
      </c>
      <c r="R24">
        <v>15610140</v>
      </c>
      <c r="S24" s="6">
        <v>9.5609999999999999</v>
      </c>
      <c r="T24" t="s">
        <v>1093</v>
      </c>
      <c r="U24">
        <v>33138599</v>
      </c>
      <c r="V24">
        <v>85945419</v>
      </c>
      <c r="W24">
        <v>1.88</v>
      </c>
      <c r="X24">
        <v>0.39</v>
      </c>
      <c r="Y24">
        <v>5.32</v>
      </c>
      <c r="Z24" t="s">
        <v>1094</v>
      </c>
      <c r="AA24" t="s">
        <v>328</v>
      </c>
      <c r="AB24" t="s">
        <v>1095</v>
      </c>
      <c r="AC24" t="s">
        <v>1096</v>
      </c>
      <c r="AD24" t="s">
        <v>20</v>
      </c>
      <c r="AE24">
        <v>148195</v>
      </c>
      <c r="AF24" t="s">
        <v>1097</v>
      </c>
      <c r="AG24" t="s">
        <v>1098</v>
      </c>
      <c r="AH24" t="s">
        <v>1099</v>
      </c>
      <c r="AI24" t="s">
        <v>90</v>
      </c>
      <c r="AJ24" t="s">
        <v>1100</v>
      </c>
      <c r="AK24" t="s">
        <v>1101</v>
      </c>
      <c r="AL24" t="s">
        <v>1102</v>
      </c>
      <c r="AM24" t="s">
        <v>20</v>
      </c>
      <c r="AN24">
        <v>0</v>
      </c>
      <c r="AO24" t="s">
        <v>246</v>
      </c>
      <c r="AP24" t="s">
        <v>1103</v>
      </c>
      <c r="AQ24" t="s">
        <v>1104</v>
      </c>
      <c r="AR24" t="s">
        <v>20</v>
      </c>
      <c r="AS24" t="s">
        <v>320</v>
      </c>
      <c r="AT24" t="s">
        <v>20</v>
      </c>
      <c r="AU24" t="s">
        <v>1105</v>
      </c>
      <c r="AV24" t="s">
        <v>1106</v>
      </c>
      <c r="AW24" t="s">
        <v>1107</v>
      </c>
      <c r="AX24" t="s">
        <v>518</v>
      </c>
      <c r="AY24" t="s">
        <v>273</v>
      </c>
      <c r="AZ24" t="s">
        <v>201</v>
      </c>
      <c r="BA24" t="s">
        <v>204</v>
      </c>
      <c r="BB24" t="s">
        <v>205</v>
      </c>
      <c r="BC24" t="s">
        <v>519</v>
      </c>
      <c r="BD24" t="s">
        <v>274</v>
      </c>
      <c r="BE24" t="s">
        <v>202</v>
      </c>
      <c r="BF24" t="s">
        <v>206</v>
      </c>
      <c r="BG24" t="s">
        <v>207</v>
      </c>
      <c r="BH24" t="s">
        <v>1108</v>
      </c>
      <c r="BI24" t="s">
        <v>520</v>
      </c>
      <c r="BJ24" t="s">
        <v>518</v>
      </c>
      <c r="BK24" t="s">
        <v>1109</v>
      </c>
      <c r="BL24" t="s">
        <v>521</v>
      </c>
      <c r="BM24" t="s">
        <v>519</v>
      </c>
      <c r="BN24" t="s">
        <v>20</v>
      </c>
      <c r="BO24" t="s">
        <v>20</v>
      </c>
      <c r="BP24">
        <v>18.23</v>
      </c>
      <c r="BQ24">
        <v>-3.59</v>
      </c>
      <c r="BR24">
        <v>-21.93</v>
      </c>
      <c r="BS24">
        <v>21.74</v>
      </c>
      <c r="BT24" t="s">
        <v>400</v>
      </c>
      <c r="BU24" t="s">
        <v>60</v>
      </c>
      <c r="BV24">
        <v>59.32</v>
      </c>
      <c r="BW24">
        <v>49.82</v>
      </c>
      <c r="BX24">
        <v>56.73</v>
      </c>
      <c r="BY24">
        <v>-3.94</v>
      </c>
      <c r="BZ24">
        <v>-13.9</v>
      </c>
      <c r="CA24">
        <v>7.75</v>
      </c>
      <c r="CB24">
        <v>7.0000000000000007E-2</v>
      </c>
      <c r="CC24">
        <v>-8.31</v>
      </c>
      <c r="CD24" t="s">
        <v>1110</v>
      </c>
      <c r="CE24" t="s">
        <v>1111</v>
      </c>
      <c r="CF24" s="7">
        <v>-0.51085141903171949</v>
      </c>
      <c r="CG24" s="8">
        <v>1.6158696466967826</v>
      </c>
      <c r="CH24" s="7">
        <v>-0.67299109697341919</v>
      </c>
      <c r="CI24" s="7">
        <v>-0.24705882370471954</v>
      </c>
      <c r="CJ24" s="7">
        <v>0.44067797064781189</v>
      </c>
      <c r="CK24" s="7">
        <v>0.19020172953605652</v>
      </c>
      <c r="CL24" s="7">
        <v>0.36614173650741577</v>
      </c>
      <c r="CM24" s="8">
        <v>1.1258878707885742</v>
      </c>
      <c r="CN24" s="8">
        <v>-2.3498523235321045</v>
      </c>
      <c r="CO24" s="8">
        <v>0.29918372631072998</v>
      </c>
      <c r="CP24" s="8">
        <v>0.29558631777763367</v>
      </c>
      <c r="CQ24" s="8">
        <v>0.20783095061779022</v>
      </c>
      <c r="CR24">
        <v>97.212134873502507</v>
      </c>
      <c r="CS24">
        <v>63.148122778886346</v>
      </c>
      <c r="CT24">
        <v>0</v>
      </c>
      <c r="CU24" s="7">
        <v>1.5394303202629089E-2</v>
      </c>
      <c r="CV24" s="8">
        <v>-8.4272691607475275E-2</v>
      </c>
      <c r="CW24">
        <v>0.06</v>
      </c>
      <c r="CX24">
        <v>163.45222740023428</v>
      </c>
      <c r="CY24">
        <v>14953213.785305057</v>
      </c>
      <c r="CZ24">
        <v>1.5394303202629089E-2</v>
      </c>
      <c r="DA24">
        <v>56.927532946164519</v>
      </c>
      <c r="DB24">
        <v>42934165.130805537</v>
      </c>
      <c r="DC24">
        <v>1.4624588042497633E-2</v>
      </c>
      <c r="DD24">
        <v>30.437871561521863</v>
      </c>
      <c r="DE24">
        <v>80299179.101923898</v>
      </c>
      <c r="DF24">
        <v>1.3546986818313598E-2</v>
      </c>
      <c r="DG24">
        <v>19.992909300302401</v>
      </c>
      <c r="DH24">
        <v>122250146.95400192</v>
      </c>
      <c r="DI24">
        <v>1.2315442562103271E-2</v>
      </c>
      <c r="DJ24">
        <v>12.425704622212006</v>
      </c>
      <c r="DK24">
        <v>196700000.06525975</v>
      </c>
      <c r="DL24">
        <v>1.0776012241840362E-2</v>
      </c>
      <c r="DM24">
        <v>15610100</v>
      </c>
      <c r="DN24">
        <v>1.5394303202629089E-2</v>
      </c>
      <c r="DO24">
        <v>2444136100</v>
      </c>
      <c r="DP24">
        <v>255321120</v>
      </c>
      <c r="DQ24">
        <v>5106</v>
      </c>
      <c r="DR24">
        <v>-0.52624572223434862</v>
      </c>
      <c r="DS24">
        <v>1.7001423383042578</v>
      </c>
      <c r="DT24" s="9">
        <v>-0.57333333333333336</v>
      </c>
      <c r="DU24">
        <v>0.56666666666666654</v>
      </c>
      <c r="DV24">
        <v>-6.6666666666668206E-3</v>
      </c>
      <c r="DW24">
        <v>-2.0831</v>
      </c>
      <c r="DX24">
        <v>0.37150051538801349</v>
      </c>
      <c r="DY24">
        <v>-2.0059416928287441</v>
      </c>
      <c r="DZ24">
        <v>395</v>
      </c>
      <c r="EA24">
        <v>-2.0054824034613561</v>
      </c>
      <c r="EB24">
        <v>2</v>
      </c>
      <c r="EC24">
        <v>1.4124080307293632E-2</v>
      </c>
      <c r="ED24">
        <v>0.1975381608180885</v>
      </c>
      <c r="EE24" s="10">
        <v>1.006</v>
      </c>
      <c r="EF24">
        <v>1.0201100000000001</v>
      </c>
      <c r="EG24">
        <v>30.071500515388013</v>
      </c>
      <c r="EH24" t="s">
        <v>420</v>
      </c>
      <c r="EI24">
        <v>0</v>
      </c>
      <c r="EJ24">
        <v>1</v>
      </c>
      <c r="EK24" s="12">
        <v>45470</v>
      </c>
      <c r="EL24" s="13">
        <v>0.82</v>
      </c>
      <c r="EM24" s="13">
        <v>-3.14</v>
      </c>
      <c r="EN24">
        <v>-1.43</v>
      </c>
      <c r="EO24">
        <v>3.13</v>
      </c>
      <c r="EP24">
        <v>-2.61</v>
      </c>
    </row>
  </sheetData>
  <autoFilter ref="BU1:BU24"/>
  <phoneticPr fontId="1"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asic_Fundamental_Tabel_Update_Buttom &quot;小家电&quot;,&quot;&quot;'" altText="更新基本面按钮_x000a_">
                <anchor moveWithCells="1" sizeWithCells="1">
                  <from>
                    <xdr:col>147</xdr:col>
                    <xdr:colOff>260350</xdr:colOff>
                    <xdr:row>0</xdr:row>
                    <xdr:rowOff>63500</xdr:rowOff>
                  </from>
                  <to>
                    <xdr:col>147</xdr:col>
                    <xdr:colOff>1460500</xdr:colOff>
                    <xdr:row>0</xdr:row>
                    <xdr:rowOff>368300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topLeftCell="D1"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小家电</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2024-07-07T15:24:27Z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