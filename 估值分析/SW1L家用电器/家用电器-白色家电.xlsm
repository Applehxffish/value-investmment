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家用电器\"/>
    </mc:Choice>
  </mc:AlternateContent>
  <bookViews>
    <workbookView xWindow="0" yWindow="0" windowWidth="3800" windowHeight="2950"/>
  </bookViews>
  <sheets>
    <sheet name="白色家电" sheetId="7" r:id="rId1"/>
    <sheet name="估值-增速与年化收益" sheetId="14" r:id="rId2"/>
  </sheets>
  <functionGroups builtInGroupCount="18"/>
  <definedNames>
    <definedName name="_xlnm._FilterDatabase" localSheetId="0" hidden="1">白色家电!$BU$1:$BU$63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8" i="7"/>
  <c r="C27" i="7"/>
  <c r="C33" i="7"/>
  <c r="C29" i="7"/>
  <c r="C24" i="7"/>
  <c r="C19" i="7"/>
  <c r="C15" i="7"/>
  <c r="C11" i="7"/>
  <c r="C32" i="7"/>
  <c r="C26" i="7"/>
  <c r="C23" i="7"/>
  <c r="C18" i="7"/>
  <c r="C14" i="7"/>
  <c r="C10" i="7"/>
  <c r="C35" i="7"/>
  <c r="C31" i="7"/>
  <c r="C25" i="7"/>
  <c r="C21" i="7"/>
  <c r="C17" i="7"/>
  <c r="C13" i="7"/>
  <c r="C9" i="7"/>
  <c r="C34" i="7"/>
  <c r="C30" i="7"/>
  <c r="C20" i="7"/>
  <c r="C16" i="7"/>
  <c r="C12" i="7"/>
  <c r="C7" i="7"/>
  <c r="C6" i="7"/>
  <c r="C5" i="7"/>
  <c r="C4" i="7"/>
  <c r="C3" i="7"/>
  <c r="C2" i="7"/>
</calcChain>
</file>

<file path=xl/sharedStrings.xml><?xml version="1.0" encoding="utf-8"?>
<sst xmlns="http://schemas.openxmlformats.org/spreadsheetml/2006/main" count="2089" uniqueCount="1633">
  <si>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</si>
  <si>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</si>
  <si>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</si>
  <si>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</si>
  <si>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</si>
  <si>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澳柯玛</t>
  </si>
  <si>
    <t>长虹美菱</t>
  </si>
  <si>
    <t>奇精机械</t>
  </si>
  <si>
    <t>长虹华意</t>
  </si>
  <si>
    <t>海立股份</t>
  </si>
  <si>
    <t>春光科技</t>
  </si>
  <si>
    <t>三星新材</t>
  </si>
  <si>
    <t>天银机电</t>
  </si>
  <si>
    <t>立霸股份</t>
  </si>
  <si>
    <t>星帅尔</t>
  </si>
  <si>
    <t>三花智控</t>
  </si>
  <si>
    <t>朗迪集团</t>
  </si>
  <si>
    <t>东方电热</t>
  </si>
  <si>
    <t>汉宇集团</t>
  </si>
  <si>
    <t>美的集团</t>
  </si>
  <si>
    <t>惠而浦</t>
  </si>
  <si>
    <t>格力电器</t>
  </si>
  <si>
    <t>海信家电</t>
  </si>
  <si>
    <t>秀强股份</t>
  </si>
  <si>
    <t>顺威股份</t>
  </si>
  <si>
    <t>盾安环境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</si>
  <si>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</si>
  <si>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</si>
  <si>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</si>
  <si>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代码</t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</si>
  <si>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</si>
  <si>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</si>
  <si>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</si>
  <si>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</si>
  <si>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</si>
  <si>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</si>
  <si>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</si>
  <si>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</si>
  <si>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</si>
  <si>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</si>
  <si>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</si>
  <si>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SZ000521</t>
  </si>
  <si>
    <t>白色家电</t>
  </si>
  <si>
    <t>165.53亿</t>
  </si>
  <si>
    <t>5644.15万</t>
  </si>
  <si>
    <t>--</t>
  </si>
  <si>
    <t>1.91亿</t>
  </si>
  <si>
    <t>SZ000921</t>
  </si>
  <si>
    <t>374.53亿</t>
  </si>
  <si>
    <t>17.94亿</t>
  </si>
  <si>
    <t>SZ002668</t>
  </si>
  <si>
    <t>73.93亿</t>
  </si>
  <si>
    <t>5328.85万</t>
  </si>
  <si>
    <t>1.16亿</t>
  </si>
  <si>
    <t>SH600336</t>
  </si>
  <si>
    <t>64.33亿</t>
  </si>
  <si>
    <t>1.93亿</t>
  </si>
  <si>
    <t>3.85亿</t>
  </si>
  <si>
    <t>8.54亿</t>
  </si>
  <si>
    <t>SH600690</t>
  </si>
  <si>
    <t>海尔智家</t>
  </si>
  <si>
    <t>2007.62亿</t>
  </si>
  <si>
    <t>82.06亿</t>
  </si>
  <si>
    <t>SZ000333</t>
  </si>
  <si>
    <t>242.11亿</t>
  </si>
  <si>
    <t>SZ000651</t>
  </si>
  <si>
    <t>246.97亿</t>
  </si>
  <si>
    <t>1.98亿</t>
  </si>
  <si>
    <t>1.31亿</t>
  </si>
  <si>
    <t>SH600983</t>
  </si>
  <si>
    <t>52.82亿</t>
  </si>
  <si>
    <t>-3.23亿</t>
  </si>
  <si>
    <t>1.85亿</t>
  </si>
  <si>
    <t>1.02亿</t>
  </si>
  <si>
    <t>2.30亿</t>
  </si>
  <si>
    <t>3.10亿</t>
  </si>
  <si>
    <t>1.42亿</t>
  </si>
  <si>
    <t>0亿</t>
  </si>
  <si>
    <t>1.86亿</t>
  </si>
  <si>
    <t>1.37亿</t>
  </si>
  <si>
    <t>1.63亿</t>
  </si>
  <si>
    <t>1.01亿</t>
  </si>
  <si>
    <t>6.49亿</t>
  </si>
  <si>
    <t>1.25亿</t>
  </si>
  <si>
    <t>5.65亿</t>
  </si>
  <si>
    <t>1.47亿</t>
  </si>
  <si>
    <t>1.00亿</t>
  </si>
  <si>
    <t>SZ000404</t>
  </si>
  <si>
    <t>95.89亿</t>
  </si>
  <si>
    <t>3062.64万</t>
  </si>
  <si>
    <t>1.06亿</t>
  </si>
  <si>
    <t>2.05亿</t>
  </si>
  <si>
    <t>SZ002011</t>
  </si>
  <si>
    <t>91.04亿</t>
  </si>
  <si>
    <t>1.08亿</t>
  </si>
  <si>
    <t>SZ002050</t>
  </si>
  <si>
    <t>112.87亿</t>
  </si>
  <si>
    <t>14.21亿</t>
  </si>
  <si>
    <t>SZ002290</t>
  </si>
  <si>
    <t>17.26亿</t>
  </si>
  <si>
    <t>-11.98亿</t>
  </si>
  <si>
    <t>SZ002418</t>
  </si>
  <si>
    <t>20.08亿</t>
  </si>
  <si>
    <t>-5.42亿</t>
  </si>
  <si>
    <t>SZ002676</t>
  </si>
  <si>
    <t>16.82亿</t>
  </si>
  <si>
    <t>915.47万</t>
  </si>
  <si>
    <t>1.33亿</t>
  </si>
  <si>
    <t>2.45亿</t>
  </si>
  <si>
    <t>SZ002860</t>
  </si>
  <si>
    <t>4.88亿</t>
  </si>
  <si>
    <t>7.08亿</t>
  </si>
  <si>
    <t>SZ300160</t>
  </si>
  <si>
    <t>12.69亿</t>
  </si>
  <si>
    <t>2.62亿</t>
  </si>
  <si>
    <t>SZ300217</t>
  </si>
  <si>
    <t>22.34亿</t>
  </si>
  <si>
    <t>-9777.18万</t>
  </si>
  <si>
    <t>1.92亿</t>
  </si>
  <si>
    <t>SZ300342</t>
  </si>
  <si>
    <t>9.45亿</t>
  </si>
  <si>
    <t>2.50亿</t>
  </si>
  <si>
    <t>SZ300403</t>
  </si>
  <si>
    <t>8.64亿</t>
  </si>
  <si>
    <t>3.11亿</t>
  </si>
  <si>
    <t>SH600619</t>
  </si>
  <si>
    <t>121.40亿</t>
  </si>
  <si>
    <t>2.85亿</t>
  </si>
  <si>
    <t>SH603519</t>
  </si>
  <si>
    <t>12.84亿</t>
  </si>
  <si>
    <t>1.32亿</t>
  </si>
  <si>
    <t>2.26亿</t>
  </si>
  <si>
    <t>SH603578</t>
  </si>
  <si>
    <t>3.40亿</t>
  </si>
  <si>
    <t>6159.83万</t>
  </si>
  <si>
    <t>SH603657</t>
  </si>
  <si>
    <t>5.63亿</t>
  </si>
  <si>
    <t>1.07亿</t>
  </si>
  <si>
    <t>SH603677</t>
  </si>
  <si>
    <t>16.66亿</t>
  </si>
  <si>
    <t>7631.68万</t>
  </si>
  <si>
    <t>SH603726</t>
  </si>
  <si>
    <t>15.93亿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</si>
  <si>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</si>
  <si>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</si>
  <si>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</si>
  <si>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</si>
  <si>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</si>
  <si>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</si>
  <si>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</si>
  <si>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</si>
  <si>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</si>
  <si>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</si>
  <si>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</si>
  <si>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销售毛利率%[20201231]</t>
  </si>
  <si>
    <t>销售毛利率%[20191231]</t>
  </si>
  <si>
    <t>销售净利率%[20201231]</t>
  </si>
  <si>
    <t>销售净利率%[20191231]</t>
  </si>
  <si>
    <t>272.23亿</t>
  </si>
  <si>
    <t>2782.16亿</t>
  </si>
  <si>
    <t>2596.65亿</t>
  </si>
  <si>
    <t>202.31亿</t>
  </si>
  <si>
    <t>104.53亿</t>
  </si>
  <si>
    <t>89.11亿</t>
  </si>
  <si>
    <t>7214.72万</t>
  </si>
  <si>
    <t>153.88亿</t>
  </si>
  <si>
    <t>-8556.57万</t>
  </si>
  <si>
    <t>174.90亿</t>
  </si>
  <si>
    <t>3865.83万</t>
  </si>
  <si>
    <t>221.75亿</t>
  </si>
  <si>
    <t>1981.53亿</t>
  </si>
  <si>
    <t>1981.23亿</t>
  </si>
  <si>
    <t>262.03亿</t>
  </si>
  <si>
    <t>483.93亿</t>
  </si>
  <si>
    <t>15.79亿</t>
  </si>
  <si>
    <t>360.20亿</t>
  </si>
  <si>
    <t>13.77亿</t>
  </si>
  <si>
    <t>1.80亿</t>
  </si>
  <si>
    <t>73.81亿</t>
  </si>
  <si>
    <t>-10.00亿</t>
  </si>
  <si>
    <t>94.01亿</t>
  </si>
  <si>
    <t>-21.67亿</t>
  </si>
  <si>
    <t>121.10亿</t>
  </si>
  <si>
    <t>14.62亿</t>
  </si>
  <si>
    <t>108.36亿</t>
  </si>
  <si>
    <t>12.92亿</t>
  </si>
  <si>
    <t>1.28亿</t>
  </si>
  <si>
    <t>禾盛新材</t>
  </si>
  <si>
    <t>18.22亿</t>
  </si>
  <si>
    <t>5508.01万</t>
  </si>
  <si>
    <t>1.34亿</t>
  </si>
  <si>
    <t>17.34亿</t>
  </si>
  <si>
    <t>6283.59万</t>
  </si>
  <si>
    <t>23.52亿</t>
  </si>
  <si>
    <t>2112.59万</t>
  </si>
  <si>
    <t>29.18亿</t>
  </si>
  <si>
    <t>19.49亿</t>
  </si>
  <si>
    <t>1.22亿</t>
  </si>
  <si>
    <t>1.19亿</t>
  </si>
  <si>
    <t>83.45亿</t>
  </si>
  <si>
    <t>1.40亿</t>
  </si>
  <si>
    <t>78.03亿</t>
  </si>
  <si>
    <t>-19.03亿</t>
  </si>
  <si>
    <t>17.28亿</t>
  </si>
  <si>
    <t>2743.92万</t>
  </si>
  <si>
    <t>16.18亿</t>
  </si>
  <si>
    <t>12.99亿</t>
  </si>
  <si>
    <t>571.75万</t>
  </si>
  <si>
    <t>14.01亿</t>
  </si>
  <si>
    <t>7.46亿</t>
  </si>
  <si>
    <t>9.27亿</t>
  </si>
  <si>
    <t>4.09亿</t>
  </si>
  <si>
    <t>3.55亿</t>
  </si>
  <si>
    <t>9541.24万</t>
  </si>
  <si>
    <t>15.59亿</t>
  </si>
  <si>
    <t>12.86亿</t>
  </si>
  <si>
    <t>-2.33亿</t>
  </si>
  <si>
    <t>1.11亿</t>
  </si>
  <si>
    <t>23.97亿</t>
  </si>
  <si>
    <t>6042.93万</t>
  </si>
  <si>
    <t>1.10亿</t>
  </si>
  <si>
    <t>22.39亿</t>
  </si>
  <si>
    <t>1.45亿</t>
  </si>
  <si>
    <t>8.98亿</t>
  </si>
  <si>
    <t>9730.95万</t>
  </si>
  <si>
    <t>9.38亿</t>
  </si>
  <si>
    <t>1.74亿</t>
  </si>
  <si>
    <t>7.94亿</t>
  </si>
  <si>
    <t>7.78亿</t>
  </si>
  <si>
    <t>7.58亿</t>
  </si>
  <si>
    <t>70.59亿</t>
  </si>
  <si>
    <t>56.45亿</t>
  </si>
  <si>
    <t>6990.09万</t>
  </si>
  <si>
    <t>110.73亿</t>
  </si>
  <si>
    <t>117.08亿</t>
  </si>
  <si>
    <t>1841.08亿</t>
  </si>
  <si>
    <t>74.84亿</t>
  </si>
  <si>
    <t>6.60亿</t>
  </si>
  <si>
    <t>49.44亿</t>
  </si>
  <si>
    <t>-1.50亿</t>
  </si>
  <si>
    <t>62.86亿</t>
  </si>
  <si>
    <t>63.64亿</t>
  </si>
  <si>
    <t>-9697.57万</t>
  </si>
  <si>
    <t>SH601956</t>
  </si>
  <si>
    <t>东贝集团</t>
  </si>
  <si>
    <t>52.11亿</t>
  </si>
  <si>
    <t>49.29亿</t>
  </si>
  <si>
    <t>9770.67万</t>
  </si>
  <si>
    <t>SH603311</t>
  </si>
  <si>
    <t>金海高科</t>
  </si>
  <si>
    <t>6.93亿</t>
  </si>
  <si>
    <t>9335.15万</t>
  </si>
  <si>
    <t>5.22亿</t>
  </si>
  <si>
    <t>8011.20万</t>
  </si>
  <si>
    <t>6504.30万</t>
  </si>
  <si>
    <t>9564.45万</t>
  </si>
  <si>
    <t>12.83亿</t>
  </si>
  <si>
    <t>9146.04万</t>
  </si>
  <si>
    <t>3.27亿</t>
  </si>
  <si>
    <t>6005.24万</t>
  </si>
  <si>
    <t>5.07亿</t>
  </si>
  <si>
    <t>5620.64万</t>
  </si>
  <si>
    <t>13.81亿</t>
  </si>
  <si>
    <t>7769.28万</t>
  </si>
  <si>
    <t>15.70亿</t>
  </si>
  <si>
    <t>康盛股份</t>
  </si>
  <si>
    <t>-4.82亿</t>
  </si>
  <si>
    <t>SZ301008</t>
  </si>
  <si>
    <t>宏昌科技</t>
  </si>
  <si>
    <t>5.77亿</t>
  </si>
  <si>
    <t>8190.69万</t>
  </si>
  <si>
    <t>5.06亿</t>
  </si>
  <si>
    <t>6851.21万</t>
  </si>
  <si>
    <t>2513.23万</t>
  </si>
  <si>
    <t>15.87亿</t>
  </si>
  <si>
    <t>SZ002420</t>
  </si>
  <si>
    <t>30.63亿</t>
  </si>
  <si>
    <t>6584.54万</t>
  </si>
  <si>
    <t>35.15亿</t>
  </si>
  <si>
    <t>48.99亿</t>
  </si>
  <si>
    <t>-8.14亿</t>
  </si>
  <si>
    <t>11.28亿</t>
  </si>
  <si>
    <t>2.79亿</t>
  </si>
  <si>
    <t>SH603112</t>
  </si>
  <si>
    <t>华翔股份</t>
  </si>
  <si>
    <t>20.48亿</t>
  </si>
  <si>
    <t>19.96亿</t>
  </si>
  <si>
    <t>7.68亿</t>
  </si>
  <si>
    <t>公司的产品主要应用于白色家电领域、工程机械领域以及汽车领域的各类定制化金属零部件的研发、生产和销售业务；（铸造工艺）
2021H1：
压缩机零部件 7.29亿 49.13% 利润占比57.75% 25.36%
工程机械零部件 2.59亿 17.46% 利润占比17.16% 21.21%
汽车零部件 2.27亿 15.33% 利润占比19.08% 26.85%
生铁和再生资源 2.12亿 14.30% 利润占比1.86% 2.80%
泵阀及其他 5601.55万 3.78% 利润占比4.15% 23.73%</t>
    <phoneticPr fontId="1" type="noConversion"/>
  </si>
  <si>
    <t>流通股本</t>
  </si>
  <si>
    <t>净利润[20201231]</t>
  </si>
  <si>
    <t>投入资本回报率roic%[20201231]</t>
  </si>
  <si>
    <t>净资产收益率%[20201231]</t>
  </si>
  <si>
    <t>285.74亿</t>
  </si>
  <si>
    <t>131.99亿</t>
  </si>
  <si>
    <t>180.33亿</t>
  </si>
  <si>
    <t>5189.84万</t>
  </si>
  <si>
    <t>9.67亿</t>
  </si>
  <si>
    <t>230.64亿</t>
  </si>
  <si>
    <t>675.63亿</t>
  </si>
  <si>
    <t>9.73亿</t>
  </si>
  <si>
    <t>98.37亿</t>
  </si>
  <si>
    <t>4.05亿</t>
  </si>
  <si>
    <t>160.21亿</t>
  </si>
  <si>
    <t>16.84亿</t>
  </si>
  <si>
    <t>22.69亿</t>
  </si>
  <si>
    <t>8197.60万</t>
  </si>
  <si>
    <t>23.77亿</t>
  </si>
  <si>
    <t>3739.12万</t>
  </si>
  <si>
    <t>毅昌科技</t>
  </si>
  <si>
    <t>37.44亿</t>
  </si>
  <si>
    <t>7436.96万</t>
  </si>
  <si>
    <t>101.22亿</t>
  </si>
  <si>
    <t>-7990.79万</t>
  </si>
  <si>
    <t>-9.87亿</t>
  </si>
  <si>
    <t>21.33亿</t>
  </si>
  <si>
    <t>3413.42万</t>
  </si>
  <si>
    <t>13.69亿</t>
  </si>
  <si>
    <t>1.44亿</t>
  </si>
  <si>
    <t>14.58亿</t>
  </si>
  <si>
    <t>27.87亿</t>
  </si>
  <si>
    <t>10.39亿</t>
  </si>
  <si>
    <t>9963.07万</t>
  </si>
  <si>
    <t>3.23亿</t>
  </si>
  <si>
    <t>6804.11万</t>
  </si>
  <si>
    <t>86.26亿</t>
  </si>
  <si>
    <t>157.69亿</t>
  </si>
  <si>
    <t>2097.23亿</t>
  </si>
  <si>
    <t>88.83亿</t>
  </si>
  <si>
    <t>49.31亿</t>
  </si>
  <si>
    <t>-5.89亿</t>
  </si>
  <si>
    <t>2.33亿</t>
  </si>
  <si>
    <t>60.60亿</t>
  </si>
  <si>
    <t>3188.41万</t>
  </si>
  <si>
    <t>32.82亿</t>
  </si>
  <si>
    <t>3.28亿</t>
  </si>
  <si>
    <t>12.95亿</t>
  </si>
  <si>
    <t>SH603150</t>
  </si>
  <si>
    <t>万朗磁塑</t>
  </si>
  <si>
    <t>14.77亿</t>
  </si>
  <si>
    <t>12.15亿</t>
  </si>
  <si>
    <t>7.90亿</t>
  </si>
  <si>
    <t>9136.12万</t>
  </si>
  <si>
    <t>6502.10万</t>
  </si>
  <si>
    <t>7149.94万</t>
  </si>
  <si>
    <t>8.26亿</t>
  </si>
  <si>
    <t>9849.81万</t>
  </si>
  <si>
    <t>5.75亿</t>
  </si>
  <si>
    <t>8336.89万</t>
  </si>
  <si>
    <t>20.05亿</t>
  </si>
  <si>
    <t>8890.54万</t>
  </si>
  <si>
    <t>18.20亿</t>
  </si>
  <si>
    <t xml:space="preserve">    名称</t>
  </si>
  <si>
    <t>净利润?</t>
  </si>
  <si>
    <t>扣非净利润</t>
  </si>
  <si>
    <t>营业总收入[20201231]</t>
  </si>
  <si>
    <t>投入资本回报率roic%[20211231]</t>
  </si>
  <si>
    <t>净资产收益率%[20211231]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</si>
  <si>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</si>
  <si>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</si>
  <si>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</si>
  <si>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</si>
  <si>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</si>
  <si>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</si>
  <si>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</si>
  <si>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</si>
  <si>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</si>
  <si>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</si>
  <si>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</si>
  <si>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</si>
  <si>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</si>
  <si>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</si>
  <si>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</si>
  <si>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/>
  </si>
  <si>
    <t>1.04亿</t>
  </si>
  <si>
    <t>4.01亿</t>
  </si>
  <si>
    <t>2.66亿</t>
  </si>
  <si>
    <t>1.49亿</t>
  </si>
  <si>
    <t>-1-1</t>
  </si>
  <si>
    <t>1-1</t>
  </si>
  <si>
    <t>12.18亿</t>
  </si>
  <si>
    <t>1.21亿</t>
  </si>
  <si>
    <t>公司主营业务是制冷技术研发和产品制造。公司的主要产品家用制冷、商用冷链、自动售货机、生活电器、厨卫电器、洗衣机、空调。毛利19%，净利4%；2021营收增22%，利润增-41%；2022Q1营收增21%，利润增50%；
2021：
制冷电器 51.76亿 60.01% 59.55% 16.50%
生活电器 9.63亿 11.16% 13.16% 19.61%
其他 8.74亿 10.14% 15.82% 25.95%
其他业务 6.96亿 8.07% 2.23% 4.60%
空调 5.14亿 5.96% 5.43% 15.17%
洗衣机 3.10亿 3.59% 2.68% 12.39%
自动售货机 9195.65万 1.07% 1.12% 17.45%</t>
    <phoneticPr fontId="1" type="noConversion"/>
  </si>
  <si>
    <t>LY营业总收入[20211231]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</si>
  <si>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</si>
  <si>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</si>
  <si>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</si>
  <si>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</si>
  <si>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</si>
  <si>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管理费用[20220630]</t>
  </si>
  <si>
    <t>研发费用总额[20220630]</t>
  </si>
  <si>
    <t>细分行业</t>
  </si>
  <si>
    <t>空调</t>
  </si>
  <si>
    <t>冰洗</t>
  </si>
  <si>
    <t>SZ001268</t>
  </si>
  <si>
    <t>联合精密</t>
  </si>
  <si>
    <t>6.52亿</t>
  </si>
  <si>
    <t>9165.98万</t>
  </si>
  <si>
    <t>4.51亿</t>
  </si>
  <si>
    <t>3.43亿</t>
  </si>
  <si>
    <t>2.78亿</t>
  </si>
  <si>
    <t>8447.76万</t>
  </si>
  <si>
    <t>6385.75万</t>
  </si>
  <si>
    <t>3255.17万</t>
  </si>
  <si>
    <t>1.70亿</t>
  </si>
  <si>
    <t>2.44亿</t>
  </si>
  <si>
    <t>2.54亿</t>
  </si>
  <si>
    <t>1.09亿</t>
  </si>
  <si>
    <t>1.43亿</t>
  </si>
  <si>
    <t>涨幅</t>
  </si>
  <si>
    <t>成交量[20221212]</t>
  </si>
  <si>
    <t>营业收入(同比增长率) %[20220930]</t>
  </si>
  <si>
    <t>LY净利润[20211231]</t>
  </si>
  <si>
    <t>销售费用[20220930]</t>
  </si>
  <si>
    <t>其他收入[20220930]</t>
  </si>
  <si>
    <t>货币资金[20220930]</t>
  </si>
  <si>
    <t>应收票据[20220930]</t>
  </si>
  <si>
    <t>固定资产[20220930]</t>
  </si>
  <si>
    <t>在建工程[20220930]</t>
  </si>
  <si>
    <t>短期借款[20220930]</t>
  </si>
  <si>
    <t>应付票据[20220930]</t>
  </si>
  <si>
    <t>应付账款[20220930]</t>
  </si>
  <si>
    <t>预收款项[20220930]</t>
  </si>
  <si>
    <t>流动负债[20220930]</t>
  </si>
  <si>
    <t>长期借款[20220930]</t>
  </si>
  <si>
    <t>经营活动产生的现金流量净额[20220930]</t>
  </si>
  <si>
    <t>投资活动产生的现金流量净额[20220930]</t>
  </si>
  <si>
    <t>筹资活动产生的现金流量净额[20220930]</t>
  </si>
  <si>
    <t>CYLQ营业收入[20220630]</t>
  </si>
  <si>
    <t>LYCQ营业收入[20210930]</t>
  </si>
  <si>
    <t>LYLQ营业收入[20210630]</t>
  </si>
  <si>
    <t>CYLQ净利润[20220630]</t>
  </si>
  <si>
    <t>LYCQ净利润[20210930]</t>
  </si>
  <si>
    <t>LYLQ净利润[20210630]</t>
  </si>
  <si>
    <t>分红明细[20211231]</t>
  </si>
  <si>
    <t>销售毛利率%[20220630]</t>
  </si>
  <si>
    <t>销售净利率%[20220630]</t>
  </si>
  <si>
    <t>区间涨跌幅:前复权%[20221206-20221212]</t>
  </si>
  <si>
    <t>指数@区间涨跌幅:不复权%[20221101-20221212]</t>
  </si>
  <si>
    <t>指数@区间成交量[20221206-20221212]</t>
  </si>
  <si>
    <t>指数@区间成交量[20221101-20221212]</t>
  </si>
  <si>
    <t>扣非对比净利润</t>
    <phoneticPr fontId="1" type="noConversion"/>
  </si>
  <si>
    <t>过往营收增速均值</t>
    <phoneticPr fontId="1" type="noConversion"/>
  </si>
  <si>
    <t>过往利润增速均值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</si>
  <si>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</si>
  <si>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</si>
  <si>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</si>
  <si>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</si>
  <si>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6增速</t>
    <phoneticPr fontId="1" type="noConversion"/>
  </si>
  <si>
    <t>20年自由现金流折现</t>
    <phoneticPr fontId="1" type="noConversion"/>
  </si>
  <si>
    <t>原始顺序</t>
    <phoneticPr fontId="1" type="noConversion"/>
  </si>
  <si>
    <t>策略1营收单季最佳增速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</si>
  <si>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</si>
  <si>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</si>
  <si>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成交量综合策略</t>
    <phoneticPr fontId="1" type="noConversion"/>
  </si>
  <si>
    <t>机会区域号</t>
    <phoneticPr fontId="1" type="noConversion"/>
  </si>
  <si>
    <t>昨日价格累计指数</t>
    <phoneticPr fontId="1" type="noConversion"/>
  </si>
  <si>
    <t>成交量异动策略</t>
    <phoneticPr fontId="1" type="noConversion"/>
  </si>
  <si>
    <t>市销率</t>
    <phoneticPr fontId="1" type="noConversion"/>
  </si>
  <si>
    <t>股利率</t>
    <phoneticPr fontId="1" type="noConversion"/>
  </si>
  <si>
    <t>折现率</t>
    <phoneticPr fontId="1" type="noConversion"/>
  </si>
  <si>
    <t>6年自由现金流折现</t>
    <phoneticPr fontId="1" type="noConversion"/>
  </si>
  <si>
    <t>10年自由现金流折现</t>
    <phoneticPr fontId="1" type="noConversion"/>
  </si>
  <si>
    <t>10增速</t>
    <phoneticPr fontId="1" type="noConversion"/>
  </si>
  <si>
    <t>承担负债现期溢价</t>
    <phoneticPr fontId="1" type="noConversion"/>
  </si>
  <si>
    <t>清算价格</t>
    <phoneticPr fontId="1" type="noConversion"/>
  </si>
  <si>
    <t>策略1利润单季最佳增速</t>
    <phoneticPr fontId="1" type="noConversion"/>
  </si>
  <si>
    <t>营收和利润加权</t>
    <phoneticPr fontId="1" type="noConversion"/>
  </si>
  <si>
    <t>价格变动策略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</si>
  <si>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</si>
  <si>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</si>
  <si>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</si>
  <si>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5日成交换手率</t>
    <phoneticPr fontId="1" type="noConversion"/>
  </si>
  <si>
    <t>30日成交换手率</t>
    <phoneticPr fontId="1" type="noConversion"/>
  </si>
  <si>
    <t>今日价格累积指数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</si>
  <si>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</si>
  <si>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</si>
  <si>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</si>
  <si>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</si>
  <si>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</si>
  <si>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N-2</t>
    <phoneticPr fontId="1" type="noConversion"/>
  </si>
  <si>
    <t>N-1</t>
    <phoneticPr fontId="1" type="noConversion"/>
  </si>
  <si>
    <t>N</t>
    <phoneticPr fontId="1" type="noConversion"/>
  </si>
  <si>
    <t>4.34亿</t>
  </si>
  <si>
    <t>4.74亿</t>
  </si>
  <si>
    <t>不分配不转增</t>
  </si>
  <si>
    <t>18.02亿</t>
  </si>
  <si>
    <t>10派1元(含税)</t>
  </si>
  <si>
    <t>1.46亿</t>
  </si>
  <si>
    <t>1.68亿</t>
  </si>
  <si>
    <t>25.66亿</t>
  </si>
  <si>
    <t>2.98亿</t>
  </si>
  <si>
    <t>5.54亿</t>
  </si>
  <si>
    <t>10派4元(含税)</t>
  </si>
  <si>
    <t>1.03亿</t>
  </si>
  <si>
    <t>10派3元(含税)</t>
  </si>
  <si>
    <t>1.84亿</t>
  </si>
  <si>
    <t>2.58亿</t>
  </si>
  <si>
    <t>2.29亿</t>
  </si>
  <si>
    <t>1.82亿</t>
  </si>
  <si>
    <t>1.51亿</t>
  </si>
  <si>
    <t>295.54亿</t>
  </si>
  <si>
    <t>3.95亿</t>
  </si>
  <si>
    <t>3412.33亿</t>
  </si>
  <si>
    <t>2842.21亿</t>
  </si>
  <si>
    <t>130.95亿</t>
  </si>
  <si>
    <t>2.63亿</t>
  </si>
  <si>
    <t>1.75亿</t>
  </si>
  <si>
    <t>10派2元(含税)</t>
  </si>
  <si>
    <t>202.15亿</t>
  </si>
  <si>
    <t>14.29亿</t>
  </si>
  <si>
    <t>6.74亿</t>
  </si>
  <si>
    <t>2-1</t>
  </si>
  <si>
    <t>1878.69亿</t>
  </si>
  <si>
    <t>1681.99亿</t>
  </si>
  <si>
    <t>12.77亿</t>
  </si>
  <si>
    <t>741.15亿</t>
  </si>
  <si>
    <t>14.35亿</t>
  </si>
  <si>
    <t>1-0</t>
  </si>
  <si>
    <t>7300.28万</t>
  </si>
  <si>
    <t>8.39亿</t>
  </si>
  <si>
    <t>3.89亿</t>
  </si>
  <si>
    <t>4.61亿</t>
  </si>
  <si>
    <t>7.01亿</t>
  </si>
  <si>
    <t>213.48亿</t>
  </si>
  <si>
    <t>25.73亿</t>
  </si>
  <si>
    <t>1.41亿</t>
  </si>
  <si>
    <t>3.15亿</t>
  </si>
  <si>
    <t>1.89亿</t>
  </si>
  <si>
    <t>31.51亿</t>
  </si>
  <si>
    <t>1791.35万</t>
  </si>
  <si>
    <t>1.88亿</t>
  </si>
  <si>
    <t>27.11亿</t>
  </si>
  <si>
    <t>1.15亿</t>
  </si>
  <si>
    <t>2.04亿</t>
  </si>
  <si>
    <t>1.35亿</t>
  </si>
  <si>
    <t>6.44亿</t>
  </si>
  <si>
    <t>2.68亿</t>
  </si>
  <si>
    <t>17.81亿</t>
  </si>
  <si>
    <t>3.22亿</t>
  </si>
  <si>
    <t>4.26亿</t>
  </si>
  <si>
    <t>3.00亿</t>
  </si>
  <si>
    <t>6.95亿</t>
  </si>
  <si>
    <t>21.00亿</t>
  </si>
  <si>
    <t>4232.47万</t>
  </si>
  <si>
    <t>15.07亿</t>
  </si>
  <si>
    <t>38.19亿</t>
  </si>
  <si>
    <t>3.02亿</t>
  </si>
  <si>
    <t>1.73亿</t>
  </si>
  <si>
    <t>-1-0</t>
  </si>
  <si>
    <t>782.15万</t>
  </si>
  <si>
    <t>6.40亿</t>
  </si>
  <si>
    <t>1.53亿</t>
  </si>
  <si>
    <t>1.99亿</t>
  </si>
  <si>
    <t>3.65亿</t>
  </si>
  <si>
    <t>4.13亿</t>
  </si>
  <si>
    <t>10.58亿</t>
  </si>
  <si>
    <t>8.50亿</t>
  </si>
  <si>
    <t>1.60亿</t>
  </si>
  <si>
    <t>10派1.3元(含税)</t>
  </si>
  <si>
    <t>10.29亿</t>
  </si>
  <si>
    <t>6.78亿</t>
  </si>
  <si>
    <t>95.67亿</t>
  </si>
  <si>
    <t>1.29亿</t>
  </si>
  <si>
    <t>165.03亿</t>
  </si>
  <si>
    <t>3545.62万</t>
  </si>
  <si>
    <t>7.41亿</t>
  </si>
  <si>
    <t>10派0.1元(含税)</t>
  </si>
  <si>
    <t>2271.06亿</t>
  </si>
  <si>
    <t>130.79亿</t>
  </si>
  <si>
    <t>1.23亿</t>
  </si>
  <si>
    <t>493.43万</t>
  </si>
  <si>
    <t>26.86亿</t>
  </si>
  <si>
    <t>29.90亿</t>
  </si>
  <si>
    <t>1006463860亿</t>
  </si>
  <si>
    <t>42.64亿</t>
  </si>
  <si>
    <t>2794.26万</t>
  </si>
  <si>
    <t>40.80亿</t>
  </si>
  <si>
    <t>36.93亿</t>
  </si>
  <si>
    <t>1956.12万</t>
  </si>
  <si>
    <t>6217.56万</t>
  </si>
  <si>
    <t>21.26亿</t>
  </si>
  <si>
    <t>1188051520亿</t>
  </si>
  <si>
    <t>996.63万</t>
  </si>
  <si>
    <t>3691609100亿</t>
  </si>
  <si>
    <t>4978.26万</t>
  </si>
  <si>
    <t>11.00亿</t>
  </si>
  <si>
    <t>9.75亿</t>
  </si>
  <si>
    <t>4.15亿</t>
  </si>
  <si>
    <t>6.02亿</t>
  </si>
  <si>
    <t>-585.38万</t>
  </si>
  <si>
    <t>-1825.91万</t>
  </si>
  <si>
    <t>1859.21万</t>
  </si>
  <si>
    <t>7839.50万</t>
  </si>
  <si>
    <t>027942600</t>
  </si>
  <si>
    <t>083827800</t>
  </si>
  <si>
    <t>0167655600</t>
  </si>
  <si>
    <t>0279426000</t>
  </si>
  <si>
    <t>0558852000</t>
  </si>
  <si>
    <t>53.45亿</t>
  </si>
  <si>
    <t>-2.12亿</t>
  </si>
  <si>
    <t>32.26亿</t>
  </si>
  <si>
    <t>17.09亿</t>
  </si>
  <si>
    <t>1.50亿</t>
  </si>
  <si>
    <t>3.38亿</t>
  </si>
  <si>
    <t>10.41亿</t>
  </si>
  <si>
    <t>5.03亿</t>
  </si>
  <si>
    <t>7.89亿</t>
  </si>
  <si>
    <t>7561.70万</t>
  </si>
  <si>
    <t>6.28亿</t>
  </si>
  <si>
    <t>14.16亿</t>
  </si>
  <si>
    <t>7.63亿</t>
  </si>
  <si>
    <t>2-0</t>
  </si>
  <si>
    <t>19.21亿</t>
  </si>
  <si>
    <t>5.42亿</t>
  </si>
  <si>
    <t>439.74万</t>
  </si>
  <si>
    <t>18.04亿</t>
  </si>
  <si>
    <t>16.85亿</t>
  </si>
  <si>
    <t>9140.44万</t>
  </si>
  <si>
    <t>2647.96万</t>
  </si>
  <si>
    <t>3117.39亿</t>
  </si>
  <si>
    <t>1838.67亿</t>
  </si>
  <si>
    <t>1061.02亿</t>
  </si>
  <si>
    <t>90.00亿</t>
  </si>
  <si>
    <t>957.39亿</t>
  </si>
  <si>
    <t>771.14亿</t>
  </si>
  <si>
    <t>106.30亿</t>
  </si>
  <si>
    <t>33.15亿</t>
  </si>
  <si>
    <t>27984000亿</t>
  </si>
  <si>
    <t>9236971000亿</t>
  </si>
  <si>
    <t>959.52亿</t>
  </si>
  <si>
    <t>39977677000亿</t>
  </si>
  <si>
    <t>40.57亿</t>
  </si>
  <si>
    <t>291659390000亿</t>
  </si>
  <si>
    <t>53.03亿</t>
  </si>
  <si>
    <t>99.96亿</t>
  </si>
  <si>
    <t>218.93亿</t>
  </si>
  <si>
    <t>790.91亿</t>
  </si>
  <si>
    <t>2539.96亿</t>
  </si>
  <si>
    <t>460.27亿</t>
  </si>
  <si>
    <t>139.29亿</t>
  </si>
  <si>
    <t>-59.55亿</t>
  </si>
  <si>
    <t>-50.91亿</t>
  </si>
  <si>
    <t>3439.18亿</t>
  </si>
  <si>
    <t>3720.37亿</t>
  </si>
  <si>
    <t>1969.88亿</t>
  </si>
  <si>
    <t>337.20亿</t>
  </si>
  <si>
    <t>182.32亿</t>
  </si>
  <si>
    <t>10派30元(含税)</t>
  </si>
  <si>
    <t>8.36亿</t>
  </si>
  <si>
    <t>09000000000</t>
  </si>
  <si>
    <t>027000000000</t>
  </si>
  <si>
    <t>054000000000</t>
  </si>
  <si>
    <t>090000000000</t>
  </si>
  <si>
    <t>0180000000000</t>
  </si>
  <si>
    <t>903.48万</t>
  </si>
  <si>
    <t>87.09亿</t>
  </si>
  <si>
    <t>51.21亿</t>
  </si>
  <si>
    <t>33.41亿</t>
  </si>
  <si>
    <t>7992.17万</t>
  </si>
  <si>
    <t>32.08亿</t>
  </si>
  <si>
    <t>30.07亿</t>
  </si>
  <si>
    <t>4000.97万</t>
  </si>
  <si>
    <t>8263.75万</t>
  </si>
  <si>
    <t>19459649亿</t>
  </si>
  <si>
    <t>112.90万</t>
  </si>
  <si>
    <t>76394265亿</t>
  </si>
  <si>
    <t>56.10亿</t>
  </si>
  <si>
    <t>3087158900亿</t>
  </si>
  <si>
    <t>7120.59万</t>
  </si>
  <si>
    <t>11336877100亿</t>
  </si>
  <si>
    <t>5212.29万</t>
  </si>
  <si>
    <t>20.82亿</t>
  </si>
  <si>
    <t>35.55亿</t>
  </si>
  <si>
    <t>26.41亿</t>
  </si>
  <si>
    <t>89.50亿</t>
  </si>
  <si>
    <t>-4.42亿</t>
  </si>
  <si>
    <t>9.52亿</t>
  </si>
  <si>
    <t>128.89亿</t>
  </si>
  <si>
    <t>77.37亿</t>
  </si>
  <si>
    <t>3.62亿</t>
  </si>
  <si>
    <t>1.65亿</t>
  </si>
  <si>
    <t>10派2.5元(含税)</t>
  </si>
  <si>
    <t>家电零部件</t>
  </si>
  <si>
    <t>5074.99万</t>
  </si>
  <si>
    <t>079921700</t>
  </si>
  <si>
    <t>0239765100</t>
  </si>
  <si>
    <t>0479530200</t>
  </si>
  <si>
    <t>0799217000</t>
  </si>
  <si>
    <t>01598434000</t>
  </si>
  <si>
    <t>1571.29万</t>
  </si>
  <si>
    <t>131.98亿</t>
  </si>
  <si>
    <t>63.53亿</t>
  </si>
  <si>
    <t>59.40亿</t>
  </si>
  <si>
    <t>1.56亿</t>
  </si>
  <si>
    <t>57.50亿</t>
  </si>
  <si>
    <t>51.45亿</t>
  </si>
  <si>
    <t>4.17亿</t>
  </si>
  <si>
    <t>7064.57万</t>
  </si>
  <si>
    <t>4806026亿</t>
  </si>
  <si>
    <t>84.28万</t>
  </si>
  <si>
    <t>185949140亿</t>
  </si>
  <si>
    <t>79.22亿</t>
  </si>
  <si>
    <t>2375000900亿</t>
  </si>
  <si>
    <t>22.85万</t>
  </si>
  <si>
    <t>16631700000亿</t>
  </si>
  <si>
    <t>5487.93万</t>
  </si>
  <si>
    <t>12.47亿</t>
  </si>
  <si>
    <t>62.91亿</t>
  </si>
  <si>
    <t>52.31亿</t>
  </si>
  <si>
    <t>2.40万</t>
  </si>
  <si>
    <t>148.69亿</t>
  </si>
  <si>
    <t>-1.14亿</t>
  </si>
  <si>
    <t>-8.94亿</t>
  </si>
  <si>
    <t>1.24亿</t>
  </si>
  <si>
    <t>242.48亿</t>
  </si>
  <si>
    <t>128.29亿</t>
  </si>
  <si>
    <t>3.58亿</t>
  </si>
  <si>
    <t>7747.95万</t>
  </si>
  <si>
    <t>8.46亿</t>
  </si>
  <si>
    <t>0156000000</t>
  </si>
  <si>
    <t>0468000000</t>
  </si>
  <si>
    <t>0936000000</t>
  </si>
  <si>
    <t>01560000000</t>
  </si>
  <si>
    <t>03120000000</t>
  </si>
  <si>
    <t>4-1</t>
  </si>
  <si>
    <t>3902.73万</t>
  </si>
  <si>
    <t>2474.08亿</t>
  </si>
  <si>
    <t>1253.67亿</t>
  </si>
  <si>
    <t>363.64亿</t>
  </si>
  <si>
    <t>46.75亿</t>
  </si>
  <si>
    <t>310.39亿</t>
  </si>
  <si>
    <t>256.53亿</t>
  </si>
  <si>
    <t>26.77亿</t>
  </si>
  <si>
    <t>17.35亿</t>
  </si>
  <si>
    <t>100869551亿</t>
  </si>
  <si>
    <t>924.45万</t>
  </si>
  <si>
    <t>4525486700亿</t>
  </si>
  <si>
    <t>1251.50亿</t>
  </si>
  <si>
    <t>17568297000亿</t>
  </si>
  <si>
    <t>7363.91万</t>
  </si>
  <si>
    <t>235258530000亿</t>
  </si>
  <si>
    <t>77.51亿</t>
  </si>
  <si>
    <t>356.78亿</t>
  </si>
  <si>
    <t>193.78亿</t>
  </si>
  <si>
    <t>405.00亿</t>
  </si>
  <si>
    <t>2090.47亿</t>
  </si>
  <si>
    <t>392.71亿</t>
  </si>
  <si>
    <t>-29.41亿</t>
  </si>
  <si>
    <t>-15.71亿</t>
  </si>
  <si>
    <t>103.56亿</t>
  </si>
  <si>
    <t>1889.88亿</t>
  </si>
  <si>
    <t>245.07亿</t>
  </si>
  <si>
    <t>2039.79亿</t>
  </si>
  <si>
    <t>992.37亿</t>
  </si>
  <si>
    <t>290.17亿</t>
  </si>
  <si>
    <t>126.73亿</t>
  </si>
  <si>
    <t>10派23.8元(含税)</t>
  </si>
  <si>
    <t>8.76亿</t>
  </si>
  <si>
    <t>04675000000</t>
  </si>
  <si>
    <t>014025000000</t>
  </si>
  <si>
    <t>028050000000</t>
  </si>
  <si>
    <t>046750000000</t>
  </si>
  <si>
    <t>093500000000</t>
  </si>
  <si>
    <t>1219.23万</t>
  </si>
  <si>
    <t>465.50亿</t>
  </si>
  <si>
    <t>205.75亿</t>
  </si>
  <si>
    <t>234.86亿</t>
  </si>
  <si>
    <t>9.81亿</t>
  </si>
  <si>
    <t>221.90亿</t>
  </si>
  <si>
    <t>184.06亿</t>
  </si>
  <si>
    <t>23.49亿</t>
  </si>
  <si>
    <t>6.22亿</t>
  </si>
  <si>
    <t>169117660亿</t>
  </si>
  <si>
    <t>7728.75万</t>
  </si>
  <si>
    <t>837889230亿</t>
  </si>
  <si>
    <t>52.93亿</t>
  </si>
  <si>
    <t>10692127400亿</t>
  </si>
  <si>
    <t>5.88亿</t>
  </si>
  <si>
    <t>48947890000亿</t>
  </si>
  <si>
    <t>5.16亿</t>
  </si>
  <si>
    <t>24.06亿</t>
  </si>
  <si>
    <t>154.62亿</t>
  </si>
  <si>
    <t>326.57万</t>
  </si>
  <si>
    <t>466.63亿</t>
  </si>
  <si>
    <t>3817.17万</t>
  </si>
  <si>
    <t>6.87亿</t>
  </si>
  <si>
    <t>-5.43亿</t>
  </si>
  <si>
    <t>856.00亿</t>
  </si>
  <si>
    <t>429.44亿</t>
  </si>
  <si>
    <t>28.37亿</t>
  </si>
  <si>
    <t>14.98亿</t>
  </si>
  <si>
    <t>10派10.13元(含税)</t>
  </si>
  <si>
    <t>7244.52万</t>
  </si>
  <si>
    <t>3.61亿</t>
  </si>
  <si>
    <t>3-1</t>
  </si>
  <si>
    <t>82.17万</t>
  </si>
  <si>
    <t>10.03亿</t>
  </si>
  <si>
    <t>1599.22万</t>
  </si>
  <si>
    <t>1.38亿</t>
  </si>
  <si>
    <t>160.68万</t>
  </si>
  <si>
    <t>920.79万</t>
  </si>
  <si>
    <t>2.86万</t>
  </si>
  <si>
    <t>15552981亿</t>
  </si>
  <si>
    <t>7651.87万</t>
  </si>
  <si>
    <t>378096250亿</t>
  </si>
  <si>
    <t>2376.15万</t>
  </si>
  <si>
    <t>570371430亿</t>
  </si>
  <si>
    <t>2813.58万</t>
  </si>
  <si>
    <t>1316.57万</t>
  </si>
  <si>
    <t>1698.04万</t>
  </si>
  <si>
    <t>9243.96万</t>
  </si>
  <si>
    <t>1750.00万</t>
  </si>
  <si>
    <t>3081.90万</t>
  </si>
  <si>
    <t>-1085.46万</t>
  </si>
  <si>
    <t>-1877.37万</t>
  </si>
  <si>
    <t>6185.93万</t>
  </si>
  <si>
    <t>3345.94万</t>
  </si>
  <si>
    <t>457.52万</t>
  </si>
  <si>
    <t>3050.85万</t>
  </si>
  <si>
    <t>SZ001387</t>
  </si>
  <si>
    <t>雪祺电气</t>
  </si>
  <si>
    <t>195.20万</t>
  </si>
  <si>
    <t>9.72亿</t>
  </si>
  <si>
    <t>12.03亿</t>
  </si>
  <si>
    <t>4.36亿</t>
  </si>
  <si>
    <t>1757.53万</t>
  </si>
  <si>
    <t>4.23亿</t>
  </si>
  <si>
    <t>3.86亿</t>
  </si>
  <si>
    <t>442.84万</t>
  </si>
  <si>
    <t>1527.28万</t>
  </si>
  <si>
    <t>-218982亿</t>
  </si>
  <si>
    <t>1.75万</t>
  </si>
  <si>
    <t>17939471亿</t>
  </si>
  <si>
    <t>4.31亿</t>
  </si>
  <si>
    <t>327914950亿</t>
  </si>
  <si>
    <t>7234.75万</t>
  </si>
  <si>
    <t>1355759800亿</t>
  </si>
  <si>
    <t>2185.45万</t>
  </si>
  <si>
    <t>4.82亿</t>
  </si>
  <si>
    <t>6.73亿</t>
  </si>
  <si>
    <t>616.56万</t>
  </si>
  <si>
    <t>-2.92亿</t>
  </si>
  <si>
    <t>4.56亿</t>
  </si>
  <si>
    <t>19.27亿</t>
  </si>
  <si>
    <t>20.72亿</t>
  </si>
  <si>
    <t>16.14亿</t>
  </si>
  <si>
    <t>16.27亿</t>
  </si>
  <si>
    <t>8180.20万</t>
  </si>
  <si>
    <t>417.15万</t>
  </si>
  <si>
    <t>5895.24万</t>
  </si>
  <si>
    <t>23.59亿</t>
  </si>
  <si>
    <t>10.66亿</t>
  </si>
  <si>
    <t>5339.26万</t>
  </si>
  <si>
    <t>10转3股派3.5元(含税)</t>
  </si>
  <si>
    <t>1249.77万</t>
  </si>
  <si>
    <t>9080.62万</t>
  </si>
  <si>
    <t>017575300</t>
  </si>
  <si>
    <t>052725900</t>
  </si>
  <si>
    <t>0105451800</t>
  </si>
  <si>
    <t>0175753000</t>
  </si>
  <si>
    <t>0351506000</t>
  </si>
  <si>
    <t>5-1</t>
  </si>
  <si>
    <t>2533.80万</t>
  </si>
  <si>
    <t>63.97亿</t>
  </si>
  <si>
    <t>45.81亿</t>
  </si>
  <si>
    <t>26.26亿</t>
  </si>
  <si>
    <t>2.08亿</t>
  </si>
  <si>
    <t>24.35亿</t>
  </si>
  <si>
    <t>21.66亿</t>
  </si>
  <si>
    <t>8123.71万</t>
  </si>
  <si>
    <t>9243.52万</t>
  </si>
  <si>
    <t>26517646亿</t>
  </si>
  <si>
    <t>173.01万</t>
  </si>
  <si>
    <t>199702050亿</t>
  </si>
  <si>
    <t>26.99亿</t>
  </si>
  <si>
    <t>2131468600亿</t>
  </si>
  <si>
    <t>8624055000亿</t>
  </si>
  <si>
    <t>8072.10万</t>
  </si>
  <si>
    <t>6.76亿</t>
  </si>
  <si>
    <t>13.91亿</t>
  </si>
  <si>
    <t>53.10亿</t>
  </si>
  <si>
    <t>6732.54万</t>
  </si>
  <si>
    <t>-1.89亿</t>
  </si>
  <si>
    <t>-8964.78万</t>
  </si>
  <si>
    <t>102.09亿</t>
  </si>
  <si>
    <t>8.34亿</t>
  </si>
  <si>
    <t>113.82亿</t>
  </si>
  <si>
    <t>55.73亿</t>
  </si>
  <si>
    <t>7.38亿</t>
  </si>
  <si>
    <t>3.29亿</t>
  </si>
  <si>
    <t>6404.16万</t>
  </si>
  <si>
    <t>3.09亿</t>
  </si>
  <si>
    <t>0208000000</t>
  </si>
  <si>
    <t>0624000000</t>
  </si>
  <si>
    <t>01248000000</t>
  </si>
  <si>
    <t>02080000000</t>
  </si>
  <si>
    <t>04160000000</t>
  </si>
  <si>
    <t>-4-1</t>
  </si>
  <si>
    <t>9974.91万</t>
  </si>
  <si>
    <t>138.27亿</t>
  </si>
  <si>
    <t>184.23亿</t>
  </si>
  <si>
    <t>64.40亿</t>
  </si>
  <si>
    <t>6.48亿</t>
  </si>
  <si>
    <t>55.75亿</t>
  </si>
  <si>
    <t>46.98亿</t>
  </si>
  <si>
    <t>4.21亿</t>
  </si>
  <si>
    <t>-12917707亿</t>
  </si>
  <si>
    <t>600.86万</t>
  </si>
  <si>
    <t>670999130亿</t>
  </si>
  <si>
    <t>56.57亿</t>
  </si>
  <si>
    <t>6604599900亿</t>
  </si>
  <si>
    <t>23.69亿</t>
  </si>
  <si>
    <t>20219259000亿</t>
  </si>
  <si>
    <t>13.98亿</t>
  </si>
  <si>
    <t>35.14亿</t>
  </si>
  <si>
    <t>47.26亿</t>
  </si>
  <si>
    <t>112.61亿</t>
  </si>
  <si>
    <t>19.01亿</t>
  </si>
  <si>
    <t>-6.72亿</t>
  </si>
  <si>
    <t>-1.37亿</t>
  </si>
  <si>
    <t>245.58亿</t>
  </si>
  <si>
    <t>125.29亿</t>
  </si>
  <si>
    <t>29.21亿</t>
  </si>
  <si>
    <t>13.95亿</t>
  </si>
  <si>
    <t>4.69亿</t>
  </si>
  <si>
    <t>17.10亿</t>
  </si>
  <si>
    <t>71.84万</t>
  </si>
  <si>
    <t>10.60亿</t>
  </si>
  <si>
    <t>7.34亿</t>
  </si>
  <si>
    <t>5.49亿</t>
  </si>
  <si>
    <t>2788.45万</t>
  </si>
  <si>
    <t>5.21亿</t>
  </si>
  <si>
    <t>4.92亿</t>
  </si>
  <si>
    <t>230.58万</t>
  </si>
  <si>
    <t>909.47万</t>
  </si>
  <si>
    <t>-312351亿</t>
  </si>
  <si>
    <t>20.69万</t>
  </si>
  <si>
    <t>28293489亿</t>
  </si>
  <si>
    <t>357473190亿</t>
  </si>
  <si>
    <t>2120.47万</t>
  </si>
  <si>
    <t>1336968110亿</t>
  </si>
  <si>
    <t>41.28万</t>
  </si>
  <si>
    <t>9305.26万</t>
  </si>
  <si>
    <t>3.82亿</t>
  </si>
  <si>
    <t>7.57亿</t>
  </si>
  <si>
    <t>-1719.62万</t>
  </si>
  <si>
    <t>-242.35万</t>
  </si>
  <si>
    <t>196.55万</t>
  </si>
  <si>
    <t>6593.41万</t>
  </si>
  <si>
    <t>23.40亿</t>
  </si>
  <si>
    <t>10.63亿</t>
  </si>
  <si>
    <t>8277.14万</t>
  </si>
  <si>
    <t>5660.87万</t>
  </si>
  <si>
    <t>533.41万</t>
  </si>
  <si>
    <t>5358.47万</t>
  </si>
  <si>
    <t>027884500</t>
  </si>
  <si>
    <t>083653500</t>
  </si>
  <si>
    <t>0167307000</t>
  </si>
  <si>
    <t>0278845000</t>
  </si>
  <si>
    <t>0557690000</t>
  </si>
  <si>
    <t>-2-0</t>
  </si>
  <si>
    <t>2779.85万</t>
  </si>
  <si>
    <t>11.31亿</t>
  </si>
  <si>
    <t>15.20亿</t>
  </si>
  <si>
    <t>5.52亿</t>
  </si>
  <si>
    <t>234.86万</t>
  </si>
  <si>
    <t>4.99亿</t>
  </si>
  <si>
    <t>509.46万</t>
  </si>
  <si>
    <t>3190.76万</t>
  </si>
  <si>
    <t>-22447亿</t>
  </si>
  <si>
    <t>93.77万</t>
  </si>
  <si>
    <t>644152亿</t>
  </si>
  <si>
    <t>9679.41万</t>
  </si>
  <si>
    <t>486785270亿</t>
  </si>
  <si>
    <t>1418589500亿</t>
  </si>
  <si>
    <t>3.47亿</t>
  </si>
  <si>
    <t>2244.41万</t>
  </si>
  <si>
    <t>120.39万</t>
  </si>
  <si>
    <t>8.82亿</t>
  </si>
  <si>
    <t>1905.97万</t>
  </si>
  <si>
    <t>-1458.13万</t>
  </si>
  <si>
    <t>-2281.22万</t>
  </si>
  <si>
    <t>22.97亿</t>
  </si>
  <si>
    <t>10.69亿</t>
  </si>
  <si>
    <t>2177.13万</t>
  </si>
  <si>
    <t>2280.08万</t>
  </si>
  <si>
    <t>1.69亿</t>
  </si>
  <si>
    <t>5.68亿</t>
  </si>
  <si>
    <t>02348600</t>
  </si>
  <si>
    <t>07045800</t>
  </si>
  <si>
    <t>014091600</t>
  </si>
  <si>
    <t>023486000</t>
  </si>
  <si>
    <t>046972000</t>
  </si>
  <si>
    <t>2928.97万</t>
  </si>
  <si>
    <t>5.57亿</t>
  </si>
  <si>
    <t>5.72亿</t>
  </si>
  <si>
    <t>5394.21万</t>
  </si>
  <si>
    <t>362.79万</t>
  </si>
  <si>
    <t>1988.64万</t>
  </si>
  <si>
    <t>27344307亿</t>
  </si>
  <si>
    <t>61.26万</t>
  </si>
  <si>
    <t>40261406亿</t>
  </si>
  <si>
    <t>2.41亿</t>
  </si>
  <si>
    <t>514087330亿</t>
  </si>
  <si>
    <t>2.76亿</t>
  </si>
  <si>
    <t>1415516400亿</t>
  </si>
  <si>
    <t>2666.70万</t>
  </si>
  <si>
    <t>2.13亿</t>
  </si>
  <si>
    <t>4.41亿</t>
  </si>
  <si>
    <t>15.88亿</t>
  </si>
  <si>
    <t>3249.46万</t>
  </si>
  <si>
    <t>-4234.98万</t>
  </si>
  <si>
    <t>-1469.03万</t>
  </si>
  <si>
    <t>6831.92万</t>
  </si>
  <si>
    <t>4197.29万</t>
  </si>
  <si>
    <t>22.61亿</t>
  </si>
  <si>
    <t>11.10亿</t>
  </si>
  <si>
    <t>-115.06万</t>
  </si>
  <si>
    <t>8293.19万</t>
  </si>
  <si>
    <t>3.52亿</t>
  </si>
  <si>
    <t>053942100</t>
  </si>
  <si>
    <t>0161826300</t>
  </si>
  <si>
    <t>0323652600</t>
  </si>
  <si>
    <t>0539421000</t>
  </si>
  <si>
    <t>01078842000</t>
  </si>
  <si>
    <t>-4-0</t>
  </si>
  <si>
    <t>TCL智家</t>
  </si>
  <si>
    <t>1279.63万</t>
  </si>
  <si>
    <t>101.93亿</t>
  </si>
  <si>
    <t>27.80亿</t>
  </si>
  <si>
    <t>41.98亿</t>
  </si>
  <si>
    <t>2.25亿</t>
  </si>
  <si>
    <t>37.28亿</t>
  </si>
  <si>
    <t>33.46亿</t>
  </si>
  <si>
    <t>17305536亿</t>
  </si>
  <si>
    <t>11.98万</t>
  </si>
  <si>
    <t>223782530亿</t>
  </si>
  <si>
    <t>31.39亿</t>
  </si>
  <si>
    <t>2727087600亿</t>
  </si>
  <si>
    <t>9770548600亿</t>
  </si>
  <si>
    <t>1.67亿</t>
  </si>
  <si>
    <t>35.03亿</t>
  </si>
  <si>
    <t>45.28亿</t>
  </si>
  <si>
    <t>93.63亿</t>
  </si>
  <si>
    <t>2.80亿</t>
  </si>
  <si>
    <t>8003.21万</t>
  </si>
  <si>
    <t>116.63亿</t>
  </si>
  <si>
    <t>4.64亿</t>
  </si>
  <si>
    <t>151.80亿</t>
  </si>
  <si>
    <t>52.00亿</t>
  </si>
  <si>
    <t>7.87亿</t>
  </si>
  <si>
    <t>8517.94万</t>
  </si>
  <si>
    <t>0225000000</t>
  </si>
  <si>
    <t>0675000000</t>
  </si>
  <si>
    <t>01350000000</t>
  </si>
  <si>
    <t>02250000000</t>
  </si>
  <si>
    <t>04500000000</t>
  </si>
  <si>
    <t>1342.01万</t>
  </si>
  <si>
    <t>13.59亿</t>
  </si>
  <si>
    <t>12.08亿</t>
  </si>
  <si>
    <t>6.33亿</t>
  </si>
  <si>
    <t>1676.79万</t>
  </si>
  <si>
    <t>6.11亿</t>
  </si>
  <si>
    <t>2042.41万</t>
  </si>
  <si>
    <t>4049.27万</t>
  </si>
  <si>
    <t>-99.80亿</t>
  </si>
  <si>
    <t>62.70万</t>
  </si>
  <si>
    <t>16761947亿</t>
  </si>
  <si>
    <t>4.10亿</t>
  </si>
  <si>
    <t>942338310亿</t>
  </si>
  <si>
    <t>7291.02万</t>
  </si>
  <si>
    <t>2030262600亿</t>
  </si>
  <si>
    <t>2707.87万</t>
  </si>
  <si>
    <t>5.81亿</t>
  </si>
  <si>
    <t>13.53亿</t>
  </si>
  <si>
    <t>3124.33万</t>
  </si>
  <si>
    <t>-543.41万</t>
  </si>
  <si>
    <t>22.67亿</t>
  </si>
  <si>
    <t>11.63亿</t>
  </si>
  <si>
    <t>3521.31万</t>
  </si>
  <si>
    <t>3034.04万</t>
  </si>
  <si>
    <t>8679.01万</t>
  </si>
  <si>
    <t>016767900</t>
  </si>
  <si>
    <t>050303700</t>
  </si>
  <si>
    <t>0100607400</t>
  </si>
  <si>
    <t>0167679000</t>
  </si>
  <si>
    <t>0335358000</t>
  </si>
  <si>
    <t>229.32万</t>
  </si>
  <si>
    <t>16.68亿</t>
  </si>
  <si>
    <t>5282.05万</t>
  </si>
  <si>
    <t>4.16亿</t>
  </si>
  <si>
    <t>3.69亿</t>
  </si>
  <si>
    <t>401.01万</t>
  </si>
  <si>
    <t>2823.46万</t>
  </si>
  <si>
    <t>-1196427亿</t>
  </si>
  <si>
    <t>1.98万</t>
  </si>
  <si>
    <t>50343167亿</t>
  </si>
  <si>
    <t>8.18亿</t>
  </si>
  <si>
    <t>627291260亿</t>
  </si>
  <si>
    <t>2.11亿</t>
  </si>
  <si>
    <t>2367433000亿</t>
  </si>
  <si>
    <t>3687.31万</t>
  </si>
  <si>
    <t>6.65亿</t>
  </si>
  <si>
    <t>13.00万</t>
  </si>
  <si>
    <t>9.90亿</t>
  </si>
  <si>
    <t>-1.23亿</t>
  </si>
  <si>
    <t>-332.90万</t>
  </si>
  <si>
    <t>-136.99万</t>
  </si>
  <si>
    <t>28.79亿</t>
  </si>
  <si>
    <t>15.54亿</t>
  </si>
  <si>
    <t>2.02亿</t>
  </si>
  <si>
    <t>1205.62万</t>
  </si>
  <si>
    <t>9056.64万</t>
  </si>
  <si>
    <t>611.91万</t>
  </si>
  <si>
    <t>5.79亿</t>
  </si>
  <si>
    <t>24.62亿</t>
  </si>
  <si>
    <t>7358.31万</t>
  </si>
  <si>
    <t>3.13亿</t>
  </si>
  <si>
    <t>2.73亿</t>
  </si>
  <si>
    <t>688.70万</t>
  </si>
  <si>
    <t>2183.04万</t>
  </si>
  <si>
    <t>3014250亿</t>
  </si>
  <si>
    <t>70421065亿</t>
  </si>
  <si>
    <t>340655950亿</t>
  </si>
  <si>
    <t>3.68亿</t>
  </si>
  <si>
    <t>2350516700亿</t>
  </si>
  <si>
    <t>2803.29万</t>
  </si>
  <si>
    <t>6515.37万</t>
  </si>
  <si>
    <t>2.31亿</t>
  </si>
  <si>
    <t>5.35亿</t>
  </si>
  <si>
    <t>1377.70万</t>
  </si>
  <si>
    <t>-1233.27万</t>
  </si>
  <si>
    <t>-590.70万</t>
  </si>
  <si>
    <t>14.37亿</t>
  </si>
  <si>
    <t>3056.95万</t>
  </si>
  <si>
    <t>2.21亿</t>
  </si>
  <si>
    <t>073583100</t>
  </si>
  <si>
    <t>0220749300</t>
  </si>
  <si>
    <t>0441498600</t>
  </si>
  <si>
    <t>0735831000</t>
  </si>
  <si>
    <t>01471662000</t>
  </si>
  <si>
    <t>-2-1</t>
  </si>
  <si>
    <t>1232.93万</t>
  </si>
  <si>
    <t>33.55亿</t>
  </si>
  <si>
    <t>39.71亿</t>
  </si>
  <si>
    <t>8574.77万</t>
  </si>
  <si>
    <t>6.68亿</t>
  </si>
  <si>
    <t>945.55万</t>
  </si>
  <si>
    <t>4424.75万</t>
  </si>
  <si>
    <t>449977亿</t>
  </si>
  <si>
    <t>55.79万</t>
  </si>
  <si>
    <t>82222023亿</t>
  </si>
  <si>
    <t>13.11亿</t>
  </si>
  <si>
    <t>873260630亿</t>
  </si>
  <si>
    <t>5263829200亿</t>
  </si>
  <si>
    <t>7872.13万</t>
  </si>
  <si>
    <t>5.44亿</t>
  </si>
  <si>
    <t>11.05万</t>
  </si>
  <si>
    <t>27.82亿</t>
  </si>
  <si>
    <t>-4595.35万</t>
  </si>
  <si>
    <t>-8882.18万</t>
  </si>
  <si>
    <t>-6212.72万</t>
  </si>
  <si>
    <t>41.06亿</t>
  </si>
  <si>
    <t>20.46亿</t>
  </si>
  <si>
    <t>10派0.68元(含税)</t>
  </si>
  <si>
    <t>5131.22万</t>
  </si>
  <si>
    <t>4.52亿</t>
  </si>
  <si>
    <t>085747700</t>
  </si>
  <si>
    <t>0257243100</t>
  </si>
  <si>
    <t>0514486200</t>
  </si>
  <si>
    <t>0857477000</t>
  </si>
  <si>
    <t>01714954000</t>
  </si>
  <si>
    <t>1879.84万</t>
  </si>
  <si>
    <t>15.39亿</t>
  </si>
  <si>
    <t>378.04万</t>
  </si>
  <si>
    <t>653.29万</t>
  </si>
  <si>
    <t>1692.24万</t>
  </si>
  <si>
    <t>-375406亿</t>
  </si>
  <si>
    <t>3699529亿</t>
  </si>
  <si>
    <t>1.78亿</t>
  </si>
  <si>
    <t>559954250亿</t>
  </si>
  <si>
    <t>1423920300亿</t>
  </si>
  <si>
    <t>703.42万</t>
  </si>
  <si>
    <t>3547.75万</t>
  </si>
  <si>
    <t>7964.36万</t>
  </si>
  <si>
    <t>6.05亿</t>
  </si>
  <si>
    <t>-5452.27万</t>
  </si>
  <si>
    <t>-2531.51万</t>
  </si>
  <si>
    <t>-1048.26万</t>
  </si>
  <si>
    <t>4.68亿</t>
  </si>
  <si>
    <t>3277.97万</t>
  </si>
  <si>
    <t>3472.93万</t>
  </si>
  <si>
    <t>03780400</t>
  </si>
  <si>
    <t>011341200</t>
  </si>
  <si>
    <t>022682400</t>
  </si>
  <si>
    <t>037804000</t>
  </si>
  <si>
    <t>075608000</t>
  </si>
  <si>
    <t>931.79万</t>
  </si>
  <si>
    <t>19.99亿</t>
  </si>
  <si>
    <t>5678.04万</t>
  </si>
  <si>
    <t>790.69万</t>
  </si>
  <si>
    <t>955.57万</t>
  </si>
  <si>
    <t>2029579亿</t>
  </si>
  <si>
    <t>56014620亿</t>
  </si>
  <si>
    <t>258526030亿</t>
  </si>
  <si>
    <t>959098750亿</t>
  </si>
  <si>
    <t>2145.83万</t>
  </si>
  <si>
    <t>3608.09万</t>
  </si>
  <si>
    <t>3.90亿</t>
  </si>
  <si>
    <t>6196.16万</t>
  </si>
  <si>
    <t>-888.17万</t>
  </si>
  <si>
    <t>-526.35万</t>
  </si>
  <si>
    <t>10.91亿</t>
  </si>
  <si>
    <t>5.20亿</t>
  </si>
  <si>
    <t>4729.95万</t>
  </si>
  <si>
    <t>3.97亿</t>
  </si>
  <si>
    <t>056780400</t>
  </si>
  <si>
    <t>0170341200</t>
  </si>
  <si>
    <t>0340682400</t>
  </si>
  <si>
    <t>0567804000</t>
  </si>
  <si>
    <t>01135608000</t>
  </si>
  <si>
    <t>62.42万</t>
  </si>
  <si>
    <t>8.85亿</t>
  </si>
  <si>
    <t>11.33亿</t>
  </si>
  <si>
    <t>2.19亿</t>
  </si>
  <si>
    <t>1613.39万</t>
  </si>
  <si>
    <t>1.77亿</t>
  </si>
  <si>
    <t>423.24万</t>
  </si>
  <si>
    <t>1118.86万</t>
  </si>
  <si>
    <t>228472亿</t>
  </si>
  <si>
    <t>13959449亿</t>
  </si>
  <si>
    <t>6.26亿</t>
  </si>
  <si>
    <t>262000290亿</t>
  </si>
  <si>
    <t>1543586400亿</t>
  </si>
  <si>
    <t>9193.08万</t>
  </si>
  <si>
    <t>1.57亿</t>
  </si>
  <si>
    <t>27.39万</t>
  </si>
  <si>
    <t>4.98亿</t>
  </si>
  <si>
    <t>-8522.79万</t>
  </si>
  <si>
    <t>-1.09亿</t>
  </si>
  <si>
    <t>3892.48万</t>
  </si>
  <si>
    <t>6726.40万</t>
  </si>
  <si>
    <t>8591.24万</t>
  </si>
  <si>
    <t>3209.62万</t>
  </si>
  <si>
    <t>10转4股派6元(含税)</t>
  </si>
  <si>
    <t>390.70万</t>
  </si>
  <si>
    <t>4861.99万</t>
  </si>
  <si>
    <t>355.41万</t>
  </si>
  <si>
    <t>27.53亿</t>
  </si>
  <si>
    <t>25.58亿</t>
  </si>
  <si>
    <t>3196.82万</t>
  </si>
  <si>
    <t>25.21亿</t>
  </si>
  <si>
    <t>22.21亿</t>
  </si>
  <si>
    <t>4772.57万</t>
  </si>
  <si>
    <t>-7302993亿</t>
  </si>
  <si>
    <t>218.98万</t>
  </si>
  <si>
    <t>25429904亿</t>
  </si>
  <si>
    <t>7.25亿</t>
  </si>
  <si>
    <t>2103314600亿</t>
  </si>
  <si>
    <t>67.82万</t>
  </si>
  <si>
    <t>5681697300亿</t>
  </si>
  <si>
    <t>569.27万</t>
  </si>
  <si>
    <t>7.99亿</t>
  </si>
  <si>
    <t>14.23亿</t>
  </si>
  <si>
    <t>15.73亿</t>
  </si>
  <si>
    <t>53.60亿</t>
  </si>
  <si>
    <t>-2.26亿</t>
  </si>
  <si>
    <t>-4828.37万</t>
  </si>
  <si>
    <t>3.72亿</t>
  </si>
  <si>
    <t>93.04亿</t>
  </si>
  <si>
    <t>50.99亿</t>
  </si>
  <si>
    <t>5606.22万</t>
  </si>
  <si>
    <t>7510.88万</t>
  </si>
  <si>
    <t>2014.61万</t>
  </si>
  <si>
    <t>031968200</t>
  </si>
  <si>
    <t>095904600</t>
  </si>
  <si>
    <t>0191809200</t>
  </si>
  <si>
    <t>0319682000</t>
  </si>
  <si>
    <t>0639364000</t>
  </si>
  <si>
    <t>471.52万</t>
  </si>
  <si>
    <t>134.55亿</t>
  </si>
  <si>
    <t>77.92亿</t>
  </si>
  <si>
    <t>55.80亿</t>
  </si>
  <si>
    <t>-652.52万</t>
  </si>
  <si>
    <t>56.18亿</t>
  </si>
  <si>
    <t>49.96亿</t>
  </si>
  <si>
    <t>9694.20万</t>
  </si>
  <si>
    <t>2.16亿</t>
  </si>
  <si>
    <t>-4126710亿</t>
  </si>
  <si>
    <t>42.74万</t>
  </si>
  <si>
    <t>-17538201亿</t>
  </si>
  <si>
    <t>29.56亿</t>
  </si>
  <si>
    <t>3822568300亿</t>
  </si>
  <si>
    <t>11.11亿</t>
  </si>
  <si>
    <t>13565237000亿</t>
  </si>
  <si>
    <t>7.32亿</t>
  </si>
  <si>
    <t>9.59亿</t>
  </si>
  <si>
    <t>34.92亿</t>
  </si>
  <si>
    <t>42.92亿</t>
  </si>
  <si>
    <t>107.25亿</t>
  </si>
  <si>
    <t>1997.54万</t>
  </si>
  <si>
    <t>-2.35亿</t>
  </si>
  <si>
    <t>-1.56亿</t>
  </si>
  <si>
    <t>170.31亿</t>
  </si>
  <si>
    <t>91.90亿</t>
  </si>
  <si>
    <t>3051.29万</t>
  </si>
  <si>
    <t>-4896.46万</t>
  </si>
  <si>
    <t>2817.84万</t>
  </si>
  <si>
    <t>亏损</t>
  </si>
  <si>
    <t>扭亏</t>
  </si>
  <si>
    <t>4415.95万</t>
  </si>
  <si>
    <t>1474.68亿</t>
  </si>
  <si>
    <t>1100.11亿</t>
  </si>
  <si>
    <t>689.78亿</t>
  </si>
  <si>
    <t>47.73亿</t>
  </si>
  <si>
    <t>636.87亿</t>
  </si>
  <si>
    <t>490.05亿</t>
  </si>
  <si>
    <t>90.28亿</t>
  </si>
  <si>
    <t>479085970亿</t>
  </si>
  <si>
    <t>2848.09万</t>
  </si>
  <si>
    <t>4639880100亿</t>
  </si>
  <si>
    <t>536.21亿</t>
  </si>
  <si>
    <t>21669310000亿</t>
  </si>
  <si>
    <t>100.53亿</t>
  </si>
  <si>
    <t>136897860000亿</t>
  </si>
  <si>
    <t>50.29亿</t>
  </si>
  <si>
    <t>100.55亿</t>
  </si>
  <si>
    <t>224.24亿</t>
  </si>
  <si>
    <t>522.28亿</t>
  </si>
  <si>
    <t>1195.98亿</t>
  </si>
  <si>
    <t>183.81亿</t>
  </si>
  <si>
    <t>17.25亿</t>
  </si>
  <si>
    <t>-22.12亿</t>
  </si>
  <si>
    <t>-3.41亿</t>
  </si>
  <si>
    <t>2435.79亿</t>
  </si>
  <si>
    <t>147.12亿</t>
  </si>
  <si>
    <t>2614.28亿</t>
  </si>
  <si>
    <t>1316.27亿</t>
  </si>
  <si>
    <t>165.97亿</t>
  </si>
  <si>
    <t>89.64亿</t>
  </si>
  <si>
    <t>10派8.04元(含税)</t>
  </si>
  <si>
    <t>9.08亿</t>
  </si>
  <si>
    <t>04773000000</t>
  </si>
  <si>
    <t>014319000000</t>
  </si>
  <si>
    <t>028638000000</t>
  </si>
  <si>
    <t>047730000000</t>
  </si>
  <si>
    <t>095460000000</t>
  </si>
  <si>
    <t>288.41万</t>
  </si>
  <si>
    <t>42.61亿</t>
  </si>
  <si>
    <t>25.60亿</t>
  </si>
  <si>
    <t>4805.80万</t>
  </si>
  <si>
    <t>2700.14万</t>
  </si>
  <si>
    <t>4713.76万</t>
  </si>
  <si>
    <t>-856058亿</t>
  </si>
  <si>
    <t>12.50万</t>
  </si>
  <si>
    <t>36738314亿</t>
  </si>
  <si>
    <t>8.35亿</t>
  </si>
  <si>
    <t>1737641300亿</t>
  </si>
  <si>
    <t>10.15亿</t>
  </si>
  <si>
    <t>4744294900亿</t>
  </si>
  <si>
    <t>6862.98万</t>
  </si>
  <si>
    <t>7.14亿</t>
  </si>
  <si>
    <t>17.17亿</t>
  </si>
  <si>
    <t>9.51亿</t>
  </si>
  <si>
    <t>39.79亿</t>
  </si>
  <si>
    <t>-2.18亿</t>
  </si>
  <si>
    <t>-2961.22万</t>
  </si>
  <si>
    <t>7414.70万</t>
  </si>
  <si>
    <t>59.04亿</t>
  </si>
  <si>
    <t>28.96亿</t>
  </si>
  <si>
    <t>8519.78万</t>
  </si>
  <si>
    <t>1880.10万</t>
  </si>
  <si>
    <t>048058000</t>
  </si>
  <si>
    <t>0144174000</t>
  </si>
  <si>
    <t>0288348000</t>
  </si>
  <si>
    <t>0480580000</t>
  </si>
  <si>
    <t>0961160000</t>
  </si>
  <si>
    <t>SH603075</t>
  </si>
  <si>
    <t>热威股份</t>
  </si>
  <si>
    <t>63.15万</t>
  </si>
  <si>
    <t>20.49亿</t>
  </si>
  <si>
    <t>4.18亿</t>
  </si>
  <si>
    <t>5709.08万</t>
  </si>
  <si>
    <t>3.51亿</t>
  </si>
  <si>
    <t>2.92亿</t>
  </si>
  <si>
    <t>592.49万</t>
  </si>
  <si>
    <t>2618.74万</t>
  </si>
  <si>
    <t>2869611亿</t>
  </si>
  <si>
    <t>3.00万</t>
  </si>
  <si>
    <t>53308914亿</t>
  </si>
  <si>
    <t>6.36亿</t>
  </si>
  <si>
    <t>394597100亿</t>
  </si>
  <si>
    <t>4963.78万</t>
  </si>
  <si>
    <t>1719266900亿</t>
  </si>
  <si>
    <t>2259.60万</t>
  </si>
  <si>
    <t>3.60亿</t>
  </si>
  <si>
    <t>1.58亿</t>
  </si>
  <si>
    <t>1101.50万</t>
  </si>
  <si>
    <t>-4269.37万</t>
  </si>
  <si>
    <t>4791.22万</t>
  </si>
  <si>
    <t>16.87亿</t>
  </si>
  <si>
    <t>14.56亿</t>
  </si>
  <si>
    <t>13.37亿</t>
  </si>
  <si>
    <t>2.42亿</t>
  </si>
  <si>
    <t>2.32亿</t>
  </si>
  <si>
    <t>1.14亿</t>
  </si>
  <si>
    <t>16.76亿</t>
  </si>
  <si>
    <t>8.24亿</t>
  </si>
  <si>
    <t>1.18亿</t>
  </si>
  <si>
    <t>10派5.0元(含税)</t>
  </si>
  <si>
    <t>3148.98万</t>
  </si>
  <si>
    <t>057090800</t>
  </si>
  <si>
    <t>0171272400</t>
  </si>
  <si>
    <t>0342544800</t>
  </si>
  <si>
    <t>0570908000</t>
  </si>
  <si>
    <t>01141816000</t>
  </si>
  <si>
    <t>126.27万</t>
  </si>
  <si>
    <t>24.38亿</t>
  </si>
  <si>
    <t>29.54亿</t>
  </si>
  <si>
    <t>9.42亿</t>
  </si>
  <si>
    <t>7.53亿</t>
  </si>
  <si>
    <t>1195.02万</t>
  </si>
  <si>
    <t>2897.03万</t>
  </si>
  <si>
    <t>10281401亿</t>
  </si>
  <si>
    <t>113.81万</t>
  </si>
  <si>
    <t>89666914亿</t>
  </si>
  <si>
    <t>4.63亿</t>
  </si>
  <si>
    <t>909137060亿</t>
  </si>
  <si>
    <t>3475525100亿</t>
  </si>
  <si>
    <t>4955.84万</t>
  </si>
  <si>
    <t>5256.66万</t>
  </si>
  <si>
    <t>6.27亿</t>
  </si>
  <si>
    <t>8.30亿</t>
  </si>
  <si>
    <t>-1.73亿</t>
  </si>
  <si>
    <t>4400.22万</t>
  </si>
  <si>
    <t>2.64亿</t>
  </si>
  <si>
    <t>32.64亿</t>
  </si>
  <si>
    <t>15.35亿</t>
  </si>
  <si>
    <t>1.76亿</t>
  </si>
  <si>
    <t>10派3.15元(含税)</t>
  </si>
  <si>
    <t>665.85万</t>
  </si>
  <si>
    <t>6224.53万</t>
  </si>
  <si>
    <t>0106000000</t>
  </si>
  <si>
    <t>0318000000</t>
  </si>
  <si>
    <t>0636000000</t>
  </si>
  <si>
    <t>01060000000</t>
  </si>
  <si>
    <t>02120000000</t>
  </si>
  <si>
    <t>35.47万</t>
  </si>
  <si>
    <t>21.01亿</t>
  </si>
  <si>
    <t>14.73亿</t>
  </si>
  <si>
    <t>7.36亿</t>
  </si>
  <si>
    <t>3451.77万</t>
  </si>
  <si>
    <t>1539.39万</t>
  </si>
  <si>
    <t>6490.75万</t>
  </si>
  <si>
    <t>1704210亿</t>
  </si>
  <si>
    <t>33.84万</t>
  </si>
  <si>
    <t>33259114亿</t>
  </si>
  <si>
    <t>878218160亿</t>
  </si>
  <si>
    <t>2310636400亿</t>
  </si>
  <si>
    <t>6.79亿</t>
  </si>
  <si>
    <t>3.33亿</t>
  </si>
  <si>
    <t>5.47亿</t>
  </si>
  <si>
    <t>37.67万</t>
  </si>
  <si>
    <t>20.61亿</t>
  </si>
  <si>
    <t>2.17亿</t>
  </si>
  <si>
    <t>-1.84亿</t>
  </si>
  <si>
    <t>25.64亿</t>
  </si>
  <si>
    <t>6609.40万</t>
  </si>
  <si>
    <t>342.98万</t>
  </si>
  <si>
    <t>1850.61万</t>
  </si>
  <si>
    <t>167.52万</t>
  </si>
  <si>
    <t>12.57亿</t>
  </si>
  <si>
    <t>1881.31万</t>
  </si>
  <si>
    <t>717.70万</t>
  </si>
  <si>
    <t>1364.65万</t>
  </si>
  <si>
    <t>631701亿</t>
  </si>
  <si>
    <t>6.82万</t>
  </si>
  <si>
    <t>16540160亿</t>
  </si>
  <si>
    <t>167829570亿</t>
  </si>
  <si>
    <t>1339.78万</t>
  </si>
  <si>
    <t>1047495670亿</t>
  </si>
  <si>
    <t>1093.27万</t>
  </si>
  <si>
    <t>4875.52万</t>
  </si>
  <si>
    <t>8649.66万</t>
  </si>
  <si>
    <t>12.34万</t>
  </si>
  <si>
    <t>1948.14万</t>
  </si>
  <si>
    <t>-7731.36万</t>
  </si>
  <si>
    <t>1845.64万</t>
  </si>
  <si>
    <t>4919.84万</t>
  </si>
  <si>
    <t>4122.56万</t>
  </si>
  <si>
    <t>10派0.8元(含税)</t>
  </si>
  <si>
    <t>607.35万</t>
  </si>
  <si>
    <t>5818.96万</t>
  </si>
  <si>
    <t>018813100</t>
  </si>
  <si>
    <t>056439300</t>
  </si>
  <si>
    <t>0112878600</t>
  </si>
  <si>
    <t>0188131000</t>
  </si>
  <si>
    <t>0376262000</t>
  </si>
  <si>
    <t>162.97万</t>
  </si>
  <si>
    <t>14.72亿</t>
  </si>
  <si>
    <t>3.93亿</t>
  </si>
  <si>
    <t>3158.67万</t>
  </si>
  <si>
    <t>3.53亿</t>
  </si>
  <si>
    <t>133.11万</t>
  </si>
  <si>
    <t>238.06万</t>
  </si>
  <si>
    <t>-1237079亿</t>
  </si>
  <si>
    <t>31077801亿</t>
  </si>
  <si>
    <t>9.32亿</t>
  </si>
  <si>
    <t>269175520亿</t>
  </si>
  <si>
    <t>8227.03万</t>
  </si>
  <si>
    <t>1820045000亿</t>
  </si>
  <si>
    <t>190.22万</t>
  </si>
  <si>
    <t>8500.00万</t>
  </si>
  <si>
    <t>5718.91万</t>
  </si>
  <si>
    <t>6.37亿</t>
  </si>
  <si>
    <t>3820.78万</t>
  </si>
  <si>
    <t>8.82万</t>
  </si>
  <si>
    <t>3497.86万</t>
  </si>
  <si>
    <t>15.24亿</t>
  </si>
  <si>
    <t>10派10元(含税)</t>
  </si>
  <si>
    <t>2141.39万</t>
  </si>
  <si>
    <t>9401.25万</t>
  </si>
  <si>
    <t>031586700</t>
  </si>
  <si>
    <t>094760100</t>
  </si>
  <si>
    <t>0189520200</t>
  </si>
  <si>
    <t>0315867000</t>
  </si>
  <si>
    <t>0631734000</t>
  </si>
  <si>
    <t>-6-1</t>
  </si>
  <si>
    <t>58.41万</t>
  </si>
  <si>
    <t>15.66亿</t>
  </si>
  <si>
    <t>11.42亿</t>
  </si>
  <si>
    <t>2060.15万</t>
  </si>
  <si>
    <t>422.43万</t>
  </si>
  <si>
    <t>1659.24万</t>
  </si>
  <si>
    <t>-44389亿</t>
  </si>
  <si>
    <t>19929613亿</t>
  </si>
  <si>
    <t>333137090亿</t>
  </si>
  <si>
    <t>1305811140亿</t>
  </si>
  <si>
    <t>7.67亿</t>
  </si>
  <si>
    <t>5694.38万</t>
  </si>
  <si>
    <t>3.56亿</t>
  </si>
  <si>
    <t>13.16亿</t>
  </si>
  <si>
    <t>6727.28万</t>
  </si>
  <si>
    <t>2.39亿</t>
  </si>
  <si>
    <t>8.92亿</t>
  </si>
  <si>
    <t>6.24亿</t>
  </si>
  <si>
    <t>240.48万</t>
  </si>
  <si>
    <t>1971.89万</t>
  </si>
  <si>
    <t>167.48万</t>
  </si>
  <si>
    <t>10.01亿</t>
  </si>
  <si>
    <t>3.64亿</t>
  </si>
  <si>
    <t>-404.49万</t>
  </si>
  <si>
    <t>3.73亿</t>
  </si>
  <si>
    <t>493.93万</t>
  </si>
  <si>
    <t>2569.72万</t>
  </si>
  <si>
    <t>-269824亿</t>
  </si>
  <si>
    <t>4.75万</t>
  </si>
  <si>
    <t>-4450173亿</t>
  </si>
  <si>
    <t>5.38亿</t>
  </si>
  <si>
    <t>441439100亿</t>
  </si>
  <si>
    <t>1025.82万</t>
  </si>
  <si>
    <t>1390371200亿</t>
  </si>
  <si>
    <t>575.72万</t>
  </si>
  <si>
    <t>3.12亿</t>
  </si>
  <si>
    <t>2.09亿</t>
  </si>
  <si>
    <t>3.80亿</t>
  </si>
  <si>
    <t>7427.50万</t>
  </si>
  <si>
    <t>-1906.16万</t>
  </si>
  <si>
    <t>7493.14万</t>
  </si>
  <si>
    <t>9841.21万</t>
  </si>
  <si>
    <t>2499.64万</t>
  </si>
  <si>
    <t>3359.37万</t>
  </si>
  <si>
    <t>1089.74万</t>
  </si>
  <si>
    <t>8333.05万</t>
  </si>
  <si>
    <t>93.18万</t>
  </si>
  <si>
    <t>9.87亿</t>
  </si>
  <si>
    <t>11.78亿</t>
  </si>
  <si>
    <t>2389.88万</t>
  </si>
  <si>
    <t>4.38亿</t>
  </si>
  <si>
    <t>451.25万</t>
  </si>
  <si>
    <t>1758.33万</t>
  </si>
  <si>
    <t>467342亿</t>
  </si>
  <si>
    <t>22889197亿</t>
  </si>
  <si>
    <t>487531750亿</t>
  </si>
  <si>
    <t>7096.24万</t>
  </si>
  <si>
    <t>1542738800亿</t>
  </si>
  <si>
    <t>4949.48万</t>
  </si>
  <si>
    <t>3.39亿</t>
  </si>
  <si>
    <t>98.34万</t>
  </si>
  <si>
    <t>5794.24万</t>
  </si>
  <si>
    <t>-2292.43万</t>
  </si>
  <si>
    <t>-2610.46万</t>
  </si>
  <si>
    <t>6401.40万</t>
  </si>
  <si>
    <t>17.72亿</t>
  </si>
  <si>
    <t>8.40亿</t>
  </si>
  <si>
    <t>6915.39万</t>
  </si>
  <si>
    <t>4263.04万</t>
  </si>
  <si>
    <t>504.47万</t>
  </si>
  <si>
    <t>3774.79万</t>
  </si>
  <si>
    <t>023898800</t>
  </si>
  <si>
    <t>071696400</t>
  </si>
  <si>
    <t>0143392800</t>
  </si>
  <si>
    <t>0238988000</t>
  </si>
  <si>
    <t>0477976000</t>
  </si>
  <si>
    <t>733.14万</t>
  </si>
  <si>
    <t>10.28亿</t>
  </si>
  <si>
    <t>12.32亿</t>
  </si>
  <si>
    <t>3848.02万</t>
  </si>
  <si>
    <t>882.03万</t>
  </si>
  <si>
    <t>1691.26万</t>
  </si>
  <si>
    <t>-3821533亿</t>
  </si>
  <si>
    <t>3.83万</t>
  </si>
  <si>
    <t>26328911亿</t>
  </si>
  <si>
    <t>1.96亿</t>
  </si>
  <si>
    <t>532836140亿</t>
  </si>
  <si>
    <t>7740.24万</t>
  </si>
  <si>
    <t>1232601140亿</t>
  </si>
  <si>
    <t>158.09万</t>
  </si>
  <si>
    <t>3.75亿</t>
  </si>
  <si>
    <t>8.14亿</t>
  </si>
  <si>
    <t>1.81亿</t>
  </si>
  <si>
    <t>1507.84万</t>
  </si>
  <si>
    <t>-3209.87万</t>
  </si>
  <si>
    <t>-1056.76万</t>
  </si>
  <si>
    <t>16.31亿</t>
  </si>
  <si>
    <t>5485.17万</t>
  </si>
  <si>
    <t>2992.41万</t>
  </si>
  <si>
    <t>038480200</t>
  </si>
  <si>
    <t>0115440600</t>
  </si>
  <si>
    <t>0230881200</t>
  </si>
  <si>
    <t>0384802000</t>
  </si>
  <si>
    <t>0769604000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</si>
</sst>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203200</xdr:colOff>
          <xdr:row>0</xdr:row>
          <xdr:rowOff>82550</xdr:rowOff>
        </xdr:from>
        <xdr:to>
          <xdr:col>147</xdr:col>
          <xdr:colOff>1212850</xdr:colOff>
          <xdr:row>0</xdr:row>
          <xdr:rowOff>393700</xdr:rowOff>
        </xdr:to>
        <xdr:sp macro="" textlink="">
          <xdr:nvSpPr>
            <xdr:cNvPr id="2052" name="Button 4" descr="更新基本面按钮&#10;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63"/>
  <sheetViews>
    <sheetView tabSelected="1" zoomScale="85" zoomScaleNormal="85" workbookViewId="0">
      <pane xSplit="5" ySplit="1" topLeftCell="BN17" activePane="bottomRight" state="frozen"/>
      <selection pane="topRight" activeCell="F1" sqref="F1"/>
      <selection pane="bottomLeft" activeCell="A2" sqref="A2"/>
      <selection pane="bottomRight" activeCell="C7" sqref="C7:C8"/>
    </sheetView>
  </sheetViews>
  <sheetFormatPr defaultRowHeight="14" x14ac:dyDescent="0.25"/>
  <cols>
    <col min="1" max="1" width="34.36328125" customWidth="1"/>
    <col min="2" max="2" width="41.453125" customWidth="1"/>
    <col min="3" max="3" width="43.90625" customWidth="1"/>
    <col min="148" max="148" width="21.90625" customWidth="1"/>
  </cols>
  <sheetData>
    <row r="1" spans="1:146" ht="42" customHeight="1" x14ac:dyDescent="0.25">
      <c r="A1" s="3" t="s">
        <v>26</v>
      </c>
      <c r="B1" s="4" t="s">
        <v>27</v>
      </c>
      <c r="C1" s="3" t="s">
        <v>28</v>
      </c>
      <c r="D1" t="s">
        <v>29</v>
      </c>
      <c r="E1" t="s">
        <v>352</v>
      </c>
      <c r="F1" t="s">
        <v>3</v>
      </c>
      <c r="G1" t="s">
        <v>409</v>
      </c>
      <c r="H1" t="s">
        <v>410</v>
      </c>
      <c r="I1" t="s">
        <v>30</v>
      </c>
      <c r="J1" t="s">
        <v>31</v>
      </c>
      <c r="K1" t="s">
        <v>4</v>
      </c>
      <c r="L1" t="s">
        <v>32</v>
      </c>
      <c r="M1" t="s">
        <v>33</v>
      </c>
      <c r="N1" t="s">
        <v>34</v>
      </c>
      <c r="O1" t="s">
        <v>35</v>
      </c>
      <c r="P1" t="s">
        <v>411</v>
      </c>
      <c r="Q1" t="s">
        <v>383</v>
      </c>
      <c r="R1" t="s">
        <v>353</v>
      </c>
      <c r="S1" t="s">
        <v>36</v>
      </c>
      <c r="T1" t="s">
        <v>412</v>
      </c>
      <c r="U1" t="s">
        <v>289</v>
      </c>
      <c r="V1" t="s">
        <v>37</v>
      </c>
      <c r="W1" t="s">
        <v>384</v>
      </c>
      <c r="X1" t="s">
        <v>385</v>
      </c>
      <c r="Y1" t="s">
        <v>386</v>
      </c>
      <c r="Z1" t="s">
        <v>387</v>
      </c>
      <c r="AA1" t="s">
        <v>388</v>
      </c>
      <c r="AB1" t="s">
        <v>413</v>
      </c>
      <c r="AC1" t="s">
        <v>389</v>
      </c>
      <c r="AD1" t="s">
        <v>390</v>
      </c>
      <c r="AE1" t="s">
        <v>38</v>
      </c>
      <c r="AF1" t="s">
        <v>39</v>
      </c>
      <c r="AG1" t="s">
        <v>414</v>
      </c>
      <c r="AH1" t="s">
        <v>354</v>
      </c>
      <c r="AI1" t="s">
        <v>415</v>
      </c>
      <c r="AJ1" t="s">
        <v>40</v>
      </c>
      <c r="AK1" t="s">
        <v>416</v>
      </c>
      <c r="AL1" t="s">
        <v>143</v>
      </c>
      <c r="AM1" t="s">
        <v>417</v>
      </c>
      <c r="AN1" t="s">
        <v>418</v>
      </c>
      <c r="AO1" t="s">
        <v>419</v>
      </c>
      <c r="AP1" t="s">
        <v>420</v>
      </c>
      <c r="AQ1" t="s">
        <v>421</v>
      </c>
      <c r="AR1" t="s">
        <v>422</v>
      </c>
      <c r="AS1" t="s">
        <v>423</v>
      </c>
      <c r="AT1" t="s">
        <v>424</v>
      </c>
      <c r="AU1" t="s">
        <v>425</v>
      </c>
      <c r="AV1" t="s">
        <v>426</v>
      </c>
      <c r="AW1" t="s">
        <v>427</v>
      </c>
      <c r="AX1" t="s">
        <v>355</v>
      </c>
      <c r="AY1" t="s">
        <v>144</v>
      </c>
      <c r="AZ1" t="s">
        <v>145</v>
      </c>
      <c r="BA1" t="s">
        <v>146</v>
      </c>
      <c r="BB1" t="s">
        <v>147</v>
      </c>
      <c r="BC1" t="s">
        <v>290</v>
      </c>
      <c r="BD1" t="s">
        <v>148</v>
      </c>
      <c r="BE1" t="s">
        <v>149</v>
      </c>
      <c r="BF1" t="s">
        <v>150</v>
      </c>
      <c r="BG1" t="s">
        <v>151</v>
      </c>
      <c r="BH1" t="s">
        <v>428</v>
      </c>
      <c r="BI1" t="s">
        <v>429</v>
      </c>
      <c r="BJ1" t="s">
        <v>430</v>
      </c>
      <c r="BK1" t="s">
        <v>431</v>
      </c>
      <c r="BL1" t="s">
        <v>432</v>
      </c>
      <c r="BM1" t="s">
        <v>433</v>
      </c>
      <c r="BN1" t="s">
        <v>356</v>
      </c>
      <c r="BO1" t="s">
        <v>291</v>
      </c>
      <c r="BP1" t="s">
        <v>152</v>
      </c>
      <c r="BQ1" t="s">
        <v>357</v>
      </c>
      <c r="BR1" t="s">
        <v>292</v>
      </c>
      <c r="BS1" t="s">
        <v>153</v>
      </c>
      <c r="BT1" t="s">
        <v>434</v>
      </c>
      <c r="BU1" t="s">
        <v>391</v>
      </c>
      <c r="BV1" t="s">
        <v>435</v>
      </c>
      <c r="BW1" t="s">
        <v>154</v>
      </c>
      <c r="BX1" t="s">
        <v>155</v>
      </c>
      <c r="BY1" t="s">
        <v>436</v>
      </c>
      <c r="BZ1" t="s">
        <v>156</v>
      </c>
      <c r="CA1" t="s">
        <v>157</v>
      </c>
      <c r="CB1" t="s">
        <v>437</v>
      </c>
      <c r="CC1" t="s">
        <v>438</v>
      </c>
      <c r="CD1" t="s">
        <v>439</v>
      </c>
      <c r="CE1" t="s">
        <v>440</v>
      </c>
      <c r="CF1" s="1" t="s">
        <v>358</v>
      </c>
      <c r="CG1" s="1" t="s">
        <v>359</v>
      </c>
      <c r="CH1" s="1" t="s">
        <v>360</v>
      </c>
      <c r="CI1" s="1" t="s">
        <v>361</v>
      </c>
      <c r="CJ1" s="1" t="s">
        <v>362</v>
      </c>
      <c r="CK1" s="1" t="s">
        <v>363</v>
      </c>
      <c r="CL1" s="1" t="s">
        <v>364</v>
      </c>
      <c r="CM1" s="1" t="s">
        <v>365</v>
      </c>
      <c r="CN1" s="1" t="s">
        <v>366</v>
      </c>
      <c r="CO1" s="1" t="s">
        <v>367</v>
      </c>
      <c r="CP1" s="1" t="s">
        <v>368</v>
      </c>
      <c r="CQ1" s="1" t="s">
        <v>369</v>
      </c>
      <c r="CR1" s="1" t="s">
        <v>458</v>
      </c>
      <c r="CS1" s="1" t="s">
        <v>441</v>
      </c>
      <c r="CT1" s="1" t="s">
        <v>459</v>
      </c>
      <c r="CU1" s="1" t="s">
        <v>442</v>
      </c>
      <c r="CV1" s="1" t="s">
        <v>443</v>
      </c>
      <c r="CW1" s="1" t="s">
        <v>460</v>
      </c>
      <c r="CX1">
        <v>1</v>
      </c>
      <c r="CY1" t="s">
        <v>444</v>
      </c>
      <c r="CZ1" t="s">
        <v>445</v>
      </c>
      <c r="DA1">
        <v>3</v>
      </c>
      <c r="DB1" t="s">
        <v>446</v>
      </c>
      <c r="DC1" t="s">
        <v>447</v>
      </c>
      <c r="DD1">
        <v>6</v>
      </c>
      <c r="DE1" t="s">
        <v>461</v>
      </c>
      <c r="DF1" t="s">
        <v>448</v>
      </c>
      <c r="DG1">
        <v>10</v>
      </c>
      <c r="DH1" t="s">
        <v>462</v>
      </c>
      <c r="DI1" t="s">
        <v>463</v>
      </c>
      <c r="DJ1">
        <v>20</v>
      </c>
      <c r="DK1" t="s">
        <v>449</v>
      </c>
      <c r="DL1" t="s">
        <v>370</v>
      </c>
      <c r="DM1" t="s">
        <v>371</v>
      </c>
      <c r="DN1" s="2" t="s">
        <v>372</v>
      </c>
      <c r="DO1" t="s">
        <v>464</v>
      </c>
      <c r="DP1" t="s">
        <v>465</v>
      </c>
      <c r="DQ1" s="11" t="s">
        <v>450</v>
      </c>
      <c r="DR1" s="1" t="s">
        <v>451</v>
      </c>
      <c r="DS1" s="1" t="s">
        <v>466</v>
      </c>
      <c r="DT1" t="s">
        <v>452</v>
      </c>
      <c r="DU1" t="s">
        <v>453</v>
      </c>
      <c r="DV1" t="s">
        <v>467</v>
      </c>
      <c r="DW1" t="s">
        <v>468</v>
      </c>
      <c r="DX1" t="s">
        <v>454</v>
      </c>
      <c r="DY1" t="s">
        <v>469</v>
      </c>
      <c r="DZ1" t="s">
        <v>470</v>
      </c>
      <c r="EA1" t="s">
        <v>471</v>
      </c>
      <c r="EB1" t="s">
        <v>455</v>
      </c>
      <c r="EC1" t="s">
        <v>472</v>
      </c>
      <c r="ED1" t="s">
        <v>473</v>
      </c>
      <c r="EE1" t="s">
        <v>456</v>
      </c>
      <c r="EF1" t="s">
        <v>474</v>
      </c>
      <c r="EG1" t="s">
        <v>457</v>
      </c>
      <c r="EH1" t="s">
        <v>475</v>
      </c>
      <c r="EI1" t="s">
        <v>476</v>
      </c>
      <c r="EK1" s="12" t="s">
        <v>477</v>
      </c>
      <c r="EL1" t="s">
        <v>478</v>
      </c>
      <c r="EM1" t="s">
        <v>479</v>
      </c>
      <c r="EN1" t="s">
        <v>480</v>
      </c>
      <c r="EO1" t="s">
        <v>481</v>
      </c>
      <c r="EP1" t="s">
        <v>482</v>
      </c>
    </row>
    <row r="2" spans="1:146" ht="216" x14ac:dyDescent="0.25">
      <c r="A2" s="6"/>
      <c r="B2" s="6"/>
      <c r="C2" s="6" t="str">
        <f>"公司的主要业务消费电器、暖通空调、机器人与自动化系统、智能供应链（物流）。提供多元化的产品种类与服务，包括以厨房家电、冰箱、洗衣机、及各类小家电为核心的消费电器业务；以家用空调、中央空调、供暖及通风系统为核心的暖通空调业务；以库卡集团、美的机器人公司等为核心的机器人及自动化系统业务；以安得智联为智能供应链业务集成解决方案的服务平台。"&amp;CHAR(10)&amp;Basic_Fundamental_Information_Constructure(F2)&amp;CHAR(10)&amp;Basic_Fundamental_Information_Concatenate("暖通空调 832.36亿 45.57% 41.49% 21.05%
消费电器 663.35亿 36.32% 45.88% 29.21%
其他业务 147.32亿 8.07% 4.78% 13.70%
机器人、自动化系统及其他制造业 136.92亿 7.50% 7.08% 21.84%")</f>
        <v>公司的主要业务消费电器、暖通空调、机器人与自动化系统、智能供应链（物流）。提供多元化的产品种类与服务，包括以厨房家电、冰箱、洗衣机、及各类小家电为核心的消费电器业务；以家用空调、中央空调、供暖及通风系统为核心的暖通空调业务；以库卡集团、美的机器人公司等为核心的机器人及自动化系统业务；以安得智联为智能供应链业务集成解决方案的服务平台。
市值4467.2741亿, 利润90.00亿; PE12.88; 平均PE19.31; 平均PEG2.48, PB2.59; ROIC12.7533%; ROE21.57%; 股利率4.6875%; 毛利24.4033%; 净利8.7467%; 上一年度营收增-69.15%, 利润增-69.55%; 当季营收增-46.14%, 利润增-50.64%; 过往5年营收增-7.8%, 利润增-5.81%
Income profile:
暖通空调 832.36亿 45.57% 41.49% 21.05%
消费电器 663.35亿 36.32% 45.88% 29.21%
其他业务 147.32亿 8.07% 4.78% 13.70%
机器人、自动化系统及其他制造业 136.92亿 7.50% 7.08% 21.84%</v>
      </c>
      <c r="D2" t="s">
        <v>63</v>
      </c>
      <c r="E2" t="s">
        <v>19</v>
      </c>
      <c r="F2">
        <v>64</v>
      </c>
      <c r="G2">
        <v>-0.93</v>
      </c>
      <c r="H2" t="s">
        <v>619</v>
      </c>
      <c r="I2">
        <v>446727410000</v>
      </c>
      <c r="J2">
        <v>12.88</v>
      </c>
      <c r="K2">
        <v>2.59</v>
      </c>
      <c r="L2" t="s">
        <v>42</v>
      </c>
      <c r="M2" t="s">
        <v>620</v>
      </c>
      <c r="N2" t="s">
        <v>621</v>
      </c>
      <c r="O2" t="s">
        <v>622</v>
      </c>
      <c r="P2">
        <v>10.220000000000001</v>
      </c>
      <c r="Q2" t="s">
        <v>622</v>
      </c>
      <c r="R2">
        <v>9000007000</v>
      </c>
      <c r="S2" s="5">
        <v>0.1191</v>
      </c>
      <c r="T2" t="s">
        <v>623</v>
      </c>
      <c r="U2">
        <v>6847783700</v>
      </c>
      <c r="V2">
        <v>6980115800</v>
      </c>
      <c r="W2">
        <v>2.71</v>
      </c>
      <c r="X2">
        <v>0.22</v>
      </c>
      <c r="Y2">
        <v>8.49</v>
      </c>
      <c r="Z2" t="s">
        <v>624</v>
      </c>
      <c r="AA2" t="s">
        <v>625</v>
      </c>
      <c r="AB2" t="s">
        <v>626</v>
      </c>
      <c r="AC2" t="s">
        <v>627</v>
      </c>
      <c r="AD2" t="s">
        <v>45</v>
      </c>
      <c r="AE2">
        <v>557258000</v>
      </c>
      <c r="AF2" t="s">
        <v>628</v>
      </c>
      <c r="AG2" t="s">
        <v>533</v>
      </c>
      <c r="AH2" t="s">
        <v>629</v>
      </c>
      <c r="AI2" t="s">
        <v>630</v>
      </c>
      <c r="AJ2" t="s">
        <v>631</v>
      </c>
      <c r="AK2" t="s">
        <v>632</v>
      </c>
      <c r="AL2" t="s">
        <v>633</v>
      </c>
      <c r="AM2" t="s">
        <v>45</v>
      </c>
      <c r="AN2" t="s">
        <v>634</v>
      </c>
      <c r="AO2" t="s">
        <v>635</v>
      </c>
      <c r="AP2" t="s">
        <v>636</v>
      </c>
      <c r="AQ2" t="s">
        <v>637</v>
      </c>
      <c r="AR2" t="s">
        <v>45</v>
      </c>
      <c r="AS2" t="s">
        <v>638</v>
      </c>
      <c r="AT2" t="s">
        <v>639</v>
      </c>
      <c r="AU2" t="s">
        <v>640</v>
      </c>
      <c r="AV2" t="s">
        <v>641</v>
      </c>
      <c r="AW2" t="s">
        <v>642</v>
      </c>
      <c r="AX2" t="s">
        <v>643</v>
      </c>
      <c r="AY2" t="s">
        <v>503</v>
      </c>
      <c r="AZ2" t="s">
        <v>504</v>
      </c>
      <c r="BA2" t="s">
        <v>159</v>
      </c>
      <c r="BB2" t="s">
        <v>160</v>
      </c>
      <c r="BC2" t="s">
        <v>501</v>
      </c>
      <c r="BD2" t="s">
        <v>293</v>
      </c>
      <c r="BE2" t="s">
        <v>158</v>
      </c>
      <c r="BF2" t="s">
        <v>64</v>
      </c>
      <c r="BG2" t="s">
        <v>161</v>
      </c>
      <c r="BH2" t="s">
        <v>644</v>
      </c>
      <c r="BI2" t="s">
        <v>645</v>
      </c>
      <c r="BJ2" t="s">
        <v>643</v>
      </c>
      <c r="BK2" t="s">
        <v>646</v>
      </c>
      <c r="BL2" t="s">
        <v>647</v>
      </c>
      <c r="BM2" t="s">
        <v>501</v>
      </c>
      <c r="BN2">
        <v>11.57</v>
      </c>
      <c r="BO2">
        <v>12.89</v>
      </c>
      <c r="BP2">
        <v>13.8</v>
      </c>
      <c r="BQ2">
        <v>18.41</v>
      </c>
      <c r="BR2">
        <v>22.21</v>
      </c>
      <c r="BS2">
        <v>24.09</v>
      </c>
      <c r="BT2" t="s">
        <v>648</v>
      </c>
      <c r="BU2" t="s">
        <v>392</v>
      </c>
      <c r="BV2">
        <v>26.49</v>
      </c>
      <c r="BW2">
        <v>24.24</v>
      </c>
      <c r="BX2">
        <v>22.48</v>
      </c>
      <c r="BY2">
        <v>9.07</v>
      </c>
      <c r="BZ2">
        <v>8.67</v>
      </c>
      <c r="CA2">
        <v>8.5</v>
      </c>
      <c r="CB2">
        <v>-0.78</v>
      </c>
      <c r="CC2">
        <v>-2.65</v>
      </c>
      <c r="CD2" t="s">
        <v>381</v>
      </c>
      <c r="CE2" t="s">
        <v>649</v>
      </c>
      <c r="CF2" s="7">
        <v>-0.46137835807257294</v>
      </c>
      <c r="CG2" s="8">
        <v>-0.50636205572619575</v>
      </c>
      <c r="CH2" s="7">
        <v>-0.69149041175842285</v>
      </c>
      <c r="CI2" s="7">
        <v>7.8684566542506218E-3</v>
      </c>
      <c r="CJ2" s="7">
        <v>0.2005903571844101</v>
      </c>
      <c r="CK2" s="7">
        <v>2.1583940833806992E-2</v>
      </c>
      <c r="CL2" s="7">
        <v>7.1442104876041412E-2</v>
      </c>
      <c r="CM2" s="8">
        <v>-0.69547271728515625</v>
      </c>
      <c r="CN2" s="8">
        <v>3.4296941012144089E-2</v>
      </c>
      <c r="CO2" s="8">
        <v>4.9627158790826797E-2</v>
      </c>
      <c r="CP2" s="8">
        <v>0.12440625578165054</v>
      </c>
      <c r="CQ2" s="8">
        <v>0.19672775268554688</v>
      </c>
      <c r="CR2">
        <v>19.311957087172985</v>
      </c>
      <c r="CS2">
        <v>2.4758566868784806</v>
      </c>
      <c r="CT2">
        <v>4.6875</v>
      </c>
      <c r="CU2" s="7">
        <v>-7.8001110441982741E-2</v>
      </c>
      <c r="CV2" s="8">
        <v>-5.8082921802997588E-2</v>
      </c>
      <c r="CW2">
        <v>0.06</v>
      </c>
      <c r="CX2">
        <v>63.84437888888889</v>
      </c>
      <c r="CY2" t="s">
        <v>650</v>
      </c>
      <c r="CZ2">
        <v>-7.8001110441982741E-2</v>
      </c>
      <c r="DA2">
        <v>21.28145962962963</v>
      </c>
      <c r="DB2" t="s">
        <v>651</v>
      </c>
      <c r="DC2">
        <v>-7.4101054919883599E-2</v>
      </c>
      <c r="DD2">
        <v>10.640729814814815</v>
      </c>
      <c r="DE2" t="s">
        <v>652</v>
      </c>
      <c r="DF2">
        <v>-6.864097718894481E-2</v>
      </c>
      <c r="DG2">
        <v>6.3844378888888889</v>
      </c>
      <c r="DH2" t="s">
        <v>653</v>
      </c>
      <c r="DI2">
        <v>-6.2400888353586197E-2</v>
      </c>
      <c r="DJ2">
        <v>3.1922189444444444</v>
      </c>
      <c r="DK2" t="s">
        <v>654</v>
      </c>
      <c r="DL2">
        <v>-5.4600777309387914E-2</v>
      </c>
      <c r="DM2">
        <v>9000000000</v>
      </c>
      <c r="DN2">
        <v>-7.8001110441982741E-2</v>
      </c>
      <c r="DO2">
        <v>574599410000</v>
      </c>
      <c r="DP2">
        <v>37663390000</v>
      </c>
      <c r="DQ2">
        <v>66</v>
      </c>
      <c r="DR2">
        <v>-0.38337724763059022</v>
      </c>
      <c r="DS2">
        <v>-0.44827913392319818</v>
      </c>
      <c r="DT2" s="9">
        <v>-0.64</v>
      </c>
      <c r="DU2">
        <v>-0.45333333333333331</v>
      </c>
      <c r="DV2">
        <v>-1.0933333333333333</v>
      </c>
      <c r="DW2">
        <v>-1.0265</v>
      </c>
      <c r="DX2">
        <v>0.42473684210526375</v>
      </c>
      <c r="DY2">
        <v>-1.0038355263157894</v>
      </c>
      <c r="DZ2">
        <v>2218</v>
      </c>
      <c r="EA2">
        <v>-1.002170712740756</v>
      </c>
      <c r="EB2">
        <v>1</v>
      </c>
      <c r="EC2">
        <v>1.733495596161886E-2</v>
      </c>
      <c r="ED2">
        <v>0.11976878664391212</v>
      </c>
      <c r="EE2" s="10">
        <v>1.00421</v>
      </c>
      <c r="EF2">
        <v>1.00651</v>
      </c>
      <c r="EG2">
        <v>28.144736842105264</v>
      </c>
      <c r="EH2" t="s">
        <v>379</v>
      </c>
      <c r="EI2">
        <v>0</v>
      </c>
      <c r="EJ2">
        <v>0</v>
      </c>
      <c r="EK2" s="12">
        <v>45470</v>
      </c>
      <c r="EL2" s="13">
        <v>-0.81</v>
      </c>
      <c r="EM2" s="13">
        <v>1.45</v>
      </c>
      <c r="EN2" s="13">
        <v>0.63</v>
      </c>
      <c r="EO2" s="13">
        <v>-1.59</v>
      </c>
      <c r="EP2" s="13">
        <v>-0.23</v>
      </c>
    </row>
    <row r="3" spans="1:146" ht="96" x14ac:dyDescent="0.25">
      <c r="A3" s="6"/>
      <c r="B3" s="6"/>
      <c r="C3" s="6" t="str">
        <f>""&amp;CHAR(10)&amp;Basic_Fundamental_Information_Constructure(F3)&amp;CHAR(10)&amp;Basic_Fundamental_Information_Concatenate("")</f>
        <v xml:space="preserve">
市值37.235785亿, 利润7992.17万; PE9.82; 平均PE29.92; 平均PEG4.62, PB.962; ROIC5.33%; ROE6.8233%; 股利率4.6729%; 毛利10.87%; 净利3.1667%; 上一年度营收增-74.49%, 利润增-69.61%; 当季营收增-56.82%, 利润增-51.56%; 过往5年营收增-6.48%, 利润增50.65%
Income profile:
</v>
      </c>
      <c r="D3" t="s">
        <v>87</v>
      </c>
      <c r="E3" t="s">
        <v>8</v>
      </c>
      <c r="F3">
        <v>5.35</v>
      </c>
      <c r="G3">
        <v>-0.19</v>
      </c>
      <c r="H3" t="s">
        <v>655</v>
      </c>
      <c r="I3">
        <v>3723578500</v>
      </c>
      <c r="J3">
        <v>9.82</v>
      </c>
      <c r="K3">
        <v>0.96199999999999997</v>
      </c>
      <c r="L3" t="s">
        <v>42</v>
      </c>
      <c r="M3" t="s">
        <v>656</v>
      </c>
      <c r="N3" t="s">
        <v>657</v>
      </c>
      <c r="O3" t="s">
        <v>658</v>
      </c>
      <c r="P3">
        <v>-21.16</v>
      </c>
      <c r="Q3" t="s">
        <v>658</v>
      </c>
      <c r="R3">
        <v>79921686</v>
      </c>
      <c r="S3" s="5">
        <v>0.26960000000000001</v>
      </c>
      <c r="T3" t="s">
        <v>659</v>
      </c>
      <c r="U3">
        <v>693640470</v>
      </c>
      <c r="V3">
        <v>695995980</v>
      </c>
      <c r="W3">
        <v>2.88</v>
      </c>
      <c r="X3">
        <v>0.23</v>
      </c>
      <c r="Y3">
        <v>3.46</v>
      </c>
      <c r="Z3" t="s">
        <v>660</v>
      </c>
      <c r="AA3" t="s">
        <v>661</v>
      </c>
      <c r="AB3" t="s">
        <v>662</v>
      </c>
      <c r="AC3" t="s">
        <v>663</v>
      </c>
      <c r="AD3" t="s">
        <v>45</v>
      </c>
      <c r="AE3">
        <v>-15683735</v>
      </c>
      <c r="AF3" t="s">
        <v>664</v>
      </c>
      <c r="AG3" t="s">
        <v>665</v>
      </c>
      <c r="AH3" t="s">
        <v>666</v>
      </c>
      <c r="AI3" t="s">
        <v>667</v>
      </c>
      <c r="AJ3" t="s">
        <v>668</v>
      </c>
      <c r="AK3" t="s">
        <v>669</v>
      </c>
      <c r="AL3" t="s">
        <v>670</v>
      </c>
      <c r="AM3" t="s">
        <v>45</v>
      </c>
      <c r="AN3" t="s">
        <v>671</v>
      </c>
      <c r="AO3" t="s">
        <v>672</v>
      </c>
      <c r="AP3" t="s">
        <v>673</v>
      </c>
      <c r="AQ3" t="s">
        <v>674</v>
      </c>
      <c r="AR3" t="s">
        <v>45</v>
      </c>
      <c r="AS3" t="s">
        <v>675</v>
      </c>
      <c r="AT3" t="s">
        <v>75</v>
      </c>
      <c r="AU3" t="s">
        <v>676</v>
      </c>
      <c r="AV3" t="s">
        <v>614</v>
      </c>
      <c r="AW3" t="s">
        <v>677</v>
      </c>
      <c r="AX3" t="s">
        <v>505</v>
      </c>
      <c r="AY3" t="s">
        <v>294</v>
      </c>
      <c r="AZ3" t="s">
        <v>162</v>
      </c>
      <c r="BA3" t="s">
        <v>88</v>
      </c>
      <c r="BB3" t="s">
        <v>163</v>
      </c>
      <c r="BC3" t="s">
        <v>506</v>
      </c>
      <c r="BD3" t="s">
        <v>72</v>
      </c>
      <c r="BE3" t="s">
        <v>53</v>
      </c>
      <c r="BF3" t="s">
        <v>89</v>
      </c>
      <c r="BG3" t="s">
        <v>164</v>
      </c>
      <c r="BH3" t="s">
        <v>678</v>
      </c>
      <c r="BI3" t="s">
        <v>679</v>
      </c>
      <c r="BJ3" t="s">
        <v>505</v>
      </c>
      <c r="BK3" t="s">
        <v>680</v>
      </c>
      <c r="BL3" t="s">
        <v>681</v>
      </c>
      <c r="BM3" t="s">
        <v>506</v>
      </c>
      <c r="BN3">
        <v>5.49</v>
      </c>
      <c r="BO3">
        <v>6.13</v>
      </c>
      <c r="BP3">
        <v>4.37</v>
      </c>
      <c r="BQ3">
        <v>7.5</v>
      </c>
      <c r="BR3">
        <v>7.48</v>
      </c>
      <c r="BS3">
        <v>5.49</v>
      </c>
      <c r="BT3" t="s">
        <v>682</v>
      </c>
      <c r="BU3" t="s">
        <v>683</v>
      </c>
      <c r="BV3">
        <v>13.22</v>
      </c>
      <c r="BW3">
        <v>10.74</v>
      </c>
      <c r="BX3">
        <v>8.65</v>
      </c>
      <c r="BY3">
        <v>4.12</v>
      </c>
      <c r="BZ3">
        <v>3.19</v>
      </c>
      <c r="CA3">
        <v>2.19</v>
      </c>
      <c r="CB3">
        <v>0.38</v>
      </c>
      <c r="CC3">
        <v>-15.75</v>
      </c>
      <c r="CD3" t="s">
        <v>684</v>
      </c>
      <c r="CE3" t="s">
        <v>539</v>
      </c>
      <c r="CF3" s="7">
        <v>-0.56817888070311495</v>
      </c>
      <c r="CG3" s="8">
        <v>-0.51562614545454544</v>
      </c>
      <c r="CH3" s="7">
        <v>-0.74486446380615234</v>
      </c>
      <c r="CI3" s="7">
        <v>-7.8793466091156006E-3</v>
      </c>
      <c r="CJ3" s="7">
        <v>0.26269963383674622</v>
      </c>
      <c r="CK3" s="7">
        <v>9.0103238821029663E-2</v>
      </c>
      <c r="CL3" s="7">
        <v>7.6085813343524933E-2</v>
      </c>
      <c r="CM3" s="8">
        <v>-0.69611519575119019</v>
      </c>
      <c r="CN3" s="8">
        <v>0.42162162065505981</v>
      </c>
      <c r="CO3" s="8">
        <v>0.59482759237289429</v>
      </c>
      <c r="CP3" s="8">
        <v>2.7875819206237793</v>
      </c>
      <c r="CQ3" s="8">
        <v>-0.5755012035369873</v>
      </c>
      <c r="CR3">
        <v>29.920465550004131</v>
      </c>
      <c r="CS3">
        <v>4.6194213545558034</v>
      </c>
      <c r="CT3">
        <v>4.6728971962616823</v>
      </c>
      <c r="CU3" s="7">
        <v>-6.4771024882793432E-2</v>
      </c>
      <c r="CV3" s="8">
        <v>0.50648294687271123</v>
      </c>
      <c r="CW3">
        <v>0.06</v>
      </c>
      <c r="CX3">
        <v>91.48427148071174</v>
      </c>
      <c r="CY3" t="s">
        <v>685</v>
      </c>
      <c r="CZ3">
        <v>-6.4771024882793432E-2</v>
      </c>
      <c r="DA3">
        <v>30.494757160237249</v>
      </c>
      <c r="DB3" t="s">
        <v>686</v>
      </c>
      <c r="DC3">
        <v>-6.1532473638653759E-2</v>
      </c>
      <c r="DD3">
        <v>15.247378580118625</v>
      </c>
      <c r="DE3" t="s">
        <v>687</v>
      </c>
      <c r="DF3">
        <v>-5.699850189685822E-2</v>
      </c>
      <c r="DG3">
        <v>9.1484271480711747</v>
      </c>
      <c r="DH3" t="s">
        <v>688</v>
      </c>
      <c r="DI3">
        <v>-5.1816819906234747E-2</v>
      </c>
      <c r="DJ3">
        <v>4.5742135740355874</v>
      </c>
      <c r="DK3" t="s">
        <v>689</v>
      </c>
      <c r="DL3">
        <v>-4.5339717417955401E-2</v>
      </c>
      <c r="DM3">
        <v>79921700</v>
      </c>
      <c r="DN3">
        <v>-6.4771024882793432E-2</v>
      </c>
      <c r="DO3">
        <v>7311578500</v>
      </c>
      <c r="DP3">
        <v>2386877100</v>
      </c>
      <c r="DQ3">
        <v>72</v>
      </c>
      <c r="DR3">
        <v>-0.50340785582032155</v>
      </c>
      <c r="DS3">
        <v>-1.0221090923272567</v>
      </c>
      <c r="DT3" s="9">
        <v>-0.64</v>
      </c>
      <c r="DU3">
        <v>7.5000000000000067E-2</v>
      </c>
      <c r="DV3">
        <v>-0.56499999999999995</v>
      </c>
      <c r="DW3">
        <v>-2.1575000000000002</v>
      </c>
      <c r="DX3">
        <v>0.36760838509316596</v>
      </c>
      <c r="DY3">
        <v>-2.0248233206521737</v>
      </c>
      <c r="DZ3">
        <v>400</v>
      </c>
      <c r="EA3">
        <v>-2.0228802035756828</v>
      </c>
      <c r="EB3">
        <v>2</v>
      </c>
      <c r="EC3">
        <v>7.2916944146717635E-2</v>
      </c>
      <c r="ED3">
        <v>0.46264635034242585</v>
      </c>
      <c r="EE3" s="10">
        <v>2.00691</v>
      </c>
      <c r="EF3">
        <v>2.0382099999999999</v>
      </c>
      <c r="EG3">
        <v>21.157608385093166</v>
      </c>
      <c r="EH3" t="s">
        <v>512</v>
      </c>
      <c r="EI3">
        <v>0</v>
      </c>
      <c r="EJ3">
        <v>1</v>
      </c>
      <c r="EK3" s="12">
        <v>45470</v>
      </c>
      <c r="EL3" s="13">
        <v>0.35</v>
      </c>
      <c r="EM3" s="13">
        <v>-2.63</v>
      </c>
      <c r="EN3" s="13">
        <v>1.08</v>
      </c>
      <c r="EO3" s="13">
        <v>1.49</v>
      </c>
      <c r="EP3" s="13">
        <v>-3.13</v>
      </c>
    </row>
    <row r="4" spans="1:146" ht="96" x14ac:dyDescent="0.25">
      <c r="A4" s="6"/>
      <c r="B4" s="6"/>
      <c r="C4" s="6" t="str">
        <f>""&amp;CHAR(10)&amp;Basic_Fundamental_Information_Constructure(F4)&amp;CHAR(10)&amp;Basic_Fundamental_Information_Concatenate("")</f>
        <v xml:space="preserve">
市值76.111363亿, 利润1.56亿; PE9.83; 平均PE98.75; 平均PEG9.19, PB1.27; ROIC2.7167%; ROE5.0967%; 股利率4.0595%; 毛利13.2167%; 净利1.68%; 上一年度营收增-70.62%, 利润增-36.33%; 当季营收增-53.7%, 利润增-56.55%; 过往5年营收增-10.74%, 利润增58.16%
Income profile:
</v>
      </c>
      <c r="D4" t="s">
        <v>41</v>
      </c>
      <c r="E4" t="s">
        <v>6</v>
      </c>
      <c r="F4">
        <v>7.39</v>
      </c>
      <c r="G4">
        <v>0.82</v>
      </c>
      <c r="H4" t="s">
        <v>690</v>
      </c>
      <c r="I4">
        <v>7611136300</v>
      </c>
      <c r="J4">
        <v>9.83</v>
      </c>
      <c r="K4">
        <v>1.27</v>
      </c>
      <c r="L4" t="s">
        <v>42</v>
      </c>
      <c r="M4" t="s">
        <v>691</v>
      </c>
      <c r="N4" t="s">
        <v>692</v>
      </c>
      <c r="O4" t="s">
        <v>693</v>
      </c>
      <c r="P4">
        <v>18.2</v>
      </c>
      <c r="Q4" t="s">
        <v>693</v>
      </c>
      <c r="R4">
        <v>155536230</v>
      </c>
      <c r="S4" s="5">
        <v>0.26929999999999998</v>
      </c>
      <c r="T4" t="s">
        <v>694</v>
      </c>
      <c r="U4">
        <v>875312460</v>
      </c>
      <c r="V4">
        <v>1029923720</v>
      </c>
      <c r="W4">
        <v>3.39</v>
      </c>
      <c r="X4">
        <v>0.28999999999999998</v>
      </c>
      <c r="Y4">
        <v>2.67</v>
      </c>
      <c r="Z4" t="s">
        <v>695</v>
      </c>
      <c r="AA4" t="s">
        <v>696</v>
      </c>
      <c r="AB4" t="s">
        <v>697</v>
      </c>
      <c r="AC4" t="s">
        <v>698</v>
      </c>
      <c r="AD4" t="s">
        <v>45</v>
      </c>
      <c r="AE4">
        <v>-41837400</v>
      </c>
      <c r="AF4" t="s">
        <v>699</v>
      </c>
      <c r="AG4" t="s">
        <v>700</v>
      </c>
      <c r="AH4" t="s">
        <v>701</v>
      </c>
      <c r="AI4" t="s">
        <v>702</v>
      </c>
      <c r="AJ4" t="s">
        <v>703</v>
      </c>
      <c r="AK4" t="s">
        <v>704</v>
      </c>
      <c r="AL4" t="s">
        <v>705</v>
      </c>
      <c r="AM4" t="s">
        <v>45</v>
      </c>
      <c r="AN4" t="s">
        <v>706</v>
      </c>
      <c r="AO4" t="s">
        <v>707</v>
      </c>
      <c r="AP4" t="s">
        <v>708</v>
      </c>
      <c r="AQ4" t="s">
        <v>709</v>
      </c>
      <c r="AR4" t="s">
        <v>710</v>
      </c>
      <c r="AS4" t="s">
        <v>711</v>
      </c>
      <c r="AT4" t="s">
        <v>94</v>
      </c>
      <c r="AU4" t="s">
        <v>712</v>
      </c>
      <c r="AV4" t="s">
        <v>713</v>
      </c>
      <c r="AW4" t="s">
        <v>714</v>
      </c>
      <c r="AX4" t="s">
        <v>509</v>
      </c>
      <c r="AY4" t="s">
        <v>295</v>
      </c>
      <c r="AZ4" t="s">
        <v>165</v>
      </c>
      <c r="BA4" t="s">
        <v>43</v>
      </c>
      <c r="BB4" t="s">
        <v>167</v>
      </c>
      <c r="BC4" t="s">
        <v>108</v>
      </c>
      <c r="BD4" t="s">
        <v>296</v>
      </c>
      <c r="BE4" t="s">
        <v>166</v>
      </c>
      <c r="BF4" t="s">
        <v>44</v>
      </c>
      <c r="BG4" t="s">
        <v>168</v>
      </c>
      <c r="BH4" t="s">
        <v>715</v>
      </c>
      <c r="BI4" t="s">
        <v>716</v>
      </c>
      <c r="BJ4" t="s">
        <v>509</v>
      </c>
      <c r="BK4" t="s">
        <v>566</v>
      </c>
      <c r="BL4" t="s">
        <v>717</v>
      </c>
      <c r="BM4" t="s">
        <v>108</v>
      </c>
      <c r="BN4">
        <v>6.01</v>
      </c>
      <c r="BO4">
        <v>2.02</v>
      </c>
      <c r="BP4">
        <v>0.12</v>
      </c>
      <c r="BQ4">
        <v>9.26</v>
      </c>
      <c r="BR4">
        <v>4.96</v>
      </c>
      <c r="BS4">
        <v>1.07</v>
      </c>
      <c r="BT4" t="s">
        <v>495</v>
      </c>
      <c r="BU4" t="s">
        <v>393</v>
      </c>
      <c r="BV4">
        <v>13.94</v>
      </c>
      <c r="BW4">
        <v>13.71</v>
      </c>
      <c r="BX4">
        <v>12</v>
      </c>
      <c r="BY4">
        <v>3.19</v>
      </c>
      <c r="BZ4">
        <v>1.37</v>
      </c>
      <c r="CA4">
        <v>0.48</v>
      </c>
      <c r="CB4">
        <v>-2.5099999999999998</v>
      </c>
      <c r="CC4">
        <v>-28.18</v>
      </c>
      <c r="CD4" t="s">
        <v>718</v>
      </c>
      <c r="CE4" t="s">
        <v>719</v>
      </c>
      <c r="CF4" s="7">
        <v>-0.53698651492711824</v>
      </c>
      <c r="CG4" s="8">
        <v>-0.5655412569832402</v>
      </c>
      <c r="CH4" s="7">
        <v>-0.70615881681442261</v>
      </c>
      <c r="CI4" s="7">
        <v>0.12100030481815338</v>
      </c>
      <c r="CJ4" s="7">
        <v>0.17188718914985657</v>
      </c>
      <c r="CK4" s="7">
        <v>-7.0379972457885742E-2</v>
      </c>
      <c r="CL4" s="7">
        <v>-5.3573466837406158E-2</v>
      </c>
      <c r="CM4" s="8">
        <v>-0.36326530575752258</v>
      </c>
      <c r="CN4" s="8">
        <v>3.7207620143890381</v>
      </c>
      <c r="CO4" s="8">
        <v>1.6065328121185303</v>
      </c>
      <c r="CP4" s="8">
        <v>-2.5160069465637207</v>
      </c>
      <c r="CQ4" s="8">
        <v>0.4600098729133606</v>
      </c>
      <c r="CR4">
        <v>98.753478183302434</v>
      </c>
      <c r="CS4">
        <v>9.1910765421172158</v>
      </c>
      <c r="CT4">
        <v>4.0595399188092021</v>
      </c>
      <c r="CU4" s="7">
        <v>-0.10744495242834091</v>
      </c>
      <c r="CV4" s="8">
        <v>0.58160648941993709</v>
      </c>
      <c r="CW4">
        <v>0.06</v>
      </c>
      <c r="CX4">
        <v>92.667540384615378</v>
      </c>
      <c r="CY4" t="s">
        <v>720</v>
      </c>
      <c r="CZ4">
        <v>-0.10744495242834091</v>
      </c>
      <c r="DA4">
        <v>30.88918012820513</v>
      </c>
      <c r="DB4" t="s">
        <v>721</v>
      </c>
      <c r="DC4">
        <v>-0.10207270480692386</v>
      </c>
      <c r="DD4">
        <v>15.444590064102565</v>
      </c>
      <c r="DE4" t="s">
        <v>722</v>
      </c>
      <c r="DF4">
        <v>-9.4551558136940009E-2</v>
      </c>
      <c r="DG4">
        <v>9.2667540384615386</v>
      </c>
      <c r="DH4" t="s">
        <v>723</v>
      </c>
      <c r="DI4">
        <v>-8.5955961942672743E-2</v>
      </c>
      <c r="DJ4">
        <v>4.6333770192307693</v>
      </c>
      <c r="DK4" t="s">
        <v>724</v>
      </c>
      <c r="DL4">
        <v>-7.5211466699838636E-2</v>
      </c>
      <c r="DM4">
        <v>156000000</v>
      </c>
      <c r="DN4">
        <v>-0.10744495242834091</v>
      </c>
      <c r="DO4">
        <v>14456136300</v>
      </c>
      <c r="DP4">
        <v>1762700000</v>
      </c>
      <c r="DQ4">
        <v>108</v>
      </c>
      <c r="DR4">
        <v>-0.42954156249877734</v>
      </c>
      <c r="DS4">
        <v>-1.1471477464031774</v>
      </c>
      <c r="DT4" s="9">
        <v>-0.64</v>
      </c>
      <c r="DU4">
        <v>-0.33666666666666667</v>
      </c>
      <c r="DV4">
        <v>-0.97666666666666668</v>
      </c>
      <c r="DW4">
        <v>-8.0890702625975877</v>
      </c>
      <c r="DX4">
        <v>0.34158333806146501</v>
      </c>
      <c r="DY4">
        <v>-8.0081573519706986</v>
      </c>
      <c r="DZ4">
        <v>787</v>
      </c>
      <c r="EA4">
        <v>-8.0069010239861704</v>
      </c>
      <c r="EB4">
        <v>8</v>
      </c>
      <c r="EC4">
        <v>7.5228386816841158E-2</v>
      </c>
      <c r="ED4">
        <v>0.82142005623484438</v>
      </c>
      <c r="EE4" s="10">
        <v>4.0429000000000004</v>
      </c>
      <c r="EF4">
        <v>4.0047100000000002</v>
      </c>
      <c r="EG4">
        <v>25.091583338061465</v>
      </c>
      <c r="EH4" t="s">
        <v>725</v>
      </c>
      <c r="EI4">
        <v>0</v>
      </c>
      <c r="EJ4">
        <v>1</v>
      </c>
      <c r="EK4" s="12">
        <v>45470</v>
      </c>
      <c r="EL4" s="13">
        <v>0</v>
      </c>
      <c r="EM4" s="13">
        <v>-2.86</v>
      </c>
      <c r="EN4" s="13">
        <v>2.0499999999999998</v>
      </c>
      <c r="EO4" s="13">
        <v>0</v>
      </c>
      <c r="EP4" s="13">
        <v>-4.76</v>
      </c>
    </row>
    <row r="5" spans="1:146" ht="168" x14ac:dyDescent="0.25">
      <c r="A5" s="6"/>
      <c r="B5" s="6"/>
      <c r="C5" s="6" t="str">
        <f>"公司的主营业务为生产销售空调器、自营空调器出口业务及其相关零配件的进出口业务。公司的主要产品为空调、生活电器、智能装备。"&amp;CHAR(10)&amp;Basic_Fundamental_Information_Constructure(F5)&amp;CHAR(10)&amp;Basic_Fundamental_Information_Concatenate("空调 687.46亿 72.20% 88.03% 29.87%
其他业务 188.77亿 19.82% 4.02% 4.96%
工业制品 28.88亿 3.03% 2.99% 24.15%
生活电器 21.77亿 2.29% 3.22% 34.52%
绿色能源 19.26亿 2.02% 1.42% 17.21%")</f>
        <v>公司的主营业务为生产销售空调器、自营空调器出口业务及其相关零配件的进出口业务。公司的主要产品为空调、生活电器、智能装备。
市值2123.04亿, 利润46.75亿; PE7.18; 平均PE10.16; 平均PEG.61, PB1.75; ROIC12%; ROE21.5067%; 股利率6.313%; 毛利26.9633%; 净利12.64%; 上一年度营收增-80.76%, 利润增-80.92%; 当季营收增-63.36%, 利润增-63.11%; 过往5年营收增-16.71%, 利润增-17.32%
Income profile:
空调 687.46亿 72.20% 88.03% 29.87%
其他业务 188.77亿 19.82% 4.02% 4.96%
工业制品 28.88亿 3.03% 2.99% 24.15%
生活电器 21.77亿 2.29% 3.22% 34.52%
绿色能源 19.26亿 2.02% 1.42% 17.21%</v>
      </c>
      <c r="D5" t="s">
        <v>65</v>
      </c>
      <c r="E5" t="s">
        <v>21</v>
      </c>
      <c r="F5">
        <v>37.700000000000003</v>
      </c>
      <c r="G5">
        <v>-0.84</v>
      </c>
      <c r="H5" t="s">
        <v>726</v>
      </c>
      <c r="I5">
        <v>212304000000</v>
      </c>
      <c r="J5">
        <v>7.18</v>
      </c>
      <c r="K5">
        <v>1.75</v>
      </c>
      <c r="L5" t="s">
        <v>42</v>
      </c>
      <c r="M5" t="s">
        <v>727</v>
      </c>
      <c r="N5" t="s">
        <v>728</v>
      </c>
      <c r="O5" t="s">
        <v>729</v>
      </c>
      <c r="P5">
        <v>2.56</v>
      </c>
      <c r="Q5" t="s">
        <v>729</v>
      </c>
      <c r="R5">
        <v>4675160200</v>
      </c>
      <c r="S5" s="5">
        <v>0.13769999999999999</v>
      </c>
      <c r="T5" t="s">
        <v>730</v>
      </c>
      <c r="U5">
        <v>5583273600</v>
      </c>
      <c r="V5">
        <v>5631405700</v>
      </c>
      <c r="W5">
        <v>3.04</v>
      </c>
      <c r="X5">
        <v>0.1</v>
      </c>
      <c r="Y5">
        <v>12.68</v>
      </c>
      <c r="Z5" t="s">
        <v>731</v>
      </c>
      <c r="AA5" t="s">
        <v>732</v>
      </c>
      <c r="AB5" t="s">
        <v>733</v>
      </c>
      <c r="AC5" t="s">
        <v>734</v>
      </c>
      <c r="AD5" t="s">
        <v>45</v>
      </c>
      <c r="AE5">
        <v>-922324870</v>
      </c>
      <c r="AF5" t="s">
        <v>735</v>
      </c>
      <c r="AG5" t="s">
        <v>736</v>
      </c>
      <c r="AH5" t="s">
        <v>737</v>
      </c>
      <c r="AI5" t="s">
        <v>738</v>
      </c>
      <c r="AJ5" t="s">
        <v>739</v>
      </c>
      <c r="AK5" t="s">
        <v>740</v>
      </c>
      <c r="AL5" t="s">
        <v>741</v>
      </c>
      <c r="AM5" t="s">
        <v>45</v>
      </c>
      <c r="AN5" t="s">
        <v>742</v>
      </c>
      <c r="AO5" t="s">
        <v>743</v>
      </c>
      <c r="AP5" t="s">
        <v>744</v>
      </c>
      <c r="AQ5" t="s">
        <v>745</v>
      </c>
      <c r="AR5" t="s">
        <v>45</v>
      </c>
      <c r="AS5" t="s">
        <v>746</v>
      </c>
      <c r="AT5" t="s">
        <v>747</v>
      </c>
      <c r="AU5" t="s">
        <v>748</v>
      </c>
      <c r="AV5" t="s">
        <v>749</v>
      </c>
      <c r="AW5" t="s">
        <v>750</v>
      </c>
      <c r="AX5" t="s">
        <v>751</v>
      </c>
      <c r="AY5" t="s">
        <v>513</v>
      </c>
      <c r="AZ5" t="s">
        <v>514</v>
      </c>
      <c r="BA5" t="s">
        <v>170</v>
      </c>
      <c r="BB5" t="s">
        <v>171</v>
      </c>
      <c r="BC5" t="s">
        <v>752</v>
      </c>
      <c r="BD5" t="s">
        <v>298</v>
      </c>
      <c r="BE5" t="s">
        <v>169</v>
      </c>
      <c r="BF5" t="s">
        <v>66</v>
      </c>
      <c r="BG5" t="s">
        <v>172</v>
      </c>
      <c r="BH5" t="s">
        <v>753</v>
      </c>
      <c r="BI5" t="s">
        <v>754</v>
      </c>
      <c r="BJ5" t="s">
        <v>751</v>
      </c>
      <c r="BK5" t="s">
        <v>755</v>
      </c>
      <c r="BL5" t="s">
        <v>756</v>
      </c>
      <c r="BM5" t="s">
        <v>752</v>
      </c>
      <c r="BN5">
        <v>8.7100000000000009</v>
      </c>
      <c r="BO5">
        <v>12.88</v>
      </c>
      <c r="BP5">
        <v>14.41</v>
      </c>
      <c r="BQ5">
        <v>18.989999999999998</v>
      </c>
      <c r="BR5">
        <v>24.19</v>
      </c>
      <c r="BS5">
        <v>21.34</v>
      </c>
      <c r="BT5" t="s">
        <v>757</v>
      </c>
      <c r="BU5" t="s">
        <v>392</v>
      </c>
      <c r="BV5">
        <v>30.57</v>
      </c>
      <c r="BW5">
        <v>26.04</v>
      </c>
      <c r="BX5">
        <v>24.28</v>
      </c>
      <c r="BY5">
        <v>13.59</v>
      </c>
      <c r="BZ5">
        <v>12.18</v>
      </c>
      <c r="CA5">
        <v>12.15</v>
      </c>
      <c r="CB5">
        <v>-3.88</v>
      </c>
      <c r="CC5">
        <v>-8.5399999999999991</v>
      </c>
      <c r="CD5" t="s">
        <v>489</v>
      </c>
      <c r="CE5" t="s">
        <v>758</v>
      </c>
      <c r="CF5" s="7">
        <v>-0.63356409403750613</v>
      </c>
      <c r="CG5" s="8">
        <v>-0.631092858833741</v>
      </c>
      <c r="CH5" s="7">
        <v>-0.80758571624755859</v>
      </c>
      <c r="CI5" s="7">
        <v>5.9562483802437782E-3</v>
      </c>
      <c r="CJ5" s="7">
        <v>0.11694485694169998</v>
      </c>
      <c r="CK5" s="7">
        <v>-0.15116602182388306</v>
      </c>
      <c r="CL5" s="7">
        <v>1.5141656331252307E-4</v>
      </c>
      <c r="CM5" s="8">
        <v>-0.80923819541931152</v>
      </c>
      <c r="CN5" s="8">
        <v>6.2565051019191742E-2</v>
      </c>
      <c r="CO5" s="8">
        <v>4.0090188384056091E-2</v>
      </c>
      <c r="CP5" s="8">
        <v>-0.10211764276027679</v>
      </c>
      <c r="CQ5" s="8">
        <v>-5.7474367320537567E-2</v>
      </c>
      <c r="CR5">
        <v>10.164489590731003</v>
      </c>
      <c r="CS5">
        <v>0.60814282183474355</v>
      </c>
      <c r="CT5">
        <v>6.3129973474801062</v>
      </c>
      <c r="CU5" s="7">
        <v>-0.16713984323723707</v>
      </c>
      <c r="CV5" s="8">
        <v>-0.1732349932193756</v>
      </c>
      <c r="CW5">
        <v>0.06</v>
      </c>
      <c r="CX5">
        <v>71.517647058823528</v>
      </c>
      <c r="CY5" t="s">
        <v>759</v>
      </c>
      <c r="CZ5">
        <v>-0.16713984323723707</v>
      </c>
      <c r="DA5">
        <v>23.83921568627451</v>
      </c>
      <c r="DB5" t="s">
        <v>760</v>
      </c>
      <c r="DC5">
        <v>-0.15878285107537521</v>
      </c>
      <c r="DD5">
        <v>11.919607843137255</v>
      </c>
      <c r="DE5" t="s">
        <v>761</v>
      </c>
      <c r="DF5">
        <v>-0.14708306204876861</v>
      </c>
      <c r="DG5">
        <v>7.1517647058823526</v>
      </c>
      <c r="DH5" t="s">
        <v>762</v>
      </c>
      <c r="DI5">
        <v>-0.13371187458978967</v>
      </c>
      <c r="DJ5">
        <v>3.5758823529411763</v>
      </c>
      <c r="DK5" t="s">
        <v>763</v>
      </c>
      <c r="DL5">
        <v>-0.11699789026606594</v>
      </c>
      <c r="DM5">
        <v>4675000000</v>
      </c>
      <c r="DN5">
        <v>-0.16713984323723707</v>
      </c>
      <c r="DO5">
        <v>334345000000</v>
      </c>
      <c r="DP5">
        <v>26211530000.000031</v>
      </c>
      <c r="DQ5">
        <v>197</v>
      </c>
      <c r="DR5">
        <v>-0.46642425080026906</v>
      </c>
      <c r="DS5">
        <v>-0.45785786561436537</v>
      </c>
      <c r="DT5" s="9">
        <v>-0.89</v>
      </c>
      <c r="DU5">
        <v>-0.77333333333333332</v>
      </c>
      <c r="DV5">
        <v>-1.6633333333333333</v>
      </c>
      <c r="DW5">
        <v>-8.4543325526932094</v>
      </c>
      <c r="DX5">
        <v>0.49178082191780986</v>
      </c>
      <c r="DY5">
        <v>-8.0871322703795201</v>
      </c>
      <c r="DZ5">
        <v>2650</v>
      </c>
      <c r="EA5">
        <v>-8.041946259321648</v>
      </c>
      <c r="EB5">
        <v>8</v>
      </c>
      <c r="EC5">
        <v>2.983269346053331E-2</v>
      </c>
      <c r="ED5">
        <v>0.15555618732992368</v>
      </c>
      <c r="EE5" s="10">
        <v>-1.0277000000000001</v>
      </c>
      <c r="EF5">
        <v>-1.0168999999999999</v>
      </c>
      <c r="EG5">
        <v>30.19178082191781</v>
      </c>
      <c r="EH5" t="s">
        <v>549</v>
      </c>
      <c r="EI5">
        <v>0</v>
      </c>
      <c r="EJ5">
        <v>0</v>
      </c>
      <c r="EK5" s="12">
        <v>45470</v>
      </c>
      <c r="EL5" s="13">
        <v>-0.15</v>
      </c>
      <c r="EM5" s="13">
        <v>0.86</v>
      </c>
      <c r="EN5" s="13">
        <v>0.95</v>
      </c>
      <c r="EO5" s="13">
        <v>-1.29</v>
      </c>
      <c r="EP5" s="13">
        <v>-1.08</v>
      </c>
    </row>
    <row r="6" spans="1:146" ht="144" x14ac:dyDescent="0.25">
      <c r="A6" s="6"/>
      <c r="B6" s="6"/>
      <c r="C6" s="6" t="str">
        <f>"公司主营业务涵盖冰箱、中央空调、家用空调、冷柜、洗衣机、商用冷链、厨卫等电器产品的研发、制造和营销，同时涉及商用冷链以及环境电器等产业领域。"&amp;CHAR(10)&amp;Basic_Fundamental_Information_Constructure(F6)&amp;CHAR(10)&amp;Basic_Fundamental_Information_Concatenate("空调 189.47亿 49.46% 63.90% 24.87%
冰洗 104.27亿 27.22% 23.03% 16.29%
其他 56.02亿 14.62% 10.11% 13.30%")</f>
        <v>公司主营业务涵盖冰箱、中央空调、家用空调、冷柜、洗衣机、商用冷链、厨卫等电器产品的研发、制造和营销，同时涉及商用冷链以及环境电器等产业领域。
市值403.52699亿, 利润9.81亿; PE12.6; 平均PE29.75; 平均PEG10.48, PB2.82; ROIC16.49%; ROE14.1133%; 股利率3.4823%; 毛利20.8233%; 净利4.4033%; 上一年度营收增-68.31%, 利润增-31.64%; 当季营收增-45.31%, 利润增-34.5%; 过往5年营收增2.84%, 利润增-.85%
Income profile:
空调 189.47亿 49.46% 63.90% 24.87%
冰洗 104.27亿 27.22% 23.03% 16.29%
其他 56.02亿 14.62% 10.11% 13.30%</v>
      </c>
      <c r="D6" t="s">
        <v>47</v>
      </c>
      <c r="E6" t="s">
        <v>22</v>
      </c>
      <c r="F6">
        <v>29.09</v>
      </c>
      <c r="G6">
        <v>-1.36</v>
      </c>
      <c r="H6" t="s">
        <v>764</v>
      </c>
      <c r="I6">
        <v>40352699000</v>
      </c>
      <c r="J6">
        <v>12.6</v>
      </c>
      <c r="K6">
        <v>2.82</v>
      </c>
      <c r="L6" t="s">
        <v>42</v>
      </c>
      <c r="M6" t="s">
        <v>765</v>
      </c>
      <c r="N6" t="s">
        <v>766</v>
      </c>
      <c r="O6" t="s">
        <v>767</v>
      </c>
      <c r="P6">
        <v>20.87</v>
      </c>
      <c r="Q6" t="s">
        <v>767</v>
      </c>
      <c r="R6">
        <v>981246780</v>
      </c>
      <c r="S6" s="5">
        <v>0.5948</v>
      </c>
      <c r="T6" t="s">
        <v>768</v>
      </c>
      <c r="U6">
        <v>911830430</v>
      </c>
      <c r="V6">
        <v>1387167400</v>
      </c>
      <c r="W6">
        <v>3.39</v>
      </c>
      <c r="X6">
        <v>0.35</v>
      </c>
      <c r="Y6">
        <v>6.55</v>
      </c>
      <c r="Z6" t="s">
        <v>769</v>
      </c>
      <c r="AA6" t="s">
        <v>770</v>
      </c>
      <c r="AB6" t="s">
        <v>771</v>
      </c>
      <c r="AC6" t="s">
        <v>772</v>
      </c>
      <c r="AD6" t="s">
        <v>45</v>
      </c>
      <c r="AE6">
        <v>-71633025</v>
      </c>
      <c r="AF6" t="s">
        <v>773</v>
      </c>
      <c r="AG6" t="s">
        <v>774</v>
      </c>
      <c r="AH6" t="s">
        <v>775</v>
      </c>
      <c r="AI6" t="s">
        <v>776</v>
      </c>
      <c r="AJ6" t="s">
        <v>777</v>
      </c>
      <c r="AK6" t="s">
        <v>778</v>
      </c>
      <c r="AL6" t="s">
        <v>779</v>
      </c>
      <c r="AM6" t="s">
        <v>45</v>
      </c>
      <c r="AN6" t="s">
        <v>780</v>
      </c>
      <c r="AO6" t="s">
        <v>781</v>
      </c>
      <c r="AP6" t="s">
        <v>782</v>
      </c>
      <c r="AQ6" t="s">
        <v>678</v>
      </c>
      <c r="AR6" t="s">
        <v>783</v>
      </c>
      <c r="AS6" t="s">
        <v>784</v>
      </c>
      <c r="AT6" t="s">
        <v>785</v>
      </c>
      <c r="AU6" t="s">
        <v>694</v>
      </c>
      <c r="AV6" t="s">
        <v>786</v>
      </c>
      <c r="AW6" t="s">
        <v>787</v>
      </c>
      <c r="AX6" t="s">
        <v>516</v>
      </c>
      <c r="AY6" t="s">
        <v>299</v>
      </c>
      <c r="AZ6" t="s">
        <v>173</v>
      </c>
      <c r="BA6" t="s">
        <v>48</v>
      </c>
      <c r="BB6" t="s">
        <v>175</v>
      </c>
      <c r="BC6" t="s">
        <v>517</v>
      </c>
      <c r="BD6" t="s">
        <v>300</v>
      </c>
      <c r="BE6" t="s">
        <v>174</v>
      </c>
      <c r="BF6" t="s">
        <v>49</v>
      </c>
      <c r="BG6" t="s">
        <v>176</v>
      </c>
      <c r="BH6" t="s">
        <v>788</v>
      </c>
      <c r="BI6" t="s">
        <v>789</v>
      </c>
      <c r="BJ6" t="s">
        <v>516</v>
      </c>
      <c r="BK6" t="s">
        <v>790</v>
      </c>
      <c r="BL6" t="s">
        <v>791</v>
      </c>
      <c r="BM6" t="s">
        <v>517</v>
      </c>
      <c r="BN6">
        <v>18.690000000000001</v>
      </c>
      <c r="BO6">
        <v>16.829999999999998</v>
      </c>
      <c r="BP6">
        <v>13.95</v>
      </c>
      <c r="BQ6">
        <v>19.57</v>
      </c>
      <c r="BR6">
        <v>13.13</v>
      </c>
      <c r="BS6">
        <v>9.64</v>
      </c>
      <c r="BT6" t="s">
        <v>792</v>
      </c>
      <c r="BU6" t="s">
        <v>392</v>
      </c>
      <c r="BV6">
        <v>22.08</v>
      </c>
      <c r="BW6">
        <v>20.69</v>
      </c>
      <c r="BX6">
        <v>19.7</v>
      </c>
      <c r="BY6">
        <v>5.6</v>
      </c>
      <c r="BZ6">
        <v>4.1399999999999997</v>
      </c>
      <c r="CA6">
        <v>3.47</v>
      </c>
      <c r="CB6">
        <v>-9.77</v>
      </c>
      <c r="CC6">
        <v>-25.81</v>
      </c>
      <c r="CD6" t="s">
        <v>793</v>
      </c>
      <c r="CE6" t="s">
        <v>794</v>
      </c>
      <c r="CF6" s="7">
        <v>-0.4531017138599106</v>
      </c>
      <c r="CG6" s="8">
        <v>-0.34496209612817091</v>
      </c>
      <c r="CH6" s="7">
        <v>-0.68311411142349243</v>
      </c>
      <c r="CI6" s="7">
        <v>9.6976131200790405E-2</v>
      </c>
      <c r="CJ6" s="7">
        <v>0.39613169431686401</v>
      </c>
      <c r="CK6" s="7">
        <v>0.29209938645362854</v>
      </c>
      <c r="CL6" s="7">
        <v>3.9783511310815811E-2</v>
      </c>
      <c r="CM6" s="8">
        <v>-0.31637632846832275</v>
      </c>
      <c r="CN6" s="8">
        <v>0.47482019662857056</v>
      </c>
      <c r="CO6" s="8">
        <v>-0.38378724455833435</v>
      </c>
      <c r="CP6" s="8">
        <v>-0.11984388530254364</v>
      </c>
      <c r="CQ6" s="8">
        <v>0.30283230543136597</v>
      </c>
      <c r="CR6">
        <v>29.74765868042757</v>
      </c>
      <c r="CS6">
        <v>10.483637257307063</v>
      </c>
      <c r="CT6">
        <v>3.4822963217600553</v>
      </c>
      <c r="CU6" s="7">
        <v>2.8375322371721266E-2</v>
      </c>
      <c r="CV6" s="8">
        <v>-8.4709912538528439E-3</v>
      </c>
      <c r="CW6">
        <v>0.06</v>
      </c>
      <c r="CX6">
        <v>69.691553048982541</v>
      </c>
      <c r="CY6">
        <v>951732255.89307415</v>
      </c>
      <c r="CZ6">
        <v>2.8375322371721266E-2</v>
      </c>
      <c r="DA6">
        <v>24.003085782723335</v>
      </c>
      <c r="DB6">
        <v>2763298835.841373</v>
      </c>
      <c r="DC6">
        <v>2.6956556253135203E-2</v>
      </c>
      <c r="DD6">
        <v>12.654376250416105</v>
      </c>
      <c r="DE6">
        <v>5241483079.6436129</v>
      </c>
      <c r="DF6">
        <v>2.4970283687114715E-2</v>
      </c>
      <c r="DG6">
        <v>8.1902235355403672</v>
      </c>
      <c r="DH6">
        <v>8098399111.1084967</v>
      </c>
      <c r="DI6">
        <v>2.2700257897377014E-2</v>
      </c>
      <c r="DJ6">
        <v>4.9466856384902584</v>
      </c>
      <c r="DK6">
        <v>13408513062.544922</v>
      </c>
      <c r="DL6">
        <v>1.9862725660204885E-2</v>
      </c>
      <c r="DM6">
        <v>981000000</v>
      </c>
      <c r="DN6">
        <v>2.8375322371721266E-2</v>
      </c>
      <c r="DO6">
        <v>66327699000</v>
      </c>
      <c r="DP6">
        <v>2284890000</v>
      </c>
      <c r="DQ6">
        <v>371</v>
      </c>
      <c r="DR6">
        <v>-0.48147703623163185</v>
      </c>
      <c r="DS6">
        <v>-0.33649110487431805</v>
      </c>
      <c r="DT6" s="9">
        <v>-0.52333333333333332</v>
      </c>
      <c r="DU6">
        <v>-0.27</v>
      </c>
      <c r="DV6">
        <v>-0.79333333333333333</v>
      </c>
      <c r="DW6">
        <v>-9.378535451375436</v>
      </c>
      <c r="DX6">
        <v>0.40067922437673148</v>
      </c>
      <c r="DY6">
        <v>-9.0759642007811188</v>
      </c>
      <c r="DZ6">
        <v>519</v>
      </c>
      <c r="EA6">
        <v>-9.0682488543612756</v>
      </c>
      <c r="EB6">
        <v>9</v>
      </c>
      <c r="EC6">
        <v>5.2225275767005482E-2</v>
      </c>
      <c r="ED6">
        <v>0.26024256337050594</v>
      </c>
      <c r="EE6" s="10">
        <v>3.0382099999999999</v>
      </c>
      <c r="EF6">
        <v>3.12961</v>
      </c>
      <c r="EG6">
        <v>20.200679224376731</v>
      </c>
      <c r="EH6" t="s">
        <v>795</v>
      </c>
      <c r="EI6">
        <v>0</v>
      </c>
      <c r="EJ6">
        <v>1</v>
      </c>
      <c r="EK6" s="12">
        <v>45470</v>
      </c>
      <c r="EL6" s="13">
        <v>-0.85</v>
      </c>
      <c r="EM6" s="13">
        <v>0.91</v>
      </c>
      <c r="EN6" s="13">
        <v>0.69</v>
      </c>
      <c r="EO6" s="13">
        <v>-2.09</v>
      </c>
      <c r="EP6" s="13">
        <v>-9.14</v>
      </c>
    </row>
    <row r="7" spans="1:146" ht="96" x14ac:dyDescent="0.25">
      <c r="A7" s="6"/>
      <c r="B7" s="6"/>
      <c r="C7" s="6" t="str">
        <f>""&amp;CHAR(10)&amp;Basic_Fundamental_Information_Constructure(F7)&amp;CHAR(10)&amp;Basic_Fundamental_Information_Concatenate("")</f>
        <v xml:space="preserve">
市值16.9995亿, 利润1599.22万; PE27.52; 平均PE28.21; 平均PEG5.25, PB1.7; ROIC10.6733%; ROE12.6367%; 股利率1.5873%; 毛利26.2667%; 净利11.4933%; 上一年度营收增-73.79%, 利润增-78.09%; 当季营收增-48.82%, 利润增-52.2%; 过往5年营收增5.37%, 利润增7.7%
Income profile:
</v>
      </c>
      <c r="D7" t="s">
        <v>394</v>
      </c>
      <c r="E7" t="s">
        <v>395</v>
      </c>
      <c r="F7">
        <v>15.75</v>
      </c>
      <c r="G7">
        <v>1.29</v>
      </c>
      <c r="H7" t="s">
        <v>796</v>
      </c>
      <c r="I7">
        <v>1699950000</v>
      </c>
      <c r="J7">
        <v>27.52</v>
      </c>
      <c r="K7">
        <v>1.7</v>
      </c>
      <c r="L7" t="s">
        <v>42</v>
      </c>
      <c r="M7" t="s">
        <v>131</v>
      </c>
      <c r="N7" t="s">
        <v>797</v>
      </c>
      <c r="O7" t="s">
        <v>548</v>
      </c>
      <c r="P7">
        <v>2.69</v>
      </c>
      <c r="Q7" t="s">
        <v>548</v>
      </c>
      <c r="R7">
        <v>15992187</v>
      </c>
      <c r="S7" s="5">
        <v>-5.4099999999999999E-3</v>
      </c>
      <c r="T7" t="s">
        <v>798</v>
      </c>
      <c r="U7">
        <v>41672609</v>
      </c>
      <c r="V7">
        <v>107933334</v>
      </c>
      <c r="W7">
        <v>1.18</v>
      </c>
      <c r="X7">
        <v>0.14000000000000001</v>
      </c>
      <c r="Y7">
        <v>9.23</v>
      </c>
      <c r="Z7" t="s">
        <v>694</v>
      </c>
      <c r="AA7" t="s">
        <v>799</v>
      </c>
      <c r="AB7" t="s">
        <v>800</v>
      </c>
      <c r="AC7" t="s">
        <v>801</v>
      </c>
      <c r="AD7" t="s">
        <v>45</v>
      </c>
      <c r="AE7">
        <v>115366</v>
      </c>
      <c r="AF7" t="s">
        <v>77</v>
      </c>
      <c r="AG7" t="s">
        <v>802</v>
      </c>
      <c r="AH7" t="s">
        <v>803</v>
      </c>
      <c r="AI7" t="s">
        <v>804</v>
      </c>
      <c r="AJ7" t="s">
        <v>805</v>
      </c>
      <c r="AK7" t="s">
        <v>806</v>
      </c>
      <c r="AL7" t="s">
        <v>807</v>
      </c>
      <c r="AM7" t="s">
        <v>45</v>
      </c>
      <c r="AN7" t="s">
        <v>808</v>
      </c>
      <c r="AO7" t="s">
        <v>809</v>
      </c>
      <c r="AP7" t="s">
        <v>810</v>
      </c>
      <c r="AQ7" t="s">
        <v>811</v>
      </c>
      <c r="AR7" t="s">
        <v>45</v>
      </c>
      <c r="AS7" t="s">
        <v>85</v>
      </c>
      <c r="AT7" t="s">
        <v>812</v>
      </c>
      <c r="AU7" t="s">
        <v>813</v>
      </c>
      <c r="AV7" t="s">
        <v>814</v>
      </c>
      <c r="AW7" t="s">
        <v>815</v>
      </c>
      <c r="AX7" t="s">
        <v>237</v>
      </c>
      <c r="AY7" t="s">
        <v>396</v>
      </c>
      <c r="AZ7" t="s">
        <v>398</v>
      </c>
      <c r="BA7" t="s">
        <v>399</v>
      </c>
      <c r="BB7" t="s">
        <v>400</v>
      </c>
      <c r="BC7" t="s">
        <v>519</v>
      </c>
      <c r="BD7" t="s">
        <v>397</v>
      </c>
      <c r="BE7" t="s">
        <v>401</v>
      </c>
      <c r="BF7" t="s">
        <v>402</v>
      </c>
      <c r="BG7" t="s">
        <v>403</v>
      </c>
      <c r="BH7" t="s">
        <v>237</v>
      </c>
      <c r="BI7" t="s">
        <v>604</v>
      </c>
      <c r="BJ7" t="s">
        <v>237</v>
      </c>
      <c r="BK7" t="s">
        <v>816</v>
      </c>
      <c r="BL7" t="s">
        <v>817</v>
      </c>
      <c r="BM7" t="s">
        <v>519</v>
      </c>
      <c r="BN7">
        <v>4.55</v>
      </c>
      <c r="BO7">
        <v>9.73</v>
      </c>
      <c r="BP7">
        <v>17.739999999999998</v>
      </c>
      <c r="BQ7">
        <v>4.8099999999999996</v>
      </c>
      <c r="BR7">
        <v>10.49</v>
      </c>
      <c r="BS7">
        <v>22.61</v>
      </c>
      <c r="BT7" t="s">
        <v>682</v>
      </c>
      <c r="BU7" t="s">
        <v>683</v>
      </c>
      <c r="BV7">
        <v>21.66</v>
      </c>
      <c r="BW7">
        <v>26.76</v>
      </c>
      <c r="BX7">
        <v>30.38</v>
      </c>
      <c r="BY7">
        <v>9.3699999999999992</v>
      </c>
      <c r="BZ7">
        <v>11.06</v>
      </c>
      <c r="CA7">
        <v>14.05</v>
      </c>
      <c r="CB7">
        <v>-5.58</v>
      </c>
      <c r="CC7">
        <v>-13.37</v>
      </c>
      <c r="CD7" t="s">
        <v>818</v>
      </c>
      <c r="CE7" t="s">
        <v>819</v>
      </c>
      <c r="CF7" s="7">
        <v>-0.48816568047337278</v>
      </c>
      <c r="CG7" s="8">
        <v>-0.52204202705368297</v>
      </c>
      <c r="CH7" s="7">
        <v>-0.73787879943847656</v>
      </c>
      <c r="CI7" s="7">
        <v>1.2269938364624977E-2</v>
      </c>
      <c r="CJ7" s="7">
        <v>0.44567626714706421</v>
      </c>
      <c r="CK7" s="7">
        <v>0.31486880779266357</v>
      </c>
      <c r="CL7" s="7">
        <v>0.23381294310092926</v>
      </c>
      <c r="CM7" s="8">
        <v>-0.78093719482421875</v>
      </c>
      <c r="CN7" s="8">
        <v>-0.20354615151882172</v>
      </c>
      <c r="CO7" s="8">
        <v>8.5018984973430634E-2</v>
      </c>
      <c r="CP7" s="8">
        <v>0.32290804386138916</v>
      </c>
      <c r="CQ7" s="8">
        <v>0.96172547340393066</v>
      </c>
      <c r="CR7">
        <v>28.211691268722603</v>
      </c>
      <c r="CS7">
        <v>5.2487032121568982</v>
      </c>
      <c r="CT7">
        <v>1.5873015873015872</v>
      </c>
      <c r="CU7" s="7">
        <v>5.3749831393361092E-2</v>
      </c>
      <c r="CV7" s="8">
        <v>7.7033831179142004E-2</v>
      </c>
      <c r="CW7">
        <v>0.06</v>
      </c>
      <c r="CX7">
        <v>58.054823466565033</v>
      </c>
      <c r="CY7">
        <v>15897903.824159348</v>
      </c>
      <c r="CZ7">
        <v>5.3749831393361092E-2</v>
      </c>
      <c r="DA7">
        <v>19.565597156246188</v>
      </c>
      <c r="DB7">
        <v>47172084.380023859</v>
      </c>
      <c r="DC7">
        <v>5.1062339823693036E-2</v>
      </c>
      <c r="DD7">
        <v>10.031100418220555</v>
      </c>
      <c r="DE7">
        <v>92008848.63275297</v>
      </c>
      <c r="DF7">
        <v>4.7299851626157761E-2</v>
      </c>
      <c r="DG7">
        <v>6.3011620359814575</v>
      </c>
      <c r="DH7">
        <v>146472983.03546056</v>
      </c>
      <c r="DI7">
        <v>4.2999865114688875E-2</v>
      </c>
      <c r="DJ7">
        <v>3.582995157639858</v>
      </c>
      <c r="DK7">
        <v>257591751.98214704</v>
      </c>
      <c r="DL7">
        <v>3.7624881975352763E-2</v>
      </c>
      <c r="DM7">
        <v>15992200</v>
      </c>
      <c r="DN7">
        <v>5.3749831393361092E-2</v>
      </c>
      <c r="DO7">
        <v>922950000.00000012</v>
      </c>
      <c r="DP7">
        <v>423371430</v>
      </c>
      <c r="DQ7">
        <v>465</v>
      </c>
      <c r="DR7">
        <v>-0.54191551186673381</v>
      </c>
      <c r="DS7">
        <v>-0.59907585823282494</v>
      </c>
      <c r="DT7" s="9">
        <v>-0.42333333333333339</v>
      </c>
      <c r="DU7">
        <v>-0.38666666666666666</v>
      </c>
      <c r="DV7">
        <v>-0.81</v>
      </c>
      <c r="DW7">
        <v>-8.417352281226627</v>
      </c>
      <c r="DX7">
        <v>0.35996476391825194</v>
      </c>
      <c r="DY7">
        <v>-8.0625881363248944</v>
      </c>
      <c r="DZ7">
        <v>1924</v>
      </c>
      <c r="EA7">
        <v>-8.0390226619043279</v>
      </c>
      <c r="EB7">
        <v>8</v>
      </c>
      <c r="EC7">
        <v>4.2389128830209212E-2</v>
      </c>
      <c r="ED7">
        <v>0.28266059121272025</v>
      </c>
      <c r="EE7" s="10">
        <v>1.0674999999999999</v>
      </c>
      <c r="EF7">
        <v>1.0522</v>
      </c>
      <c r="EG7">
        <v>21.149964763918252</v>
      </c>
      <c r="EH7" t="s">
        <v>518</v>
      </c>
      <c r="EI7">
        <v>0</v>
      </c>
      <c r="EJ7">
        <v>0</v>
      </c>
      <c r="EK7" s="12">
        <v>45470</v>
      </c>
      <c r="EL7" s="13">
        <v>-0.6</v>
      </c>
      <c r="EM7" s="13">
        <v>-5.12</v>
      </c>
      <c r="EN7" s="13">
        <v>2.2200000000000002</v>
      </c>
      <c r="EO7" s="13">
        <v>5.28</v>
      </c>
      <c r="EP7" s="13">
        <v>-1.53</v>
      </c>
    </row>
    <row r="8" spans="1:146" ht="96" x14ac:dyDescent="0.25">
      <c r="C8" s="6" t="str">
        <f>""&amp;CHAR(10)&amp;Basic_Fundamental_Information_Constructure(F8)&amp;CHAR(10)&amp;Basic_Fundamental_Information_Concatenate("")</f>
        <v xml:space="preserve">
市值25.085887亿, 利润1757.53万; PE17.87; 平均PE47.78; 平均PEG3.37, PB2.11; ROIC18.3767%; ROE17.73%; 股利率2.4805%; 毛利12.2067%; 净利5.1467%; 上一年度营收增-77.37%, 利润增-82.42%; 当季营收增-59.1%, 利润增-67.08%; 过往5年营收增-14.2%, 利润增426.97%
Income profile:
</v>
      </c>
      <c r="D8" t="s">
        <v>820</v>
      </c>
      <c r="E8" t="s">
        <v>821</v>
      </c>
      <c r="F8">
        <v>14.11</v>
      </c>
      <c r="G8">
        <v>0.5</v>
      </c>
      <c r="H8" t="s">
        <v>822</v>
      </c>
      <c r="I8">
        <v>2508588700</v>
      </c>
      <c r="J8">
        <v>17.87</v>
      </c>
      <c r="K8">
        <v>2.11</v>
      </c>
      <c r="L8" t="s">
        <v>42</v>
      </c>
      <c r="M8" t="s">
        <v>823</v>
      </c>
      <c r="N8" t="s">
        <v>824</v>
      </c>
      <c r="O8" t="s">
        <v>825</v>
      </c>
      <c r="P8" s="5">
        <v>-0.88</v>
      </c>
      <c r="Q8" t="s">
        <v>825</v>
      </c>
      <c r="R8">
        <v>17575298</v>
      </c>
      <c r="S8">
        <v>-4.6800000000000001E-2</v>
      </c>
      <c r="T8" t="s">
        <v>826</v>
      </c>
      <c r="U8">
        <v>43557297</v>
      </c>
      <c r="V8">
        <v>177788000</v>
      </c>
      <c r="W8">
        <v>1.59</v>
      </c>
      <c r="X8">
        <v>0.24</v>
      </c>
      <c r="Y8">
        <v>4</v>
      </c>
      <c r="Z8" t="s">
        <v>827</v>
      </c>
      <c r="AA8" t="s">
        <v>828</v>
      </c>
      <c r="AB8" t="s">
        <v>829</v>
      </c>
      <c r="AC8" t="s">
        <v>830</v>
      </c>
      <c r="AD8" t="s">
        <v>45</v>
      </c>
      <c r="AE8">
        <v>-3019790</v>
      </c>
      <c r="AF8" t="s">
        <v>831</v>
      </c>
      <c r="AG8" t="s">
        <v>832</v>
      </c>
      <c r="AH8" t="s">
        <v>833</v>
      </c>
      <c r="AI8" t="s">
        <v>834</v>
      </c>
      <c r="AJ8" t="s">
        <v>835</v>
      </c>
      <c r="AK8" t="s">
        <v>836</v>
      </c>
      <c r="AL8" t="s">
        <v>837</v>
      </c>
      <c r="AM8" t="s">
        <v>45</v>
      </c>
      <c r="AN8" t="s">
        <v>838</v>
      </c>
      <c r="AO8" t="s">
        <v>45</v>
      </c>
      <c r="AP8" t="s">
        <v>494</v>
      </c>
      <c r="AQ8" t="s">
        <v>839</v>
      </c>
      <c r="AR8" t="s">
        <v>45</v>
      </c>
      <c r="AS8" t="s">
        <v>840</v>
      </c>
      <c r="AT8" t="s">
        <v>45</v>
      </c>
      <c r="AU8" t="s">
        <v>841</v>
      </c>
      <c r="AV8" t="s">
        <v>842</v>
      </c>
      <c r="AW8" t="s">
        <v>843</v>
      </c>
      <c r="AX8" t="s">
        <v>844</v>
      </c>
      <c r="AY8" t="s">
        <v>845</v>
      </c>
      <c r="AZ8" t="s">
        <v>846</v>
      </c>
      <c r="BA8" t="s">
        <v>847</v>
      </c>
      <c r="BB8" t="s">
        <v>45</v>
      </c>
      <c r="BC8" t="s">
        <v>86</v>
      </c>
      <c r="BD8" t="s">
        <v>848</v>
      </c>
      <c r="BE8" t="s">
        <v>849</v>
      </c>
      <c r="BF8" t="s">
        <v>850</v>
      </c>
      <c r="BG8" t="s">
        <v>45</v>
      </c>
      <c r="BH8" t="s">
        <v>851</v>
      </c>
      <c r="BI8" t="s">
        <v>852</v>
      </c>
      <c r="BJ8" t="s">
        <v>844</v>
      </c>
      <c r="BK8" t="s">
        <v>526</v>
      </c>
      <c r="BL8" t="s">
        <v>853</v>
      </c>
      <c r="BM8" t="s">
        <v>86</v>
      </c>
      <c r="BN8">
        <v>15.41</v>
      </c>
      <c r="BO8">
        <v>19.25</v>
      </c>
      <c r="BP8">
        <v>20.47</v>
      </c>
      <c r="BQ8">
        <v>15.64</v>
      </c>
      <c r="BR8">
        <v>19.82</v>
      </c>
      <c r="BS8" t="s">
        <v>45</v>
      </c>
      <c r="BT8" t="s">
        <v>854</v>
      </c>
      <c r="BU8" t="s">
        <v>393</v>
      </c>
      <c r="BV8">
        <v>13.45</v>
      </c>
      <c r="BW8">
        <v>12.21</v>
      </c>
      <c r="BX8">
        <v>10.96</v>
      </c>
      <c r="BY8">
        <v>6.11</v>
      </c>
      <c r="BZ8">
        <v>5.33</v>
      </c>
      <c r="CA8">
        <v>4</v>
      </c>
      <c r="CB8">
        <v>-8.9700000000000006</v>
      </c>
      <c r="CC8" s="7">
        <v>-18.48</v>
      </c>
      <c r="CD8" s="8" t="s">
        <v>855</v>
      </c>
      <c r="CE8" s="7" t="s">
        <v>856</v>
      </c>
      <c r="CF8" s="7">
        <v>-0.59099437148217637</v>
      </c>
      <c r="CG8" s="7">
        <v>-0.67082895382506191</v>
      </c>
      <c r="CH8" s="7">
        <v>-0.77374160289764404</v>
      </c>
      <c r="CI8" s="7">
        <v>-6.9980666041374207E-2</v>
      </c>
      <c r="CJ8" s="8">
        <v>0.28376704454421997</v>
      </c>
      <c r="CK8" s="8">
        <v>-7.9902047291398048E-3</v>
      </c>
      <c r="CL8" s="8" t="s">
        <v>45</v>
      </c>
      <c r="CM8" s="8">
        <v>-0.82424706220626831</v>
      </c>
      <c r="CN8" s="8">
        <v>0.22246399521827698</v>
      </c>
      <c r="CO8">
        <v>18.609731674194336</v>
      </c>
      <c r="CP8">
        <v>-0.92923951148986816</v>
      </c>
      <c r="CQ8" t="s">
        <v>45</v>
      </c>
      <c r="CR8" s="7">
        <v>47.782423470826039</v>
      </c>
      <c r="CS8" s="8">
        <v>3.3652827205269311</v>
      </c>
      <c r="CT8">
        <v>2.4805102763997167</v>
      </c>
      <c r="CU8">
        <v>-0.14198635728098452</v>
      </c>
      <c r="CV8">
        <v>4.2696772739291191</v>
      </c>
      <c r="CW8">
        <v>0.06</v>
      </c>
      <c r="CX8">
        <v>129.5903170927381</v>
      </c>
      <c r="CY8" t="s">
        <v>857</v>
      </c>
      <c r="CZ8">
        <v>-0.14198635728098452</v>
      </c>
      <c r="DA8">
        <v>43.196772364246037</v>
      </c>
      <c r="DB8" t="s">
        <v>858</v>
      </c>
      <c r="DC8">
        <v>-0.13488703941693528</v>
      </c>
      <c r="DD8">
        <v>21.598386182123019</v>
      </c>
      <c r="DE8" t="s">
        <v>859</v>
      </c>
      <c r="DF8">
        <v>-0.12494799440726638</v>
      </c>
      <c r="DG8">
        <v>12.959031709273811</v>
      </c>
      <c r="DH8" t="s">
        <v>860</v>
      </c>
      <c r="DI8">
        <v>-0.11358908582478762</v>
      </c>
      <c r="DJ8">
        <v>6.4795158546369054</v>
      </c>
      <c r="DK8" t="s">
        <v>861</v>
      </c>
      <c r="DL8">
        <v>-9.9390450096689162E-2</v>
      </c>
      <c r="DM8">
        <v>17575300</v>
      </c>
      <c r="DN8">
        <v>-0.14198635728098452</v>
      </c>
      <c r="DO8">
        <v>2277588700</v>
      </c>
      <c r="DP8">
        <v>682759800</v>
      </c>
      <c r="DQ8" s="9">
        <v>514</v>
      </c>
      <c r="DR8">
        <v>-0.44900801420119185</v>
      </c>
      <c r="DS8">
        <v>-4.9405062277541809</v>
      </c>
      <c r="DT8">
        <v>-0.76800000000000002</v>
      </c>
      <c r="DU8">
        <v>-0.56999999999999995</v>
      </c>
      <c r="DV8">
        <v>-1.3380000000000001</v>
      </c>
      <c r="DW8">
        <v>-9.4853896103896105</v>
      </c>
      <c r="DX8">
        <v>0.31763047016613327</v>
      </c>
      <c r="DY8">
        <v>-9.0668044002916783</v>
      </c>
      <c r="DZ8">
        <v>778</v>
      </c>
      <c r="EA8">
        <v>-9.0566333976641005</v>
      </c>
      <c r="EB8" s="10">
        <v>9</v>
      </c>
      <c r="EC8" s="10">
        <v>7.0295520507570819E-2</v>
      </c>
      <c r="ED8">
        <v>0.51075550655837298</v>
      </c>
      <c r="EE8">
        <v>5.0332100000000004</v>
      </c>
      <c r="EF8">
        <v>5.0740100000000004</v>
      </c>
      <c r="EG8">
        <v>18.137630470166133</v>
      </c>
      <c r="EH8" s="12" t="s">
        <v>862</v>
      </c>
      <c r="EI8">
        <v>0</v>
      </c>
      <c r="EJ8">
        <v>1</v>
      </c>
      <c r="EK8">
        <v>45470</v>
      </c>
      <c r="EL8">
        <v>-2.27</v>
      </c>
      <c r="EM8">
        <v>4.45</v>
      </c>
      <c r="EN8" s="13">
        <v>-3.15</v>
      </c>
      <c r="EO8" s="13">
        <v>2.93</v>
      </c>
      <c r="EP8" s="13">
        <v>-4.08</v>
      </c>
    </row>
    <row r="9" spans="1:146" ht="96" x14ac:dyDescent="0.25">
      <c r="A9" s="6"/>
      <c r="B9" s="6"/>
      <c r="C9" s="6" t="str">
        <f>""&amp;CHAR(10)&amp;Basic_Fundamental_Information_Constructure(F9)&amp;CHAR(10)&amp;Basic_Fundamental_Information_Concatenate("")</f>
        <v xml:space="preserve">
市值110.272645亿, 利润2.08亿; PE14.05; 平均PE-41.64; 平均PEG-3.51, PB2.39; ROIC14.36%; ROE25.94%; 股利率0%; 毛利17.5%; 净利6.23%; 上一年度营收增-74.28%, 利润增-75.06%; 当季营收增-52.88%, 利润增42.53%; 过往5年营收增-11.86%, 利润增-117.19%
Income profile:
</v>
      </c>
      <c r="D9" t="s">
        <v>92</v>
      </c>
      <c r="E9" t="s">
        <v>25</v>
      </c>
      <c r="F9">
        <v>10.35</v>
      </c>
      <c r="G9">
        <v>7.7</v>
      </c>
      <c r="H9" t="s">
        <v>863</v>
      </c>
      <c r="I9">
        <v>11027264500</v>
      </c>
      <c r="J9">
        <v>14.05</v>
      </c>
      <c r="K9">
        <v>2.39</v>
      </c>
      <c r="L9" t="s">
        <v>42</v>
      </c>
      <c r="M9" t="s">
        <v>864</v>
      </c>
      <c r="N9" t="s">
        <v>865</v>
      </c>
      <c r="O9" t="s">
        <v>866</v>
      </c>
      <c r="P9">
        <v>7.31</v>
      </c>
      <c r="Q9" t="s">
        <v>866</v>
      </c>
      <c r="R9">
        <v>468918100</v>
      </c>
      <c r="S9" s="5">
        <v>0.2888</v>
      </c>
      <c r="T9" t="s">
        <v>867</v>
      </c>
      <c r="U9">
        <v>916312180</v>
      </c>
      <c r="V9">
        <v>1065436180</v>
      </c>
      <c r="W9">
        <v>2.35</v>
      </c>
      <c r="X9">
        <v>0.24</v>
      </c>
      <c r="Y9">
        <v>7.92</v>
      </c>
      <c r="Z9" t="s">
        <v>868</v>
      </c>
      <c r="AA9" t="s">
        <v>869</v>
      </c>
      <c r="AB9" t="s">
        <v>870</v>
      </c>
      <c r="AC9" t="s">
        <v>871</v>
      </c>
      <c r="AD9" t="s">
        <v>45</v>
      </c>
      <c r="AE9">
        <v>-760382</v>
      </c>
      <c r="AF9" t="s">
        <v>872</v>
      </c>
      <c r="AG9" t="s">
        <v>873</v>
      </c>
      <c r="AH9" t="s">
        <v>874</v>
      </c>
      <c r="AI9" t="s">
        <v>875</v>
      </c>
      <c r="AJ9" t="s">
        <v>876</v>
      </c>
      <c r="AK9" t="s">
        <v>45</v>
      </c>
      <c r="AL9" t="s">
        <v>877</v>
      </c>
      <c r="AM9" t="s">
        <v>45</v>
      </c>
      <c r="AN9" t="s">
        <v>878</v>
      </c>
      <c r="AO9" t="s">
        <v>879</v>
      </c>
      <c r="AP9" t="s">
        <v>880</v>
      </c>
      <c r="AQ9" t="s">
        <v>349</v>
      </c>
      <c r="AR9" t="s">
        <v>45</v>
      </c>
      <c r="AS9" t="s">
        <v>881</v>
      </c>
      <c r="AT9" t="s">
        <v>523</v>
      </c>
      <c r="AU9" t="s">
        <v>882</v>
      </c>
      <c r="AV9" t="s">
        <v>883</v>
      </c>
      <c r="AW9" t="s">
        <v>884</v>
      </c>
      <c r="AX9" t="s">
        <v>885</v>
      </c>
      <c r="AY9" t="s">
        <v>301</v>
      </c>
      <c r="AZ9" t="s">
        <v>178</v>
      </c>
      <c r="BA9" t="s">
        <v>93</v>
      </c>
      <c r="BB9" t="s">
        <v>180</v>
      </c>
      <c r="BC9" t="s">
        <v>886</v>
      </c>
      <c r="BD9" t="s">
        <v>302</v>
      </c>
      <c r="BE9" t="s">
        <v>179</v>
      </c>
      <c r="BF9" t="s">
        <v>68</v>
      </c>
      <c r="BG9" t="s">
        <v>181</v>
      </c>
      <c r="BH9" t="s">
        <v>887</v>
      </c>
      <c r="BI9" t="s">
        <v>888</v>
      </c>
      <c r="BJ9" t="s">
        <v>885</v>
      </c>
      <c r="BK9" t="s">
        <v>889</v>
      </c>
      <c r="BL9" t="s">
        <v>890</v>
      </c>
      <c r="BM9" t="s">
        <v>886</v>
      </c>
      <c r="BN9">
        <v>10.61</v>
      </c>
      <c r="BO9">
        <v>21.46</v>
      </c>
      <c r="BP9">
        <v>11.01</v>
      </c>
      <c r="BQ9">
        <v>13.75</v>
      </c>
      <c r="BR9">
        <v>37.93</v>
      </c>
      <c r="BS9">
        <v>26.14</v>
      </c>
      <c r="BT9" t="s">
        <v>485</v>
      </c>
      <c r="BU9" t="s">
        <v>683</v>
      </c>
      <c r="BV9">
        <v>19.190000000000001</v>
      </c>
      <c r="BW9">
        <v>17.010000000000002</v>
      </c>
      <c r="BX9">
        <v>16.3</v>
      </c>
      <c r="BY9">
        <v>6.43</v>
      </c>
      <c r="BZ9">
        <v>8.24</v>
      </c>
      <c r="CA9">
        <v>4.0199999999999996</v>
      </c>
      <c r="CB9">
        <v>5.29</v>
      </c>
      <c r="CC9">
        <v>-12.44</v>
      </c>
      <c r="CD9" t="s">
        <v>891</v>
      </c>
      <c r="CE9" t="s">
        <v>892</v>
      </c>
      <c r="CF9" s="7">
        <v>-0.52879956935223393</v>
      </c>
      <c r="CG9" s="8">
        <v>0.42528297872340426</v>
      </c>
      <c r="CH9" s="7">
        <v>-0.74277597665786743</v>
      </c>
      <c r="CI9" s="7">
        <v>3.781648725271225E-2</v>
      </c>
      <c r="CJ9" s="7">
        <v>0.33274614810943604</v>
      </c>
      <c r="CK9" s="7">
        <v>-0.18925744295120239</v>
      </c>
      <c r="CL9" s="7">
        <v>-3.1592376530170441E-2</v>
      </c>
      <c r="CM9" s="8">
        <v>-0.75059950351715088</v>
      </c>
      <c r="CN9" s="8">
        <v>1.059259295463562</v>
      </c>
      <c r="CO9" s="8">
        <v>1.4049999713897705</v>
      </c>
      <c r="CP9" s="8">
        <v>-8.6335878372192383</v>
      </c>
      <c r="CQ9" s="8">
        <v>1.0604522228240967</v>
      </c>
      <c r="CR9">
        <v>-41.638506607929514</v>
      </c>
      <c r="CS9">
        <v>-3.5104613944803522</v>
      </c>
      <c r="CT9">
        <v>0</v>
      </c>
      <c r="CU9" s="7">
        <v>-0.1186126321554184</v>
      </c>
      <c r="CV9" s="8">
        <v>-1.1718951702117919</v>
      </c>
      <c r="CW9">
        <v>0.06</v>
      </c>
      <c r="CX9">
        <v>61.746463942307692</v>
      </c>
      <c r="CY9" t="s">
        <v>893</v>
      </c>
      <c r="CZ9">
        <v>-0.1186126321554184</v>
      </c>
      <c r="DA9">
        <v>20.582154647435896</v>
      </c>
      <c r="DB9" t="s">
        <v>894</v>
      </c>
      <c r="DC9">
        <v>-0.11268200054764747</v>
      </c>
      <c r="DD9">
        <v>10.291077323717948</v>
      </c>
      <c r="DE9" t="s">
        <v>895</v>
      </c>
      <c r="DF9">
        <v>-0.10437911629676819</v>
      </c>
      <c r="DG9">
        <v>6.174646394230769</v>
      </c>
      <c r="DH9" t="s">
        <v>896</v>
      </c>
      <c r="DI9">
        <v>-9.489010572433472E-2</v>
      </c>
      <c r="DJ9">
        <v>3.0873231971153845</v>
      </c>
      <c r="DK9" t="s">
        <v>897</v>
      </c>
      <c r="DL9">
        <v>-8.3028842508792874E-2</v>
      </c>
      <c r="DM9">
        <v>208000000</v>
      </c>
      <c r="DN9">
        <v>-0.1186126321554184</v>
      </c>
      <c r="DO9">
        <v>12843264500</v>
      </c>
      <c r="DP9">
        <v>3314055000</v>
      </c>
      <c r="DQ9">
        <v>531</v>
      </c>
      <c r="DR9">
        <v>-0.41018693719681554</v>
      </c>
      <c r="DS9">
        <v>1.5971781489351962</v>
      </c>
      <c r="DT9" s="9">
        <v>-0.75666666666666671</v>
      </c>
      <c r="DU9">
        <v>0.22333333333333336</v>
      </c>
      <c r="DV9">
        <v>-0.53333333333333333</v>
      </c>
      <c r="DW9">
        <v>6.2983643542019179</v>
      </c>
      <c r="DX9">
        <v>0.85725436893204121</v>
      </c>
      <c r="DY9">
        <v>6.0618373159419336</v>
      </c>
      <c r="DZ9">
        <v>3268</v>
      </c>
      <c r="EA9">
        <v>6.0222904767054874</v>
      </c>
      <c r="EB9">
        <v>6</v>
      </c>
      <c r="EC9">
        <v>6.0108339853824001E-2</v>
      </c>
      <c r="ED9">
        <v>0.29002206401513414</v>
      </c>
      <c r="EE9" s="10">
        <v>-3.1206100000000001</v>
      </c>
      <c r="EF9">
        <v>-4.0033099999999999</v>
      </c>
      <c r="EG9">
        <v>65.207254368932041</v>
      </c>
      <c r="EH9" t="s">
        <v>898</v>
      </c>
      <c r="EI9">
        <v>0</v>
      </c>
      <c r="EJ9">
        <v>0</v>
      </c>
      <c r="EK9" s="12">
        <v>45470</v>
      </c>
      <c r="EL9" s="13">
        <v>-0.96</v>
      </c>
      <c r="EM9" s="13">
        <v>-2.04</v>
      </c>
      <c r="EN9" s="13">
        <v>-1.29</v>
      </c>
      <c r="EO9" s="13">
        <v>1.41</v>
      </c>
      <c r="EP9" s="13">
        <v>-3.27</v>
      </c>
    </row>
    <row r="10" spans="1:146" ht="96" x14ac:dyDescent="0.25">
      <c r="A10" s="6"/>
      <c r="B10" s="6"/>
      <c r="C10" s="6" t="str">
        <f>""&amp;CHAR(10)&amp;Basic_Fundamental_Information_Constructure(F10)&amp;CHAR(10)&amp;Basic_Fundamental_Information_Concatenate("")</f>
        <v xml:space="preserve">
市值715.91566亿, 利润6.48亿; PE24.13; 平均PE47.31; 平均PEG33.01, PB3.92; ROIC12.09%; ROE17.39%; 股利率1.3034%; 毛利26.55%; 净利11.6033%; 上一年度营收增-69.83%, 利润增-74.82%; 当季营收增-48.6%, 利润增9.98%; 过往5年营收增1.43%, 利润增1.21%
Income profile:
</v>
      </c>
      <c r="D10" t="s">
        <v>95</v>
      </c>
      <c r="E10" t="s">
        <v>15</v>
      </c>
      <c r="F10">
        <v>19.18</v>
      </c>
      <c r="G10">
        <v>-4.96</v>
      </c>
      <c r="H10" t="s">
        <v>899</v>
      </c>
      <c r="I10">
        <v>71591566000</v>
      </c>
      <c r="J10">
        <v>24.13</v>
      </c>
      <c r="K10">
        <v>3.92</v>
      </c>
      <c r="L10" t="s">
        <v>42</v>
      </c>
      <c r="M10" t="s">
        <v>900</v>
      </c>
      <c r="N10" t="s">
        <v>901</v>
      </c>
      <c r="O10" t="s">
        <v>902</v>
      </c>
      <c r="P10">
        <v>13.4</v>
      </c>
      <c r="Q10" t="s">
        <v>902</v>
      </c>
      <c r="R10">
        <v>1534237000</v>
      </c>
      <c r="S10" s="5">
        <v>7.7299999999999994E-2</v>
      </c>
      <c r="T10" t="s">
        <v>903</v>
      </c>
      <c r="U10">
        <v>3670567000</v>
      </c>
      <c r="V10">
        <v>3732615500</v>
      </c>
      <c r="W10">
        <v>1.77</v>
      </c>
      <c r="X10">
        <v>0.2</v>
      </c>
      <c r="Y10">
        <v>10.029999999999999</v>
      </c>
      <c r="Z10" t="s">
        <v>904</v>
      </c>
      <c r="AA10" t="s">
        <v>905</v>
      </c>
      <c r="AB10" t="s">
        <v>186</v>
      </c>
      <c r="AC10" t="s">
        <v>906</v>
      </c>
      <c r="AD10" t="s">
        <v>45</v>
      </c>
      <c r="AE10">
        <v>-22610014</v>
      </c>
      <c r="AF10" t="s">
        <v>907</v>
      </c>
      <c r="AG10" t="s">
        <v>908</v>
      </c>
      <c r="AH10" t="s">
        <v>909</v>
      </c>
      <c r="AI10" t="s">
        <v>910</v>
      </c>
      <c r="AJ10" t="s">
        <v>911</v>
      </c>
      <c r="AK10" t="s">
        <v>912</v>
      </c>
      <c r="AL10" t="s">
        <v>913</v>
      </c>
      <c r="AM10" t="s">
        <v>45</v>
      </c>
      <c r="AN10" t="s">
        <v>305</v>
      </c>
      <c r="AO10" t="s">
        <v>914</v>
      </c>
      <c r="AP10" t="s">
        <v>915</v>
      </c>
      <c r="AQ10" t="s">
        <v>916</v>
      </c>
      <c r="AR10" t="s">
        <v>45</v>
      </c>
      <c r="AS10" t="s">
        <v>917</v>
      </c>
      <c r="AT10" t="s">
        <v>918</v>
      </c>
      <c r="AU10" t="s">
        <v>94</v>
      </c>
      <c r="AV10" t="s">
        <v>919</v>
      </c>
      <c r="AW10" t="s">
        <v>920</v>
      </c>
      <c r="AX10" t="s">
        <v>524</v>
      </c>
      <c r="AY10" t="s">
        <v>303</v>
      </c>
      <c r="AZ10" t="s">
        <v>182</v>
      </c>
      <c r="BA10" t="s">
        <v>96</v>
      </c>
      <c r="BB10" t="s">
        <v>184</v>
      </c>
      <c r="BC10" t="s">
        <v>525</v>
      </c>
      <c r="BD10" t="s">
        <v>304</v>
      </c>
      <c r="BE10" t="s">
        <v>183</v>
      </c>
      <c r="BF10" t="s">
        <v>97</v>
      </c>
      <c r="BG10" t="s">
        <v>185</v>
      </c>
      <c r="BH10" t="s">
        <v>921</v>
      </c>
      <c r="BI10" t="s">
        <v>922</v>
      </c>
      <c r="BJ10" t="s">
        <v>524</v>
      </c>
      <c r="BK10" t="s">
        <v>923</v>
      </c>
      <c r="BL10" t="s">
        <v>924</v>
      </c>
      <c r="BM10" t="s">
        <v>525</v>
      </c>
      <c r="BN10">
        <v>10.5</v>
      </c>
      <c r="BO10">
        <v>14.38</v>
      </c>
      <c r="BP10">
        <v>11.39</v>
      </c>
      <c r="BQ10">
        <v>14.81</v>
      </c>
      <c r="BR10">
        <v>21.38</v>
      </c>
      <c r="BS10">
        <v>15.98</v>
      </c>
      <c r="BT10" t="s">
        <v>682</v>
      </c>
      <c r="BU10" t="s">
        <v>683</v>
      </c>
      <c r="BV10">
        <v>27.89</v>
      </c>
      <c r="BW10">
        <v>26.08</v>
      </c>
      <c r="BX10">
        <v>25.68</v>
      </c>
      <c r="BY10">
        <v>11.95</v>
      </c>
      <c r="BZ10">
        <v>12.22</v>
      </c>
      <c r="CA10">
        <v>10.64</v>
      </c>
      <c r="CB10">
        <v>0.52</v>
      </c>
      <c r="CC10">
        <v>-12.7</v>
      </c>
      <c r="CD10" t="s">
        <v>925</v>
      </c>
      <c r="CE10" t="s">
        <v>926</v>
      </c>
      <c r="CF10" s="7">
        <v>-0.48599249740601796</v>
      </c>
      <c r="CG10" s="8">
        <v>9.9811469534050179E-2</v>
      </c>
      <c r="CH10" s="7">
        <v>-0.69833242893218994</v>
      </c>
      <c r="CI10" s="7">
        <v>0.33250105381011963</v>
      </c>
      <c r="CJ10" s="7">
        <v>0.32295623421669006</v>
      </c>
      <c r="CK10" s="7">
        <v>7.2915747761726379E-2</v>
      </c>
      <c r="CL10" s="7">
        <v>4.1620556265115738E-2</v>
      </c>
      <c r="CM10" s="8">
        <v>-0.7481539249420166</v>
      </c>
      <c r="CN10" s="8">
        <v>0.52790969610214233</v>
      </c>
      <c r="CO10" s="8">
        <v>0.15184678137302399</v>
      </c>
      <c r="CP10" s="8">
        <v>2.8852967545390129E-2</v>
      </c>
      <c r="CQ10" s="8">
        <v>9.9845148622989655E-2</v>
      </c>
      <c r="CR10">
        <v>47.307202202643175</v>
      </c>
      <c r="CS10">
        <v>33.007559563650943</v>
      </c>
      <c r="CT10">
        <v>1.3034410844629822</v>
      </c>
      <c r="CU10" s="7">
        <v>1.4332232624292373E-2</v>
      </c>
      <c r="CV10" s="8">
        <v>1.2060133740305901E-2</v>
      </c>
      <c r="CW10">
        <v>0.06</v>
      </c>
      <c r="CX10">
        <v>108.04301466435133</v>
      </c>
      <c r="CY10">
        <v>620082345.98164272</v>
      </c>
      <c r="CZ10">
        <v>1.4332232624292373E-2</v>
      </c>
      <c r="DA10">
        <v>37.663888133606157</v>
      </c>
      <c r="DB10">
        <v>1778774558.8651063</v>
      </c>
      <c r="DC10">
        <v>1.3615620993077754E-2</v>
      </c>
      <c r="DD10">
        <v>20.16114098587936</v>
      </c>
      <c r="DE10">
        <v>3323004687.4292955</v>
      </c>
      <c r="DF10">
        <v>1.2612364709377289E-2</v>
      </c>
      <c r="DG10">
        <v>13.258481072051495</v>
      </c>
      <c r="DH10">
        <v>5053034780.9768925</v>
      </c>
      <c r="DI10">
        <v>1.1465786099433899E-2</v>
      </c>
      <c r="DJ10">
        <v>8.2589754983006962</v>
      </c>
      <c r="DK10">
        <v>8111849467.7438507</v>
      </c>
      <c r="DL10">
        <v>1.003256283700466E-2</v>
      </c>
      <c r="DM10">
        <v>648000000</v>
      </c>
      <c r="DN10">
        <v>1.4332232624292373E-2</v>
      </c>
      <c r="DO10">
        <v>66995566000</v>
      </c>
      <c r="DP10">
        <v>8958259000</v>
      </c>
      <c r="DQ10">
        <v>568</v>
      </c>
      <c r="DR10">
        <v>-0.50032473003031031</v>
      </c>
      <c r="DS10">
        <v>8.7751335793744278E-2</v>
      </c>
      <c r="DT10" s="9">
        <v>-0.49</v>
      </c>
      <c r="DU10">
        <v>0.39000000000000007</v>
      </c>
      <c r="DV10">
        <v>-9.9999999999999922E-2</v>
      </c>
      <c r="DW10">
        <v>-2.1269999999999998</v>
      </c>
      <c r="DX10">
        <v>0.54426900584795179</v>
      </c>
      <c r="DY10">
        <v>-2.0348321637426903</v>
      </c>
      <c r="DZ10">
        <v>1055</v>
      </c>
      <c r="EA10">
        <v>-2.0276407874709608</v>
      </c>
      <c r="EB10">
        <v>2</v>
      </c>
      <c r="EC10">
        <v>0.12564915941650032</v>
      </c>
      <c r="ED10">
        <v>0.45812380085760246</v>
      </c>
      <c r="EE10" s="10">
        <v>0.11960999999999999</v>
      </c>
      <c r="EF10">
        <v>-1.0201100000000001</v>
      </c>
      <c r="EG10">
        <v>27.274269005847952</v>
      </c>
      <c r="EH10" t="s">
        <v>378</v>
      </c>
      <c r="EI10">
        <v>0</v>
      </c>
      <c r="EJ10">
        <v>1</v>
      </c>
      <c r="EK10" s="12">
        <v>45470</v>
      </c>
      <c r="EL10" s="13">
        <v>-0.46</v>
      </c>
      <c r="EM10" s="13">
        <v>-3.73</v>
      </c>
      <c r="EN10" s="13">
        <v>-2.0099999999999998</v>
      </c>
      <c r="EO10" s="13">
        <v>0.64</v>
      </c>
      <c r="EP10" s="13">
        <v>-5.05</v>
      </c>
    </row>
    <row r="11" spans="1:146" ht="96" x14ac:dyDescent="0.25">
      <c r="A11" s="6"/>
      <c r="B11" s="6"/>
      <c r="C11" s="6" t="str">
        <f>""&amp;CHAR(10)&amp;Basic_Fundamental_Information_Constructure(F11)&amp;CHAR(10)&amp;Basic_Fundamental_Information_Concatenate("")</f>
        <v xml:space="preserve">
市值33.892144亿, 利润2788.45万; PE36.48; 平均PE-22.49; 平均PEG-2.22, PB4.62; ROIC9.29%; ROE13.7933%; 股利率0%; 毛利11.3533%; 净利3.4133%; 上一年度营收增-74.26%, 利润增-57.71%; 当季营收增-48.35%, 利润增-50.74%; 过往5年营收增-10.12%, 利润增-386.08%
Income profile:
</v>
      </c>
      <c r="D11" t="s">
        <v>98</v>
      </c>
      <c r="E11" t="s">
        <v>187</v>
      </c>
      <c r="F11">
        <v>13.66</v>
      </c>
      <c r="G11">
        <v>1.79</v>
      </c>
      <c r="H11" t="s">
        <v>927</v>
      </c>
      <c r="I11">
        <v>3389214400</v>
      </c>
      <c r="J11">
        <v>36.479999999999997</v>
      </c>
      <c r="K11">
        <v>4.62</v>
      </c>
      <c r="L11" t="s">
        <v>42</v>
      </c>
      <c r="M11" t="s">
        <v>928</v>
      </c>
      <c r="N11" t="s">
        <v>929</v>
      </c>
      <c r="O11" t="s">
        <v>930</v>
      </c>
      <c r="P11">
        <v>13.52</v>
      </c>
      <c r="Q11" t="s">
        <v>930</v>
      </c>
      <c r="R11">
        <v>27884495</v>
      </c>
      <c r="S11" s="5">
        <v>0.57130000000000003</v>
      </c>
      <c r="T11" t="s">
        <v>931</v>
      </c>
      <c r="U11">
        <v>247062330</v>
      </c>
      <c r="V11">
        <v>248112330</v>
      </c>
      <c r="W11">
        <v>2.29</v>
      </c>
      <c r="X11">
        <v>0.32</v>
      </c>
      <c r="Y11">
        <v>5.08</v>
      </c>
      <c r="Z11" t="s">
        <v>932</v>
      </c>
      <c r="AA11" t="s">
        <v>933</v>
      </c>
      <c r="AB11" t="s">
        <v>934</v>
      </c>
      <c r="AC11" t="s">
        <v>935</v>
      </c>
      <c r="AD11" t="s">
        <v>45</v>
      </c>
      <c r="AE11">
        <v>-1506827</v>
      </c>
      <c r="AF11" t="s">
        <v>936</v>
      </c>
      <c r="AG11" t="s">
        <v>937</v>
      </c>
      <c r="AH11" t="s">
        <v>938</v>
      </c>
      <c r="AI11" t="s">
        <v>527</v>
      </c>
      <c r="AJ11" t="s">
        <v>939</v>
      </c>
      <c r="AK11" t="s">
        <v>940</v>
      </c>
      <c r="AL11" t="s">
        <v>941</v>
      </c>
      <c r="AM11" t="s">
        <v>45</v>
      </c>
      <c r="AN11" t="s">
        <v>942</v>
      </c>
      <c r="AO11" t="s">
        <v>943</v>
      </c>
      <c r="AP11" t="s">
        <v>944</v>
      </c>
      <c r="AQ11" t="s">
        <v>56</v>
      </c>
      <c r="AR11" t="s">
        <v>45</v>
      </c>
      <c r="AS11" t="s">
        <v>945</v>
      </c>
      <c r="AT11" t="s">
        <v>177</v>
      </c>
      <c r="AU11" t="s">
        <v>946</v>
      </c>
      <c r="AV11" t="s">
        <v>947</v>
      </c>
      <c r="AW11" t="s">
        <v>948</v>
      </c>
      <c r="AX11" t="s">
        <v>315</v>
      </c>
      <c r="AY11" t="s">
        <v>305</v>
      </c>
      <c r="AZ11" t="s">
        <v>188</v>
      </c>
      <c r="BA11" t="s">
        <v>99</v>
      </c>
      <c r="BB11" t="s">
        <v>191</v>
      </c>
      <c r="BC11" t="s">
        <v>949</v>
      </c>
      <c r="BD11" t="s">
        <v>306</v>
      </c>
      <c r="BE11" t="s">
        <v>189</v>
      </c>
      <c r="BF11" t="s">
        <v>100</v>
      </c>
      <c r="BG11" t="s">
        <v>192</v>
      </c>
      <c r="BH11" t="s">
        <v>950</v>
      </c>
      <c r="BI11" t="s">
        <v>951</v>
      </c>
      <c r="BJ11" t="s">
        <v>315</v>
      </c>
      <c r="BK11" t="s">
        <v>952</v>
      </c>
      <c r="BL11" t="s">
        <v>953</v>
      </c>
      <c r="BM11" t="s">
        <v>949</v>
      </c>
      <c r="BN11">
        <v>9.0500000000000007</v>
      </c>
      <c r="BO11">
        <v>8.31</v>
      </c>
      <c r="BP11">
        <v>10.51</v>
      </c>
      <c r="BQ11">
        <v>12.87</v>
      </c>
      <c r="BR11">
        <v>11.59</v>
      </c>
      <c r="BS11">
        <v>16.920000000000002</v>
      </c>
      <c r="BT11" t="s">
        <v>485</v>
      </c>
      <c r="BU11" t="s">
        <v>683</v>
      </c>
      <c r="BV11">
        <v>10.82</v>
      </c>
      <c r="BW11">
        <v>11.32</v>
      </c>
      <c r="BX11">
        <v>11.92</v>
      </c>
      <c r="BY11">
        <v>3.54</v>
      </c>
      <c r="BZ11">
        <v>3.09</v>
      </c>
      <c r="CA11">
        <v>3.61</v>
      </c>
      <c r="CB11">
        <v>2.5499999999999998</v>
      </c>
      <c r="CC11">
        <v>-0.36</v>
      </c>
      <c r="CD11" t="s">
        <v>954</v>
      </c>
      <c r="CE11" t="s">
        <v>955</v>
      </c>
      <c r="CF11" s="7">
        <v>-0.48353715898400756</v>
      </c>
      <c r="CG11" s="8">
        <v>-0.50741679282513108</v>
      </c>
      <c r="CH11" s="7">
        <v>-0.74261605739593506</v>
      </c>
      <c r="CI11" s="7">
        <v>-5.9938300400972366E-2</v>
      </c>
      <c r="CJ11" s="7">
        <v>0.24533475935459137</v>
      </c>
      <c r="CK11" s="7">
        <v>5.5619928985834122E-2</v>
      </c>
      <c r="CL11" s="7">
        <v>-4.6136099845170975E-3</v>
      </c>
      <c r="CM11" s="8">
        <v>-0.57708531618118286</v>
      </c>
      <c r="CN11" s="8">
        <v>-0.19569019973278046</v>
      </c>
      <c r="CO11" s="8">
        <v>0.48830521106719971</v>
      </c>
      <c r="CP11" s="8">
        <v>1.0459766387939453</v>
      </c>
      <c r="CQ11" s="8">
        <v>-20.065532684326172</v>
      </c>
      <c r="CR11">
        <v>-22.487586827845156</v>
      </c>
      <c r="CS11">
        <v>-2.2211573403089839</v>
      </c>
      <c r="CT11">
        <v>0</v>
      </c>
      <c r="CU11" s="7">
        <v>-0.10124265588819981</v>
      </c>
      <c r="CV11" s="8">
        <v>-3.8608052700757982</v>
      </c>
      <c r="CW11">
        <v>0.06</v>
      </c>
      <c r="CX11">
        <v>133.23582635514353</v>
      </c>
      <c r="CY11" t="s">
        <v>956</v>
      </c>
      <c r="CZ11">
        <v>-0.10124265588819981</v>
      </c>
      <c r="DA11">
        <v>44.411942118381177</v>
      </c>
      <c r="DB11" t="s">
        <v>957</v>
      </c>
      <c r="DC11">
        <v>-9.6180523093789813E-2</v>
      </c>
      <c r="DD11">
        <v>22.205971059190588</v>
      </c>
      <c r="DE11" t="s">
        <v>958</v>
      </c>
      <c r="DF11">
        <v>-8.9093537181615834E-2</v>
      </c>
      <c r="DG11">
        <v>13.323582635514354</v>
      </c>
      <c r="DH11" t="s">
        <v>959</v>
      </c>
      <c r="DI11">
        <v>-8.0994124710559848E-2</v>
      </c>
      <c r="DJ11">
        <v>6.661791317757177</v>
      </c>
      <c r="DK11" t="s">
        <v>960</v>
      </c>
      <c r="DL11">
        <v>-7.0869859121739862E-2</v>
      </c>
      <c r="DM11">
        <v>27884500</v>
      </c>
      <c r="DN11">
        <v>-0.10124265588819981</v>
      </c>
      <c r="DO11">
        <v>3715214400</v>
      </c>
      <c r="DP11">
        <v>579968110</v>
      </c>
      <c r="DQ11">
        <v>797</v>
      </c>
      <c r="DR11">
        <v>-0.38229450309580776</v>
      </c>
      <c r="DS11">
        <v>3.3533884772506672</v>
      </c>
      <c r="DT11" s="9">
        <v>-0.64</v>
      </c>
      <c r="DU11">
        <v>-1.0066666666666666</v>
      </c>
      <c r="DV11">
        <v>-1.6466666666666665</v>
      </c>
      <c r="DW11">
        <v>4.1411764705882357</v>
      </c>
      <c r="DX11">
        <v>0.2495452060009665</v>
      </c>
      <c r="DY11">
        <v>4.0140534408471957</v>
      </c>
      <c r="DZ11">
        <v>2498</v>
      </c>
      <c r="EA11">
        <v>4.0071834809183713</v>
      </c>
      <c r="EB11">
        <v>4</v>
      </c>
      <c r="EC11">
        <v>2.1498730030869485E-2</v>
      </c>
      <c r="ED11">
        <v>0.21596951671043516</v>
      </c>
      <c r="EE11" s="10">
        <v>-2.1160000000000001</v>
      </c>
      <c r="EF11">
        <v>-2.1219000000000001</v>
      </c>
      <c r="EG11">
        <v>15.099545206000967</v>
      </c>
      <c r="EH11" t="s">
        <v>961</v>
      </c>
      <c r="EI11">
        <v>0</v>
      </c>
      <c r="EJ11">
        <v>0</v>
      </c>
      <c r="EK11" s="12">
        <v>45470</v>
      </c>
      <c r="EL11" s="13">
        <v>0.81</v>
      </c>
      <c r="EM11" s="13">
        <v>-2.92</v>
      </c>
      <c r="EN11" s="13">
        <v>0.53</v>
      </c>
      <c r="EO11" s="13">
        <v>0.97</v>
      </c>
      <c r="EP11" s="13">
        <v>0.59</v>
      </c>
    </row>
    <row r="12" spans="1:146" ht="96" x14ac:dyDescent="0.25">
      <c r="A12" s="6"/>
      <c r="B12" s="6"/>
      <c r="C12" s="6" t="str">
        <f>""&amp;CHAR(10)&amp;Basic_Fundamental_Information_Constructure(F12)&amp;CHAR(10)&amp;Basic_Fundamental_Information_Concatenate("")</f>
        <v xml:space="preserve">
市值18.97788亿, 利润234.86万; PE110.3; 平均PE-12.05; 平均PEG-.96, PB1.24; ROIC2.6967%; ROE1.8733%; 股利率0%; 毛利8.5167%; 净利1.0133%; 上一年度营收增-82.48%, 利润增-86.89%; 当季营收增-48.36%, 利润增-89.7%; 过往5年营收增-12.58%, 利润增5.89%
Income profile:
</v>
      </c>
      <c r="D12" t="s">
        <v>101</v>
      </c>
      <c r="E12" t="s">
        <v>265</v>
      </c>
      <c r="F12">
        <v>1.67</v>
      </c>
      <c r="G12">
        <v>4.38</v>
      </c>
      <c r="H12" t="s">
        <v>962</v>
      </c>
      <c r="I12">
        <v>1897788000</v>
      </c>
      <c r="J12">
        <v>110.3</v>
      </c>
      <c r="K12">
        <v>1.24</v>
      </c>
      <c r="L12" t="s">
        <v>42</v>
      </c>
      <c r="M12" t="s">
        <v>963</v>
      </c>
      <c r="N12" t="s">
        <v>964</v>
      </c>
      <c r="O12" t="s">
        <v>965</v>
      </c>
      <c r="P12">
        <v>9.1</v>
      </c>
      <c r="Q12" t="s">
        <v>965</v>
      </c>
      <c r="R12">
        <v>2348643</v>
      </c>
      <c r="S12" s="5">
        <v>-0.66020000000000001</v>
      </c>
      <c r="T12" t="s">
        <v>966</v>
      </c>
      <c r="U12">
        <v>1136400000</v>
      </c>
      <c r="V12">
        <v>1136400000</v>
      </c>
      <c r="W12">
        <v>1.69</v>
      </c>
      <c r="X12">
        <v>0.21</v>
      </c>
      <c r="Y12">
        <v>0.41</v>
      </c>
      <c r="Z12" t="s">
        <v>965</v>
      </c>
      <c r="AA12" t="s">
        <v>967</v>
      </c>
      <c r="AB12" t="s">
        <v>968</v>
      </c>
      <c r="AC12" t="s">
        <v>969</v>
      </c>
      <c r="AD12" t="s">
        <v>45</v>
      </c>
      <c r="AE12">
        <v>7863042</v>
      </c>
      <c r="AF12" t="s">
        <v>970</v>
      </c>
      <c r="AG12" t="s">
        <v>971</v>
      </c>
      <c r="AH12" t="s">
        <v>972</v>
      </c>
      <c r="AI12" t="s">
        <v>973</v>
      </c>
      <c r="AJ12" t="s">
        <v>974</v>
      </c>
      <c r="AK12" t="s">
        <v>407</v>
      </c>
      <c r="AL12" t="s">
        <v>975</v>
      </c>
      <c r="AM12" t="s">
        <v>45</v>
      </c>
      <c r="AN12" t="s">
        <v>603</v>
      </c>
      <c r="AO12" t="s">
        <v>976</v>
      </c>
      <c r="AP12" t="s">
        <v>977</v>
      </c>
      <c r="AQ12" t="s">
        <v>547</v>
      </c>
      <c r="AR12" t="s">
        <v>978</v>
      </c>
      <c r="AS12" t="s">
        <v>979</v>
      </c>
      <c r="AT12" t="s">
        <v>45</v>
      </c>
      <c r="AU12" t="s">
        <v>980</v>
      </c>
      <c r="AV12" t="s">
        <v>981</v>
      </c>
      <c r="AW12" t="s">
        <v>982</v>
      </c>
      <c r="AX12" t="s">
        <v>529</v>
      </c>
      <c r="AY12" t="s">
        <v>307</v>
      </c>
      <c r="AZ12" t="s">
        <v>193</v>
      </c>
      <c r="BA12" t="s">
        <v>102</v>
      </c>
      <c r="BB12" t="s">
        <v>195</v>
      </c>
      <c r="BC12" t="s">
        <v>530</v>
      </c>
      <c r="BD12" t="s">
        <v>308</v>
      </c>
      <c r="BE12" t="s">
        <v>194</v>
      </c>
      <c r="BF12" t="s">
        <v>103</v>
      </c>
      <c r="BG12" t="s">
        <v>266</v>
      </c>
      <c r="BH12" t="s">
        <v>983</v>
      </c>
      <c r="BI12" t="s">
        <v>984</v>
      </c>
      <c r="BJ12" t="s">
        <v>529</v>
      </c>
      <c r="BK12" t="s">
        <v>985</v>
      </c>
      <c r="BL12" t="s">
        <v>986</v>
      </c>
      <c r="BM12" t="s">
        <v>530</v>
      </c>
      <c r="BN12">
        <v>2.19</v>
      </c>
      <c r="BO12">
        <v>2.5</v>
      </c>
      <c r="BP12">
        <v>3.4</v>
      </c>
      <c r="BQ12">
        <v>1.88</v>
      </c>
      <c r="BR12">
        <v>1.19</v>
      </c>
      <c r="BS12">
        <v>2.5499999999999998</v>
      </c>
      <c r="BT12" t="s">
        <v>485</v>
      </c>
      <c r="BU12" t="s">
        <v>683</v>
      </c>
      <c r="BV12">
        <v>9.01</v>
      </c>
      <c r="BW12">
        <v>7.81</v>
      </c>
      <c r="BX12">
        <v>8.73</v>
      </c>
      <c r="BY12">
        <v>0.93</v>
      </c>
      <c r="BZ12">
        <v>0.55000000000000004</v>
      </c>
      <c r="CA12">
        <v>1.56</v>
      </c>
      <c r="CB12">
        <v>-11.64</v>
      </c>
      <c r="CC12">
        <v>-29.54</v>
      </c>
      <c r="CD12" t="s">
        <v>987</v>
      </c>
      <c r="CE12" t="s">
        <v>988</v>
      </c>
      <c r="CF12" s="7">
        <v>-0.48362956033676335</v>
      </c>
      <c r="CG12" s="8">
        <v>-0.89699295638749521</v>
      </c>
      <c r="CH12" s="7">
        <v>-0.82481753826141357</v>
      </c>
      <c r="CI12" s="7">
        <v>0.32562059164047241</v>
      </c>
      <c r="CJ12" s="7">
        <v>1.0629224590957165E-2</v>
      </c>
      <c r="CK12" s="7">
        <v>0.17131474614143372</v>
      </c>
      <c r="CL12" s="7">
        <v>-0.31185746192932129</v>
      </c>
      <c r="CM12" s="8">
        <v>-0.86889219284057617</v>
      </c>
      <c r="CN12" s="8">
        <v>-0.52091670036315918</v>
      </c>
      <c r="CO12" s="8">
        <v>0.76992225646972656</v>
      </c>
      <c r="CP12" s="8">
        <v>1.0389776229858398</v>
      </c>
      <c r="CQ12" s="8">
        <v>-0.12448132783174515</v>
      </c>
      <c r="CR12">
        <v>-12.046632913706512</v>
      </c>
      <c r="CS12">
        <v>-0.95743387722920192</v>
      </c>
      <c r="CT12">
        <v>0</v>
      </c>
      <c r="CU12" s="7">
        <v>-0.12582208756357433</v>
      </c>
      <c r="CV12" s="8">
        <v>5.892193168401718E-2</v>
      </c>
      <c r="CW12">
        <v>0.06</v>
      </c>
      <c r="CX12">
        <v>642.42016520480286</v>
      </c>
      <c r="CY12" t="s">
        <v>989</v>
      </c>
      <c r="CZ12">
        <v>-0.12582208756357433</v>
      </c>
      <c r="DA12">
        <v>214.14005506826763</v>
      </c>
      <c r="DB12" t="s">
        <v>990</v>
      </c>
      <c r="DC12">
        <v>-0.11953098318539561</v>
      </c>
      <c r="DD12">
        <v>107.07002753413381</v>
      </c>
      <c r="DE12" t="s">
        <v>991</v>
      </c>
      <c r="DF12">
        <v>-0.11072343705594541</v>
      </c>
      <c r="DG12">
        <v>64.242016520480291</v>
      </c>
      <c r="DH12" t="s">
        <v>992</v>
      </c>
      <c r="DI12">
        <v>-0.10065767005085946</v>
      </c>
      <c r="DJ12">
        <v>32.121008260240146</v>
      </c>
      <c r="DK12" t="s">
        <v>993</v>
      </c>
      <c r="DL12">
        <v>-8.8075461294502028E-2</v>
      </c>
      <c r="DM12">
        <v>2348600</v>
      </c>
      <c r="DN12">
        <v>-0.12582208756357433</v>
      </c>
      <c r="DO12">
        <v>1508788000</v>
      </c>
      <c r="DP12">
        <v>536589500</v>
      </c>
      <c r="DQ12">
        <v>922</v>
      </c>
      <c r="DR12">
        <v>-0.35780747277318903</v>
      </c>
      <c r="DS12">
        <v>-0.95591488807151237</v>
      </c>
      <c r="DT12" s="9">
        <v>-0.60666666666666669</v>
      </c>
      <c r="DU12">
        <v>-0.84</v>
      </c>
      <c r="DV12">
        <v>-1.4466666666666668</v>
      </c>
      <c r="DW12">
        <v>-9.3940419769803665</v>
      </c>
      <c r="DX12">
        <v>0.48753521126760418</v>
      </c>
      <c r="DY12">
        <v>-9.1172413628691586</v>
      </c>
      <c r="DZ12">
        <v>3311</v>
      </c>
      <c r="EA12">
        <v>-9.0412753839142113</v>
      </c>
      <c r="EB12">
        <v>9</v>
      </c>
      <c r="EC12">
        <v>0.1487152411122844</v>
      </c>
      <c r="ED12">
        <v>0.49982400563181978</v>
      </c>
      <c r="EE12" s="10">
        <v>0.1094</v>
      </c>
      <c r="EF12">
        <v>8.8599999999999998E-2</v>
      </c>
      <c r="EG12">
        <v>19.297535211267604</v>
      </c>
      <c r="EH12" t="s">
        <v>373</v>
      </c>
      <c r="EI12">
        <v>0</v>
      </c>
      <c r="EJ12">
        <v>0</v>
      </c>
      <c r="EK12" s="12">
        <v>45470</v>
      </c>
      <c r="EL12" s="13">
        <v>0</v>
      </c>
      <c r="EM12" s="13">
        <v>-5.15</v>
      </c>
      <c r="EN12" s="13">
        <v>1.63</v>
      </c>
      <c r="EO12" s="13">
        <v>2.67</v>
      </c>
      <c r="EP12" s="13">
        <v>-2.08</v>
      </c>
    </row>
    <row r="13" spans="1:146" ht="96" x14ac:dyDescent="0.25">
      <c r="A13" s="6"/>
      <c r="B13" s="6"/>
      <c r="C13" s="6" t="str">
        <f>""&amp;CHAR(10)&amp;Basic_Fundamental_Information_Constructure(F13)&amp;CHAR(10)&amp;Basic_Fundamental_Information_Concatenate("")</f>
        <v xml:space="preserve">
市值22.002728亿, 利润5394.21万; PE; 平均PE-29.74; 平均PEG-1.19, PB4.06; ROIC8.28%; ROE8.3433%; 股利率0%; 毛利10.4033%; 净利-1.7733%; 上一年度营收增-78.9%, 利润增28.52%; 当季营收增-48.47%, 利润增4788.17%; 过往5年营收增-25.07%, 利润增12.7%
Income profile:
</v>
      </c>
      <c r="D13" t="s">
        <v>275</v>
      </c>
      <c r="E13" t="s">
        <v>309</v>
      </c>
      <c r="F13">
        <v>5.31</v>
      </c>
      <c r="G13">
        <v>9.94</v>
      </c>
      <c r="H13" t="s">
        <v>994</v>
      </c>
      <c r="I13">
        <v>2200272800</v>
      </c>
      <c r="K13">
        <v>4.0599999999999996</v>
      </c>
      <c r="L13" t="s">
        <v>42</v>
      </c>
      <c r="M13" t="s">
        <v>538</v>
      </c>
      <c r="N13" t="s">
        <v>995</v>
      </c>
      <c r="O13" t="s">
        <v>996</v>
      </c>
      <c r="P13">
        <v>12.37</v>
      </c>
      <c r="Q13" t="s">
        <v>996</v>
      </c>
      <c r="R13">
        <v>53942075</v>
      </c>
      <c r="S13" s="5">
        <v>4.0119999999999996</v>
      </c>
      <c r="T13" t="s">
        <v>997</v>
      </c>
      <c r="U13">
        <v>400271040</v>
      </c>
      <c r="V13">
        <v>414364000</v>
      </c>
      <c r="W13">
        <v>3.98</v>
      </c>
      <c r="X13">
        <v>0.25</v>
      </c>
      <c r="Y13">
        <v>9.67</v>
      </c>
      <c r="Z13" t="s">
        <v>492</v>
      </c>
      <c r="AA13" t="s">
        <v>271</v>
      </c>
      <c r="AB13" t="s">
        <v>998</v>
      </c>
      <c r="AC13" t="s">
        <v>999</v>
      </c>
      <c r="AD13" t="s">
        <v>45</v>
      </c>
      <c r="AE13">
        <v>3894675</v>
      </c>
      <c r="AF13" t="s">
        <v>1000</v>
      </c>
      <c r="AG13" t="s">
        <v>1001</v>
      </c>
      <c r="AH13" t="s">
        <v>1002</v>
      </c>
      <c r="AI13" t="s">
        <v>1003</v>
      </c>
      <c r="AJ13" t="s">
        <v>1004</v>
      </c>
      <c r="AK13" t="s">
        <v>1005</v>
      </c>
      <c r="AL13" t="s">
        <v>1006</v>
      </c>
      <c r="AM13" t="s">
        <v>45</v>
      </c>
      <c r="AN13" t="s">
        <v>1007</v>
      </c>
      <c r="AO13" t="s">
        <v>606</v>
      </c>
      <c r="AP13" t="s">
        <v>1008</v>
      </c>
      <c r="AQ13" t="s">
        <v>1009</v>
      </c>
      <c r="AR13" t="s">
        <v>45</v>
      </c>
      <c r="AS13" t="s">
        <v>1010</v>
      </c>
      <c r="AT13" t="s">
        <v>1011</v>
      </c>
      <c r="AU13" t="s">
        <v>1012</v>
      </c>
      <c r="AV13" t="s">
        <v>1013</v>
      </c>
      <c r="AW13" t="s">
        <v>1014</v>
      </c>
      <c r="AX13" t="s">
        <v>532</v>
      </c>
      <c r="AY13" t="s">
        <v>310</v>
      </c>
      <c r="AZ13" t="s">
        <v>276</v>
      </c>
      <c r="BA13" t="s">
        <v>278</v>
      </c>
      <c r="BB13" t="s">
        <v>279</v>
      </c>
      <c r="BC13" t="s">
        <v>1015</v>
      </c>
      <c r="BD13" t="s">
        <v>311</v>
      </c>
      <c r="BE13" t="s">
        <v>277</v>
      </c>
      <c r="BF13" t="s">
        <v>190</v>
      </c>
      <c r="BG13" t="s">
        <v>280</v>
      </c>
      <c r="BH13" t="s">
        <v>1016</v>
      </c>
      <c r="BI13" t="s">
        <v>1017</v>
      </c>
      <c r="BJ13" t="s">
        <v>532</v>
      </c>
      <c r="BK13" t="s">
        <v>600</v>
      </c>
      <c r="BL13" t="s">
        <v>1018</v>
      </c>
      <c r="BM13" t="s">
        <v>1015</v>
      </c>
      <c r="BN13" t="s">
        <v>45</v>
      </c>
      <c r="BO13">
        <v>6.2</v>
      </c>
      <c r="BP13">
        <v>10.36</v>
      </c>
      <c r="BQ13">
        <v>6.33</v>
      </c>
      <c r="BR13">
        <v>6.41</v>
      </c>
      <c r="BS13">
        <v>12.29</v>
      </c>
      <c r="BT13" t="s">
        <v>485</v>
      </c>
      <c r="BU13" t="s">
        <v>683</v>
      </c>
      <c r="BV13">
        <v>9.19</v>
      </c>
      <c r="BW13">
        <v>11.59</v>
      </c>
      <c r="BX13">
        <v>10.43</v>
      </c>
      <c r="BY13">
        <v>-9.27</v>
      </c>
      <c r="BZ13">
        <v>1.85</v>
      </c>
      <c r="CA13">
        <v>2.1</v>
      </c>
      <c r="CB13">
        <v>16.45</v>
      </c>
      <c r="CC13">
        <v>4.32</v>
      </c>
      <c r="CD13" t="s">
        <v>1019</v>
      </c>
      <c r="CE13" t="s">
        <v>1020</v>
      </c>
      <c r="CF13" s="7">
        <v>-0.48468468468468467</v>
      </c>
      <c r="CG13" s="8">
        <v>47.881692160611856</v>
      </c>
      <c r="CH13" s="7">
        <v>-0.78900772333145142</v>
      </c>
      <c r="CI13" s="7">
        <v>-0.27590811252593994</v>
      </c>
      <c r="CJ13" s="7">
        <v>0.22233101725578308</v>
      </c>
      <c r="CK13" s="7">
        <v>-0.12859174609184265</v>
      </c>
      <c r="CL13" s="7">
        <v>-0.28250658512115479</v>
      </c>
      <c r="CM13" s="8">
        <v>0.28516495227813721</v>
      </c>
      <c r="CN13" s="8">
        <v>-0.43561750650405884</v>
      </c>
      <c r="CO13" s="8">
        <v>0.12945778667926788</v>
      </c>
      <c r="CP13" s="8">
        <v>-0.50861644744873047</v>
      </c>
      <c r="CQ13" s="8">
        <v>1.1646192073822021</v>
      </c>
      <c r="CR13">
        <v>-29.742124495910968</v>
      </c>
      <c r="CS13">
        <v>-1.1861898479017297</v>
      </c>
      <c r="CT13">
        <v>0</v>
      </c>
      <c r="CU13" s="7">
        <v>-0.25073662996292112</v>
      </c>
      <c r="CV13" s="8">
        <v>0.12700159847736359</v>
      </c>
      <c r="CW13">
        <v>0.06</v>
      </c>
      <c r="CX13">
        <v>63.480524488293931</v>
      </c>
      <c r="CY13" t="s">
        <v>1021</v>
      </c>
      <c r="CZ13">
        <v>-0.25073662996292112</v>
      </c>
      <c r="DA13">
        <v>21.160174829431309</v>
      </c>
      <c r="DB13" t="s">
        <v>1022</v>
      </c>
      <c r="DC13">
        <v>-0.23819979846477504</v>
      </c>
      <c r="DD13">
        <v>10.580087414715655</v>
      </c>
      <c r="DE13" t="s">
        <v>1023</v>
      </c>
      <c r="DF13">
        <v>-0.22064823436737058</v>
      </c>
      <c r="DG13">
        <v>6.3480524488293932</v>
      </c>
      <c r="DH13" t="s">
        <v>1024</v>
      </c>
      <c r="DI13">
        <v>-0.20058930397033692</v>
      </c>
      <c r="DJ13">
        <v>3.1740262244146966</v>
      </c>
      <c r="DK13" t="s">
        <v>1025</v>
      </c>
      <c r="DL13">
        <v>-0.17551564097404476</v>
      </c>
      <c r="DM13">
        <v>53942100</v>
      </c>
      <c r="DN13">
        <v>-0.25073662996292112</v>
      </c>
      <c r="DO13">
        <v>3424272800</v>
      </c>
      <c r="DP13">
        <v>-172483600</v>
      </c>
      <c r="DQ13">
        <v>924</v>
      </c>
      <c r="DR13">
        <v>-0.23394805472176355</v>
      </c>
      <c r="DS13">
        <v>47.754690562134492</v>
      </c>
      <c r="DT13" s="9">
        <v>-0.89</v>
      </c>
      <c r="DU13">
        <v>9.9999999999999992E-2</v>
      </c>
      <c r="DV13">
        <v>-0.79</v>
      </c>
      <c r="DW13">
        <v>5.2626139817629181</v>
      </c>
      <c r="DX13">
        <v>0.77560200000000012</v>
      </c>
      <c r="DY13">
        <v>5.061872379331307</v>
      </c>
      <c r="DZ13">
        <v>3501</v>
      </c>
      <c r="EA13">
        <v>5.0194819292258464</v>
      </c>
      <c r="EB13">
        <v>5</v>
      </c>
      <c r="EC13">
        <v>0.20014262822059831</v>
      </c>
      <c r="ED13">
        <v>0.84949464721838774</v>
      </c>
      <c r="EE13" s="10">
        <v>-4.0442999999999998</v>
      </c>
      <c r="EF13">
        <v>-4.0141</v>
      </c>
      <c r="EG13">
        <v>54.235602</v>
      </c>
      <c r="EH13" t="s">
        <v>1026</v>
      </c>
      <c r="EI13">
        <v>1</v>
      </c>
      <c r="EJ13">
        <v>0</v>
      </c>
      <c r="EK13" s="12">
        <v>45470</v>
      </c>
      <c r="EL13" s="13">
        <v>0.68</v>
      </c>
      <c r="EM13" s="13">
        <v>-3.39</v>
      </c>
      <c r="EN13" s="13">
        <v>6.56</v>
      </c>
      <c r="EO13" s="13">
        <v>1.98</v>
      </c>
      <c r="EP13" s="13">
        <v>-3.02</v>
      </c>
    </row>
    <row r="14" spans="1:146" ht="96" x14ac:dyDescent="0.25">
      <c r="A14" s="6"/>
      <c r="B14" s="6"/>
      <c r="C14" s="6" t="str">
        <f>""&amp;CHAR(10)&amp;Basic_Fundamental_Information_Constructure(F14)&amp;CHAR(10)&amp;Basic_Fundamental_Information_Concatenate("")</f>
        <v xml:space="preserve">
市值93.88405亿, 利润2.25亿; PE11.23; 平均PE-25.29; 平均PEG-6.36, PB5.77; ROIC30.31%; ROE35.1667%; 股利率0%; 毛利23.1633%; 净利8.5467%; 上一年度营收增-64.01%, 利润增-51.51%; 当季营收增-19.27%, 利润增-43.81%; 过往5年营收增-3.97%, 利润增-225.66%
Income profile:
</v>
      </c>
      <c r="D14" t="s">
        <v>50</v>
      </c>
      <c r="E14" t="s">
        <v>1027</v>
      </c>
      <c r="F14">
        <v>8.66</v>
      </c>
      <c r="G14">
        <v>-0.23</v>
      </c>
      <c r="H14" t="s">
        <v>1028</v>
      </c>
      <c r="I14">
        <v>9388405000</v>
      </c>
      <c r="J14">
        <v>11.23</v>
      </c>
      <c r="K14">
        <v>5.77</v>
      </c>
      <c r="L14" t="s">
        <v>42</v>
      </c>
      <c r="M14" t="s">
        <v>1029</v>
      </c>
      <c r="N14" t="s">
        <v>1030</v>
      </c>
      <c r="O14" t="s">
        <v>1031</v>
      </c>
      <c r="P14">
        <v>24.6</v>
      </c>
      <c r="Q14" t="s">
        <v>1031</v>
      </c>
      <c r="R14">
        <v>225340070</v>
      </c>
      <c r="S14" s="5">
        <v>0.27829999999999999</v>
      </c>
      <c r="T14" t="s">
        <v>1032</v>
      </c>
      <c r="U14">
        <v>1084111430</v>
      </c>
      <c r="V14">
        <v>1084111430</v>
      </c>
      <c r="W14">
        <v>4.59</v>
      </c>
      <c r="X14">
        <v>0.33</v>
      </c>
      <c r="Y14">
        <v>10.08</v>
      </c>
      <c r="Z14" t="s">
        <v>1033</v>
      </c>
      <c r="AA14" t="s">
        <v>1034</v>
      </c>
      <c r="AB14" t="s">
        <v>552</v>
      </c>
      <c r="AC14" t="s">
        <v>381</v>
      </c>
      <c r="AD14" t="s">
        <v>45</v>
      </c>
      <c r="AE14">
        <v>-35419390</v>
      </c>
      <c r="AF14" t="s">
        <v>1035</v>
      </c>
      <c r="AG14" t="s">
        <v>1036</v>
      </c>
      <c r="AH14" t="s">
        <v>1037</v>
      </c>
      <c r="AI14" t="s">
        <v>1038</v>
      </c>
      <c r="AJ14" t="s">
        <v>1039</v>
      </c>
      <c r="AK14" t="s">
        <v>561</v>
      </c>
      <c r="AL14" t="s">
        <v>1040</v>
      </c>
      <c r="AM14" t="s">
        <v>45</v>
      </c>
      <c r="AN14" t="s">
        <v>507</v>
      </c>
      <c r="AO14" t="s">
        <v>1041</v>
      </c>
      <c r="AP14" t="s">
        <v>1042</v>
      </c>
      <c r="AQ14" t="s">
        <v>1043</v>
      </c>
      <c r="AR14" t="s">
        <v>45</v>
      </c>
      <c r="AS14" t="s">
        <v>1044</v>
      </c>
      <c r="AT14" t="s">
        <v>484</v>
      </c>
      <c r="AU14" t="s">
        <v>483</v>
      </c>
      <c r="AV14" t="s">
        <v>1045</v>
      </c>
      <c r="AW14" t="s">
        <v>1046</v>
      </c>
      <c r="AX14" t="s">
        <v>1047</v>
      </c>
      <c r="AY14" t="s">
        <v>312</v>
      </c>
      <c r="AZ14" t="s">
        <v>199</v>
      </c>
      <c r="BA14" t="s">
        <v>51</v>
      </c>
      <c r="BB14" t="s">
        <v>201</v>
      </c>
      <c r="BC14" t="s">
        <v>1048</v>
      </c>
      <c r="BD14" t="s">
        <v>313</v>
      </c>
      <c r="BE14" t="s">
        <v>314</v>
      </c>
      <c r="BF14" t="s">
        <v>52</v>
      </c>
      <c r="BG14" t="s">
        <v>202</v>
      </c>
      <c r="BH14" t="s">
        <v>1049</v>
      </c>
      <c r="BI14" t="s">
        <v>1050</v>
      </c>
      <c r="BJ14" t="s">
        <v>1047</v>
      </c>
      <c r="BK14" t="s">
        <v>1051</v>
      </c>
      <c r="BL14" t="s">
        <v>375</v>
      </c>
      <c r="BM14" t="s">
        <v>1048</v>
      </c>
      <c r="BN14">
        <v>40.51</v>
      </c>
      <c r="BO14">
        <v>35.5</v>
      </c>
      <c r="BP14">
        <v>14.92</v>
      </c>
      <c r="BQ14">
        <v>52.34</v>
      </c>
      <c r="BR14">
        <v>65.349999999999994</v>
      </c>
      <c r="BS14">
        <v>-12.19</v>
      </c>
      <c r="BT14" t="s">
        <v>485</v>
      </c>
      <c r="BU14" t="s">
        <v>393</v>
      </c>
      <c r="BV14">
        <v>23.68</v>
      </c>
      <c r="BW14">
        <v>24.56</v>
      </c>
      <c r="BX14">
        <v>21.25</v>
      </c>
      <c r="BY14">
        <v>10.130000000000001</v>
      </c>
      <c r="BZ14">
        <v>11.71</v>
      </c>
      <c r="CA14">
        <v>3.8</v>
      </c>
      <c r="CB14">
        <v>-4.42</v>
      </c>
      <c r="CC14">
        <v>-17.989999999999998</v>
      </c>
      <c r="CD14" t="s">
        <v>1052</v>
      </c>
      <c r="CE14" t="s">
        <v>758</v>
      </c>
      <c r="CF14" s="7">
        <v>-0.19269230769230777</v>
      </c>
      <c r="CG14" s="8">
        <v>-0.43805468827930172</v>
      </c>
      <c r="CH14" s="7">
        <v>-0.64005833864212036</v>
      </c>
      <c r="CI14" s="7">
        <v>0.15224255621433258</v>
      </c>
      <c r="CJ14" s="7">
        <v>0.21294192969799042</v>
      </c>
      <c r="CK14" s="7">
        <v>0.12877045571804047</v>
      </c>
      <c r="CL14" s="7">
        <v>-5.2543878555297852E-2</v>
      </c>
      <c r="CM14" s="8">
        <v>-0.51508623361587524</v>
      </c>
      <c r="CN14" s="8">
        <v>6.8066844940185547</v>
      </c>
      <c r="CO14" s="8">
        <v>0.91903960704803467</v>
      </c>
      <c r="CP14" s="8">
        <v>-19.521820068359375</v>
      </c>
      <c r="CQ14" s="8">
        <v>1.0280023813247681</v>
      </c>
      <c r="CR14">
        <v>-25.287277530443486</v>
      </c>
      <c r="CS14">
        <v>-6.3648689513256356</v>
      </c>
      <c r="CT14">
        <v>0</v>
      </c>
      <c r="CU14" s="7">
        <v>-3.9729455113410951E-2</v>
      </c>
      <c r="CV14" s="8">
        <v>-2.2566359639167786</v>
      </c>
      <c r="CW14">
        <v>0.06</v>
      </c>
      <c r="CX14">
        <v>74.672911111111105</v>
      </c>
      <c r="CY14" t="s">
        <v>1053</v>
      </c>
      <c r="CZ14">
        <v>-3.9729455113410951E-2</v>
      </c>
      <c r="DA14">
        <v>24.890970370370372</v>
      </c>
      <c r="DB14" t="s">
        <v>1054</v>
      </c>
      <c r="DC14">
        <v>-3.7742982357740401E-2</v>
      </c>
      <c r="DD14">
        <v>12.445485185185186</v>
      </c>
      <c r="DE14" t="s">
        <v>1055</v>
      </c>
      <c r="DF14">
        <v>-3.4961920499801638E-2</v>
      </c>
      <c r="DG14">
        <v>7.4672911111111109</v>
      </c>
      <c r="DH14" t="s">
        <v>1056</v>
      </c>
      <c r="DI14">
        <v>-3.1783564090728765E-2</v>
      </c>
      <c r="DJ14">
        <v>3.7336455555555554</v>
      </c>
      <c r="DK14" t="s">
        <v>1057</v>
      </c>
      <c r="DL14">
        <v>-2.7810618579387665E-2</v>
      </c>
      <c r="DM14">
        <v>225000000</v>
      </c>
      <c r="DN14">
        <v>-3.9729455113410951E-2</v>
      </c>
      <c r="DO14">
        <v>16801405000</v>
      </c>
      <c r="DP14">
        <v>407548600</v>
      </c>
      <c r="DQ14">
        <v>1158</v>
      </c>
      <c r="DR14">
        <v>-0.15296285257889683</v>
      </c>
      <c r="DS14">
        <v>1.8185812756374768</v>
      </c>
      <c r="DT14" s="9">
        <v>-0.49</v>
      </c>
      <c r="DU14">
        <v>-0.87333333333333341</v>
      </c>
      <c r="DV14">
        <v>-1.3633333333333333</v>
      </c>
      <c r="DW14">
        <v>-8.2456920511395211</v>
      </c>
      <c r="DX14">
        <v>0.2672367579908671</v>
      </c>
      <c r="DY14">
        <v>-8.0238902985169336</v>
      </c>
      <c r="DZ14">
        <v>1413</v>
      </c>
      <c r="EA14">
        <v>-8.0172842335845598</v>
      </c>
      <c r="EB14">
        <v>8</v>
      </c>
      <c r="EC14">
        <v>7.8570705596195028E-2</v>
      </c>
      <c r="ED14">
        <v>0.80803501905703545</v>
      </c>
      <c r="EE14" s="10">
        <v>5.0049099999999997</v>
      </c>
      <c r="EF14">
        <v>5.0602099999999997</v>
      </c>
      <c r="EG14">
        <v>17.097236757990867</v>
      </c>
      <c r="EH14" t="s">
        <v>862</v>
      </c>
      <c r="EI14">
        <v>0</v>
      </c>
      <c r="EJ14">
        <v>1</v>
      </c>
      <c r="EK14" s="12">
        <v>45470</v>
      </c>
      <c r="EL14" s="13">
        <v>-0.33</v>
      </c>
      <c r="EM14" s="13">
        <v>1.98</v>
      </c>
      <c r="EN14" s="13">
        <v>3.24</v>
      </c>
      <c r="EO14" s="13">
        <v>0.21</v>
      </c>
      <c r="EP14" s="13">
        <v>-5.53</v>
      </c>
    </row>
    <row r="15" spans="1:146" ht="96" x14ac:dyDescent="0.25">
      <c r="A15" s="6"/>
      <c r="B15" s="6"/>
      <c r="C15" s="6" t="str">
        <f>""&amp;CHAR(10)&amp;Basic_Fundamental_Information_Constructure(F15)&amp;CHAR(10)&amp;Basic_Fundamental_Information_Concatenate("")</f>
        <v xml:space="preserve">
市值31.968亿, 利润1676.79万; PE80.18; 平均PE141.52; 平均PEG17.14, PB2.65; ROIC3.43%; ROE3.1867%; 股利率0%; 毛利17.6133%; 净利1.6867%; 上一年度营收增-69.86%, 利润增-60.38%; 当季营收增-45.57%, 利润增-44.73%; 过往5年营收增-8.26%, 利润增49.57%
Income profile:
</v>
      </c>
      <c r="D15" t="s">
        <v>104</v>
      </c>
      <c r="E15" t="s">
        <v>24</v>
      </c>
      <c r="F15">
        <v>4.4400000000000004</v>
      </c>
      <c r="G15">
        <v>0</v>
      </c>
      <c r="H15" t="s">
        <v>1058</v>
      </c>
      <c r="I15">
        <v>3196800000</v>
      </c>
      <c r="J15">
        <v>80.180000000000007</v>
      </c>
      <c r="K15">
        <v>2.65</v>
      </c>
      <c r="L15" t="s">
        <v>42</v>
      </c>
      <c r="M15" t="s">
        <v>1059</v>
      </c>
      <c r="N15" t="s">
        <v>1060</v>
      </c>
      <c r="O15" t="s">
        <v>1061</v>
      </c>
      <c r="P15">
        <v>19.21</v>
      </c>
      <c r="Q15" t="s">
        <v>1061</v>
      </c>
      <c r="R15">
        <v>16767853</v>
      </c>
      <c r="S15" s="5">
        <v>0.38429999999999997</v>
      </c>
      <c r="T15" t="s">
        <v>1062</v>
      </c>
      <c r="U15">
        <v>719976460</v>
      </c>
      <c r="V15">
        <v>720000000</v>
      </c>
      <c r="W15">
        <v>2.3199999999999998</v>
      </c>
      <c r="X15">
        <v>0.24</v>
      </c>
      <c r="Y15">
        <v>2.65</v>
      </c>
      <c r="Z15" t="s">
        <v>1063</v>
      </c>
      <c r="AA15" t="s">
        <v>252</v>
      </c>
      <c r="AB15" t="s">
        <v>1064</v>
      </c>
      <c r="AC15" t="s">
        <v>1065</v>
      </c>
      <c r="AD15" t="s">
        <v>45</v>
      </c>
      <c r="AE15">
        <v>5474646</v>
      </c>
      <c r="AF15" t="s">
        <v>1066</v>
      </c>
      <c r="AG15" t="s">
        <v>1067</v>
      </c>
      <c r="AH15" t="s">
        <v>1068</v>
      </c>
      <c r="AI15" t="s">
        <v>1069</v>
      </c>
      <c r="AJ15" t="s">
        <v>1070</v>
      </c>
      <c r="AK15" t="s">
        <v>1071</v>
      </c>
      <c r="AL15" t="s">
        <v>1072</v>
      </c>
      <c r="AM15" t="s">
        <v>45</v>
      </c>
      <c r="AN15" t="s">
        <v>1073</v>
      </c>
      <c r="AO15" t="s">
        <v>1074</v>
      </c>
      <c r="AP15" t="s">
        <v>892</v>
      </c>
      <c r="AQ15" t="s">
        <v>541</v>
      </c>
      <c r="AR15" t="s">
        <v>45</v>
      </c>
      <c r="AS15" t="s">
        <v>1075</v>
      </c>
      <c r="AT15" t="s">
        <v>987</v>
      </c>
      <c r="AU15" t="s">
        <v>1076</v>
      </c>
      <c r="AV15" t="s">
        <v>1077</v>
      </c>
      <c r="AW15" t="s">
        <v>694</v>
      </c>
      <c r="AX15" t="s">
        <v>543</v>
      </c>
      <c r="AY15" t="s">
        <v>315</v>
      </c>
      <c r="AZ15" t="s">
        <v>203</v>
      </c>
      <c r="BA15" t="s">
        <v>105</v>
      </c>
      <c r="BB15" t="s">
        <v>205</v>
      </c>
      <c r="BC15" t="s">
        <v>544</v>
      </c>
      <c r="BD15" t="s">
        <v>316</v>
      </c>
      <c r="BE15" t="s">
        <v>204</v>
      </c>
      <c r="BF15" t="s">
        <v>106</v>
      </c>
      <c r="BG15" t="s">
        <v>207</v>
      </c>
      <c r="BH15" t="s">
        <v>1078</v>
      </c>
      <c r="BI15" t="s">
        <v>1079</v>
      </c>
      <c r="BJ15" t="s">
        <v>543</v>
      </c>
      <c r="BK15" t="s">
        <v>1080</v>
      </c>
      <c r="BL15" t="s">
        <v>1081</v>
      </c>
      <c r="BM15" t="s">
        <v>544</v>
      </c>
      <c r="BN15">
        <v>2.4500000000000002</v>
      </c>
      <c r="BO15">
        <v>3.67</v>
      </c>
      <c r="BP15">
        <v>4.17</v>
      </c>
      <c r="BQ15">
        <v>2.63</v>
      </c>
      <c r="BR15">
        <v>3.78</v>
      </c>
      <c r="BS15">
        <v>3.15</v>
      </c>
      <c r="BT15" t="s">
        <v>485</v>
      </c>
      <c r="BU15" t="s">
        <v>683</v>
      </c>
      <c r="BV15">
        <v>17.98</v>
      </c>
      <c r="BW15">
        <v>16.920000000000002</v>
      </c>
      <c r="BX15">
        <v>17.940000000000001</v>
      </c>
      <c r="BY15">
        <v>1.56</v>
      </c>
      <c r="BZ15">
        <v>1.91</v>
      </c>
      <c r="CA15">
        <v>1.59</v>
      </c>
      <c r="CB15">
        <v>-4.0999999999999996</v>
      </c>
      <c r="CC15">
        <v>-5.33</v>
      </c>
      <c r="CD15" t="s">
        <v>1082</v>
      </c>
      <c r="CE15" t="s">
        <v>610</v>
      </c>
      <c r="CF15" s="7">
        <v>-0.45571797076526227</v>
      </c>
      <c r="CG15" s="8">
        <v>-0.44734238836666623</v>
      </c>
      <c r="CH15" s="7">
        <v>-0.69857144355773926</v>
      </c>
      <c r="CI15" s="7">
        <v>-1.5471138060092926E-2</v>
      </c>
      <c r="CJ15" s="7">
        <v>0.23437497019767761</v>
      </c>
      <c r="CK15" s="7">
        <v>2.7348395437002182E-2</v>
      </c>
      <c r="CL15" s="7">
        <v>3.9555005729198456E-2</v>
      </c>
      <c r="CM15" s="8">
        <v>-0.60382705926895142</v>
      </c>
      <c r="CN15" s="8">
        <v>0.23994995653629303</v>
      </c>
      <c r="CO15" s="8">
        <v>0.24399399757385254</v>
      </c>
      <c r="CP15" s="8">
        <v>1.9972801208496094</v>
      </c>
      <c r="CQ15" s="8">
        <v>0.60117185115814209</v>
      </c>
      <c r="CR15">
        <v>141.51582358331453</v>
      </c>
      <c r="CS15">
        <v>17.142453253910588</v>
      </c>
      <c r="CT15">
        <v>0</v>
      </c>
      <c r="CU15" s="7">
        <v>-8.255284205079079E-2</v>
      </c>
      <c r="CV15" s="8">
        <v>0.49571377336978911</v>
      </c>
      <c r="CW15">
        <v>0.06</v>
      </c>
      <c r="CX15">
        <v>199.65529374578807</v>
      </c>
      <c r="CY15" t="s">
        <v>1083</v>
      </c>
      <c r="CZ15">
        <v>-8.255284205079079E-2</v>
      </c>
      <c r="DA15">
        <v>66.551764581929362</v>
      </c>
      <c r="DB15" t="s">
        <v>1084</v>
      </c>
      <c r="DC15">
        <v>-7.8425199948251242E-2</v>
      </c>
      <c r="DD15">
        <v>33.275882290964681</v>
      </c>
      <c r="DE15" t="s">
        <v>1085</v>
      </c>
      <c r="DF15">
        <v>-7.2646501004695899E-2</v>
      </c>
      <c r="DG15">
        <v>19.965529374578807</v>
      </c>
      <c r="DH15" t="s">
        <v>1086</v>
      </c>
      <c r="DI15">
        <v>-6.6042273640632629E-2</v>
      </c>
      <c r="DJ15">
        <v>9.9827646872894036</v>
      </c>
      <c r="DK15" t="s">
        <v>1087</v>
      </c>
      <c r="DL15">
        <v>-5.7786989435553548E-2</v>
      </c>
      <c r="DM15">
        <v>16767900</v>
      </c>
      <c r="DN15">
        <v>-8.255284205079079E-2</v>
      </c>
      <c r="DO15">
        <v>3347800000</v>
      </c>
      <c r="DP15">
        <v>677262600</v>
      </c>
      <c r="DQ15">
        <v>1166</v>
      </c>
      <c r="DR15">
        <v>-0.37316512871447149</v>
      </c>
      <c r="DS15">
        <v>-0.94305616173645535</v>
      </c>
      <c r="DT15" s="9">
        <v>-0.64</v>
      </c>
      <c r="DU15">
        <v>0.37500000000000006</v>
      </c>
      <c r="DV15">
        <v>-0.26499999999999996</v>
      </c>
      <c r="DW15">
        <v>-8.7692307692307701</v>
      </c>
      <c r="DX15">
        <v>0.2412924406779669</v>
      </c>
      <c r="DY15">
        <v>-8.0471480312907424</v>
      </c>
      <c r="DZ15">
        <v>474</v>
      </c>
      <c r="EA15">
        <v>-8.0427746131240472</v>
      </c>
      <c r="EB15">
        <v>8</v>
      </c>
      <c r="EC15">
        <v>0.12054180555555556</v>
      </c>
      <c r="ED15">
        <v>1.9666666666666666</v>
      </c>
      <c r="EE15" s="10">
        <v>-1.1465000000000001</v>
      </c>
      <c r="EF15">
        <v>-1.1271</v>
      </c>
      <c r="EG15">
        <v>18.061292440677967</v>
      </c>
      <c r="EH15" t="s">
        <v>549</v>
      </c>
      <c r="EI15">
        <v>0</v>
      </c>
      <c r="EJ15">
        <v>1</v>
      </c>
      <c r="EK15" s="12">
        <v>45470</v>
      </c>
      <c r="EL15" s="13">
        <v>0.67</v>
      </c>
      <c r="EM15" s="13">
        <v>-3.11</v>
      </c>
      <c r="EN15" s="13">
        <v>1.38</v>
      </c>
      <c r="EO15" s="13">
        <v>4.9800000000000004</v>
      </c>
      <c r="EP15" s="13">
        <v>-1.94</v>
      </c>
    </row>
    <row r="16" spans="1:146" ht="96" x14ac:dyDescent="0.25">
      <c r="A16" s="6"/>
      <c r="B16" s="6"/>
      <c r="C16" s="6" t="str">
        <f>""&amp;CHAR(10)&amp;Basic_Fundamental_Information_Constructure(F16)&amp;CHAR(10)&amp;Basic_Fundamental_Information_Concatenate("")</f>
        <v xml:space="preserve">
市值24.429285亿, 利润5282.05万; PE11.62; 平均PE22.54; 平均PEG.96, PB1.5; ROIC10.58%; ROE11.4167%; 股利率1.2547%; 毛利17.1433%; 净利8.2667%; 上一年度营收增-76.19%, 利润增-55.61%; 当季营收增-70.14%, 利润增-54.47%; 过往5年营收增23.58%, 利润增-3.98%
Income profile:
</v>
      </c>
      <c r="D16" t="s">
        <v>109</v>
      </c>
      <c r="E16" t="s">
        <v>14</v>
      </c>
      <c r="F16">
        <v>7.97</v>
      </c>
      <c r="G16">
        <v>1.01</v>
      </c>
      <c r="H16" t="s">
        <v>1088</v>
      </c>
      <c r="I16">
        <v>2442928500</v>
      </c>
      <c r="J16">
        <v>11.62</v>
      </c>
      <c r="K16">
        <v>1.5</v>
      </c>
      <c r="L16" t="s">
        <v>42</v>
      </c>
      <c r="M16" t="s">
        <v>1089</v>
      </c>
      <c r="N16" t="s">
        <v>538</v>
      </c>
      <c r="O16" t="s">
        <v>1048</v>
      </c>
      <c r="P16">
        <v>-19.3</v>
      </c>
      <c r="Q16" t="s">
        <v>1048</v>
      </c>
      <c r="R16">
        <v>52820520</v>
      </c>
      <c r="S16" s="5">
        <v>0.1721</v>
      </c>
      <c r="T16" t="s">
        <v>1090</v>
      </c>
      <c r="U16">
        <v>228678380</v>
      </c>
      <c r="V16">
        <v>306515500</v>
      </c>
      <c r="W16">
        <v>1.79</v>
      </c>
      <c r="X16">
        <v>0.14000000000000001</v>
      </c>
      <c r="Y16">
        <v>11.59</v>
      </c>
      <c r="Z16" t="s">
        <v>1091</v>
      </c>
      <c r="AA16" t="s">
        <v>1092</v>
      </c>
      <c r="AB16" t="s">
        <v>1093</v>
      </c>
      <c r="AC16" t="s">
        <v>1094</v>
      </c>
      <c r="AD16" t="s">
        <v>45</v>
      </c>
      <c r="AE16">
        <v>755043</v>
      </c>
      <c r="AF16" t="s">
        <v>1095</v>
      </c>
      <c r="AG16" t="s">
        <v>1096</v>
      </c>
      <c r="AH16" t="s">
        <v>1097</v>
      </c>
      <c r="AI16" t="s">
        <v>1098</v>
      </c>
      <c r="AJ16" t="s">
        <v>1099</v>
      </c>
      <c r="AK16" t="s">
        <v>1100</v>
      </c>
      <c r="AL16" t="s">
        <v>1101</v>
      </c>
      <c r="AM16" t="s">
        <v>45</v>
      </c>
      <c r="AN16" t="s">
        <v>1102</v>
      </c>
      <c r="AO16" t="s">
        <v>45</v>
      </c>
      <c r="AP16" t="s">
        <v>1103</v>
      </c>
      <c r="AQ16" t="s">
        <v>498</v>
      </c>
      <c r="AR16" t="s">
        <v>1104</v>
      </c>
      <c r="AS16" t="s">
        <v>1105</v>
      </c>
      <c r="AT16" t="s">
        <v>45</v>
      </c>
      <c r="AU16" t="s">
        <v>1106</v>
      </c>
      <c r="AV16" t="s">
        <v>1107</v>
      </c>
      <c r="AW16" t="s">
        <v>1108</v>
      </c>
      <c r="AX16" t="s">
        <v>196</v>
      </c>
      <c r="AY16" t="s">
        <v>317</v>
      </c>
      <c r="AZ16" t="s">
        <v>210</v>
      </c>
      <c r="BA16" t="s">
        <v>111</v>
      </c>
      <c r="BB16" t="s">
        <v>211</v>
      </c>
      <c r="BC16" t="s">
        <v>198</v>
      </c>
      <c r="BD16" t="s">
        <v>318</v>
      </c>
      <c r="BE16" t="s">
        <v>94</v>
      </c>
      <c r="BF16" t="s">
        <v>68</v>
      </c>
      <c r="BG16" t="s">
        <v>213</v>
      </c>
      <c r="BH16" t="s">
        <v>1109</v>
      </c>
      <c r="BI16" t="s">
        <v>1110</v>
      </c>
      <c r="BJ16" t="s">
        <v>196</v>
      </c>
      <c r="BK16" t="s">
        <v>1111</v>
      </c>
      <c r="BL16" t="s">
        <v>53</v>
      </c>
      <c r="BM16" t="s">
        <v>198</v>
      </c>
      <c r="BN16">
        <v>11</v>
      </c>
      <c r="BO16">
        <v>8.57</v>
      </c>
      <c r="BP16">
        <v>12.17</v>
      </c>
      <c r="BQ16">
        <v>12.46</v>
      </c>
      <c r="BR16">
        <v>8.9499999999999993</v>
      </c>
      <c r="BS16">
        <v>12.84</v>
      </c>
      <c r="BT16" t="s">
        <v>487</v>
      </c>
      <c r="BU16" t="s">
        <v>683</v>
      </c>
      <c r="BV16">
        <v>14.96</v>
      </c>
      <c r="BW16">
        <v>14.94</v>
      </c>
      <c r="BX16">
        <v>21.53</v>
      </c>
      <c r="BY16">
        <v>7.4</v>
      </c>
      <c r="BZ16">
        <v>6.33</v>
      </c>
      <c r="CA16">
        <v>11.07</v>
      </c>
      <c r="CB16">
        <v>-2.69</v>
      </c>
      <c r="CC16">
        <v>-18.170000000000002</v>
      </c>
      <c r="CD16" t="s">
        <v>1112</v>
      </c>
      <c r="CE16" t="s">
        <v>1113</v>
      </c>
      <c r="CF16" s="7">
        <v>-0.70141570141570142</v>
      </c>
      <c r="CG16" s="8">
        <v>-0.54465068965517238</v>
      </c>
      <c r="CH16" s="7">
        <v>-0.7619292140007019</v>
      </c>
      <c r="CI16" s="7">
        <v>0.42366692423820496</v>
      </c>
      <c r="CJ16" s="7">
        <v>0.47680684924125671</v>
      </c>
      <c r="CK16" s="7">
        <v>0.30932202935218811</v>
      </c>
      <c r="CL16" s="7">
        <v>0.73105132579803467</v>
      </c>
      <c r="CM16" s="8">
        <v>-0.55613023042678833</v>
      </c>
      <c r="CN16" s="8">
        <v>-0.1736111044883728</v>
      </c>
      <c r="CO16" s="8">
        <v>0.3333333432674408</v>
      </c>
      <c r="CP16" s="8">
        <v>-0.17557251453399658</v>
      </c>
      <c r="CQ16" s="8">
        <v>0.37298715114593506</v>
      </c>
      <c r="CR16">
        <v>22.542032247214806</v>
      </c>
      <c r="CS16">
        <v>0.95604757411414065</v>
      </c>
      <c r="CT16">
        <v>1.2547051442910917</v>
      </c>
      <c r="CU16" s="7">
        <v>0.23578358292579651</v>
      </c>
      <c r="CV16" s="8">
        <v>-3.9798671007156373E-2</v>
      </c>
      <c r="CW16">
        <v>0.06</v>
      </c>
      <c r="CX16">
        <v>37.835853016762243</v>
      </c>
      <c r="CY16">
        <v>61579912.020690605</v>
      </c>
      <c r="CZ16">
        <v>0.23578358292579651</v>
      </c>
      <c r="DA16">
        <v>10.951692100815823</v>
      </c>
      <c r="DB16">
        <v>212745982.86290729</v>
      </c>
      <c r="DC16">
        <v>0.22399440377950669</v>
      </c>
      <c r="DD16">
        <v>4.5464710237839947</v>
      </c>
      <c r="DE16">
        <v>512469668.85116476</v>
      </c>
      <c r="DF16">
        <v>0.20748955297470092</v>
      </c>
      <c r="DG16">
        <v>2.2270359493086378</v>
      </c>
      <c r="DH16">
        <v>1046201567.0305207</v>
      </c>
      <c r="DI16">
        <v>0.18862686634063722</v>
      </c>
      <c r="DJ16">
        <v>0.70788337756472475</v>
      </c>
      <c r="DK16">
        <v>3291401626.0919547</v>
      </c>
      <c r="DL16">
        <v>0.16504850804805754</v>
      </c>
      <c r="DM16">
        <v>52820500</v>
      </c>
      <c r="DN16">
        <v>0.23578358292579651</v>
      </c>
      <c r="DO16">
        <v>2329928500</v>
      </c>
      <c r="DP16">
        <v>1377433000</v>
      </c>
      <c r="DQ16">
        <v>1328</v>
      </c>
      <c r="DR16">
        <v>-0.93719928434149791</v>
      </c>
      <c r="DS16">
        <v>-0.50485201864801599</v>
      </c>
      <c r="DT16" s="9">
        <v>-0.17333333333333334</v>
      </c>
      <c r="DU16">
        <v>-0.42</v>
      </c>
      <c r="DV16">
        <v>-0.59333333333333327</v>
      </c>
      <c r="DW16">
        <v>-8.1480462300495322</v>
      </c>
      <c r="DX16">
        <v>0.36312000918663001</v>
      </c>
      <c r="DY16">
        <v>-8.0197079155042399</v>
      </c>
      <c r="DZ16">
        <v>305</v>
      </c>
      <c r="EA16">
        <v>-8.0185316113498768</v>
      </c>
      <c r="EB16">
        <v>8</v>
      </c>
      <c r="EC16">
        <v>3.9333084297531441E-2</v>
      </c>
      <c r="ED16">
        <v>0.29547086525803751</v>
      </c>
      <c r="EE16" s="10">
        <v>-4.0301999999999998</v>
      </c>
      <c r="EF16">
        <v>-4.0084</v>
      </c>
      <c r="EG16">
        <v>23.13312000918663</v>
      </c>
      <c r="EH16" t="s">
        <v>1026</v>
      </c>
      <c r="EI16">
        <v>0</v>
      </c>
      <c r="EJ16">
        <v>1</v>
      </c>
      <c r="EK16" s="12">
        <v>45470</v>
      </c>
      <c r="EL16" s="13">
        <v>0</v>
      </c>
      <c r="EM16" s="13">
        <v>-5.58</v>
      </c>
      <c r="EN16" s="13">
        <v>0.63</v>
      </c>
      <c r="EO16" s="13">
        <v>3.25</v>
      </c>
      <c r="EP16" s="13">
        <v>-2.1800000000000002</v>
      </c>
    </row>
    <row r="17" spans="1:146" ht="96" x14ac:dyDescent="0.25">
      <c r="A17" s="6"/>
      <c r="B17" s="6"/>
      <c r="C17" s="6" t="str">
        <f>""&amp;CHAR(10)&amp;Basic_Fundamental_Information_Constructure(F17)&amp;CHAR(10)&amp;Basic_Fundamental_Information_Concatenate("")</f>
        <v xml:space="preserve">
市值35.864708亿, 利润7358.31万; PE16.39; 平均PE52.67; 平均PEG4.04, PB1.46; ROIC9.04%; ROE11.6267%; 股利率2.1552%; 毛利26.78%; 净利12.02%; 上一年度营收增-73.79%, 利润增-60.01%; 当季营收增-41.39%, 利润增-40.18%; 过往5年营收增-13.03%, 利润增27.57%
Income profile:
</v>
      </c>
      <c r="D17" t="s">
        <v>112</v>
      </c>
      <c r="E17" t="s">
        <v>23</v>
      </c>
      <c r="F17">
        <v>4.6399999999999997</v>
      </c>
      <c r="G17">
        <v>2.2000000000000002</v>
      </c>
      <c r="H17" t="s">
        <v>1114</v>
      </c>
      <c r="I17">
        <v>3586470800</v>
      </c>
      <c r="J17">
        <v>16.39</v>
      </c>
      <c r="K17">
        <v>1.46</v>
      </c>
      <c r="L17" t="s">
        <v>42</v>
      </c>
      <c r="M17" t="s">
        <v>1115</v>
      </c>
      <c r="N17" t="s">
        <v>1116</v>
      </c>
      <c r="O17" t="s">
        <v>502</v>
      </c>
      <c r="P17">
        <v>15.5</v>
      </c>
      <c r="Q17" t="s">
        <v>502</v>
      </c>
      <c r="R17">
        <v>73583065</v>
      </c>
      <c r="S17" s="5">
        <v>0.17150000000000001</v>
      </c>
      <c r="T17" t="s">
        <v>1117</v>
      </c>
      <c r="U17">
        <v>759391520</v>
      </c>
      <c r="V17">
        <v>772946290</v>
      </c>
      <c r="W17">
        <v>1.23</v>
      </c>
      <c r="X17">
        <v>0.13</v>
      </c>
      <c r="Y17">
        <v>18.68</v>
      </c>
      <c r="Z17" t="s">
        <v>1118</v>
      </c>
      <c r="AA17" t="s">
        <v>1119</v>
      </c>
      <c r="AB17" t="s">
        <v>1120</v>
      </c>
      <c r="AC17" t="s">
        <v>1121</v>
      </c>
      <c r="AD17" t="s">
        <v>45</v>
      </c>
      <c r="AE17">
        <v>-4133797</v>
      </c>
      <c r="AF17" t="s">
        <v>1122</v>
      </c>
      <c r="AG17">
        <v>1370.51</v>
      </c>
      <c r="AH17" t="s">
        <v>1123</v>
      </c>
      <c r="AI17" t="s">
        <v>252</v>
      </c>
      <c r="AJ17" t="s">
        <v>1124</v>
      </c>
      <c r="AK17" t="s">
        <v>1125</v>
      </c>
      <c r="AL17" t="s">
        <v>1126</v>
      </c>
      <c r="AM17" t="s">
        <v>45</v>
      </c>
      <c r="AN17" t="s">
        <v>1127</v>
      </c>
      <c r="AO17" t="s">
        <v>1128</v>
      </c>
      <c r="AP17" t="s">
        <v>1129</v>
      </c>
      <c r="AQ17" t="s">
        <v>220</v>
      </c>
      <c r="AR17" t="s">
        <v>45</v>
      </c>
      <c r="AS17" t="s">
        <v>1130</v>
      </c>
      <c r="AT17" t="s">
        <v>45</v>
      </c>
      <c r="AU17" t="s">
        <v>1131</v>
      </c>
      <c r="AV17" t="s">
        <v>1132</v>
      </c>
      <c r="AW17" t="s">
        <v>1133</v>
      </c>
      <c r="AX17" t="s">
        <v>545</v>
      </c>
      <c r="AY17" t="s">
        <v>319</v>
      </c>
      <c r="AZ17" t="s">
        <v>215</v>
      </c>
      <c r="BA17" t="s">
        <v>113</v>
      </c>
      <c r="BB17" t="s">
        <v>208</v>
      </c>
      <c r="BC17" t="s">
        <v>496</v>
      </c>
      <c r="BD17" t="s">
        <v>79</v>
      </c>
      <c r="BE17" t="s">
        <v>197</v>
      </c>
      <c r="BF17" t="s">
        <v>83</v>
      </c>
      <c r="BG17" t="s">
        <v>216</v>
      </c>
      <c r="BH17" t="s">
        <v>1134</v>
      </c>
      <c r="BI17" t="s">
        <v>511</v>
      </c>
      <c r="BJ17" t="s">
        <v>545</v>
      </c>
      <c r="BK17" t="s">
        <v>867</v>
      </c>
      <c r="BL17" t="s">
        <v>570</v>
      </c>
      <c r="BM17" t="s">
        <v>496</v>
      </c>
      <c r="BN17">
        <v>6.7</v>
      </c>
      <c r="BO17">
        <v>10.25</v>
      </c>
      <c r="BP17">
        <v>10.17</v>
      </c>
      <c r="BQ17">
        <v>7.67</v>
      </c>
      <c r="BR17">
        <v>14.71</v>
      </c>
      <c r="BS17">
        <v>12.5</v>
      </c>
      <c r="BT17" t="s">
        <v>487</v>
      </c>
      <c r="BU17" t="s">
        <v>683</v>
      </c>
      <c r="BV17">
        <v>30.59</v>
      </c>
      <c r="BW17">
        <v>27.87</v>
      </c>
      <c r="BX17">
        <v>21.88</v>
      </c>
      <c r="BY17">
        <v>14.42</v>
      </c>
      <c r="BZ17">
        <v>12.23</v>
      </c>
      <c r="CA17">
        <v>9.41</v>
      </c>
      <c r="CB17">
        <v>-0.85</v>
      </c>
      <c r="CC17">
        <v>-18.88</v>
      </c>
      <c r="CD17" t="s">
        <v>1135</v>
      </c>
      <c r="CE17" t="s">
        <v>1136</v>
      </c>
      <c r="CF17" s="7">
        <v>-0.41394658753709201</v>
      </c>
      <c r="CG17" s="8">
        <v>-0.4017636991869919</v>
      </c>
      <c r="CH17" s="7">
        <v>-0.73788982629776001</v>
      </c>
      <c r="CI17" s="7">
        <v>3.360772505402565E-2</v>
      </c>
      <c r="CJ17" s="7">
        <v>0.13374805450439453</v>
      </c>
      <c r="CK17" s="7">
        <v>1.3396426104009151E-2</v>
      </c>
      <c r="CL17" s="7">
        <v>-9.4218418002128601E-2</v>
      </c>
      <c r="CM17" s="8">
        <v>-0.60009181499481201</v>
      </c>
      <c r="CN17" s="8">
        <v>0.34306567907333374</v>
      </c>
      <c r="CO17" s="8">
        <v>0.12295082211494446</v>
      </c>
      <c r="CP17" s="8">
        <v>-2.4000000208616257E-2</v>
      </c>
      <c r="CQ17" s="8">
        <v>1.5364806652069092</v>
      </c>
      <c r="CR17">
        <v>52.666947800826811</v>
      </c>
      <c r="CS17">
        <v>4.0428693891437852</v>
      </c>
      <c r="CT17">
        <v>2.1551724137931036</v>
      </c>
      <c r="CU17" s="7">
        <v>-0.13027120772749184</v>
      </c>
      <c r="CV17" s="8">
        <v>0.27568107023835181</v>
      </c>
      <c r="CW17">
        <v>0.06</v>
      </c>
      <c r="CX17">
        <v>23.150299457348222</v>
      </c>
      <c r="CY17" t="s">
        <v>1137</v>
      </c>
      <c r="CZ17">
        <v>-0.13027120772749184</v>
      </c>
      <c r="DA17">
        <v>7.7167664857827409</v>
      </c>
      <c r="DB17" t="s">
        <v>1138</v>
      </c>
      <c r="DC17">
        <v>-0.12375764734111724</v>
      </c>
      <c r="DD17">
        <v>3.8583832428913705</v>
      </c>
      <c r="DE17" t="s">
        <v>1139</v>
      </c>
      <c r="DF17">
        <v>-0.11463866280019282</v>
      </c>
      <c r="DG17">
        <v>2.3150299457348225</v>
      </c>
      <c r="DH17" t="s">
        <v>1140</v>
      </c>
      <c r="DI17">
        <v>-0.10421696618199348</v>
      </c>
      <c r="DJ17">
        <v>1.1575149728674112</v>
      </c>
      <c r="DK17" t="s">
        <v>1141</v>
      </c>
      <c r="DL17">
        <v>-9.1189845409244283E-2</v>
      </c>
      <c r="DM17">
        <v>73583100</v>
      </c>
      <c r="DN17">
        <v>-0.13027120772749184</v>
      </c>
      <c r="DO17">
        <v>1703470800</v>
      </c>
      <c r="DP17">
        <v>1815516700</v>
      </c>
      <c r="DQ17">
        <v>1649</v>
      </c>
      <c r="DR17">
        <v>-0.28367537980960017</v>
      </c>
      <c r="DS17">
        <v>-0.67744476942534371</v>
      </c>
      <c r="DT17" s="9">
        <v>-0.77333333333333332</v>
      </c>
      <c r="DU17">
        <v>-0.20333333333333334</v>
      </c>
      <c r="DV17">
        <v>-0.97666666666666668</v>
      </c>
      <c r="DW17">
        <v>-3.0325714285714285</v>
      </c>
      <c r="DX17">
        <v>0.38832352941176396</v>
      </c>
      <c r="DY17">
        <v>-3.0045053949579832</v>
      </c>
      <c r="DZ17">
        <v>1406</v>
      </c>
      <c r="EA17">
        <v>-3.0032657500830471</v>
      </c>
      <c r="EB17">
        <v>3</v>
      </c>
      <c r="EC17">
        <v>3.9549319785207843E-2</v>
      </c>
      <c r="ED17">
        <v>0.28591896081162377</v>
      </c>
      <c r="EE17" s="10">
        <v>-2.0521099999999999</v>
      </c>
      <c r="EF17">
        <v>-2.07321</v>
      </c>
      <c r="EG17">
        <v>25.138323529411764</v>
      </c>
      <c r="EH17" t="s">
        <v>1142</v>
      </c>
      <c r="EI17">
        <v>0</v>
      </c>
      <c r="EJ17">
        <v>1</v>
      </c>
      <c r="EK17" s="12">
        <v>45470</v>
      </c>
      <c r="EL17" s="13">
        <v>-0.83</v>
      </c>
      <c r="EM17" s="13">
        <v>-3.75</v>
      </c>
      <c r="EN17" s="13">
        <v>0</v>
      </c>
      <c r="EO17" s="13">
        <v>2.81</v>
      </c>
      <c r="EP17" s="13">
        <v>-2.11</v>
      </c>
    </row>
    <row r="18" spans="1:146" ht="96" x14ac:dyDescent="0.25">
      <c r="A18" s="6"/>
      <c r="B18" s="6"/>
      <c r="C18" s="6" t="str">
        <f>""&amp;CHAR(10)&amp;Basic_Fundamental_Information_Constructure(F18)&amp;CHAR(10)&amp;Basic_Fundamental_Information_Concatenate("")</f>
        <v xml:space="preserve">
市值55.12854亿, 利润8574.77万; PE8.33; 平均PE49.41; 平均PEG14.8, PB1.39; ROIC10.3967%; ROE11.42%; 股利率1.8231%; 毛利20.4%; 净利9.9%; 上一年度营收增-77.06%, 利润增-71.61%; 当季营收增-57.18%, 利润增-55.34%; 过往5年营收增-3.34%, 利润增36.85%
Income profile:
</v>
      </c>
      <c r="D18" t="s">
        <v>115</v>
      </c>
      <c r="E18" t="s">
        <v>17</v>
      </c>
      <c r="F18">
        <v>3.73</v>
      </c>
      <c r="G18">
        <v>3.61</v>
      </c>
      <c r="H18" t="s">
        <v>1143</v>
      </c>
      <c r="I18">
        <v>5512854000</v>
      </c>
      <c r="J18">
        <v>8.33</v>
      </c>
      <c r="K18">
        <v>1.39</v>
      </c>
      <c r="L18" t="s">
        <v>42</v>
      </c>
      <c r="M18" t="s">
        <v>1144</v>
      </c>
      <c r="N18" t="s">
        <v>1145</v>
      </c>
      <c r="O18" t="s">
        <v>758</v>
      </c>
      <c r="P18">
        <v>-3.44</v>
      </c>
      <c r="Q18" t="s">
        <v>758</v>
      </c>
      <c r="R18">
        <v>85747703</v>
      </c>
      <c r="S18" s="5">
        <v>0.27139999999999997</v>
      </c>
      <c r="T18" t="s">
        <v>1146</v>
      </c>
      <c r="U18">
        <v>1226951510</v>
      </c>
      <c r="V18">
        <v>1477976900</v>
      </c>
      <c r="W18">
        <v>1.72</v>
      </c>
      <c r="X18">
        <v>0.12</v>
      </c>
      <c r="Y18">
        <v>9.8000000000000007</v>
      </c>
      <c r="Z18" t="s">
        <v>611</v>
      </c>
      <c r="AA18" t="s">
        <v>1147</v>
      </c>
      <c r="AB18" t="s">
        <v>1148</v>
      </c>
      <c r="AC18" t="s">
        <v>1149</v>
      </c>
      <c r="AD18" t="s">
        <v>45</v>
      </c>
      <c r="AE18">
        <v>-3904293</v>
      </c>
      <c r="AF18" t="s">
        <v>1150</v>
      </c>
      <c r="AG18" t="s">
        <v>1151</v>
      </c>
      <c r="AH18" t="s">
        <v>1152</v>
      </c>
      <c r="AI18" t="s">
        <v>1153</v>
      </c>
      <c r="AJ18" t="s">
        <v>1154</v>
      </c>
      <c r="AK18" t="s">
        <v>492</v>
      </c>
      <c r="AL18" t="s">
        <v>1155</v>
      </c>
      <c r="AM18" t="s">
        <v>45</v>
      </c>
      <c r="AN18" t="s">
        <v>1156</v>
      </c>
      <c r="AO18" t="s">
        <v>404</v>
      </c>
      <c r="AP18" t="s">
        <v>1005</v>
      </c>
      <c r="AQ18" t="s">
        <v>1157</v>
      </c>
      <c r="AR18" t="s">
        <v>1158</v>
      </c>
      <c r="AS18" t="s">
        <v>1159</v>
      </c>
      <c r="AT18" t="s">
        <v>45</v>
      </c>
      <c r="AU18" t="s">
        <v>1160</v>
      </c>
      <c r="AV18" t="s">
        <v>1161</v>
      </c>
      <c r="AW18" t="s">
        <v>1162</v>
      </c>
      <c r="AX18" t="s">
        <v>546</v>
      </c>
      <c r="AY18" t="s">
        <v>320</v>
      </c>
      <c r="AZ18" t="s">
        <v>218</v>
      </c>
      <c r="BA18" t="s">
        <v>116</v>
      </c>
      <c r="BB18" t="s">
        <v>221</v>
      </c>
      <c r="BC18" t="s">
        <v>547</v>
      </c>
      <c r="BD18" t="s">
        <v>226</v>
      </c>
      <c r="BE18" t="s">
        <v>219</v>
      </c>
      <c r="BF18" t="s">
        <v>117</v>
      </c>
      <c r="BG18" t="s">
        <v>222</v>
      </c>
      <c r="BH18" t="s">
        <v>1163</v>
      </c>
      <c r="BI18" t="s">
        <v>1164</v>
      </c>
      <c r="BJ18" t="s">
        <v>546</v>
      </c>
      <c r="BK18" t="s">
        <v>536</v>
      </c>
      <c r="BL18" t="s">
        <v>118</v>
      </c>
      <c r="BM18" t="s">
        <v>547</v>
      </c>
      <c r="BN18">
        <v>15.22</v>
      </c>
      <c r="BO18">
        <v>9.2200000000000006</v>
      </c>
      <c r="BP18">
        <v>6.75</v>
      </c>
      <c r="BQ18">
        <v>16.38</v>
      </c>
      <c r="BR18">
        <v>10.050000000000001</v>
      </c>
      <c r="BS18">
        <v>7.83</v>
      </c>
      <c r="BT18" t="s">
        <v>1165</v>
      </c>
      <c r="BU18" t="s">
        <v>683</v>
      </c>
      <c r="BV18">
        <v>23.56</v>
      </c>
      <c r="BW18">
        <v>20.170000000000002</v>
      </c>
      <c r="BX18">
        <v>17.47</v>
      </c>
      <c r="BY18">
        <v>15.72</v>
      </c>
      <c r="BZ18">
        <v>7.95</v>
      </c>
      <c r="CA18">
        <v>6.03</v>
      </c>
      <c r="CB18">
        <v>-1.06</v>
      </c>
      <c r="CC18">
        <v>-12.28</v>
      </c>
      <c r="CD18" t="s">
        <v>1166</v>
      </c>
      <c r="CE18" t="s">
        <v>1167</v>
      </c>
      <c r="CF18" s="7">
        <v>-0.57184750733137835</v>
      </c>
      <c r="CG18" s="8">
        <v>-0.55339738020833329</v>
      </c>
      <c r="CH18" s="7">
        <v>-0.77062058448791504</v>
      </c>
      <c r="CI18" s="7">
        <v>0.37029063701629639</v>
      </c>
      <c r="CJ18" s="7">
        <v>0.16270343959331512</v>
      </c>
      <c r="CK18" s="7">
        <v>7.2963327169418335E-2</v>
      </c>
      <c r="CL18" s="7">
        <v>-2.2332253865897655E-3</v>
      </c>
      <c r="CM18" s="8">
        <v>-0.71606725454330444</v>
      </c>
      <c r="CN18" s="8">
        <v>0.73563218116760254</v>
      </c>
      <c r="CO18" s="8">
        <v>1.879397988319397</v>
      </c>
      <c r="CP18" s="8">
        <v>1.6180647611618042</v>
      </c>
      <c r="CQ18" s="8">
        <v>-1.674288272857666</v>
      </c>
      <c r="CR18">
        <v>49.412708476121786</v>
      </c>
      <c r="CS18">
        <v>14.803406985245296</v>
      </c>
      <c r="CT18">
        <v>1.8230563002680966</v>
      </c>
      <c r="CU18" s="7">
        <v>-3.3379281219094989E-2</v>
      </c>
      <c r="CV18" s="8">
        <v>0.36854788064956667</v>
      </c>
      <c r="CW18">
        <v>0.06</v>
      </c>
      <c r="CX18">
        <v>57.107700847952771</v>
      </c>
      <c r="CY18" t="s">
        <v>1168</v>
      </c>
      <c r="CZ18">
        <v>-3.3379281219094989E-2</v>
      </c>
      <c r="DA18">
        <v>19.035900282650925</v>
      </c>
      <c r="DB18" t="s">
        <v>1169</v>
      </c>
      <c r="DC18">
        <v>-3.1710317158140239E-2</v>
      </c>
      <c r="DD18">
        <v>9.5179501413254624</v>
      </c>
      <c r="DE18" t="s">
        <v>1170</v>
      </c>
      <c r="DF18">
        <v>-2.937376747280359E-2</v>
      </c>
      <c r="DG18">
        <v>5.7107700847952776</v>
      </c>
      <c r="DH18" t="s">
        <v>1171</v>
      </c>
      <c r="DI18">
        <v>-2.6703424975275992E-2</v>
      </c>
      <c r="DJ18">
        <v>2.8553850423976388</v>
      </c>
      <c r="DK18" t="s">
        <v>1172</v>
      </c>
      <c r="DL18">
        <v>-2.3365496853366492E-2</v>
      </c>
      <c r="DM18">
        <v>85747700</v>
      </c>
      <c r="DN18">
        <v>-3.3379281219094989E-2</v>
      </c>
      <c r="DO18">
        <v>4896854000</v>
      </c>
      <c r="DP18">
        <v>2481829200</v>
      </c>
      <c r="DQ18">
        <v>1702</v>
      </c>
      <c r="DR18">
        <v>-0.5384682261122834</v>
      </c>
      <c r="DS18">
        <v>-0.92194526085789996</v>
      </c>
      <c r="DT18" s="9">
        <v>-0.49</v>
      </c>
      <c r="DU18">
        <v>-0.24000000000000002</v>
      </c>
      <c r="DV18">
        <v>-0.73</v>
      </c>
      <c r="DW18">
        <v>-2.1227999999999998</v>
      </c>
      <c r="DX18">
        <v>0.42352256637168167</v>
      </c>
      <c r="DY18">
        <v>-2.0139405711504423</v>
      </c>
      <c r="DZ18">
        <v>376</v>
      </c>
      <c r="EA18">
        <v>-2.012914807010997</v>
      </c>
      <c r="EB18">
        <v>2</v>
      </c>
      <c r="EC18">
        <v>3.4717863317078906E-2</v>
      </c>
      <c r="ED18">
        <v>0.30582345366832187</v>
      </c>
      <c r="EE18" s="10">
        <v>-1.0503</v>
      </c>
      <c r="EF18">
        <v>-1.0291999999999999</v>
      </c>
      <c r="EG18">
        <v>31.113522566371682</v>
      </c>
      <c r="EH18" t="s">
        <v>549</v>
      </c>
      <c r="EI18">
        <v>0</v>
      </c>
      <c r="EJ18">
        <v>1</v>
      </c>
      <c r="EK18" s="12">
        <v>45470</v>
      </c>
      <c r="EL18" s="13">
        <v>-0.76</v>
      </c>
      <c r="EM18" s="13">
        <v>-5.6</v>
      </c>
      <c r="EN18" s="13">
        <v>-1.08</v>
      </c>
      <c r="EO18" s="13">
        <v>3.27</v>
      </c>
      <c r="EP18" s="13">
        <v>-2.11</v>
      </c>
    </row>
    <row r="19" spans="1:146" ht="96" x14ac:dyDescent="0.25">
      <c r="A19" s="6"/>
      <c r="B19" s="6"/>
      <c r="C19" s="6" t="str">
        <f>""&amp;CHAR(10)&amp;Basic_Fundamental_Information_Constructure(F19)&amp;CHAR(10)&amp;Basic_Fundamental_Information_Concatenate("")</f>
        <v xml:space="preserve">
市值56.359656亿, 利润378.04万; PE300.1; 平均PE70.66; 平均PEG5.92, PB3.69; ROIC3.28%; ROE3.31%; 股利率.7541%; 毛利25.98%; 净利4.62%; 上一年度营收增-77.83%, 利润增-51.67%; 当季营收增-60.26%, 利润增-89.11%; 过往5年营收增-11.94%, 利润增-25.98%
Income profile:
</v>
      </c>
      <c r="D19" t="s">
        <v>119</v>
      </c>
      <c r="E19" t="s">
        <v>12</v>
      </c>
      <c r="F19">
        <v>13.26</v>
      </c>
      <c r="G19">
        <v>0.3</v>
      </c>
      <c r="H19" t="s">
        <v>1173</v>
      </c>
      <c r="I19">
        <v>5635965600</v>
      </c>
      <c r="J19">
        <v>300.10000000000002</v>
      </c>
      <c r="K19">
        <v>3.69</v>
      </c>
      <c r="L19" t="s">
        <v>42</v>
      </c>
      <c r="M19" t="s">
        <v>609</v>
      </c>
      <c r="N19" t="s">
        <v>1174</v>
      </c>
      <c r="O19" t="s">
        <v>78</v>
      </c>
      <c r="P19">
        <v>-14.62</v>
      </c>
      <c r="Q19" t="s">
        <v>78</v>
      </c>
      <c r="R19">
        <v>3780351</v>
      </c>
      <c r="S19" s="5">
        <v>-0.78739999999999999</v>
      </c>
      <c r="T19" t="s">
        <v>1175</v>
      </c>
      <c r="U19">
        <v>416248490</v>
      </c>
      <c r="V19">
        <v>425035110</v>
      </c>
      <c r="W19">
        <v>1.4</v>
      </c>
      <c r="X19">
        <v>0.09</v>
      </c>
      <c r="Y19">
        <v>2.12</v>
      </c>
      <c r="Z19" t="s">
        <v>72</v>
      </c>
      <c r="AA19" t="s">
        <v>408</v>
      </c>
      <c r="AB19" t="s">
        <v>1176</v>
      </c>
      <c r="AC19" t="s">
        <v>1177</v>
      </c>
      <c r="AD19" t="s">
        <v>45</v>
      </c>
      <c r="AE19">
        <v>71174</v>
      </c>
      <c r="AF19" t="s">
        <v>1178</v>
      </c>
      <c r="AG19">
        <v>0.55000000000000004</v>
      </c>
      <c r="AH19" t="s">
        <v>1179</v>
      </c>
      <c r="AI19" t="s">
        <v>1180</v>
      </c>
      <c r="AJ19" t="s">
        <v>1181</v>
      </c>
      <c r="AK19" t="s">
        <v>198</v>
      </c>
      <c r="AL19" t="s">
        <v>1182</v>
      </c>
      <c r="AM19" t="s">
        <v>45</v>
      </c>
      <c r="AN19" t="s">
        <v>1183</v>
      </c>
      <c r="AO19" t="s">
        <v>1184</v>
      </c>
      <c r="AP19" t="s">
        <v>1185</v>
      </c>
      <c r="AQ19" t="s">
        <v>491</v>
      </c>
      <c r="AR19" t="s">
        <v>45</v>
      </c>
      <c r="AS19" t="s">
        <v>1186</v>
      </c>
      <c r="AT19" t="s">
        <v>45</v>
      </c>
      <c r="AU19" t="s">
        <v>1187</v>
      </c>
      <c r="AV19" t="s">
        <v>1188</v>
      </c>
      <c r="AW19" t="s">
        <v>1189</v>
      </c>
      <c r="AX19" t="s">
        <v>520</v>
      </c>
      <c r="AY19" t="s">
        <v>321</v>
      </c>
      <c r="AZ19" t="s">
        <v>223</v>
      </c>
      <c r="BA19" t="s">
        <v>120</v>
      </c>
      <c r="BB19" t="s">
        <v>209</v>
      </c>
      <c r="BC19" t="s">
        <v>550</v>
      </c>
      <c r="BD19" t="s">
        <v>322</v>
      </c>
      <c r="BE19" t="s">
        <v>186</v>
      </c>
      <c r="BF19" t="s">
        <v>76</v>
      </c>
      <c r="BG19" t="s">
        <v>224</v>
      </c>
      <c r="BH19" t="s">
        <v>605</v>
      </c>
      <c r="BI19" t="s">
        <v>1190</v>
      </c>
      <c r="BJ19" t="s">
        <v>520</v>
      </c>
      <c r="BK19" t="s">
        <v>1191</v>
      </c>
      <c r="BL19" t="s">
        <v>1192</v>
      </c>
      <c r="BM19" t="s">
        <v>550</v>
      </c>
      <c r="BN19">
        <v>2.7</v>
      </c>
      <c r="BO19">
        <v>0.76</v>
      </c>
      <c r="BP19">
        <v>6.38</v>
      </c>
      <c r="BQ19">
        <v>2.83</v>
      </c>
      <c r="BR19">
        <v>0.52</v>
      </c>
      <c r="BS19">
        <v>6.58</v>
      </c>
      <c r="BT19" t="s">
        <v>487</v>
      </c>
      <c r="BU19" t="s">
        <v>683</v>
      </c>
      <c r="BV19">
        <v>24.03</v>
      </c>
      <c r="BW19">
        <v>23.69</v>
      </c>
      <c r="BX19">
        <v>30.22</v>
      </c>
      <c r="BY19">
        <v>3.23</v>
      </c>
      <c r="BZ19">
        <v>1.02</v>
      </c>
      <c r="CA19">
        <v>9.61</v>
      </c>
      <c r="CB19">
        <v>-9.36</v>
      </c>
      <c r="CC19">
        <v>-3.84</v>
      </c>
      <c r="CD19" t="s">
        <v>137</v>
      </c>
      <c r="CE19" t="s">
        <v>176</v>
      </c>
      <c r="CF19" s="7">
        <v>-0.60256410256410253</v>
      </c>
      <c r="CG19" s="8">
        <v>-0.89114807957545938</v>
      </c>
      <c r="CH19" s="7">
        <v>-0.77830749750137329</v>
      </c>
      <c r="CI19" s="7">
        <v>-0.1924927830696106</v>
      </c>
      <c r="CJ19" s="7">
        <v>0.1570155918598175</v>
      </c>
      <c r="CK19" s="7">
        <v>-4.9735449254512787E-2</v>
      </c>
      <c r="CL19" s="7">
        <v>0.26675602793693542</v>
      </c>
      <c r="CM19" s="8">
        <v>-0.51666557788848877</v>
      </c>
      <c r="CN19" s="8">
        <v>-0.92149502038955688</v>
      </c>
      <c r="CO19" s="8">
        <v>-0.2216351181268692</v>
      </c>
      <c r="CP19" s="8">
        <v>-9.8591551184654236E-2</v>
      </c>
      <c r="CQ19" s="8">
        <v>0.45926135778427124</v>
      </c>
      <c r="CR19">
        <v>70.664197779045978</v>
      </c>
      <c r="CS19">
        <v>5.9206139068619903</v>
      </c>
      <c r="CT19">
        <v>0.75414781297134237</v>
      </c>
      <c r="CU19" s="7">
        <v>-0.11935282200574875</v>
      </c>
      <c r="CV19" s="8">
        <v>-0.25982518196105958</v>
      </c>
      <c r="CW19">
        <v>0.06</v>
      </c>
      <c r="CX19">
        <v>1249.8586392974289</v>
      </c>
      <c r="CY19" t="s">
        <v>1193</v>
      </c>
      <c r="CZ19">
        <v>-0.11935282200574875</v>
      </c>
      <c r="DA19">
        <v>416.61954643247628</v>
      </c>
      <c r="DB19" t="s">
        <v>1194</v>
      </c>
      <c r="DC19">
        <v>-0.11338518090546131</v>
      </c>
      <c r="DD19">
        <v>208.30977321623814</v>
      </c>
      <c r="DE19" t="s">
        <v>1195</v>
      </c>
      <c r="DF19">
        <v>-0.10503048336505889</v>
      </c>
      <c r="DG19">
        <v>124.98586392974289</v>
      </c>
      <c r="DH19" t="s">
        <v>1196</v>
      </c>
      <c r="DI19">
        <v>-9.5482257604598997E-2</v>
      </c>
      <c r="DJ19">
        <v>62.492931964871445</v>
      </c>
      <c r="DK19" t="s">
        <v>1197</v>
      </c>
      <c r="DL19">
        <v>-8.3546975404024115E-2</v>
      </c>
      <c r="DM19">
        <v>3780400</v>
      </c>
      <c r="DN19">
        <v>-0.11935282200574875</v>
      </c>
      <c r="DO19">
        <v>4724965600</v>
      </c>
      <c r="DP19">
        <v>818920300</v>
      </c>
      <c r="DQ19">
        <v>1820</v>
      </c>
      <c r="DR19">
        <v>-0.48321128055835377</v>
      </c>
      <c r="DS19">
        <v>-0.63132289761439986</v>
      </c>
      <c r="DT19" s="9">
        <v>-0.69</v>
      </c>
      <c r="DU19">
        <v>-0.94</v>
      </c>
      <c r="DV19">
        <v>-1.63</v>
      </c>
      <c r="DW19">
        <v>-5.4102564102564106</v>
      </c>
      <c r="DX19">
        <v>0.28770515974809907</v>
      </c>
      <c r="DY19">
        <v>-5.0318790398966557</v>
      </c>
      <c r="DZ19">
        <v>3144</v>
      </c>
      <c r="EA19">
        <v>-5.012265008304662</v>
      </c>
      <c r="EB19">
        <v>5</v>
      </c>
      <c r="EC19">
        <v>0.25174390887378695</v>
      </c>
      <c r="ED19">
        <v>3.2397323599925665</v>
      </c>
      <c r="EE19" s="10">
        <v>2.0270000000000001</v>
      </c>
      <c r="EF19">
        <v>2.0057999999999998</v>
      </c>
      <c r="EG19">
        <v>21.077705159748099</v>
      </c>
      <c r="EH19" t="s">
        <v>612</v>
      </c>
      <c r="EI19">
        <v>0</v>
      </c>
      <c r="EJ19">
        <v>0</v>
      </c>
      <c r="EK19" s="12">
        <v>45470</v>
      </c>
      <c r="EL19" s="13">
        <v>-0.48</v>
      </c>
      <c r="EM19" s="13">
        <v>-5.26</v>
      </c>
      <c r="EN19" s="13">
        <v>0.72</v>
      </c>
      <c r="EO19" s="13">
        <v>4.4400000000000004</v>
      </c>
      <c r="EP19" s="13">
        <v>-2.12</v>
      </c>
    </row>
    <row r="20" spans="1:146" ht="96" x14ac:dyDescent="0.25">
      <c r="A20" s="6"/>
      <c r="B20" s="6"/>
      <c r="C20" s="6" t="str">
        <f>""&amp;CHAR(10)&amp;Basic_Fundamental_Information_Constructure(F20)&amp;CHAR(10)&amp;Basic_Fundamental_Information_Concatenate("")</f>
        <v xml:space="preserve">
市值38.9538亿, 利润5678.04万; PE15.35; 平均PE22.87; 平均PEG2.63, PB1.95; ROIC10.9733%; ROE11.87%; 股利率3.87%; 毛利32.01%; 净利20.5367%; 上一年度营收增-74.86%, 利润增-72.17%; 当季营收增-48.85%, 利润增-51.05%; 过往5年营收增-8.69%, 利润增-9.1%
Income profile:
</v>
      </c>
      <c r="D20" t="s">
        <v>122</v>
      </c>
      <c r="E20" t="s">
        <v>18</v>
      </c>
      <c r="F20">
        <v>6.46</v>
      </c>
      <c r="G20">
        <v>-0.15</v>
      </c>
      <c r="H20" t="s">
        <v>1198</v>
      </c>
      <c r="I20">
        <v>3895380000</v>
      </c>
      <c r="J20">
        <v>15.35</v>
      </c>
      <c r="K20">
        <v>1.95</v>
      </c>
      <c r="L20" t="s">
        <v>42</v>
      </c>
      <c r="M20" t="s">
        <v>555</v>
      </c>
      <c r="N20" t="s">
        <v>1199</v>
      </c>
      <c r="O20" t="s">
        <v>376</v>
      </c>
      <c r="P20">
        <v>4</v>
      </c>
      <c r="Q20" t="s">
        <v>376</v>
      </c>
      <c r="R20">
        <v>56780430</v>
      </c>
      <c r="S20" s="5">
        <v>0.2097</v>
      </c>
      <c r="T20" t="s">
        <v>1200</v>
      </c>
      <c r="U20">
        <v>412153970</v>
      </c>
      <c r="V20">
        <v>603000000</v>
      </c>
      <c r="W20">
        <v>1.2</v>
      </c>
      <c r="X20">
        <v>0.11</v>
      </c>
      <c r="Y20">
        <v>21.34</v>
      </c>
      <c r="Z20" t="s">
        <v>553</v>
      </c>
      <c r="AA20" t="s">
        <v>987</v>
      </c>
      <c r="AB20" t="s">
        <v>1201</v>
      </c>
      <c r="AC20" t="s">
        <v>1202</v>
      </c>
      <c r="AD20" t="s">
        <v>45</v>
      </c>
      <c r="AE20">
        <v>1123864</v>
      </c>
      <c r="AF20" t="s">
        <v>1203</v>
      </c>
      <c r="AG20" t="s">
        <v>45</v>
      </c>
      <c r="AH20" t="s">
        <v>1204</v>
      </c>
      <c r="AI20" t="s">
        <v>499</v>
      </c>
      <c r="AJ20" t="s">
        <v>1205</v>
      </c>
      <c r="AK20" t="s">
        <v>73</v>
      </c>
      <c r="AL20" t="s">
        <v>1206</v>
      </c>
      <c r="AM20" t="s">
        <v>45</v>
      </c>
      <c r="AN20" t="s">
        <v>1207</v>
      </c>
      <c r="AO20" t="s">
        <v>1208</v>
      </c>
      <c r="AP20" t="s">
        <v>552</v>
      </c>
      <c r="AQ20" t="s">
        <v>563</v>
      </c>
      <c r="AR20" t="s">
        <v>45</v>
      </c>
      <c r="AS20" t="s">
        <v>1209</v>
      </c>
      <c r="AT20" t="s">
        <v>45</v>
      </c>
      <c r="AU20" t="s">
        <v>1210</v>
      </c>
      <c r="AV20" t="s">
        <v>1211</v>
      </c>
      <c r="AW20" t="s">
        <v>1212</v>
      </c>
      <c r="AX20" t="s">
        <v>556</v>
      </c>
      <c r="AY20" t="s">
        <v>281</v>
      </c>
      <c r="AZ20" t="s">
        <v>225</v>
      </c>
      <c r="BA20" t="s">
        <v>123</v>
      </c>
      <c r="BB20" t="s">
        <v>227</v>
      </c>
      <c r="BC20" t="s">
        <v>534</v>
      </c>
      <c r="BD20" t="s">
        <v>74</v>
      </c>
      <c r="BE20" t="s">
        <v>91</v>
      </c>
      <c r="BF20" t="s">
        <v>80</v>
      </c>
      <c r="BG20" t="s">
        <v>80</v>
      </c>
      <c r="BH20" t="s">
        <v>1213</v>
      </c>
      <c r="BI20" t="s">
        <v>1214</v>
      </c>
      <c r="BJ20" t="s">
        <v>556</v>
      </c>
      <c r="BK20" t="s">
        <v>405</v>
      </c>
      <c r="BL20" t="s">
        <v>53</v>
      </c>
      <c r="BM20" t="s">
        <v>534</v>
      </c>
      <c r="BN20">
        <v>8.9700000000000006</v>
      </c>
      <c r="BO20">
        <v>11.03</v>
      </c>
      <c r="BP20">
        <v>12.92</v>
      </c>
      <c r="BQ20">
        <v>9.42</v>
      </c>
      <c r="BR20">
        <v>11.6</v>
      </c>
      <c r="BS20">
        <v>14.59</v>
      </c>
      <c r="BT20" t="s">
        <v>682</v>
      </c>
      <c r="BU20" t="s">
        <v>683</v>
      </c>
      <c r="BV20">
        <v>34.18</v>
      </c>
      <c r="BW20">
        <v>30.92</v>
      </c>
      <c r="BX20">
        <v>30.93</v>
      </c>
      <c r="BY20">
        <v>22.23</v>
      </c>
      <c r="BZ20">
        <v>19.04</v>
      </c>
      <c r="CA20">
        <v>20.34</v>
      </c>
      <c r="CB20">
        <v>-5.42</v>
      </c>
      <c r="CC20">
        <v>-15.33</v>
      </c>
      <c r="CD20" t="s">
        <v>1215</v>
      </c>
      <c r="CE20" t="s">
        <v>1216</v>
      </c>
      <c r="CF20" s="7">
        <v>-0.48846153846153845</v>
      </c>
      <c r="CG20" s="8">
        <v>-0.5105135344827586</v>
      </c>
      <c r="CH20" s="7">
        <v>-0.74858224391937256</v>
      </c>
      <c r="CI20" s="7">
        <v>-6.2056738883256912E-2</v>
      </c>
      <c r="CJ20" s="7">
        <v>0.20255863666534424</v>
      </c>
      <c r="CK20" s="7">
        <v>8.5648149251937866E-2</v>
      </c>
      <c r="CL20" s="7">
        <v>8.8161207735538483E-2</v>
      </c>
      <c r="CM20" s="8">
        <v>-0.72166472673416138</v>
      </c>
      <c r="CN20" s="8">
        <v>-0.11304347962141037</v>
      </c>
      <c r="CO20" s="8">
        <v>0.12195122241973877</v>
      </c>
      <c r="CP20" s="8">
        <v>0.25766870379447937</v>
      </c>
      <c r="CQ20" s="8">
        <v>0</v>
      </c>
      <c r="CR20">
        <v>22.874073528910909</v>
      </c>
      <c r="CS20">
        <v>2.6336174992592154</v>
      </c>
      <c r="CT20">
        <v>3.8699690402476778</v>
      </c>
      <c r="CU20" s="7">
        <v>-8.6854197829961774E-2</v>
      </c>
      <c r="CV20" s="8">
        <v>-9.1017656028270721E-2</v>
      </c>
      <c r="CW20">
        <v>0.06</v>
      </c>
      <c r="CX20">
        <v>40.672133341786953</v>
      </c>
      <c r="CY20" t="s">
        <v>1217</v>
      </c>
      <c r="CZ20">
        <v>-8.6854197829961774E-2</v>
      </c>
      <c r="DA20">
        <v>13.557377780595651</v>
      </c>
      <c r="DB20" t="s">
        <v>1218</v>
      </c>
      <c r="DC20">
        <v>-8.2511487938463676E-2</v>
      </c>
      <c r="DD20">
        <v>6.7786888902978255</v>
      </c>
      <c r="DE20" t="s">
        <v>1219</v>
      </c>
      <c r="DF20">
        <v>-7.6431694090366362E-2</v>
      </c>
      <c r="DG20">
        <v>4.0672133341786951</v>
      </c>
      <c r="DH20" t="s">
        <v>1220</v>
      </c>
      <c r="DI20">
        <v>-6.9483358263969425E-2</v>
      </c>
      <c r="DJ20">
        <v>2.0336066670893476</v>
      </c>
      <c r="DK20" t="s">
        <v>1221</v>
      </c>
      <c r="DL20">
        <v>-6.0797938480973236E-2</v>
      </c>
      <c r="DM20">
        <v>56780400</v>
      </c>
      <c r="DN20">
        <v>-8.6854197829961774E-2</v>
      </c>
      <c r="DO20">
        <v>2309380000</v>
      </c>
      <c r="DP20">
        <v>569098750</v>
      </c>
      <c r="DQ20">
        <v>1875</v>
      </c>
      <c r="DR20">
        <v>-0.40160734063157666</v>
      </c>
      <c r="DS20">
        <v>-0.41949587845448788</v>
      </c>
      <c r="DT20" s="9">
        <v>-0.64</v>
      </c>
      <c r="DU20">
        <v>-0.4366666666666667</v>
      </c>
      <c r="DV20">
        <v>-1.0766666666666667</v>
      </c>
      <c r="DW20">
        <v>-8.3535551206784078</v>
      </c>
      <c r="DX20">
        <v>0.35914231738035141</v>
      </c>
      <c r="DY20">
        <v>-8.0421233763993154</v>
      </c>
      <c r="DZ20">
        <v>1767</v>
      </c>
      <c r="EA20">
        <v>-8.0275574260866751</v>
      </c>
      <c r="EB20">
        <v>8</v>
      </c>
      <c r="EC20">
        <v>7.8440298507462689E-2</v>
      </c>
      <c r="ED20">
        <v>0.65837479270315091</v>
      </c>
      <c r="EE20" s="10">
        <v>1.03871</v>
      </c>
      <c r="EF20">
        <v>1.0475099999999999</v>
      </c>
      <c r="EG20">
        <v>24.119142317380351</v>
      </c>
      <c r="EH20" t="s">
        <v>379</v>
      </c>
      <c r="EI20">
        <v>0</v>
      </c>
      <c r="EJ20">
        <v>0</v>
      </c>
      <c r="EK20" s="12">
        <v>45470</v>
      </c>
      <c r="EL20" s="13">
        <v>-0.44</v>
      </c>
      <c r="EM20" s="13">
        <v>-3.57</v>
      </c>
      <c r="EN20" s="13">
        <v>1.85</v>
      </c>
      <c r="EO20" s="13">
        <v>3.18</v>
      </c>
      <c r="EP20" s="13">
        <v>-0.88</v>
      </c>
    </row>
    <row r="21" spans="1:146" ht="96" x14ac:dyDescent="0.25">
      <c r="A21" s="6"/>
      <c r="B21" s="6"/>
      <c r="C21" s="6" t="str">
        <f>""&amp;CHAR(10)&amp;Basic_Fundamental_Information_Constructure(F21)&amp;CHAR(10)&amp;Basic_Fundamental_Information_Concatenate("")</f>
        <v xml:space="preserve">
市值18.655482亿, 利润1613.39万; PE20.18; 平均PE34.23; 平均PEG13.55, PB1.73; ROIC6.1833%; ROE7.42%; 股利率3.5907%; 毛利19.0033%; 净利8.9033%; 上一年度营收增-73.49%, 利润增-76.01%; 当季营收增-40%, 利润增-49.73%; 过往5年营收增2.53%, 利润增19.61%
Income profile:
</v>
      </c>
      <c r="D21" t="s">
        <v>267</v>
      </c>
      <c r="E21" t="s">
        <v>268</v>
      </c>
      <c r="F21">
        <v>16.71</v>
      </c>
      <c r="G21">
        <v>-0.24</v>
      </c>
      <c r="H21" t="s">
        <v>1222</v>
      </c>
      <c r="I21">
        <v>1865548200</v>
      </c>
      <c r="J21">
        <v>20.18</v>
      </c>
      <c r="K21">
        <v>1.73</v>
      </c>
      <c r="L21" t="s">
        <v>42</v>
      </c>
      <c r="M21" t="s">
        <v>1223</v>
      </c>
      <c r="N21" t="s">
        <v>1224</v>
      </c>
      <c r="O21" t="s">
        <v>1225</v>
      </c>
      <c r="P21">
        <v>48.01</v>
      </c>
      <c r="Q21" t="s">
        <v>1225</v>
      </c>
      <c r="R21">
        <v>16133928</v>
      </c>
      <c r="S21" s="5">
        <v>0.6794</v>
      </c>
      <c r="T21" t="s">
        <v>1226</v>
      </c>
      <c r="U21">
        <v>96522624</v>
      </c>
      <c r="V21">
        <v>111642624</v>
      </c>
      <c r="W21">
        <v>1.75</v>
      </c>
      <c r="X21">
        <v>0.11</v>
      </c>
      <c r="Y21">
        <v>7.23</v>
      </c>
      <c r="Z21" t="s">
        <v>534</v>
      </c>
      <c r="AA21" t="s">
        <v>1227</v>
      </c>
      <c r="AB21" t="s">
        <v>1228</v>
      </c>
      <c r="AC21" t="s">
        <v>1229</v>
      </c>
      <c r="AD21" t="s">
        <v>45</v>
      </c>
      <c r="AE21">
        <v>586849</v>
      </c>
      <c r="AF21" t="s">
        <v>1230</v>
      </c>
      <c r="AG21">
        <v>3434</v>
      </c>
      <c r="AH21" t="s">
        <v>1231</v>
      </c>
      <c r="AI21" t="s">
        <v>1232</v>
      </c>
      <c r="AJ21" t="s">
        <v>1233</v>
      </c>
      <c r="AK21" t="s">
        <v>67</v>
      </c>
      <c r="AL21" t="s">
        <v>1234</v>
      </c>
      <c r="AM21" t="s">
        <v>45</v>
      </c>
      <c r="AN21" t="s">
        <v>1235</v>
      </c>
      <c r="AO21" t="s">
        <v>217</v>
      </c>
      <c r="AP21" t="s">
        <v>528</v>
      </c>
      <c r="AQ21" t="s">
        <v>1236</v>
      </c>
      <c r="AR21" t="s">
        <v>1237</v>
      </c>
      <c r="AS21" t="s">
        <v>1238</v>
      </c>
      <c r="AT21" t="s">
        <v>45</v>
      </c>
      <c r="AU21" t="s">
        <v>1239</v>
      </c>
      <c r="AV21" t="s">
        <v>1240</v>
      </c>
      <c r="AW21" t="s">
        <v>1241</v>
      </c>
      <c r="AX21" t="s">
        <v>345</v>
      </c>
      <c r="AY21" t="s">
        <v>287</v>
      </c>
      <c r="AZ21" t="s">
        <v>269</v>
      </c>
      <c r="BA21" t="s">
        <v>271</v>
      </c>
      <c r="BB21" t="s">
        <v>57</v>
      </c>
      <c r="BC21" t="s">
        <v>1242</v>
      </c>
      <c r="BD21" t="s">
        <v>324</v>
      </c>
      <c r="BE21" t="s">
        <v>270</v>
      </c>
      <c r="BF21" t="s">
        <v>272</v>
      </c>
      <c r="BG21" t="s">
        <v>273</v>
      </c>
      <c r="BH21" t="s">
        <v>1223</v>
      </c>
      <c r="BI21" t="s">
        <v>554</v>
      </c>
      <c r="BJ21" t="s">
        <v>345</v>
      </c>
      <c r="BK21" t="s">
        <v>1243</v>
      </c>
      <c r="BL21" t="s">
        <v>1244</v>
      </c>
      <c r="BM21" t="s">
        <v>1242</v>
      </c>
      <c r="BN21">
        <v>4.13</v>
      </c>
      <c r="BO21">
        <v>5.67</v>
      </c>
      <c r="BP21">
        <v>8.75</v>
      </c>
      <c r="BQ21">
        <v>5.47</v>
      </c>
      <c r="BR21">
        <v>6.78</v>
      </c>
      <c r="BS21">
        <v>10.01</v>
      </c>
      <c r="BT21" t="s">
        <v>1245</v>
      </c>
      <c r="BU21" t="s">
        <v>683</v>
      </c>
      <c r="BV21">
        <v>20.22</v>
      </c>
      <c r="BW21">
        <v>17.940000000000001</v>
      </c>
      <c r="BX21">
        <v>18.850000000000001</v>
      </c>
      <c r="BY21">
        <v>9.73</v>
      </c>
      <c r="BZ21">
        <v>8.1199999999999992</v>
      </c>
      <c r="CA21">
        <v>8.86</v>
      </c>
      <c r="CB21">
        <v>-4.3</v>
      </c>
      <c r="CC21">
        <v>-16.36</v>
      </c>
      <c r="CD21" t="s">
        <v>1246</v>
      </c>
      <c r="CE21" t="s">
        <v>1247</v>
      </c>
      <c r="CF21" s="7">
        <v>-0.4</v>
      </c>
      <c r="CG21" s="8">
        <v>-0.4973259139711243</v>
      </c>
      <c r="CH21" s="7">
        <v>-0.73486685752868652</v>
      </c>
      <c r="CI21" s="7">
        <v>7.5520835816860199E-2</v>
      </c>
      <c r="CJ21" s="7">
        <v>0.33102253079414368</v>
      </c>
      <c r="CK21" s="7">
        <v>0.1403162032365799</v>
      </c>
      <c r="CL21" s="7">
        <v>0.31428572535514832</v>
      </c>
      <c r="CM21" s="8">
        <v>-0.76014065742492676</v>
      </c>
      <c r="CN21" s="8">
        <v>-1.1421096511185169E-2</v>
      </c>
      <c r="CO21" s="8">
        <v>-0.16928723454475403</v>
      </c>
      <c r="CP21" s="8">
        <v>0.19550999999046326</v>
      </c>
      <c r="CQ21" s="8">
        <v>1.7260575294494629</v>
      </c>
      <c r="CR21">
        <v>34.231257624461641</v>
      </c>
      <c r="CS21">
        <v>13.553880715890939</v>
      </c>
      <c r="CT21">
        <v>3.5906642728904847</v>
      </c>
      <c r="CU21" s="7">
        <v>2.5255687534809113E-2</v>
      </c>
      <c r="CV21" s="8">
        <v>0.19614370819181204</v>
      </c>
      <c r="CW21">
        <v>0.06</v>
      </c>
      <c r="CX21">
        <v>103.6553083742885</v>
      </c>
      <c r="CY21">
        <v>15605068.619922508</v>
      </c>
      <c r="CZ21">
        <v>2.5255687534809113E-2</v>
      </c>
      <c r="DA21">
        <v>35.796582797942285</v>
      </c>
      <c r="DB21">
        <v>45187223.851238184</v>
      </c>
      <c r="DC21">
        <v>2.3992903158068655E-2</v>
      </c>
      <c r="DD21">
        <v>18.936109950141073</v>
      </c>
      <c r="DE21">
        <v>85421356.56473358</v>
      </c>
      <c r="DF21">
        <v>2.222500503063202E-2</v>
      </c>
      <c r="DG21">
        <v>12.299862605050455</v>
      </c>
      <c r="DH21">
        <v>131509452.74265239</v>
      </c>
      <c r="DI21">
        <v>2.0204550027847292E-2</v>
      </c>
      <c r="DJ21">
        <v>7.48110261742191</v>
      </c>
      <c r="DK21">
        <v>216217886.9506577</v>
      </c>
      <c r="DL21">
        <v>1.7678981274366377E-2</v>
      </c>
      <c r="DM21">
        <v>16133900.000000002</v>
      </c>
      <c r="DN21">
        <v>2.5255687534809113E-2</v>
      </c>
      <c r="DO21">
        <v>1617548200</v>
      </c>
      <c r="DP21">
        <v>1045586400</v>
      </c>
      <c r="DQ21">
        <v>2458</v>
      </c>
      <c r="DR21">
        <v>-0.42525568753480913</v>
      </c>
      <c r="DS21">
        <v>-0.69346962216293639</v>
      </c>
      <c r="DT21" s="9">
        <v>-0.54</v>
      </c>
      <c r="DU21">
        <v>-0.37000000000000005</v>
      </c>
      <c r="DV21">
        <v>-0.91000000000000014</v>
      </c>
      <c r="DW21">
        <v>-8.2628361858190704</v>
      </c>
      <c r="DX21">
        <v>0.27035804269445279</v>
      </c>
      <c r="DY21">
        <v>-8.0211210014416956</v>
      </c>
      <c r="DZ21">
        <v>2415</v>
      </c>
      <c r="EA21">
        <v>-8.0111391582945934</v>
      </c>
      <c r="EB21">
        <v>8</v>
      </c>
      <c r="EC21">
        <v>3.4995594514152586E-2</v>
      </c>
      <c r="ED21">
        <v>0.43549585505980226</v>
      </c>
      <c r="EE21" s="10">
        <v>1.00491</v>
      </c>
      <c r="EF21">
        <v>1.02861</v>
      </c>
      <c r="EG21">
        <v>19.080358042694453</v>
      </c>
      <c r="EH21" t="s">
        <v>379</v>
      </c>
      <c r="EI21">
        <v>0</v>
      </c>
      <c r="EJ21">
        <v>0</v>
      </c>
      <c r="EK21" s="12">
        <v>45470</v>
      </c>
      <c r="EL21" s="13">
        <v>0.43</v>
      </c>
      <c r="EM21" s="13">
        <v>-5.8</v>
      </c>
      <c r="EN21" s="13">
        <v>2.08</v>
      </c>
      <c r="EO21" s="13">
        <v>4.88</v>
      </c>
      <c r="EP21" s="13">
        <v>-2.37</v>
      </c>
    </row>
    <row r="22" spans="1:146" ht="144" x14ac:dyDescent="0.25">
      <c r="A22" s="6"/>
      <c r="B22" s="6"/>
      <c r="C22" s="6" t="s">
        <v>382</v>
      </c>
      <c r="D22" t="s">
        <v>54</v>
      </c>
      <c r="E22" t="s">
        <v>5</v>
      </c>
      <c r="F22">
        <v>4.2300000000000004</v>
      </c>
      <c r="G22">
        <v>0.95</v>
      </c>
      <c r="H22" t="s">
        <v>1248</v>
      </c>
      <c r="I22">
        <v>3375602500</v>
      </c>
      <c r="J22">
        <v>58.51</v>
      </c>
      <c r="K22">
        <v>1.33</v>
      </c>
      <c r="L22" t="s">
        <v>42</v>
      </c>
      <c r="M22" t="s">
        <v>1050</v>
      </c>
      <c r="N22" t="s">
        <v>1249</v>
      </c>
      <c r="O22" t="s">
        <v>1250</v>
      </c>
      <c r="P22">
        <v>2.95</v>
      </c>
      <c r="Q22" t="s">
        <v>1250</v>
      </c>
      <c r="R22">
        <v>31968193</v>
      </c>
      <c r="S22" s="5">
        <v>5.3800000000000001E-2</v>
      </c>
      <c r="T22" t="s">
        <v>1251</v>
      </c>
      <c r="U22">
        <v>798014770</v>
      </c>
      <c r="V22">
        <v>798014770</v>
      </c>
      <c r="W22">
        <v>3.07</v>
      </c>
      <c r="X22">
        <v>0.31</v>
      </c>
      <c r="Y22">
        <v>1.34</v>
      </c>
      <c r="Z22" t="s">
        <v>1252</v>
      </c>
      <c r="AA22" t="s">
        <v>1253</v>
      </c>
      <c r="AB22" t="s">
        <v>404</v>
      </c>
      <c r="AC22" t="s">
        <v>1254</v>
      </c>
      <c r="AD22" t="s">
        <v>45</v>
      </c>
      <c r="AE22">
        <v>10217720</v>
      </c>
      <c r="AF22" t="s">
        <v>1255</v>
      </c>
      <c r="AG22" t="s">
        <v>1256</v>
      </c>
      <c r="AH22" t="s">
        <v>1257</v>
      </c>
      <c r="AI22" t="s">
        <v>1258</v>
      </c>
      <c r="AJ22" t="s">
        <v>1259</v>
      </c>
      <c r="AK22" t="s">
        <v>1260</v>
      </c>
      <c r="AL22" t="s">
        <v>1261</v>
      </c>
      <c r="AM22" t="s">
        <v>45</v>
      </c>
      <c r="AN22" t="s">
        <v>1262</v>
      </c>
      <c r="AO22" t="s">
        <v>1263</v>
      </c>
      <c r="AP22" t="s">
        <v>1264</v>
      </c>
      <c r="AQ22" t="s">
        <v>1265</v>
      </c>
      <c r="AR22" t="s">
        <v>45</v>
      </c>
      <c r="AS22" t="s">
        <v>1266</v>
      </c>
      <c r="AT22" t="s">
        <v>537</v>
      </c>
      <c r="AU22" t="s">
        <v>1267</v>
      </c>
      <c r="AV22" t="s">
        <v>1268</v>
      </c>
      <c r="AW22" t="s">
        <v>1269</v>
      </c>
      <c r="AX22" t="s">
        <v>562</v>
      </c>
      <c r="AY22" t="s">
        <v>325</v>
      </c>
      <c r="AZ22" t="s">
        <v>230</v>
      </c>
      <c r="BA22" t="s">
        <v>55</v>
      </c>
      <c r="BB22" t="s">
        <v>231</v>
      </c>
      <c r="BC22" t="s">
        <v>488</v>
      </c>
      <c r="BD22" t="s">
        <v>177</v>
      </c>
      <c r="BE22" t="s">
        <v>75</v>
      </c>
      <c r="BF22" t="s">
        <v>56</v>
      </c>
      <c r="BG22" t="s">
        <v>232</v>
      </c>
      <c r="BH22" t="s">
        <v>1270</v>
      </c>
      <c r="BI22" t="s">
        <v>1271</v>
      </c>
      <c r="BJ22" t="s">
        <v>562</v>
      </c>
      <c r="BK22" t="s">
        <v>1272</v>
      </c>
      <c r="BL22" t="s">
        <v>1273</v>
      </c>
      <c r="BM22" t="s">
        <v>488</v>
      </c>
      <c r="BN22">
        <v>2.91</v>
      </c>
      <c r="BO22">
        <v>4.21</v>
      </c>
      <c r="BP22">
        <v>5.22</v>
      </c>
      <c r="BQ22">
        <v>4.32</v>
      </c>
      <c r="BR22">
        <v>6.03</v>
      </c>
      <c r="BS22">
        <v>7.63</v>
      </c>
      <c r="BT22" t="s">
        <v>567</v>
      </c>
      <c r="BU22" t="s">
        <v>393</v>
      </c>
      <c r="BV22">
        <v>14.08</v>
      </c>
      <c r="BW22">
        <v>13.97</v>
      </c>
      <c r="BX22">
        <v>16.63</v>
      </c>
      <c r="BY22">
        <v>0.71</v>
      </c>
      <c r="BZ22">
        <v>1.68</v>
      </c>
      <c r="CA22">
        <v>2.54</v>
      </c>
      <c r="CB22">
        <v>-1.17</v>
      </c>
      <c r="CC22">
        <v>-16.07</v>
      </c>
      <c r="CD22" t="s">
        <v>1274</v>
      </c>
      <c r="CE22" t="s">
        <v>867</v>
      </c>
      <c r="CF22" s="7">
        <v>-0.49833300647185724</v>
      </c>
      <c r="CG22" s="8">
        <v>-0.57437486685980865</v>
      </c>
      <c r="CH22" s="7">
        <v>-0.73262250423431396</v>
      </c>
      <c r="CI22" s="7">
        <v>0.10908876359462738</v>
      </c>
      <c r="CJ22" s="7">
        <v>0.22198612987995148</v>
      </c>
      <c r="CK22" s="7">
        <v>9.7310721874237061E-2</v>
      </c>
      <c r="CL22" s="7">
        <v>0.13959251344203949</v>
      </c>
      <c r="CM22" s="8">
        <v>-0.78103971481323242</v>
      </c>
      <c r="CN22" s="8">
        <v>-0.18888889253139496</v>
      </c>
      <c r="CO22" s="8">
        <v>-0.41935482621192932</v>
      </c>
      <c r="CP22" s="8">
        <v>0.60621762275695801</v>
      </c>
      <c r="CQ22" s="8">
        <v>1.7610518932342529</v>
      </c>
      <c r="CR22">
        <v>21.757747679023829</v>
      </c>
      <c r="CS22">
        <v>6.6074980151677813</v>
      </c>
      <c r="CT22">
        <v>0.23640661938534277</v>
      </c>
      <c r="CU22" s="7">
        <v>-3.292887508869171E-2</v>
      </c>
      <c r="CV22" s="8">
        <v>0.19559721648693085</v>
      </c>
      <c r="CW22">
        <v>0.06</v>
      </c>
      <c r="CX22">
        <v>182.13732709379946</v>
      </c>
      <c r="CY22" t="s">
        <v>1275</v>
      </c>
      <c r="CZ22">
        <v>-3.292887508869171E-2</v>
      </c>
      <c r="DA22">
        <v>60.712442364599823</v>
      </c>
      <c r="DB22" t="s">
        <v>1276</v>
      </c>
      <c r="DC22">
        <v>-3.1282431334257121E-2</v>
      </c>
      <c r="DD22">
        <v>30.356221182299912</v>
      </c>
      <c r="DE22" t="s">
        <v>1277</v>
      </c>
      <c r="DF22">
        <v>-2.8977410078048705E-2</v>
      </c>
      <c r="DG22">
        <v>18.213732709379947</v>
      </c>
      <c r="DH22" t="s">
        <v>1278</v>
      </c>
      <c r="DI22">
        <v>-2.6343100070953369E-2</v>
      </c>
      <c r="DJ22">
        <v>9.1068663546899735</v>
      </c>
      <c r="DK22" t="s">
        <v>1279</v>
      </c>
      <c r="DL22">
        <v>-2.3050212562084196E-2</v>
      </c>
      <c r="DM22">
        <v>31968200</v>
      </c>
      <c r="DN22">
        <v>-3.292887508869171E-2</v>
      </c>
      <c r="DO22">
        <v>5822602500</v>
      </c>
      <c r="DP22">
        <v>321697300</v>
      </c>
      <c r="DQ22">
        <v>3107</v>
      </c>
      <c r="DR22">
        <v>-0.46540413138316555</v>
      </c>
      <c r="DS22">
        <v>-0.7699720833467395</v>
      </c>
      <c r="DT22" s="9">
        <v>-0.64</v>
      </c>
      <c r="DU22">
        <v>-0.40333333333333338</v>
      </c>
      <c r="DV22">
        <v>-1.0433333333333334</v>
      </c>
      <c r="DW22">
        <v>-3.0007916666666667</v>
      </c>
      <c r="DX22">
        <v>0.30685624999999828</v>
      </c>
      <c r="DY22">
        <v>-3.0000766778645835</v>
      </c>
      <c r="DZ22">
        <v>3425</v>
      </c>
      <c r="EA22">
        <v>-3.0000252841882236</v>
      </c>
      <c r="EB22">
        <v>3</v>
      </c>
      <c r="EC22">
        <v>2.5245272089387517E-2</v>
      </c>
      <c r="ED22">
        <v>0.26064680482041702</v>
      </c>
      <c r="EE22" s="10">
        <v>-1.0367999999999999</v>
      </c>
      <c r="EF22">
        <v>-1.0129999999999999</v>
      </c>
      <c r="EG22">
        <v>21.096856249999998</v>
      </c>
      <c r="EH22" t="s">
        <v>549</v>
      </c>
      <c r="EI22">
        <v>0</v>
      </c>
      <c r="EJ22">
        <v>0</v>
      </c>
      <c r="EK22" s="12">
        <v>45470</v>
      </c>
      <c r="EL22" s="13">
        <v>1.17</v>
      </c>
      <c r="EM22" s="13">
        <v>-4.8</v>
      </c>
      <c r="EN22" s="13">
        <v>-0.7</v>
      </c>
      <c r="EO22" s="13">
        <v>3.15</v>
      </c>
      <c r="EP22" s="13">
        <v>-2.38</v>
      </c>
    </row>
    <row r="23" spans="1:146" ht="96" x14ac:dyDescent="0.25">
      <c r="A23" s="6"/>
      <c r="B23" s="6"/>
      <c r="C23" s="6" t="str">
        <f>""&amp;CHAR(10)&amp;Basic_Fundamental_Information_Constructure(F23)&amp;CHAR(10)&amp;Basic_Fundamental_Information_Concatenate("")</f>
        <v xml:space="preserve">
市值54.642889亿, 利润-652.52万; PE106.5; 平均PE29.51; 平均PEG6.09, PB.9; ROIC4.02%; ROE1.7667%; 股利率.1972%; 毛利11.07%; 净利.3167%; 上一年度营收增-66.19%, 利润增-118.4%; 当季营收增-39.28%, 利润增86.67%; 过往5年营收增-4.84%, 利润增-32.09%
Income profile:
</v>
      </c>
      <c r="D23" t="s">
        <v>125</v>
      </c>
      <c r="E23" t="s">
        <v>9</v>
      </c>
      <c r="F23">
        <v>5.07</v>
      </c>
      <c r="G23">
        <v>1.6</v>
      </c>
      <c r="H23" t="s">
        <v>1280</v>
      </c>
      <c r="I23">
        <v>5464288900</v>
      </c>
      <c r="J23">
        <v>106.5</v>
      </c>
      <c r="K23">
        <v>0.9</v>
      </c>
      <c r="L23" t="s">
        <v>42</v>
      </c>
      <c r="M23" t="s">
        <v>1281</v>
      </c>
      <c r="N23" t="s">
        <v>1282</v>
      </c>
      <c r="O23" t="s">
        <v>1283</v>
      </c>
      <c r="P23">
        <v>29.71</v>
      </c>
      <c r="Q23" t="s">
        <v>1283</v>
      </c>
      <c r="R23">
        <v>-6525172</v>
      </c>
      <c r="S23" s="5">
        <v>0.7611</v>
      </c>
      <c r="T23" t="s">
        <v>1284</v>
      </c>
      <c r="U23">
        <v>789174800</v>
      </c>
      <c r="V23">
        <v>1077769010</v>
      </c>
      <c r="W23">
        <v>2.71</v>
      </c>
      <c r="X23">
        <v>0.26</v>
      </c>
      <c r="Y23">
        <v>-0.25</v>
      </c>
      <c r="Z23" t="s">
        <v>1285</v>
      </c>
      <c r="AA23" t="s">
        <v>1286</v>
      </c>
      <c r="AB23" t="s">
        <v>1287</v>
      </c>
      <c r="AC23" t="s">
        <v>1288</v>
      </c>
      <c r="AD23" t="s">
        <v>45</v>
      </c>
      <c r="AE23">
        <v>58158697</v>
      </c>
      <c r="AF23" t="s">
        <v>1289</v>
      </c>
      <c r="AG23" t="s">
        <v>1290</v>
      </c>
      <c r="AH23" t="s">
        <v>1291</v>
      </c>
      <c r="AI23" t="s">
        <v>1292</v>
      </c>
      <c r="AJ23" t="s">
        <v>1293</v>
      </c>
      <c r="AK23" t="s">
        <v>1294</v>
      </c>
      <c r="AL23" t="s">
        <v>1295</v>
      </c>
      <c r="AM23" t="s">
        <v>45</v>
      </c>
      <c r="AN23" t="s">
        <v>1296</v>
      </c>
      <c r="AO23" t="s">
        <v>1297</v>
      </c>
      <c r="AP23" t="s">
        <v>1298</v>
      </c>
      <c r="AQ23" t="s">
        <v>1299</v>
      </c>
      <c r="AR23" t="s">
        <v>45</v>
      </c>
      <c r="AS23" t="s">
        <v>1300</v>
      </c>
      <c r="AT23" t="s">
        <v>560</v>
      </c>
      <c r="AU23" t="s">
        <v>1301</v>
      </c>
      <c r="AV23" t="s">
        <v>1302</v>
      </c>
      <c r="AW23" t="s">
        <v>1303</v>
      </c>
      <c r="AX23" t="s">
        <v>564</v>
      </c>
      <c r="AY23" t="s">
        <v>326</v>
      </c>
      <c r="AZ23" t="s">
        <v>233</v>
      </c>
      <c r="BA23" t="s">
        <v>126</v>
      </c>
      <c r="BB23" t="s">
        <v>234</v>
      </c>
      <c r="BC23" t="s">
        <v>565</v>
      </c>
      <c r="BD23" t="s">
        <v>323</v>
      </c>
      <c r="BE23" t="s">
        <v>80</v>
      </c>
      <c r="BF23" t="s">
        <v>127</v>
      </c>
      <c r="BG23" t="s">
        <v>124</v>
      </c>
      <c r="BH23" t="s">
        <v>1304</v>
      </c>
      <c r="BI23" t="s">
        <v>1305</v>
      </c>
      <c r="BJ23" t="s">
        <v>564</v>
      </c>
      <c r="BK23" t="s">
        <v>1306</v>
      </c>
      <c r="BL23" t="s">
        <v>1307</v>
      </c>
      <c r="BM23" t="s">
        <v>565</v>
      </c>
      <c r="BN23" t="s">
        <v>45</v>
      </c>
      <c r="BO23" t="s">
        <v>45</v>
      </c>
      <c r="BP23">
        <v>4.0199999999999996</v>
      </c>
      <c r="BQ23">
        <v>-1.46</v>
      </c>
      <c r="BR23">
        <v>0.57999999999999996</v>
      </c>
      <c r="BS23">
        <v>6.18</v>
      </c>
      <c r="BT23" t="s">
        <v>567</v>
      </c>
      <c r="BU23" t="s">
        <v>683</v>
      </c>
      <c r="BV23">
        <v>12.38</v>
      </c>
      <c r="BW23">
        <v>9.6300000000000008</v>
      </c>
      <c r="BX23">
        <v>11.2</v>
      </c>
      <c r="BY23">
        <v>-0.43</v>
      </c>
      <c r="BZ23">
        <v>-0.46</v>
      </c>
      <c r="CA23">
        <v>1.84</v>
      </c>
      <c r="CB23">
        <v>-1.93</v>
      </c>
      <c r="CC23">
        <v>-11.21</v>
      </c>
      <c r="CD23" t="s">
        <v>1308</v>
      </c>
      <c r="CE23" t="s">
        <v>1003</v>
      </c>
      <c r="CF23" s="7">
        <v>-0.39281828073993469</v>
      </c>
      <c r="CG23" s="8">
        <v>0.86673694873439178</v>
      </c>
      <c r="CH23" s="7">
        <v>-0.66187965869903564</v>
      </c>
      <c r="CI23" s="7">
        <v>4.6547029167413712E-2</v>
      </c>
      <c r="CJ23" s="7">
        <v>0.42409458756446838</v>
      </c>
      <c r="CK23" s="7">
        <v>-8.7891250848770142E-2</v>
      </c>
      <c r="CL23" s="7">
        <v>3.6897845566272736E-2</v>
      </c>
      <c r="CM23" s="8">
        <v>-1.1840355396270752</v>
      </c>
      <c r="CN23" s="8">
        <v>-0.8902285099029541</v>
      </c>
      <c r="CO23" s="8">
        <v>0.98159509897232056</v>
      </c>
      <c r="CP23" s="8">
        <v>-0.42807018756866455</v>
      </c>
      <c r="CQ23" s="8">
        <v>-8.3601288497447968E-2</v>
      </c>
      <c r="CR23">
        <v>29.511943946113668</v>
      </c>
      <c r="CS23">
        <v>6.0916830331484126</v>
      </c>
      <c r="CT23">
        <v>0.19723865877712032</v>
      </c>
      <c r="CU23" s="7">
        <v>-4.8446289449930194E-2</v>
      </c>
      <c r="CV23" s="8">
        <v>-0.32086808532476424</v>
      </c>
      <c r="CW23">
        <v>0.06</v>
      </c>
      <c r="CX23" t="e">
        <v>#VALUE!</v>
      </c>
      <c r="CY23" t="s">
        <v>1309</v>
      </c>
      <c r="CZ23">
        <v>-4.8446289449930194E-2</v>
      </c>
      <c r="DA23" t="e">
        <v>#VALUE!</v>
      </c>
      <c r="DB23" t="s">
        <v>1310</v>
      </c>
      <c r="DC23">
        <v>-4.6023974977433685E-2</v>
      </c>
      <c r="DD23" t="e">
        <v>#VALUE!</v>
      </c>
      <c r="DE23" t="s">
        <v>1310</v>
      </c>
      <c r="DF23">
        <v>-4.2632734715938571E-2</v>
      </c>
      <c r="DG23" t="e">
        <v>#VALUE!</v>
      </c>
      <c r="DH23" t="s">
        <v>1310</v>
      </c>
      <c r="DI23">
        <v>-3.8757031559944158E-2</v>
      </c>
      <c r="DJ23" t="e">
        <v>#VALUE!</v>
      </c>
      <c r="DK23" t="s">
        <v>1310</v>
      </c>
      <c r="DL23">
        <v>-3.3912402614951133E-2</v>
      </c>
      <c r="DM23">
        <v>-6525200</v>
      </c>
      <c r="DN23">
        <v>-4.8446289449930194E-2</v>
      </c>
      <c r="DO23">
        <v>11127288900</v>
      </c>
      <c r="DP23">
        <v>2840237000</v>
      </c>
      <c r="DQ23">
        <v>3324</v>
      </c>
      <c r="DR23">
        <v>-0.34437199129000451</v>
      </c>
      <c r="DS23">
        <v>1.187605034059156</v>
      </c>
      <c r="DT23" s="9">
        <v>-0.64</v>
      </c>
      <c r="DU23">
        <v>-1.5783333333333334</v>
      </c>
      <c r="DV23">
        <v>-2.2183333333333333</v>
      </c>
      <c r="DW23">
        <v>-2.1120999999999999</v>
      </c>
      <c r="DX23">
        <v>0.3169228215767646</v>
      </c>
      <c r="DY23">
        <v>-2.013107048298755</v>
      </c>
      <c r="DZ23">
        <v>3015</v>
      </c>
      <c r="EA23">
        <v>-2.0053736333044796</v>
      </c>
      <c r="EB23">
        <v>2</v>
      </c>
      <c r="EC23">
        <v>2.6145119908392987E-2</v>
      </c>
      <c r="ED23">
        <v>0.22361006650209769</v>
      </c>
      <c r="EE23" s="10">
        <v>-2.0093100000000002</v>
      </c>
      <c r="EF23">
        <v>-2.0382099999999999</v>
      </c>
      <c r="EG23">
        <v>20.116922821576765</v>
      </c>
      <c r="EH23" t="s">
        <v>1142</v>
      </c>
      <c r="EI23">
        <v>0</v>
      </c>
      <c r="EJ23">
        <v>0</v>
      </c>
      <c r="EK23" s="12">
        <v>45470</v>
      </c>
      <c r="EL23" s="13">
        <v>-0.11</v>
      </c>
      <c r="EM23" s="13">
        <v>-2.92</v>
      </c>
      <c r="EN23" s="13">
        <v>1.1599999999999999</v>
      </c>
      <c r="EO23" s="13">
        <v>2.97</v>
      </c>
      <c r="EP23" s="13">
        <v>-2.89</v>
      </c>
    </row>
    <row r="24" spans="1:146" ht="96" x14ac:dyDescent="0.25">
      <c r="A24" s="6"/>
      <c r="B24" s="6"/>
      <c r="C24" s="6" t="str">
        <f>""&amp;CHAR(10)&amp;Basic_Fundamental_Information_Constructure(F24)&amp;CHAR(10)&amp;Basic_Fundamental_Information_Concatenate("")</f>
        <v xml:space="preserve">
市值2514.3138亿, 利润47.73亿; PE14.45; 平均PE26.4; 平均PEG3.1, PB2.34; ROIC11.9367%; ROE15.8067%; 股利率3.018%; 毛利31.3567%; 净利6.0867%; 上一年度营收增-71.68%, 利润增-67.56%; 当季营收增-47.6%, 利润增-46.75%; 过往5年营收增-8.53%, 利润增2.01%
Income profile:
</v>
      </c>
      <c r="D24" t="s">
        <v>59</v>
      </c>
      <c r="E24" t="s">
        <v>60</v>
      </c>
      <c r="F24">
        <v>26.64</v>
      </c>
      <c r="G24">
        <v>-0.41</v>
      </c>
      <c r="H24" t="s">
        <v>1311</v>
      </c>
      <c r="I24">
        <v>251431380000</v>
      </c>
      <c r="J24">
        <v>14.45</v>
      </c>
      <c r="K24">
        <v>2.34</v>
      </c>
      <c r="L24" t="s">
        <v>42</v>
      </c>
      <c r="M24" t="s">
        <v>1312</v>
      </c>
      <c r="N24" t="s">
        <v>1313</v>
      </c>
      <c r="O24" t="s">
        <v>1314</v>
      </c>
      <c r="P24">
        <v>6.01</v>
      </c>
      <c r="Q24" t="s">
        <v>1314</v>
      </c>
      <c r="R24">
        <v>4772967900</v>
      </c>
      <c r="S24" s="5">
        <v>0.2016</v>
      </c>
      <c r="T24" t="s">
        <v>1315</v>
      </c>
      <c r="U24">
        <v>6308552700</v>
      </c>
      <c r="V24">
        <v>9438114900</v>
      </c>
      <c r="W24">
        <v>2.34</v>
      </c>
      <c r="X24">
        <v>0.27</v>
      </c>
      <c r="Y24">
        <v>7.04</v>
      </c>
      <c r="Z24" t="s">
        <v>1316</v>
      </c>
      <c r="AA24" t="s">
        <v>1317</v>
      </c>
      <c r="AB24" t="s">
        <v>1318</v>
      </c>
      <c r="AC24" t="s">
        <v>1253</v>
      </c>
      <c r="AD24" t="s">
        <v>45</v>
      </c>
      <c r="AE24">
        <v>207194040</v>
      </c>
      <c r="AF24" t="s">
        <v>1319</v>
      </c>
      <c r="AG24" t="s">
        <v>1320</v>
      </c>
      <c r="AH24" t="s">
        <v>1321</v>
      </c>
      <c r="AI24" t="s">
        <v>1322</v>
      </c>
      <c r="AJ24" t="s">
        <v>1323</v>
      </c>
      <c r="AK24" t="s">
        <v>1324</v>
      </c>
      <c r="AL24" t="s">
        <v>1325</v>
      </c>
      <c r="AM24" t="s">
        <v>45</v>
      </c>
      <c r="AN24" t="s">
        <v>1326</v>
      </c>
      <c r="AO24" t="s">
        <v>1327</v>
      </c>
      <c r="AP24" t="s">
        <v>1328</v>
      </c>
      <c r="AQ24" t="s">
        <v>1329</v>
      </c>
      <c r="AR24" t="s">
        <v>45</v>
      </c>
      <c r="AS24" t="s">
        <v>1330</v>
      </c>
      <c r="AT24" t="s">
        <v>1331</v>
      </c>
      <c r="AU24" t="s">
        <v>1332</v>
      </c>
      <c r="AV24" t="s">
        <v>1333</v>
      </c>
      <c r="AW24" t="s">
        <v>1334</v>
      </c>
      <c r="AX24" t="s">
        <v>1335</v>
      </c>
      <c r="AY24" t="s">
        <v>568</v>
      </c>
      <c r="AZ24" t="s">
        <v>327</v>
      </c>
      <c r="BA24" t="s">
        <v>61</v>
      </c>
      <c r="BB24" t="s">
        <v>235</v>
      </c>
      <c r="BC24" t="s">
        <v>1336</v>
      </c>
      <c r="BD24" t="s">
        <v>569</v>
      </c>
      <c r="BE24" t="s">
        <v>328</v>
      </c>
      <c r="BF24" t="s">
        <v>62</v>
      </c>
      <c r="BG24" t="s">
        <v>236</v>
      </c>
      <c r="BH24" t="s">
        <v>1337</v>
      </c>
      <c r="BI24" t="s">
        <v>1338</v>
      </c>
      <c r="BJ24" t="s">
        <v>1335</v>
      </c>
      <c r="BK24" t="s">
        <v>1339</v>
      </c>
      <c r="BL24" t="s">
        <v>1340</v>
      </c>
      <c r="BM24" t="s">
        <v>1336</v>
      </c>
      <c r="BN24">
        <v>10.210000000000001</v>
      </c>
      <c r="BO24">
        <v>12.9</v>
      </c>
      <c r="BP24">
        <v>12.7</v>
      </c>
      <c r="BQ24">
        <v>13.32</v>
      </c>
      <c r="BR24">
        <v>16.809999999999999</v>
      </c>
      <c r="BS24">
        <v>17.29</v>
      </c>
      <c r="BT24" t="s">
        <v>1341</v>
      </c>
      <c r="BU24" t="s">
        <v>393</v>
      </c>
      <c r="BV24">
        <v>31.51</v>
      </c>
      <c r="BW24">
        <v>31.33</v>
      </c>
      <c r="BX24">
        <v>31.23</v>
      </c>
      <c r="BY24">
        <v>6.4</v>
      </c>
      <c r="BZ24">
        <v>6.05</v>
      </c>
      <c r="CA24">
        <v>5.81</v>
      </c>
      <c r="CB24">
        <v>-6.13</v>
      </c>
      <c r="CC24">
        <v>-11.35</v>
      </c>
      <c r="CD24" t="s">
        <v>46</v>
      </c>
      <c r="CE24" t="s">
        <v>1342</v>
      </c>
      <c r="CF24" s="7">
        <v>-0.47595857992661078</v>
      </c>
      <c r="CG24" s="8">
        <v>-0.46754039491298527</v>
      </c>
      <c r="CH24" s="7">
        <v>-0.71681463718414307</v>
      </c>
      <c r="CI24" s="7">
        <v>7.2534404695034027E-2</v>
      </c>
      <c r="CJ24" s="7">
        <v>8.2885511219501495E-2</v>
      </c>
      <c r="CK24" s="7">
        <v>4.463493824005127E-2</v>
      </c>
      <c r="CL24" s="7">
        <v>9.0457729995250702E-2</v>
      </c>
      <c r="CM24" s="8">
        <v>-0.67557096481323242</v>
      </c>
      <c r="CN24" s="8">
        <v>0.12485667318105698</v>
      </c>
      <c r="CO24" s="8">
        <v>0.47236290574073792</v>
      </c>
      <c r="CP24" s="8">
        <v>8.2500629127025604E-2</v>
      </c>
      <c r="CQ24" s="8">
        <v>9.6472457051277161E-2</v>
      </c>
      <c r="CR24">
        <v>26.403001207623781</v>
      </c>
      <c r="CS24">
        <v>3.096748070962148</v>
      </c>
      <c r="CT24">
        <v>3.0180180180180178</v>
      </c>
      <c r="CU24" s="7">
        <v>-8.5260410606861112E-2</v>
      </c>
      <c r="CV24" s="8">
        <v>2.0124340057373048E-2</v>
      </c>
      <c r="CW24">
        <v>0.06</v>
      </c>
      <c r="CX24">
        <v>60.525535302744608</v>
      </c>
      <c r="CY24" t="s">
        <v>1343</v>
      </c>
      <c r="CZ24">
        <v>-8.5260410606861112E-2</v>
      </c>
      <c r="DA24">
        <v>20.175178434248203</v>
      </c>
      <c r="DB24" t="s">
        <v>1344</v>
      </c>
      <c r="DC24">
        <v>-8.0997390076518058E-2</v>
      </c>
      <c r="DD24">
        <v>10.087589217124101</v>
      </c>
      <c r="DE24" t="s">
        <v>1345</v>
      </c>
      <c r="DF24">
        <v>-7.5029161334037781E-2</v>
      </c>
      <c r="DG24">
        <v>6.0525535302744604</v>
      </c>
      <c r="DH24" t="s">
        <v>1346</v>
      </c>
      <c r="DI24">
        <v>-6.8208328485488898E-2</v>
      </c>
      <c r="DJ24">
        <v>3.0262767651372302</v>
      </c>
      <c r="DK24" t="s">
        <v>1347</v>
      </c>
      <c r="DL24">
        <v>-5.9682287424802777E-2</v>
      </c>
      <c r="DM24">
        <v>4773000000</v>
      </c>
      <c r="DN24">
        <v>-8.5260410606861112E-2</v>
      </c>
      <c r="DO24">
        <v>288888380000</v>
      </c>
      <c r="DP24">
        <v>17299860000</v>
      </c>
      <c r="DQ24">
        <v>3379</v>
      </c>
      <c r="DR24">
        <v>-0.39069816931974966</v>
      </c>
      <c r="DS24">
        <v>-0.48766473497035834</v>
      </c>
      <c r="DT24" s="9">
        <v>-0.77333333333333332</v>
      </c>
      <c r="DU24">
        <v>-0.42</v>
      </c>
      <c r="DV24">
        <v>-1.1933333333333334</v>
      </c>
      <c r="DW24">
        <v>-9.5400881057268716</v>
      </c>
      <c r="DX24">
        <v>0.51035242290749072</v>
      </c>
      <c r="DY24">
        <v>-9.1136088416231633</v>
      </c>
      <c r="DZ24">
        <v>4216</v>
      </c>
      <c r="EA24">
        <v>-9.0198759891215481</v>
      </c>
      <c r="EB24">
        <v>9</v>
      </c>
      <c r="EC24">
        <v>2.0237092048964143E-2</v>
      </c>
      <c r="ED24">
        <v>9.6205652253714358E-2</v>
      </c>
      <c r="EE24" s="10">
        <v>9.0009999999999993E-2</v>
      </c>
      <c r="EF24">
        <v>0.10031</v>
      </c>
      <c r="EG24">
        <v>30.210352422907491</v>
      </c>
      <c r="EH24">
        <v>-1</v>
      </c>
      <c r="EI24">
        <v>0</v>
      </c>
      <c r="EJ24">
        <v>0</v>
      </c>
      <c r="EK24" s="12">
        <v>45470</v>
      </c>
      <c r="EL24" s="13">
        <v>0</v>
      </c>
      <c r="EM24" s="13">
        <v>-3.87</v>
      </c>
      <c r="EN24" s="13">
        <v>1.08</v>
      </c>
      <c r="EO24" s="13">
        <v>3.83</v>
      </c>
      <c r="EP24" s="13">
        <v>-1.03</v>
      </c>
    </row>
    <row r="25" spans="1:146" ht="96" x14ac:dyDescent="0.25">
      <c r="A25" s="6"/>
      <c r="B25" s="6"/>
      <c r="C25" s="6" t="str">
        <f>""&amp;CHAR(10)&amp;Basic_Fundamental_Information_Constructure(F25)&amp;CHAR(10)&amp;Basic_Fundamental_Information_Concatenate("")</f>
        <v xml:space="preserve">
市值60.472037亿, 利润2794.26万; PE105; 平均PE-41.75; 平均PEG-5.58, PB2.01; ROIC.49%; ROE-7.08%; 股利率0%; 毛利13.0733%; 净利-4.77%; 上一年度营收增-13.53%, 利润增104.74%; 当季营收增12.27%, 利润增-102.9%; 过往5年营收增-7.48%, 利润增2.51%
Income profile:
</v>
      </c>
      <c r="D25" t="s">
        <v>69</v>
      </c>
      <c r="E25" t="s">
        <v>20</v>
      </c>
      <c r="F25">
        <v>7.89</v>
      </c>
      <c r="G25">
        <v>-4.71</v>
      </c>
      <c r="H25" t="s">
        <v>571</v>
      </c>
      <c r="I25">
        <v>6047203700</v>
      </c>
      <c r="J25">
        <v>105</v>
      </c>
      <c r="K25">
        <v>2.0099999999999998</v>
      </c>
      <c r="L25" t="s">
        <v>42</v>
      </c>
      <c r="M25" t="s">
        <v>572</v>
      </c>
      <c r="N25" t="s">
        <v>573</v>
      </c>
      <c r="O25" t="s">
        <v>574</v>
      </c>
      <c r="P25">
        <v>-13.53</v>
      </c>
      <c r="Q25" t="s">
        <v>575</v>
      </c>
      <c r="R25">
        <v>11396540</v>
      </c>
      <c r="S25" s="5">
        <v>1.6240000000000001</v>
      </c>
      <c r="T25" t="s">
        <v>576</v>
      </c>
      <c r="U25">
        <v>766439000</v>
      </c>
      <c r="V25">
        <v>766439000</v>
      </c>
      <c r="W25">
        <v>1.9</v>
      </c>
      <c r="X25">
        <v>0.73</v>
      </c>
      <c r="Y25">
        <v>0.66</v>
      </c>
      <c r="Z25" t="s">
        <v>577</v>
      </c>
      <c r="AA25" t="s">
        <v>578</v>
      </c>
      <c r="AB25" t="s">
        <v>497</v>
      </c>
      <c r="AC25" t="s">
        <v>533</v>
      </c>
      <c r="AD25" t="s">
        <v>130</v>
      </c>
      <c r="AE25">
        <v>-362061</v>
      </c>
      <c r="AF25" t="s">
        <v>77</v>
      </c>
      <c r="AG25" t="s">
        <v>579</v>
      </c>
      <c r="AH25" t="s">
        <v>580</v>
      </c>
      <c r="AI25" t="s">
        <v>581</v>
      </c>
      <c r="AJ25" t="s">
        <v>582</v>
      </c>
      <c r="AK25" t="s">
        <v>583</v>
      </c>
      <c r="AL25" t="s">
        <v>584</v>
      </c>
      <c r="AM25" t="s">
        <v>45</v>
      </c>
      <c r="AN25" t="s">
        <v>585</v>
      </c>
      <c r="AO25" t="s">
        <v>45</v>
      </c>
      <c r="AP25" t="s">
        <v>586</v>
      </c>
      <c r="AQ25" t="s">
        <v>587</v>
      </c>
      <c r="AR25" t="s">
        <v>45</v>
      </c>
      <c r="AS25" t="s">
        <v>490</v>
      </c>
      <c r="AT25" t="s">
        <v>45</v>
      </c>
      <c r="AU25" t="s">
        <v>588</v>
      </c>
      <c r="AV25" t="s">
        <v>589</v>
      </c>
      <c r="AW25" t="s">
        <v>590</v>
      </c>
      <c r="AX25" t="s">
        <v>329</v>
      </c>
      <c r="AY25" t="s">
        <v>238</v>
      </c>
      <c r="AZ25" t="s">
        <v>70</v>
      </c>
      <c r="BA25" t="s">
        <v>240</v>
      </c>
      <c r="BB25" t="s">
        <v>241</v>
      </c>
      <c r="BC25" t="s">
        <v>330</v>
      </c>
      <c r="BD25" t="s">
        <v>239</v>
      </c>
      <c r="BE25" t="s">
        <v>71</v>
      </c>
      <c r="BF25" t="s">
        <v>114</v>
      </c>
      <c r="BG25" t="s">
        <v>242</v>
      </c>
      <c r="BH25" t="s">
        <v>575</v>
      </c>
      <c r="BI25" t="s">
        <v>380</v>
      </c>
      <c r="BJ25" t="s">
        <v>329</v>
      </c>
      <c r="BK25" t="s">
        <v>576</v>
      </c>
      <c r="BL25" t="s">
        <v>591</v>
      </c>
      <c r="BM25" t="s">
        <v>330</v>
      </c>
      <c r="BN25">
        <v>0.49</v>
      </c>
      <c r="BO25" t="s">
        <v>45</v>
      </c>
      <c r="BP25" t="s">
        <v>45</v>
      </c>
      <c r="BQ25">
        <v>0.94</v>
      </c>
      <c r="BR25">
        <v>-18.079999999999998</v>
      </c>
      <c r="BS25">
        <v>-4.0999999999999996</v>
      </c>
      <c r="BT25" t="s">
        <v>485</v>
      </c>
      <c r="BU25" t="s">
        <v>393</v>
      </c>
      <c r="BV25">
        <v>13.4</v>
      </c>
      <c r="BW25">
        <v>9.6199999999999992</v>
      </c>
      <c r="BX25">
        <v>16.2</v>
      </c>
      <c r="BY25">
        <v>0.66</v>
      </c>
      <c r="BZ25">
        <v>-11.94</v>
      </c>
      <c r="CA25">
        <v>-3.03</v>
      </c>
      <c r="CB25">
        <v>-7.18</v>
      </c>
      <c r="CC25">
        <v>1.41</v>
      </c>
      <c r="CD25" t="s">
        <v>592</v>
      </c>
      <c r="CE25" t="s">
        <v>593</v>
      </c>
      <c r="CF25" s="7">
        <v>0.12266734715863184</v>
      </c>
      <c r="CG25" s="8">
        <v>-1.0289904928838989</v>
      </c>
      <c r="CH25" s="7">
        <v>-0.13526664674282074</v>
      </c>
      <c r="CI25" s="7">
        <v>-2.6294887065887451E-3</v>
      </c>
      <c r="CJ25" s="7">
        <v>-6.3990890979766846E-2</v>
      </c>
      <c r="CK25" s="7">
        <v>-0.1597200483083725</v>
      </c>
      <c r="CL25" s="7">
        <v>-1.2256462126970291E-2</v>
      </c>
      <c r="CM25" s="8">
        <v>1.047440767288208</v>
      </c>
      <c r="CN25" s="8">
        <v>-2.9266667366027832</v>
      </c>
      <c r="CO25" s="8">
        <v>0.53560370206832886</v>
      </c>
      <c r="CP25" s="8">
        <v>-2.2328243255615234</v>
      </c>
      <c r="CQ25" s="8">
        <v>3.7017076015472412</v>
      </c>
      <c r="CR25">
        <v>-41.751254583973846</v>
      </c>
      <c r="CS25">
        <v>-5.5837558984929423</v>
      </c>
      <c r="CT25">
        <v>0</v>
      </c>
      <c r="CU25" s="7">
        <v>-7.4772707372903827E-2</v>
      </c>
      <c r="CV25" s="8">
        <v>2.5052201747894288E-2</v>
      </c>
      <c r="CW25">
        <v>0.06</v>
      </c>
      <c r="CX25">
        <v>205.53576617780737</v>
      </c>
      <c r="CY25" t="s">
        <v>594</v>
      </c>
      <c r="CZ25">
        <v>-7.4772707372903827E-2</v>
      </c>
      <c r="DA25">
        <v>68.511922059269125</v>
      </c>
      <c r="DB25" t="s">
        <v>595</v>
      </c>
      <c r="DC25">
        <v>-7.1034072004258639E-2</v>
      </c>
      <c r="DD25">
        <v>34.255961029634562</v>
      </c>
      <c r="DE25" t="s">
        <v>596</v>
      </c>
      <c r="DF25">
        <v>-6.579998248815537E-2</v>
      </c>
      <c r="DG25">
        <v>20.553576617780735</v>
      </c>
      <c r="DH25" t="s">
        <v>597</v>
      </c>
      <c r="DI25">
        <v>-5.9818165898323061E-2</v>
      </c>
      <c r="DJ25">
        <v>10.276788308890367</v>
      </c>
      <c r="DK25" t="s">
        <v>598</v>
      </c>
      <c r="DL25">
        <v>-5.2340895161032679E-2</v>
      </c>
      <c r="DM25">
        <v>27942600.000000004</v>
      </c>
      <c r="DN25">
        <v>-7.4772707372903827E-2</v>
      </c>
      <c r="DO25">
        <v>5743203700</v>
      </c>
      <c r="DP25">
        <v>1125609100</v>
      </c>
      <c r="DQ25">
        <v>3552</v>
      </c>
      <c r="DR25">
        <v>0.19744005453153568</v>
      </c>
      <c r="DS25">
        <v>-1.0540426946317931</v>
      </c>
      <c r="DT25" s="9">
        <v>-0.33666666666666667</v>
      </c>
      <c r="DU25">
        <v>-0.50833333333333353</v>
      </c>
      <c r="DV25">
        <v>-0.8450000000000002</v>
      </c>
      <c r="DW25">
        <v>-5.1963788300835656</v>
      </c>
      <c r="DX25">
        <v>0.59715925760571109</v>
      </c>
      <c r="DY25">
        <v>-5.0465730575520968</v>
      </c>
      <c r="DZ25">
        <v>3932</v>
      </c>
      <c r="EA25">
        <v>-5.0099113433789544</v>
      </c>
      <c r="EB25">
        <v>5</v>
      </c>
      <c r="EC25">
        <v>2.4257768720015553E-2</v>
      </c>
      <c r="ED25">
        <v>0.10228472194134171</v>
      </c>
      <c r="EE25" s="10">
        <v>0.10353599999999999</v>
      </c>
      <c r="EF25">
        <v>-1.00061</v>
      </c>
      <c r="EG25">
        <v>36.237159257605711</v>
      </c>
      <c r="EH25" t="s">
        <v>378</v>
      </c>
      <c r="EI25">
        <v>0</v>
      </c>
      <c r="EJ25">
        <v>0</v>
      </c>
      <c r="EK25" s="12">
        <v>45044</v>
      </c>
      <c r="EL25" s="13">
        <v>-1.29E-2</v>
      </c>
      <c r="EM25" s="13">
        <v>1.0699999999999999E-2</v>
      </c>
      <c r="EN25" s="13">
        <v>1.29E-2</v>
      </c>
      <c r="EO25" s="13">
        <v>7.3000000000000001E-3</v>
      </c>
      <c r="EP25" s="13">
        <v>1.99</v>
      </c>
    </row>
    <row r="26" spans="1:146" ht="96" x14ac:dyDescent="0.25">
      <c r="A26" s="6"/>
      <c r="B26" s="6"/>
      <c r="C26" s="6" t="str">
        <f>""&amp;CHAR(10)&amp;Basic_Fundamental_Information_Constructure(F26)&amp;CHAR(10)&amp;Basic_Fundamental_Information_Concatenate("")</f>
        <v xml:space="preserve">
市值28.539796亿, 利润4805.80万; PE14.41; 平均PE33.21; 平均PEG2.13, PB1.13; ROIC4.08%; ROE4.9567%; 股利率4.3573%; 毛利12.4467%; 净利2.17%; 上一年度营收增-72.72%, 利润增-66.16%; 当季营收增-49.65%, 利润增-43.59%; 过往5年营收增-15.63%, 利润增55.19%
Income profile:
</v>
      </c>
      <c r="D26" t="s">
        <v>243</v>
      </c>
      <c r="E26" t="s">
        <v>244</v>
      </c>
      <c r="F26">
        <v>4.59</v>
      </c>
      <c r="G26">
        <v>1.55</v>
      </c>
      <c r="H26" t="s">
        <v>1348</v>
      </c>
      <c r="I26">
        <v>2853979600</v>
      </c>
      <c r="J26">
        <v>14.41</v>
      </c>
      <c r="K26">
        <v>1.1299999999999999</v>
      </c>
      <c r="L26" t="s">
        <v>42</v>
      </c>
      <c r="M26" t="s">
        <v>1349</v>
      </c>
      <c r="N26" t="s">
        <v>1350</v>
      </c>
      <c r="O26" t="s">
        <v>319</v>
      </c>
      <c r="P26">
        <v>12.83</v>
      </c>
      <c r="Q26" t="s">
        <v>319</v>
      </c>
      <c r="R26">
        <v>48058027</v>
      </c>
      <c r="S26" s="5">
        <v>0.25159999999999999</v>
      </c>
      <c r="T26" t="s">
        <v>1351</v>
      </c>
      <c r="U26">
        <v>615574440</v>
      </c>
      <c r="V26">
        <v>621782040</v>
      </c>
      <c r="W26">
        <v>2.68</v>
      </c>
      <c r="X26">
        <v>0.21</v>
      </c>
      <c r="Y26">
        <v>3.31</v>
      </c>
      <c r="Z26" t="s">
        <v>510</v>
      </c>
      <c r="AA26" t="s">
        <v>515</v>
      </c>
      <c r="AB26" t="s">
        <v>1352</v>
      </c>
      <c r="AC26" t="s">
        <v>1353</v>
      </c>
      <c r="AD26" t="s">
        <v>45</v>
      </c>
      <c r="AE26">
        <v>2387090</v>
      </c>
      <c r="AF26" t="s">
        <v>1354</v>
      </c>
      <c r="AG26" t="s">
        <v>1355</v>
      </c>
      <c r="AH26" t="s">
        <v>1356</v>
      </c>
      <c r="AI26" t="s">
        <v>1357</v>
      </c>
      <c r="AJ26" t="s">
        <v>1358</v>
      </c>
      <c r="AK26" t="s">
        <v>1359</v>
      </c>
      <c r="AL26" t="s">
        <v>1360</v>
      </c>
      <c r="AM26" t="s">
        <v>45</v>
      </c>
      <c r="AN26" t="s">
        <v>1361</v>
      </c>
      <c r="AO26" t="s">
        <v>1362</v>
      </c>
      <c r="AP26" t="s">
        <v>1363</v>
      </c>
      <c r="AQ26" t="s">
        <v>1364</v>
      </c>
      <c r="AR26" t="s">
        <v>45</v>
      </c>
      <c r="AS26" t="s">
        <v>1365</v>
      </c>
      <c r="AT26" t="s">
        <v>500</v>
      </c>
      <c r="AU26" t="s">
        <v>1366</v>
      </c>
      <c r="AV26" t="s">
        <v>1367</v>
      </c>
      <c r="AW26" t="s">
        <v>1368</v>
      </c>
      <c r="AX26" t="s">
        <v>599</v>
      </c>
      <c r="AY26" t="s">
        <v>332</v>
      </c>
      <c r="AZ26" t="s">
        <v>245</v>
      </c>
      <c r="BA26" t="s">
        <v>246</v>
      </c>
      <c r="BB26" t="s">
        <v>45</v>
      </c>
      <c r="BC26" t="s">
        <v>76</v>
      </c>
      <c r="BD26" t="s">
        <v>333</v>
      </c>
      <c r="BE26" t="s">
        <v>220</v>
      </c>
      <c r="BF26" t="s">
        <v>247</v>
      </c>
      <c r="BG26" t="s">
        <v>45</v>
      </c>
      <c r="BH26" t="s">
        <v>1369</v>
      </c>
      <c r="BI26" t="s">
        <v>1370</v>
      </c>
      <c r="BJ26" t="s">
        <v>599</v>
      </c>
      <c r="BK26" t="s">
        <v>531</v>
      </c>
      <c r="BL26" t="s">
        <v>1371</v>
      </c>
      <c r="BM26" t="s">
        <v>76</v>
      </c>
      <c r="BN26">
        <v>4.47</v>
      </c>
      <c r="BO26">
        <v>5.66</v>
      </c>
      <c r="BP26">
        <v>2.11</v>
      </c>
      <c r="BQ26">
        <v>5.64</v>
      </c>
      <c r="BR26">
        <v>7.34</v>
      </c>
      <c r="BS26">
        <v>1.89</v>
      </c>
      <c r="BT26" t="s">
        <v>508</v>
      </c>
      <c r="BU26" t="s">
        <v>683</v>
      </c>
      <c r="BV26">
        <v>14.07</v>
      </c>
      <c r="BW26">
        <v>12.4</v>
      </c>
      <c r="BX26">
        <v>10.87</v>
      </c>
      <c r="BY26">
        <v>3.19</v>
      </c>
      <c r="BZ26">
        <v>2.84</v>
      </c>
      <c r="CA26">
        <v>0.48</v>
      </c>
      <c r="CB26">
        <v>0.22</v>
      </c>
      <c r="CC26">
        <v>-11.73</v>
      </c>
      <c r="CD26" t="s">
        <v>1372</v>
      </c>
      <c r="CE26" t="s">
        <v>507</v>
      </c>
      <c r="CF26" s="7">
        <v>-0.49654696132596687</v>
      </c>
      <c r="CG26" s="8">
        <v>-0.43592408489421086</v>
      </c>
      <c r="CH26" s="7">
        <v>-0.72722172737121582</v>
      </c>
      <c r="CI26" s="7">
        <v>-0.11798684298992157</v>
      </c>
      <c r="CJ26" s="7">
        <v>0.16292467713356018</v>
      </c>
      <c r="CK26" s="7">
        <v>5.7212390005588531E-2</v>
      </c>
      <c r="CL26" s="7" t="s">
        <v>45</v>
      </c>
      <c r="CM26" s="8">
        <v>-0.66156339645385742</v>
      </c>
      <c r="CN26" s="8">
        <v>3.4536306858062744</v>
      </c>
      <c r="CO26" s="8">
        <v>-0.71014457941055298</v>
      </c>
      <c r="CP26" s="8">
        <v>0.12581834197044373</v>
      </c>
      <c r="CQ26" s="8" t="s">
        <v>45</v>
      </c>
      <c r="CR26">
        <v>33.212935774520957</v>
      </c>
      <c r="CS26">
        <v>2.1253847345989585</v>
      </c>
      <c r="CT26">
        <v>4.3572984749455337</v>
      </c>
      <c r="CU26" s="7">
        <v>-0.15626787580549717</v>
      </c>
      <c r="CV26" s="8">
        <v>0.55193526297807693</v>
      </c>
      <c r="CW26">
        <v>0.06</v>
      </c>
      <c r="CX26">
        <v>94.780881434932795</v>
      </c>
      <c r="CY26" t="s">
        <v>1373</v>
      </c>
      <c r="CZ26">
        <v>-0.15626787580549717</v>
      </c>
      <c r="DA26">
        <v>31.593627144977596</v>
      </c>
      <c r="DB26" t="s">
        <v>1374</v>
      </c>
      <c r="DC26">
        <v>-0.14845448201522229</v>
      </c>
      <c r="DD26">
        <v>15.796813572488798</v>
      </c>
      <c r="DE26" t="s">
        <v>1375</v>
      </c>
      <c r="DF26">
        <v>-0.13751573070883752</v>
      </c>
      <c r="DG26">
        <v>9.4780881434932791</v>
      </c>
      <c r="DH26" t="s">
        <v>1376</v>
      </c>
      <c r="DI26">
        <v>-0.12501430064439775</v>
      </c>
      <c r="DJ26">
        <v>4.7390440717466396</v>
      </c>
      <c r="DK26" t="s">
        <v>1377</v>
      </c>
      <c r="DL26">
        <v>-0.10938751306384802</v>
      </c>
      <c r="DM26">
        <v>48058000</v>
      </c>
      <c r="DN26">
        <v>-0.15626787580549717</v>
      </c>
      <c r="DO26">
        <v>4554979600</v>
      </c>
      <c r="DP26">
        <v>765294900</v>
      </c>
      <c r="DQ26">
        <v>3825</v>
      </c>
      <c r="DR26">
        <v>-0.3402790855204697</v>
      </c>
      <c r="DS26">
        <v>-0.9878593478722878</v>
      </c>
      <c r="DT26" s="9">
        <v>-0.76800000000000002</v>
      </c>
      <c r="DU26">
        <v>-0.60400000000000009</v>
      </c>
      <c r="DV26">
        <v>-1.3720000000000001</v>
      </c>
      <c r="DW26">
        <v>-2.1173000000000002</v>
      </c>
      <c r="DX26">
        <v>0.28743428571428736</v>
      </c>
      <c r="DY26">
        <v>-2.0126020417142856</v>
      </c>
      <c r="DZ26">
        <v>1953</v>
      </c>
      <c r="EA26">
        <v>-2.0077856449495108</v>
      </c>
      <c r="EB26">
        <v>2</v>
      </c>
      <c r="EC26">
        <v>3.0237283791600029E-2</v>
      </c>
      <c r="ED26">
        <v>0.28144910715015187</v>
      </c>
      <c r="EE26" s="10">
        <v>-1.06311</v>
      </c>
      <c r="EF26">
        <v>-1.0797099999999999</v>
      </c>
      <c r="EG26">
        <v>18.107434285714287</v>
      </c>
      <c r="EH26" t="s">
        <v>378</v>
      </c>
      <c r="EI26">
        <v>0</v>
      </c>
      <c r="EJ26">
        <v>0</v>
      </c>
      <c r="EK26" s="12">
        <v>45470</v>
      </c>
      <c r="EL26" s="13">
        <v>1.39</v>
      </c>
      <c r="EM26" s="13">
        <v>-2.75</v>
      </c>
      <c r="EN26" s="13">
        <v>0.54</v>
      </c>
      <c r="EO26" s="13">
        <v>1.08</v>
      </c>
      <c r="EP26" s="13">
        <v>-1.66</v>
      </c>
    </row>
    <row r="27" spans="1:146" ht="96" x14ac:dyDescent="0.25">
      <c r="C27" s="6" t="str">
        <f>""&amp;CHAR(10)&amp;Basic_Fundamental_Information_Constructure(F27)&amp;CHAR(10)&amp;Basic_Fundamental_Information_Concatenate("")</f>
        <v xml:space="preserve">
市值69.761744亿, 利润5709.08万; PE26.26; 平均PE42.64; 平均PEG3.48, PB3.41; ROIC15.2967%; ROE21.955%; 股利率2.867%; 毛利29.14%; 净利14.1633%; 上一年度营收增-75.22%, 利润增-76.41%; 当季营收增-49.27%, 利润增-51.62%; 过往5年营收增-12.23%, 利润增-.67%
Income profile:
</v>
      </c>
      <c r="D27" t="s">
        <v>1378</v>
      </c>
      <c r="E27" t="s">
        <v>1379</v>
      </c>
      <c r="F27">
        <v>17.440000000000001</v>
      </c>
      <c r="G27">
        <v>0.46</v>
      </c>
      <c r="H27" t="s">
        <v>1380</v>
      </c>
      <c r="I27">
        <v>6976174400</v>
      </c>
      <c r="J27">
        <v>26.26</v>
      </c>
      <c r="K27">
        <v>3.41</v>
      </c>
      <c r="L27" t="s">
        <v>42</v>
      </c>
      <c r="M27" t="s">
        <v>611</v>
      </c>
      <c r="N27" t="s">
        <v>1381</v>
      </c>
      <c r="O27" t="s">
        <v>1382</v>
      </c>
      <c r="P27" s="5">
        <v>11.64</v>
      </c>
      <c r="Q27" t="s">
        <v>1382</v>
      </c>
      <c r="R27">
        <v>57090850</v>
      </c>
      <c r="S27">
        <v>0.37619999999999998</v>
      </c>
      <c r="T27" t="s">
        <v>1383</v>
      </c>
      <c r="U27">
        <v>40010000</v>
      </c>
      <c r="V27">
        <v>400010000</v>
      </c>
      <c r="W27">
        <v>1.39</v>
      </c>
      <c r="X27">
        <v>0.15</v>
      </c>
      <c r="Y27">
        <v>13.58</v>
      </c>
      <c r="Z27" t="s">
        <v>1384</v>
      </c>
      <c r="AA27" t="s">
        <v>1385</v>
      </c>
      <c r="AB27" t="s">
        <v>1386</v>
      </c>
      <c r="AC27" t="s">
        <v>1387</v>
      </c>
      <c r="AD27" t="s">
        <v>45</v>
      </c>
      <c r="AE27">
        <v>437009</v>
      </c>
      <c r="AF27" t="s">
        <v>1388</v>
      </c>
      <c r="AG27" t="s">
        <v>1389</v>
      </c>
      <c r="AH27" t="s">
        <v>1390</v>
      </c>
      <c r="AI27" t="s">
        <v>1391</v>
      </c>
      <c r="AJ27" t="s">
        <v>1392</v>
      </c>
      <c r="AK27" t="s">
        <v>1393</v>
      </c>
      <c r="AL27" t="s">
        <v>1394</v>
      </c>
      <c r="AM27" t="s">
        <v>45</v>
      </c>
      <c r="AN27" t="s">
        <v>1395</v>
      </c>
      <c r="AO27" t="s">
        <v>1396</v>
      </c>
      <c r="AP27" t="s">
        <v>1397</v>
      </c>
      <c r="AQ27" t="s">
        <v>1227</v>
      </c>
      <c r="AR27" t="s">
        <v>45</v>
      </c>
      <c r="AS27" t="s">
        <v>228</v>
      </c>
      <c r="AT27" t="s">
        <v>45</v>
      </c>
      <c r="AU27" t="s">
        <v>1398</v>
      </c>
      <c r="AV27" t="s">
        <v>1399</v>
      </c>
      <c r="AW27" t="s">
        <v>1400</v>
      </c>
      <c r="AX27" t="s">
        <v>1401</v>
      </c>
      <c r="AY27" t="s">
        <v>486</v>
      </c>
      <c r="AZ27" t="s">
        <v>1402</v>
      </c>
      <c r="BA27" t="s">
        <v>1403</v>
      </c>
      <c r="BB27" t="s">
        <v>45</v>
      </c>
      <c r="BC27" t="s">
        <v>1404</v>
      </c>
      <c r="BD27" t="s">
        <v>1405</v>
      </c>
      <c r="BE27" t="s">
        <v>1406</v>
      </c>
      <c r="BF27" t="s">
        <v>548</v>
      </c>
      <c r="BG27" t="s">
        <v>45</v>
      </c>
      <c r="BH27" t="s">
        <v>1407</v>
      </c>
      <c r="BI27" t="s">
        <v>1408</v>
      </c>
      <c r="BJ27" t="s">
        <v>1401</v>
      </c>
      <c r="BK27" t="s">
        <v>121</v>
      </c>
      <c r="BL27" t="s">
        <v>1409</v>
      </c>
      <c r="BM27" t="s">
        <v>1404</v>
      </c>
      <c r="BN27">
        <v>10.039999999999999</v>
      </c>
      <c r="BO27">
        <v>17.41</v>
      </c>
      <c r="BP27">
        <v>18.440000000000001</v>
      </c>
      <c r="BQ27">
        <v>18.29</v>
      </c>
      <c r="BR27">
        <v>25.62</v>
      </c>
      <c r="BS27" t="s">
        <v>45</v>
      </c>
      <c r="BT27" t="s">
        <v>1410</v>
      </c>
      <c r="BU27" t="s">
        <v>683</v>
      </c>
      <c r="BV27">
        <v>30.57</v>
      </c>
      <c r="BW27">
        <v>29.08</v>
      </c>
      <c r="BX27">
        <v>27.77</v>
      </c>
      <c r="BY27">
        <v>14.84</v>
      </c>
      <c r="BZ27">
        <v>14.29</v>
      </c>
      <c r="CA27">
        <v>13.36</v>
      </c>
      <c r="CB27">
        <v>-1.19</v>
      </c>
      <c r="CC27" s="7">
        <v>-11.7</v>
      </c>
      <c r="CD27" s="8" t="s">
        <v>615</v>
      </c>
      <c r="CE27" s="7" t="s">
        <v>1411</v>
      </c>
      <c r="CF27" s="7">
        <v>-0.49271844660194175</v>
      </c>
      <c r="CG27" s="7">
        <v>-0.51617923728813564</v>
      </c>
      <c r="CH27" s="7">
        <v>-0.75222289562225342</v>
      </c>
      <c r="CI27" s="7">
        <v>-6.381794810295105E-2</v>
      </c>
      <c r="CJ27" s="8">
        <v>0.23763735592365265</v>
      </c>
      <c r="CK27" s="8">
        <v>8.9005284011363983E-2</v>
      </c>
      <c r="CL27" s="8" t="s">
        <v>45</v>
      </c>
      <c r="CM27" s="8">
        <v>-0.76408761739730835</v>
      </c>
      <c r="CN27" s="8">
        <v>4.3103449046611786E-2</v>
      </c>
      <c r="CO27">
        <v>1.0350877046585083</v>
      </c>
      <c r="CP27">
        <v>-0.34104046225547791</v>
      </c>
      <c r="CQ27" t="s">
        <v>45</v>
      </c>
      <c r="CR27" s="7">
        <v>42.636920009368154</v>
      </c>
      <c r="CS27" s="8">
        <v>3.4848448301740991</v>
      </c>
      <c r="CT27">
        <v>2.8669724770642198</v>
      </c>
      <c r="CU27">
        <v>-0.12234955094754696</v>
      </c>
      <c r="CV27">
        <v>-6.7342314869165421E-3</v>
      </c>
      <c r="CW27">
        <v>0.06</v>
      </c>
      <c r="CX27">
        <v>99.668850322643934</v>
      </c>
      <c r="CY27" t="s">
        <v>1412</v>
      </c>
      <c r="CZ27">
        <v>-0.12234955094754696</v>
      </c>
      <c r="DA27">
        <v>33.222950107547973</v>
      </c>
      <c r="DB27" t="s">
        <v>1413</v>
      </c>
      <c r="DC27">
        <v>-0.11623207340016961</v>
      </c>
      <c r="DD27">
        <v>16.611475053773987</v>
      </c>
      <c r="DE27" t="s">
        <v>1414</v>
      </c>
      <c r="DF27">
        <v>-0.10766760483384133</v>
      </c>
      <c r="DG27">
        <v>9.9668850322643934</v>
      </c>
      <c r="DH27" t="s">
        <v>1415</v>
      </c>
      <c r="DI27">
        <v>-9.7879640758037567E-2</v>
      </c>
      <c r="DJ27">
        <v>4.9834425161321967</v>
      </c>
      <c r="DK27" t="s">
        <v>1416</v>
      </c>
      <c r="DL27">
        <v>-8.5644685663282871E-2</v>
      </c>
      <c r="DM27">
        <v>57090800</v>
      </c>
      <c r="DN27">
        <v>-0.12234955094754696</v>
      </c>
      <c r="DO27">
        <v>5690174400</v>
      </c>
      <c r="DP27">
        <v>941266900</v>
      </c>
      <c r="DQ27" s="9">
        <v>3908</v>
      </c>
      <c r="DR27">
        <v>-0.37036889565439479</v>
      </c>
      <c r="DS27">
        <v>-0.5094450058012191</v>
      </c>
      <c r="DT27">
        <v>-0.76800000000000002</v>
      </c>
      <c r="DU27">
        <v>-0.48399999999999999</v>
      </c>
      <c r="DV27">
        <v>-1.252</v>
      </c>
      <c r="DW27">
        <v>-2.117</v>
      </c>
      <c r="DX27">
        <v>0.29964521845169034</v>
      </c>
      <c r="DY27">
        <v>-2.0163384905588475</v>
      </c>
      <c r="DZ27">
        <v>2514</v>
      </c>
      <c r="EA27">
        <v>-2.0083003368866472</v>
      </c>
      <c r="EB27" s="10">
        <v>2</v>
      </c>
      <c r="EC27" s="10">
        <v>1.0993225169370766E-2</v>
      </c>
      <c r="ED27">
        <v>7.8722531936701576E-2</v>
      </c>
      <c r="EE27">
        <v>3.0623100000000001</v>
      </c>
      <c r="EF27">
        <v>3.0794100000000002</v>
      </c>
      <c r="EG27">
        <v>16.13964521845169</v>
      </c>
      <c r="EH27" s="12" t="s">
        <v>795</v>
      </c>
      <c r="EI27">
        <v>0</v>
      </c>
      <c r="EJ27">
        <v>0</v>
      </c>
      <c r="EK27">
        <v>45470</v>
      </c>
      <c r="EL27">
        <v>-0.2</v>
      </c>
      <c r="EM27">
        <v>-5.18</v>
      </c>
      <c r="EN27" s="13">
        <v>2.59</v>
      </c>
      <c r="EO27" s="13">
        <v>2.59</v>
      </c>
      <c r="EP27" s="13">
        <v>-1.71</v>
      </c>
    </row>
    <row r="28" spans="1:146" ht="108" x14ac:dyDescent="0.25">
      <c r="A28" s="6"/>
      <c r="B28" s="6"/>
      <c r="C28" s="6" t="s">
        <v>288</v>
      </c>
      <c r="D28" t="s">
        <v>283</v>
      </c>
      <c r="E28" t="s">
        <v>284</v>
      </c>
      <c r="F28">
        <v>10.3</v>
      </c>
      <c r="G28">
        <v>0.98</v>
      </c>
      <c r="H28" t="s">
        <v>1417</v>
      </c>
      <c r="I28">
        <v>4502854300</v>
      </c>
      <c r="J28">
        <v>10.77</v>
      </c>
      <c r="K28">
        <v>1.66</v>
      </c>
      <c r="L28" t="s">
        <v>42</v>
      </c>
      <c r="M28" t="s">
        <v>1418</v>
      </c>
      <c r="N28" t="s">
        <v>1419</v>
      </c>
      <c r="O28" t="s">
        <v>1420</v>
      </c>
      <c r="P28">
        <v>23.73</v>
      </c>
      <c r="Q28" t="s">
        <v>1420</v>
      </c>
      <c r="R28">
        <v>105693403</v>
      </c>
      <c r="S28" s="5">
        <v>0.38030000000000003</v>
      </c>
      <c r="T28" t="s">
        <v>90</v>
      </c>
      <c r="U28">
        <v>432917700</v>
      </c>
      <c r="V28">
        <v>437170320</v>
      </c>
      <c r="W28">
        <v>1.82</v>
      </c>
      <c r="X28">
        <v>0.18</v>
      </c>
      <c r="Y28">
        <v>10.76</v>
      </c>
      <c r="Z28" t="s">
        <v>58</v>
      </c>
      <c r="AA28" t="s">
        <v>1421</v>
      </c>
      <c r="AB28" t="s">
        <v>1422</v>
      </c>
      <c r="AC28" t="s">
        <v>1423</v>
      </c>
      <c r="AD28" t="s">
        <v>45</v>
      </c>
      <c r="AE28">
        <v>17991321</v>
      </c>
      <c r="AF28" t="s">
        <v>1424</v>
      </c>
      <c r="AG28" t="s">
        <v>1425</v>
      </c>
      <c r="AH28" t="s">
        <v>1426</v>
      </c>
      <c r="AI28" t="s">
        <v>1427</v>
      </c>
      <c r="AJ28" t="s">
        <v>1428</v>
      </c>
      <c r="AK28" t="s">
        <v>405</v>
      </c>
      <c r="AL28" t="s">
        <v>1429</v>
      </c>
      <c r="AM28" t="s">
        <v>45</v>
      </c>
      <c r="AN28" t="s">
        <v>1430</v>
      </c>
      <c r="AO28" t="s">
        <v>45</v>
      </c>
      <c r="AP28" t="s">
        <v>1431</v>
      </c>
      <c r="AQ28" t="s">
        <v>1432</v>
      </c>
      <c r="AR28" t="s">
        <v>45</v>
      </c>
      <c r="AS28" t="s">
        <v>1433</v>
      </c>
      <c r="AT28" t="s">
        <v>786</v>
      </c>
      <c r="AU28" t="s">
        <v>76</v>
      </c>
      <c r="AV28" t="s">
        <v>1434</v>
      </c>
      <c r="AW28" t="s">
        <v>1435</v>
      </c>
      <c r="AX28" t="s">
        <v>601</v>
      </c>
      <c r="AY28" t="s">
        <v>334</v>
      </c>
      <c r="AZ28" t="s">
        <v>196</v>
      </c>
      <c r="BA28" t="s">
        <v>285</v>
      </c>
      <c r="BB28" t="s">
        <v>286</v>
      </c>
      <c r="BC28" t="s">
        <v>1436</v>
      </c>
      <c r="BD28" t="s">
        <v>335</v>
      </c>
      <c r="BE28" t="s">
        <v>108</v>
      </c>
      <c r="BF28" t="s">
        <v>226</v>
      </c>
      <c r="BG28" t="s">
        <v>200</v>
      </c>
      <c r="BH28" t="s">
        <v>1437</v>
      </c>
      <c r="BI28" t="s">
        <v>1438</v>
      </c>
      <c r="BJ28" t="s">
        <v>601</v>
      </c>
      <c r="BK28" t="s">
        <v>521</v>
      </c>
      <c r="BL28" t="s">
        <v>1439</v>
      </c>
      <c r="BM28" t="s">
        <v>1436</v>
      </c>
      <c r="BN28">
        <v>7.92</v>
      </c>
      <c r="BO28">
        <v>6.63</v>
      </c>
      <c r="BP28">
        <v>11.9</v>
      </c>
      <c r="BQ28">
        <v>10.6</v>
      </c>
      <c r="BR28">
        <v>11.42</v>
      </c>
      <c r="BS28">
        <v>17.14</v>
      </c>
      <c r="BT28" t="s">
        <v>1440</v>
      </c>
      <c r="BU28" t="s">
        <v>683</v>
      </c>
      <c r="BV28">
        <v>23.94</v>
      </c>
      <c r="BW28">
        <v>18.809999999999999</v>
      </c>
      <c r="BX28">
        <v>19.55</v>
      </c>
      <c r="BY28">
        <v>11.17</v>
      </c>
      <c r="BZ28">
        <v>6.18</v>
      </c>
      <c r="CA28">
        <v>9.41</v>
      </c>
      <c r="CB28">
        <v>-2</v>
      </c>
      <c r="CC28">
        <v>-15.47</v>
      </c>
      <c r="CD28" t="s">
        <v>1441</v>
      </c>
      <c r="CE28" t="s">
        <v>1442</v>
      </c>
      <c r="CF28" s="7">
        <v>-0.38631921824104237</v>
      </c>
      <c r="CG28" s="8">
        <v>-0.39946930113636364</v>
      </c>
      <c r="CH28" s="7">
        <v>-0.70799744129180908</v>
      </c>
      <c r="CI28" s="7">
        <v>-1.706276647746563E-2</v>
      </c>
      <c r="CJ28" s="7">
        <v>0.68394047021865845</v>
      </c>
      <c r="CK28" s="7">
        <v>-4.8339873552322388E-2</v>
      </c>
      <c r="CL28" s="7">
        <v>2.6052104309201241E-2</v>
      </c>
      <c r="CM28" s="8">
        <v>-0.59848487377166748</v>
      </c>
      <c r="CN28" s="8">
        <v>-0.19512194395065308</v>
      </c>
      <c r="CO28" s="8">
        <v>0.33877551555633545</v>
      </c>
      <c r="CP28" s="8">
        <v>0.40804597735404968</v>
      </c>
      <c r="CQ28" s="8">
        <v>0.24285714328289032</v>
      </c>
      <c r="CR28">
        <v>21.493337947494034</v>
      </c>
      <c r="CS28">
        <v>16.94857520373035</v>
      </c>
      <c r="CT28">
        <v>3.0582524271844655</v>
      </c>
      <c r="CU28" s="7">
        <v>-1.2681501358747483E-2</v>
      </c>
      <c r="CV28" s="8">
        <v>3.9214363694190978E-2</v>
      </c>
      <c r="CW28">
        <v>0.06</v>
      </c>
      <c r="CX28">
        <v>37.611833018867927</v>
      </c>
      <c r="CY28" t="s">
        <v>1443</v>
      </c>
      <c r="CZ28">
        <v>-1.2681501358747483E-2</v>
      </c>
      <c r="DA28">
        <v>12.537277672955975</v>
      </c>
      <c r="DB28" t="s">
        <v>1444</v>
      </c>
      <c r="DC28">
        <v>-1.2047426290810109E-2</v>
      </c>
      <c r="DD28">
        <v>6.2686388364779875</v>
      </c>
      <c r="DE28" t="s">
        <v>1445</v>
      </c>
      <c r="DF28">
        <v>-1.1159721195697785E-2</v>
      </c>
      <c r="DG28">
        <v>3.7611833018867924</v>
      </c>
      <c r="DH28" t="s">
        <v>1446</v>
      </c>
      <c r="DI28">
        <v>-1.0145201086997986E-2</v>
      </c>
      <c r="DJ28">
        <v>1.8805916509433962</v>
      </c>
      <c r="DK28" t="s">
        <v>1447</v>
      </c>
      <c r="DL28">
        <v>-8.8770509511232366E-3</v>
      </c>
      <c r="DM28">
        <v>106000000</v>
      </c>
      <c r="DN28">
        <v>-1.2681501358747483E-2</v>
      </c>
      <c r="DO28">
        <v>3986854300</v>
      </c>
      <c r="DP28">
        <v>2645525100</v>
      </c>
      <c r="DQ28">
        <v>3940</v>
      </c>
      <c r="DR28">
        <v>-0.37363771688229491</v>
      </c>
      <c r="DS28">
        <v>-0.4386836648305546</v>
      </c>
      <c r="DT28" s="9">
        <v>-0.50666666666666671</v>
      </c>
      <c r="DU28">
        <v>-0.18666666666666673</v>
      </c>
      <c r="DV28">
        <v>-0.69333333333333347</v>
      </c>
      <c r="DW28">
        <v>-2.1547000000000001</v>
      </c>
      <c r="DX28">
        <v>0.33697193201735542</v>
      </c>
      <c r="DY28">
        <v>-2.0165485578830853</v>
      </c>
      <c r="DZ28">
        <v>1982</v>
      </c>
      <c r="EA28">
        <v>-2.0101299195808786</v>
      </c>
      <c r="EB28">
        <v>2</v>
      </c>
      <c r="EC28">
        <v>1.5230905885834152E-2</v>
      </c>
      <c r="ED28">
        <v>0.14238226419396449</v>
      </c>
      <c r="EE28" s="10">
        <v>1.10171</v>
      </c>
      <c r="EF28">
        <v>1.10171</v>
      </c>
      <c r="EG28">
        <v>23.106971932017355</v>
      </c>
      <c r="EH28" t="s">
        <v>379</v>
      </c>
      <c r="EI28">
        <v>0</v>
      </c>
      <c r="EJ28">
        <v>0</v>
      </c>
      <c r="EK28" s="12">
        <v>45470</v>
      </c>
      <c r="EL28" s="13">
        <v>0</v>
      </c>
      <c r="EM28" s="13">
        <v>-1.39</v>
      </c>
      <c r="EN28" s="13">
        <v>0.88</v>
      </c>
      <c r="EO28" s="13">
        <v>1.4</v>
      </c>
      <c r="EP28" s="13">
        <v>0</v>
      </c>
    </row>
    <row r="29" spans="1:146" ht="96" x14ac:dyDescent="0.25">
      <c r="A29" s="6"/>
      <c r="B29" s="6"/>
      <c r="C29" s="6" t="str">
        <f>""&amp;CHAR(10)&amp;Basic_Fundamental_Information_Constructure(F29)&amp;CHAR(10)&amp;Basic_Fundamental_Information_Concatenate("")</f>
        <v xml:space="preserve">
市值21.415245亿, 利润3451.77万; PE15.17; 平均PE20.96; 平均PEG3.69, PB1.5; ROIC12.1933%; ROE14.4633%; 股利率0%; 毛利24.7967%; 净利7.8167%; 上一年度营收增-56.93%, 利润增-76.83%; 当季营收增-30.57%, 利润增-47.77%; 过往5年营收增5.68%, 利润增4.19%
Income profile:
</v>
      </c>
      <c r="D29" t="s">
        <v>337</v>
      </c>
      <c r="E29" t="s">
        <v>338</v>
      </c>
      <c r="F29">
        <v>25.05</v>
      </c>
      <c r="G29">
        <v>0.28000000000000003</v>
      </c>
      <c r="H29" t="s">
        <v>1448</v>
      </c>
      <c r="I29">
        <v>2141524500</v>
      </c>
      <c r="J29">
        <v>15.17</v>
      </c>
      <c r="K29">
        <v>1.5</v>
      </c>
      <c r="L29" t="s">
        <v>42</v>
      </c>
      <c r="M29" t="s">
        <v>1449</v>
      </c>
      <c r="N29" t="s">
        <v>1450</v>
      </c>
      <c r="O29" t="s">
        <v>1451</v>
      </c>
      <c r="P29">
        <v>67.099999999999994</v>
      </c>
      <c r="Q29" t="s">
        <v>1451</v>
      </c>
      <c r="R29">
        <v>34517729</v>
      </c>
      <c r="S29" s="5">
        <v>0.19570000000000001</v>
      </c>
      <c r="T29" t="s">
        <v>1452</v>
      </c>
      <c r="U29">
        <v>52278380</v>
      </c>
      <c r="V29">
        <v>85490000</v>
      </c>
      <c r="W29">
        <v>2.61</v>
      </c>
      <c r="X29">
        <v>0.2</v>
      </c>
      <c r="Y29">
        <v>4.78</v>
      </c>
      <c r="Z29" t="s">
        <v>542</v>
      </c>
      <c r="AA29" t="s">
        <v>347</v>
      </c>
      <c r="AB29" t="s">
        <v>1453</v>
      </c>
      <c r="AC29" t="s">
        <v>1454</v>
      </c>
      <c r="AD29" t="s">
        <v>45</v>
      </c>
      <c r="AE29">
        <v>13809309</v>
      </c>
      <c r="AF29" t="s">
        <v>1455</v>
      </c>
      <c r="AG29" t="s">
        <v>1456</v>
      </c>
      <c r="AH29" t="s">
        <v>1457</v>
      </c>
      <c r="AI29" t="s">
        <v>548</v>
      </c>
      <c r="AJ29" t="s">
        <v>1458</v>
      </c>
      <c r="AK29" t="s">
        <v>1167</v>
      </c>
      <c r="AL29" t="s">
        <v>1459</v>
      </c>
      <c r="AM29" t="s">
        <v>45</v>
      </c>
      <c r="AN29" t="s">
        <v>186</v>
      </c>
      <c r="AO29" t="s">
        <v>1460</v>
      </c>
      <c r="AP29" t="s">
        <v>1461</v>
      </c>
      <c r="AQ29" t="s">
        <v>1462</v>
      </c>
      <c r="AR29" t="s">
        <v>1463</v>
      </c>
      <c r="AS29" t="s">
        <v>1464</v>
      </c>
      <c r="AT29" t="s">
        <v>1465</v>
      </c>
      <c r="AU29" t="s">
        <v>1466</v>
      </c>
      <c r="AV29" t="s">
        <v>600</v>
      </c>
      <c r="AW29" t="s">
        <v>282</v>
      </c>
      <c r="AX29" t="s">
        <v>602</v>
      </c>
      <c r="AY29" t="s">
        <v>339</v>
      </c>
      <c r="AZ29" t="s">
        <v>340</v>
      </c>
      <c r="BA29" t="s">
        <v>297</v>
      </c>
      <c r="BB29" t="s">
        <v>341</v>
      </c>
      <c r="BC29" t="s">
        <v>377</v>
      </c>
      <c r="BD29" t="s">
        <v>200</v>
      </c>
      <c r="BE29" t="s">
        <v>107</v>
      </c>
      <c r="BF29" t="s">
        <v>342</v>
      </c>
      <c r="BG29" t="s">
        <v>343</v>
      </c>
      <c r="BH29" t="s">
        <v>1467</v>
      </c>
      <c r="BI29" t="s">
        <v>928</v>
      </c>
      <c r="BJ29" t="s">
        <v>602</v>
      </c>
      <c r="BK29" t="s">
        <v>535</v>
      </c>
      <c r="BL29" t="s">
        <v>1468</v>
      </c>
      <c r="BM29" t="s">
        <v>377</v>
      </c>
      <c r="BN29">
        <v>5.95</v>
      </c>
      <c r="BO29">
        <v>12.75</v>
      </c>
      <c r="BP29">
        <v>17.88</v>
      </c>
      <c r="BQ29">
        <v>7.46</v>
      </c>
      <c r="BR29">
        <v>12.2</v>
      </c>
      <c r="BS29">
        <v>23.73</v>
      </c>
      <c r="BT29" t="s">
        <v>485</v>
      </c>
      <c r="BU29" t="s">
        <v>683</v>
      </c>
      <c r="BV29">
        <v>22.91</v>
      </c>
      <c r="BW29">
        <v>24.67</v>
      </c>
      <c r="BX29">
        <v>26.81</v>
      </c>
      <c r="BY29">
        <v>5.28</v>
      </c>
      <c r="BZ29">
        <v>8.7100000000000009</v>
      </c>
      <c r="CA29">
        <v>9.4600000000000009</v>
      </c>
      <c r="CB29">
        <v>0.04</v>
      </c>
      <c r="CC29">
        <v>-9.4</v>
      </c>
      <c r="CD29" t="s">
        <v>1469</v>
      </c>
      <c r="CE29" t="s">
        <v>1470</v>
      </c>
      <c r="CF29" s="7">
        <v>-0.30566037735849055</v>
      </c>
      <c r="CG29" s="8">
        <v>-0.47774791962961843</v>
      </c>
      <c r="CH29" s="7">
        <v>-0.56933879852294922</v>
      </c>
      <c r="CI29" s="7">
        <v>0.15707515180110931</v>
      </c>
      <c r="CJ29" s="7">
        <v>0.21563774347305298</v>
      </c>
      <c r="CK29" s="7">
        <v>0.25646334886550903</v>
      </c>
      <c r="CL29" s="7">
        <v>0.22405062615871429</v>
      </c>
      <c r="CM29" s="8">
        <v>-0.76833760738372803</v>
      </c>
      <c r="CN29" s="8">
        <v>6.4285717904567719E-2</v>
      </c>
      <c r="CO29" s="8">
        <v>5.2631579339504242E-2</v>
      </c>
      <c r="CP29" s="8">
        <v>0.45576021075248718</v>
      </c>
      <c r="CQ29" s="8">
        <v>0.40510296821594238</v>
      </c>
      <c r="CR29">
        <v>20.96451149690186</v>
      </c>
      <c r="CS29">
        <v>3.6923903434529275</v>
      </c>
      <c r="CT29">
        <v>0</v>
      </c>
      <c r="CU29" s="7">
        <v>5.6777614355087283E-2</v>
      </c>
      <c r="CV29" s="8">
        <v>4.1888573765754701E-2</v>
      </c>
      <c r="CW29">
        <v>0.06</v>
      </c>
      <c r="CX29">
        <v>80.479565255730208</v>
      </c>
      <c r="CY29">
        <v>34412766.659457169</v>
      </c>
      <c r="CZ29">
        <v>5.6777614355087283E-2</v>
      </c>
      <c r="DA29">
        <v>27.053181440953114</v>
      </c>
      <c r="DB29">
        <v>102373338.45724677</v>
      </c>
      <c r="DC29">
        <v>5.3938733637332918E-2</v>
      </c>
      <c r="DD29">
        <v>13.823386864689525</v>
      </c>
      <c r="DE29">
        <v>200350646.8501201</v>
      </c>
      <c r="DF29">
        <v>4.996430063247681E-2</v>
      </c>
      <c r="DG29">
        <v>8.6516296401026054</v>
      </c>
      <c r="DH29">
        <v>320115933.66901851</v>
      </c>
      <c r="DI29">
        <v>4.5422091484069831E-2</v>
      </c>
      <c r="DJ29">
        <v>4.882380491208373</v>
      </c>
      <c r="DK29">
        <v>567248805.16523445</v>
      </c>
      <c r="DL29">
        <v>3.9744330048561094E-2</v>
      </c>
      <c r="DM29">
        <v>34517700</v>
      </c>
      <c r="DN29">
        <v>5.6777614355087283E-2</v>
      </c>
      <c r="DO29">
        <v>2769524500</v>
      </c>
      <c r="DP29">
        <v>249636400</v>
      </c>
      <c r="DQ29">
        <v>3963</v>
      </c>
      <c r="DR29">
        <v>-0.36243799171357782</v>
      </c>
      <c r="DS29">
        <v>-0.5196364933953731</v>
      </c>
      <c r="DT29" s="9">
        <v>-0.10666666666666676</v>
      </c>
      <c r="DU29">
        <v>-0.33666666666666667</v>
      </c>
      <c r="DV29">
        <v>-0.44333333333333341</v>
      </c>
      <c r="DW29">
        <v>-2.0939999999999999</v>
      </c>
      <c r="DX29">
        <v>0.29533348463479625</v>
      </c>
      <c r="DY29">
        <v>-2.017421347555671</v>
      </c>
      <c r="DZ29">
        <v>4161</v>
      </c>
      <c r="EA29">
        <v>-2.0032353931174818</v>
      </c>
      <c r="EB29">
        <v>2</v>
      </c>
      <c r="EC29">
        <v>4.0119312200257343E-2</v>
      </c>
      <c r="ED29">
        <v>0.21647093227278044</v>
      </c>
      <c r="EE29" s="10">
        <v>1.0327</v>
      </c>
      <c r="EF29">
        <v>1.0156000000000001</v>
      </c>
      <c r="EG29">
        <v>11.185333484634796</v>
      </c>
      <c r="EH29" t="s">
        <v>518</v>
      </c>
      <c r="EI29">
        <v>0</v>
      </c>
      <c r="EJ29">
        <v>0</v>
      </c>
      <c r="EK29" s="12">
        <v>45470</v>
      </c>
      <c r="EL29" s="13">
        <v>-1.31</v>
      </c>
      <c r="EM29" s="13">
        <v>-3.58</v>
      </c>
      <c r="EN29" s="13">
        <v>0.48</v>
      </c>
      <c r="EO29" s="13">
        <v>3.46</v>
      </c>
      <c r="EP29" s="13">
        <v>-1.71</v>
      </c>
    </row>
    <row r="30" spans="1:146" ht="96" x14ac:dyDescent="0.25">
      <c r="A30" s="6"/>
      <c r="B30" s="6"/>
      <c r="C30" s="6" t="str">
        <f>""&amp;CHAR(10)&amp;Basic_Fundamental_Information_Constructure(F30)&amp;CHAR(10)&amp;Basic_Fundamental_Information_Concatenate("")</f>
        <v xml:space="preserve">
市值19.955779亿, 利润1881.31万; PE41.66; 平均PE29.61; 平均PEG3.62, PB1.59; ROIC5.66%; ROE6.63%; 股利率.9456%; 毛利24.88%; 净利8.6%; 上一年度营收增-76.05%, 利润增-75.12%; 当季营收增-53.79%, 利润增-54.37%; 过往5年营收增-8.19%, 利润增-10.62%
Income profile:
</v>
      </c>
      <c r="D30" t="s">
        <v>248</v>
      </c>
      <c r="E30" t="s">
        <v>249</v>
      </c>
      <c r="F30">
        <v>8.4600000000000009</v>
      </c>
      <c r="G30">
        <v>1.68</v>
      </c>
      <c r="H30" t="s">
        <v>1471</v>
      </c>
      <c r="I30">
        <v>1995577900</v>
      </c>
      <c r="J30">
        <v>41.66</v>
      </c>
      <c r="K30">
        <v>1.59</v>
      </c>
      <c r="L30" t="s">
        <v>42</v>
      </c>
      <c r="M30" t="s">
        <v>212</v>
      </c>
      <c r="N30" t="s">
        <v>1472</v>
      </c>
      <c r="O30" t="s">
        <v>528</v>
      </c>
      <c r="P30">
        <v>-8.4499999999999993</v>
      </c>
      <c r="Q30" t="s">
        <v>528</v>
      </c>
      <c r="R30">
        <v>18813071</v>
      </c>
      <c r="S30" s="5">
        <v>-6.4299999999999996E-2</v>
      </c>
      <c r="T30" t="s">
        <v>1473</v>
      </c>
      <c r="U30">
        <v>235883910</v>
      </c>
      <c r="V30">
        <v>235883910</v>
      </c>
      <c r="W30">
        <v>1.28</v>
      </c>
      <c r="X30">
        <v>0.12</v>
      </c>
      <c r="Y30">
        <v>9.98</v>
      </c>
      <c r="Z30" t="s">
        <v>987</v>
      </c>
      <c r="AA30" t="s">
        <v>76</v>
      </c>
      <c r="AB30" t="s">
        <v>1474</v>
      </c>
      <c r="AC30" t="s">
        <v>1475</v>
      </c>
      <c r="AD30" t="s">
        <v>45</v>
      </c>
      <c r="AE30">
        <v>1186721</v>
      </c>
      <c r="AF30" t="s">
        <v>1476</v>
      </c>
      <c r="AG30" t="s">
        <v>1477</v>
      </c>
      <c r="AH30" t="s">
        <v>1478</v>
      </c>
      <c r="AI30" t="s">
        <v>540</v>
      </c>
      <c r="AJ30" t="s">
        <v>1479</v>
      </c>
      <c r="AK30" t="s">
        <v>1480</v>
      </c>
      <c r="AL30" t="s">
        <v>1481</v>
      </c>
      <c r="AM30" t="s">
        <v>45</v>
      </c>
      <c r="AN30" t="s">
        <v>1482</v>
      </c>
      <c r="AO30" t="s">
        <v>558</v>
      </c>
      <c r="AP30" t="s">
        <v>1483</v>
      </c>
      <c r="AQ30" t="s">
        <v>1484</v>
      </c>
      <c r="AR30" t="s">
        <v>45</v>
      </c>
      <c r="AS30" t="s">
        <v>604</v>
      </c>
      <c r="AT30" t="s">
        <v>1485</v>
      </c>
      <c r="AU30" t="s">
        <v>1486</v>
      </c>
      <c r="AV30" t="s">
        <v>1487</v>
      </c>
      <c r="AW30" t="s">
        <v>1488</v>
      </c>
      <c r="AX30" t="s">
        <v>607</v>
      </c>
      <c r="AY30" t="s">
        <v>229</v>
      </c>
      <c r="AZ30" t="s">
        <v>250</v>
      </c>
      <c r="BA30" t="s">
        <v>82</v>
      </c>
      <c r="BB30" t="s">
        <v>84</v>
      </c>
      <c r="BC30" t="s">
        <v>608</v>
      </c>
      <c r="BD30" t="s">
        <v>344</v>
      </c>
      <c r="BE30" t="s">
        <v>251</v>
      </c>
      <c r="BF30" t="s">
        <v>253</v>
      </c>
      <c r="BG30" t="s">
        <v>254</v>
      </c>
      <c r="BH30" t="s">
        <v>1258</v>
      </c>
      <c r="BI30" t="s">
        <v>211</v>
      </c>
      <c r="BJ30" t="s">
        <v>607</v>
      </c>
      <c r="BK30" t="s">
        <v>1489</v>
      </c>
      <c r="BL30" t="s">
        <v>1490</v>
      </c>
      <c r="BM30" t="s">
        <v>608</v>
      </c>
      <c r="BN30">
        <v>3.2</v>
      </c>
      <c r="BO30">
        <v>6.57</v>
      </c>
      <c r="BP30">
        <v>7.21</v>
      </c>
      <c r="BQ30">
        <v>3.47</v>
      </c>
      <c r="BR30">
        <v>8.4600000000000009</v>
      </c>
      <c r="BS30">
        <v>7.96</v>
      </c>
      <c r="BT30" t="s">
        <v>1491</v>
      </c>
      <c r="BU30" t="s">
        <v>683</v>
      </c>
      <c r="BV30">
        <v>25.22</v>
      </c>
      <c r="BW30">
        <v>22.29</v>
      </c>
      <c r="BX30">
        <v>27.13</v>
      </c>
      <c r="BY30">
        <v>6.78</v>
      </c>
      <c r="BZ30">
        <v>9.58</v>
      </c>
      <c r="CA30">
        <v>9.44</v>
      </c>
      <c r="CB30">
        <v>0.24</v>
      </c>
      <c r="CC30">
        <v>-5.69</v>
      </c>
      <c r="CD30" t="s">
        <v>1492</v>
      </c>
      <c r="CE30" t="s">
        <v>1493</v>
      </c>
      <c r="CF30" s="7">
        <v>-0.53789731051344747</v>
      </c>
      <c r="CG30" s="8">
        <v>-0.54365561689823805</v>
      </c>
      <c r="CH30" s="7">
        <v>-0.76045626401901245</v>
      </c>
      <c r="CI30" s="7">
        <v>4.0897097438573837E-2</v>
      </c>
      <c r="CJ30" s="7">
        <v>9.3795090913772583E-2</v>
      </c>
      <c r="CK30" s="7">
        <v>6.7796610295772552E-2</v>
      </c>
      <c r="CL30" s="7">
        <v>0.14867256581783295</v>
      </c>
      <c r="CM30" s="8">
        <v>-0.7512054443359375</v>
      </c>
      <c r="CN30" s="8">
        <v>5.7589296251535416E-2</v>
      </c>
      <c r="CO30" s="8">
        <v>-0.2340841144323349</v>
      </c>
      <c r="CP30" s="8">
        <v>0.16526243090629578</v>
      </c>
      <c r="CQ30" s="8">
        <v>0.23167750239372253</v>
      </c>
      <c r="CR30">
        <v>29.605345221493636</v>
      </c>
      <c r="CS30">
        <v>3.6166276752803306</v>
      </c>
      <c r="CT30">
        <v>0.94562647754137108</v>
      </c>
      <c r="CU30" s="7">
        <v>-8.1858979910612112E-2</v>
      </c>
      <c r="CV30" s="8">
        <v>-0.10615206584334373</v>
      </c>
      <c r="CW30">
        <v>0.06</v>
      </c>
      <c r="CX30">
        <v>58.128532777692143</v>
      </c>
      <c r="CY30" t="s">
        <v>1494</v>
      </c>
      <c r="CZ30">
        <v>-8.1858979910612112E-2</v>
      </c>
      <c r="DA30">
        <v>19.376177592564048</v>
      </c>
      <c r="DB30" t="s">
        <v>1495</v>
      </c>
      <c r="DC30">
        <v>-7.7766030915081497E-2</v>
      </c>
      <c r="DD30">
        <v>9.6880887962820239</v>
      </c>
      <c r="DE30" t="s">
        <v>1496</v>
      </c>
      <c r="DF30">
        <v>-7.2035902321338663E-2</v>
      </c>
      <c r="DG30">
        <v>5.8128532777692143</v>
      </c>
      <c r="DH30" t="s">
        <v>1497</v>
      </c>
      <c r="DI30">
        <v>-6.5487183928489692E-2</v>
      </c>
      <c r="DJ30">
        <v>2.9064266388846072</v>
      </c>
      <c r="DK30" t="s">
        <v>1498</v>
      </c>
      <c r="DL30">
        <v>-5.7301285937428476E-2</v>
      </c>
      <c r="DM30">
        <v>18813100</v>
      </c>
      <c r="DN30">
        <v>-8.1858979910612112E-2</v>
      </c>
      <c r="DO30">
        <v>1093577900</v>
      </c>
      <c r="DP30">
        <v>709495670</v>
      </c>
      <c r="DQ30">
        <v>4078</v>
      </c>
      <c r="DR30">
        <v>-0.45603833060283538</v>
      </c>
      <c r="DS30">
        <v>-0.4375035510548943</v>
      </c>
      <c r="DT30" s="9">
        <v>-0.77333333333333332</v>
      </c>
      <c r="DU30">
        <v>-0.47000000000000003</v>
      </c>
      <c r="DV30">
        <v>-1.2433333333333334</v>
      </c>
      <c r="DW30">
        <v>-1.0569</v>
      </c>
      <c r="DX30">
        <v>0.48437432118454382</v>
      </c>
      <c r="DY30">
        <v>-1.0059388988754003</v>
      </c>
      <c r="DZ30">
        <v>2919</v>
      </c>
      <c r="EA30">
        <v>-1.0025464045863017</v>
      </c>
      <c r="EB30">
        <v>1</v>
      </c>
      <c r="EC30">
        <v>2.5747835026136374E-2</v>
      </c>
      <c r="ED30">
        <v>0.246687448923498</v>
      </c>
      <c r="EE30" s="10">
        <v>8.5300000000000001E-2</v>
      </c>
      <c r="EF30">
        <v>4.7500000000000001E-2</v>
      </c>
      <c r="EG30">
        <v>38.104374321184544</v>
      </c>
      <c r="EH30" t="s">
        <v>373</v>
      </c>
      <c r="EI30">
        <v>0</v>
      </c>
      <c r="EJ30">
        <v>0</v>
      </c>
      <c r="EK30" s="12">
        <v>45470</v>
      </c>
      <c r="EL30" s="13">
        <v>-1.53</v>
      </c>
      <c r="EM30" s="13">
        <v>-3.46</v>
      </c>
      <c r="EN30" s="13">
        <v>1.86</v>
      </c>
      <c r="EO30" s="13">
        <v>6.2</v>
      </c>
      <c r="EP30" s="13">
        <v>-3.78</v>
      </c>
    </row>
    <row r="31" spans="1:146" ht="96" x14ac:dyDescent="0.25">
      <c r="A31" s="6"/>
      <c r="B31" s="6"/>
      <c r="C31" s="6" t="str">
        <f>""&amp;CHAR(10)&amp;Basic_Fundamental_Information_Constructure(F31)&amp;CHAR(10)&amp;Basic_Fundamental_Information_Concatenate("")</f>
        <v xml:space="preserve">
市值29.881984亿, 利润3158.67万; PE6.97; 平均PE17.48; 平均PEG1.47, PB2.03; ROIC36.84%; ROE36.2033%; 股利率8.9127%; 毛利12.27%; 净利29.5867%; 上一年度营收增-72.25%, 利润增-94.41%; 当季营收增-40.45%, 利润增-95.27%; 过往5年营收增-11.92%, 利润增70.2%
Income profile:
</v>
      </c>
      <c r="D31" t="s">
        <v>128</v>
      </c>
      <c r="E31" t="s">
        <v>13</v>
      </c>
      <c r="F31">
        <v>11.22</v>
      </c>
      <c r="G31">
        <v>0.9</v>
      </c>
      <c r="H31" t="s">
        <v>1499</v>
      </c>
      <c r="I31">
        <v>2988198400</v>
      </c>
      <c r="J31">
        <v>6.97</v>
      </c>
      <c r="K31">
        <v>2.0299999999999998</v>
      </c>
      <c r="L31" t="s">
        <v>42</v>
      </c>
      <c r="M31" t="s">
        <v>110</v>
      </c>
      <c r="N31" t="s">
        <v>1500</v>
      </c>
      <c r="O31" t="s">
        <v>1501</v>
      </c>
      <c r="P31">
        <v>44.29</v>
      </c>
      <c r="Q31" t="s">
        <v>1501</v>
      </c>
      <c r="R31">
        <v>31586737</v>
      </c>
      <c r="S31" s="5">
        <v>-0.86980000000000002</v>
      </c>
      <c r="T31" t="s">
        <v>1502</v>
      </c>
      <c r="U31">
        <v>266327840</v>
      </c>
      <c r="V31">
        <v>266327840</v>
      </c>
      <c r="W31">
        <v>1.43</v>
      </c>
      <c r="X31">
        <v>0.19</v>
      </c>
      <c r="Y31">
        <v>8.0399999999999991</v>
      </c>
      <c r="Z31" t="s">
        <v>680</v>
      </c>
      <c r="AA31" t="s">
        <v>1503</v>
      </c>
      <c r="AB31" t="s">
        <v>1504</v>
      </c>
      <c r="AC31" t="s">
        <v>1505</v>
      </c>
      <c r="AD31" t="s">
        <v>45</v>
      </c>
      <c r="AE31">
        <v>-7688210</v>
      </c>
      <c r="AF31" t="s">
        <v>1506</v>
      </c>
      <c r="AG31">
        <v>500.91</v>
      </c>
      <c r="AH31" t="s">
        <v>1507</v>
      </c>
      <c r="AI31" t="s">
        <v>1508</v>
      </c>
      <c r="AJ31" t="s">
        <v>1509</v>
      </c>
      <c r="AK31" t="s">
        <v>1510</v>
      </c>
      <c r="AL31" t="s">
        <v>1511</v>
      </c>
      <c r="AM31" t="s">
        <v>45</v>
      </c>
      <c r="AN31" t="s">
        <v>1512</v>
      </c>
      <c r="AO31" t="s">
        <v>1513</v>
      </c>
      <c r="AP31" t="s">
        <v>1091</v>
      </c>
      <c r="AQ31" t="s">
        <v>1514</v>
      </c>
      <c r="AR31" t="s">
        <v>45</v>
      </c>
      <c r="AS31" t="s">
        <v>1515</v>
      </c>
      <c r="AT31" t="s">
        <v>45</v>
      </c>
      <c r="AU31" t="s">
        <v>1516</v>
      </c>
      <c r="AV31" t="s">
        <v>1517</v>
      </c>
      <c r="AW31" t="s">
        <v>1518</v>
      </c>
      <c r="AX31" t="s">
        <v>610</v>
      </c>
      <c r="AY31" t="s">
        <v>274</v>
      </c>
      <c r="AZ31" t="s">
        <v>206</v>
      </c>
      <c r="BA31" t="s">
        <v>129</v>
      </c>
      <c r="BB31" t="s">
        <v>256</v>
      </c>
      <c r="BC31" t="s">
        <v>84</v>
      </c>
      <c r="BD31" t="s">
        <v>220</v>
      </c>
      <c r="BE31" t="s">
        <v>255</v>
      </c>
      <c r="BF31" t="s">
        <v>130</v>
      </c>
      <c r="BG31" t="s">
        <v>257</v>
      </c>
      <c r="BH31" t="s">
        <v>1519</v>
      </c>
      <c r="BI31" t="s">
        <v>237</v>
      </c>
      <c r="BJ31" t="s">
        <v>610</v>
      </c>
      <c r="BK31" t="s">
        <v>551</v>
      </c>
      <c r="BL31" t="s">
        <v>1147</v>
      </c>
      <c r="BM31" t="s">
        <v>84</v>
      </c>
      <c r="BN31">
        <v>44.27</v>
      </c>
      <c r="BO31">
        <v>51.94</v>
      </c>
      <c r="BP31">
        <v>14.31</v>
      </c>
      <c r="BQ31">
        <v>40.75</v>
      </c>
      <c r="BR31">
        <v>53.95</v>
      </c>
      <c r="BS31">
        <v>13.91</v>
      </c>
      <c r="BT31" t="s">
        <v>1520</v>
      </c>
      <c r="BU31" t="s">
        <v>683</v>
      </c>
      <c r="BV31">
        <v>12.15</v>
      </c>
      <c r="BW31">
        <v>12.17</v>
      </c>
      <c r="BX31">
        <v>12.49</v>
      </c>
      <c r="BY31">
        <v>41.98</v>
      </c>
      <c r="BZ31">
        <v>39.86</v>
      </c>
      <c r="CA31">
        <v>6.92</v>
      </c>
      <c r="CB31">
        <v>-0.8</v>
      </c>
      <c r="CC31">
        <v>-8.56</v>
      </c>
      <c r="CD31" t="s">
        <v>1521</v>
      </c>
      <c r="CE31" t="s">
        <v>1522</v>
      </c>
      <c r="CF31" s="7">
        <v>-0.40454545454545454</v>
      </c>
      <c r="CG31" s="8">
        <v>-0.9527144655688623</v>
      </c>
      <c r="CH31" s="7">
        <v>-0.7224576473236084</v>
      </c>
      <c r="CI31" s="7">
        <v>-0.10775050520896912</v>
      </c>
      <c r="CJ31" s="7">
        <v>0.2217089980840683</v>
      </c>
      <c r="CK31" s="7">
        <v>1.1682292446494102E-2</v>
      </c>
      <c r="CL31" s="7">
        <v>7.7937328023836017E-4</v>
      </c>
      <c r="CM31" s="8">
        <v>-0.94409435987472534</v>
      </c>
      <c r="CN31" s="8">
        <v>4.1363635063171387</v>
      </c>
      <c r="CO31" s="8">
        <v>0.15009231865406036</v>
      </c>
      <c r="CP31" s="8">
        <v>-0.27542048692703247</v>
      </c>
      <c r="CQ31" s="8">
        <v>0.44324755668640137</v>
      </c>
      <c r="CR31">
        <v>17.480098696333283</v>
      </c>
      <c r="CS31">
        <v>1.4663589981412046</v>
      </c>
      <c r="CT31">
        <v>8.9126559714795004</v>
      </c>
      <c r="CU31" s="7">
        <v>-0.11920749774435535</v>
      </c>
      <c r="CV31" s="8">
        <v>0.70203770697116852</v>
      </c>
      <c r="CW31">
        <v>0.06</v>
      </c>
      <c r="CX31">
        <v>63.450705518461888</v>
      </c>
      <c r="CY31" t="s">
        <v>1523</v>
      </c>
      <c r="CZ31">
        <v>-0.11920749774435535</v>
      </c>
      <c r="DA31">
        <v>21.150235172820629</v>
      </c>
      <c r="DB31" t="s">
        <v>1524</v>
      </c>
      <c r="DC31">
        <v>-0.11324712285713757</v>
      </c>
      <c r="DD31">
        <v>10.575117586410315</v>
      </c>
      <c r="DE31" t="s">
        <v>1525</v>
      </c>
      <c r="DF31">
        <v>-0.10490259801503271</v>
      </c>
      <c r="DG31">
        <v>6.3450705518461881</v>
      </c>
      <c r="DH31" t="s">
        <v>1526</v>
      </c>
      <c r="DI31">
        <v>-9.5365998195484289E-2</v>
      </c>
      <c r="DJ31">
        <v>3.172535275923094</v>
      </c>
      <c r="DK31" t="s">
        <v>1527</v>
      </c>
      <c r="DL31">
        <v>-8.3445248421048737E-2</v>
      </c>
      <c r="DM31">
        <v>31586700</v>
      </c>
      <c r="DN31">
        <v>-0.11920749774435535</v>
      </c>
      <c r="DO31">
        <v>2004198400</v>
      </c>
      <c r="DP31">
        <v>1183045000</v>
      </c>
      <c r="DQ31">
        <v>4169</v>
      </c>
      <c r="DR31">
        <v>-0.28533795680109919</v>
      </c>
      <c r="DS31">
        <v>-1.6547521725400309</v>
      </c>
      <c r="DT31" s="9">
        <v>-0.64</v>
      </c>
      <c r="DU31">
        <v>-0.34000000000000008</v>
      </c>
      <c r="DV31">
        <v>-0.98000000000000009</v>
      </c>
      <c r="DW31">
        <v>-2.0855999999999999</v>
      </c>
      <c r="DX31">
        <v>0.30777716698426966</v>
      </c>
      <c r="DY31">
        <v>-2.0194977254938533</v>
      </c>
      <c r="DZ31">
        <v>1516</v>
      </c>
      <c r="EA31">
        <v>-2.0137132730772818</v>
      </c>
      <c r="EB31">
        <v>2</v>
      </c>
      <c r="EC31">
        <v>8.0404286686664078E-2</v>
      </c>
      <c r="ED31">
        <v>0.35299539094373311</v>
      </c>
      <c r="EE31" s="10">
        <v>-6.0876099999999997</v>
      </c>
      <c r="EF31">
        <v>-6.1028099999999998</v>
      </c>
      <c r="EG31">
        <v>8.2277771669842696</v>
      </c>
      <c r="EH31" t="s">
        <v>1528</v>
      </c>
      <c r="EI31">
        <v>0</v>
      </c>
      <c r="EJ31">
        <v>0</v>
      </c>
      <c r="EK31" s="12">
        <v>45470</v>
      </c>
      <c r="EL31" s="13">
        <v>0.73</v>
      </c>
      <c r="EM31" s="13">
        <v>-3.51</v>
      </c>
      <c r="EN31" s="13">
        <v>3.74</v>
      </c>
      <c r="EO31" s="13">
        <v>1.65</v>
      </c>
      <c r="EP31" s="13">
        <v>-1.52</v>
      </c>
    </row>
    <row r="32" spans="1:146" ht="96" x14ac:dyDescent="0.25">
      <c r="A32" s="6"/>
      <c r="B32" s="6"/>
      <c r="C32" s="6" t="str">
        <f>""&amp;CHAR(10)&amp;Basic_Fundamental_Information_Constructure(F32)&amp;CHAR(10)&amp;Basic_Fundamental_Information_Concatenate("")</f>
        <v xml:space="preserve">
市值21.15588亿, 利润2060.15万; PE22.11; 平均PE29.65; 平均PEG3.5, PB1.91; ROIC10.32%; ROE11.8067%; 股利率1.1083%; 毛利20.2367%; 净利12.2233%; 上一年度营收增-66.71%, 利润增-80.19%; 当季营收增-59.29%, 利润增-80.75%; 过往5年营收增8.48%, 利润增-3.71%
Income profile:
</v>
      </c>
      <c r="D32" t="s">
        <v>132</v>
      </c>
      <c r="E32" t="s">
        <v>11</v>
      </c>
      <c r="F32">
        <v>11.73</v>
      </c>
      <c r="G32">
        <v>0.26</v>
      </c>
      <c r="H32" t="s">
        <v>1529</v>
      </c>
      <c r="I32">
        <v>2115588000</v>
      </c>
      <c r="J32">
        <v>22.11</v>
      </c>
      <c r="K32">
        <v>1.91</v>
      </c>
      <c r="L32" t="s">
        <v>42</v>
      </c>
      <c r="M32" t="s">
        <v>1530</v>
      </c>
      <c r="N32" t="s">
        <v>1531</v>
      </c>
      <c r="O32" t="s">
        <v>406</v>
      </c>
      <c r="P32">
        <v>-15.17</v>
      </c>
      <c r="Q32" t="s">
        <v>406</v>
      </c>
      <c r="R32">
        <v>20601476</v>
      </c>
      <c r="S32" s="5">
        <v>-0.49669999999999997</v>
      </c>
      <c r="T32" t="s">
        <v>1532</v>
      </c>
      <c r="U32">
        <v>180357030</v>
      </c>
      <c r="V32">
        <v>180357030</v>
      </c>
      <c r="W32">
        <v>3.05</v>
      </c>
      <c r="X32">
        <v>0.08</v>
      </c>
      <c r="Y32">
        <v>6.66</v>
      </c>
      <c r="Z32" t="s">
        <v>331</v>
      </c>
      <c r="AA32" t="s">
        <v>118</v>
      </c>
      <c r="AB32" t="s">
        <v>1533</v>
      </c>
      <c r="AC32" t="s">
        <v>1534</v>
      </c>
      <c r="AD32" t="s">
        <v>45</v>
      </c>
      <c r="AE32">
        <v>7232877</v>
      </c>
      <c r="AF32" t="s">
        <v>1535</v>
      </c>
      <c r="AG32" t="s">
        <v>45</v>
      </c>
      <c r="AH32" t="s">
        <v>1536</v>
      </c>
      <c r="AI32" t="s">
        <v>237</v>
      </c>
      <c r="AJ32" t="s">
        <v>1537</v>
      </c>
      <c r="AK32" t="s">
        <v>1409</v>
      </c>
      <c r="AL32" t="s">
        <v>1538</v>
      </c>
      <c r="AM32" t="s">
        <v>45</v>
      </c>
      <c r="AN32" t="s">
        <v>1539</v>
      </c>
      <c r="AO32" t="s">
        <v>1540</v>
      </c>
      <c r="AP32" t="s">
        <v>1541</v>
      </c>
      <c r="AQ32" t="s">
        <v>229</v>
      </c>
      <c r="AR32" t="s">
        <v>45</v>
      </c>
      <c r="AS32" t="s">
        <v>1542</v>
      </c>
      <c r="AT32" t="s">
        <v>45</v>
      </c>
      <c r="AU32" t="s">
        <v>1543</v>
      </c>
      <c r="AV32" t="s">
        <v>1267</v>
      </c>
      <c r="AW32" t="s">
        <v>1544</v>
      </c>
      <c r="AX32" t="s">
        <v>611</v>
      </c>
      <c r="AY32" t="s">
        <v>345</v>
      </c>
      <c r="AZ32" t="s">
        <v>347</v>
      </c>
      <c r="BA32" t="s">
        <v>133</v>
      </c>
      <c r="BB32" t="s">
        <v>258</v>
      </c>
      <c r="BC32" t="s">
        <v>374</v>
      </c>
      <c r="BD32" t="s">
        <v>346</v>
      </c>
      <c r="BE32" t="s">
        <v>348</v>
      </c>
      <c r="BF32" t="s">
        <v>134</v>
      </c>
      <c r="BG32" t="s">
        <v>259</v>
      </c>
      <c r="BH32" t="s">
        <v>1545</v>
      </c>
      <c r="BI32" t="s">
        <v>1546</v>
      </c>
      <c r="BJ32" t="s">
        <v>611</v>
      </c>
      <c r="BK32" t="s">
        <v>53</v>
      </c>
      <c r="BL32" t="s">
        <v>137</v>
      </c>
      <c r="BM32" t="s">
        <v>374</v>
      </c>
      <c r="BN32">
        <v>10.9</v>
      </c>
      <c r="BO32">
        <v>9.74</v>
      </c>
      <c r="BP32">
        <v>10.32</v>
      </c>
      <c r="BQ32">
        <v>11.94</v>
      </c>
      <c r="BR32">
        <v>10.92</v>
      </c>
      <c r="BS32">
        <v>12.56</v>
      </c>
      <c r="BT32" t="s">
        <v>559</v>
      </c>
      <c r="BU32" t="s">
        <v>683</v>
      </c>
      <c r="BV32">
        <v>23.22</v>
      </c>
      <c r="BW32">
        <v>18.62</v>
      </c>
      <c r="BX32">
        <v>18.87</v>
      </c>
      <c r="BY32">
        <v>12.06</v>
      </c>
      <c r="BZ32">
        <v>13.06</v>
      </c>
      <c r="CA32">
        <v>11.55</v>
      </c>
      <c r="CB32">
        <v>-3.06</v>
      </c>
      <c r="CC32">
        <v>-6.01</v>
      </c>
      <c r="CD32" t="s">
        <v>1547</v>
      </c>
      <c r="CE32" t="s">
        <v>1548</v>
      </c>
      <c r="CF32" s="7">
        <v>-0.59294871794871795</v>
      </c>
      <c r="CG32" s="8">
        <v>-0.80746284112149536</v>
      </c>
      <c r="CH32" s="7">
        <v>-0.66710352897644043</v>
      </c>
      <c r="CI32" s="7">
        <v>-7.6271183788776398E-2</v>
      </c>
      <c r="CJ32" s="7">
        <v>0.4365217387676239</v>
      </c>
      <c r="CK32" s="7">
        <v>0.69117647409439087</v>
      </c>
      <c r="CL32" s="7">
        <v>3.9755351841449738E-2</v>
      </c>
      <c r="CM32" s="8">
        <v>-0.80190861225128174</v>
      </c>
      <c r="CN32" s="8">
        <v>5.585797131061554E-2</v>
      </c>
      <c r="CO32" s="8">
        <v>0.18147295713424683</v>
      </c>
      <c r="CP32" s="8">
        <v>0.35342851281166077</v>
      </c>
      <c r="CQ32" s="8">
        <v>2.5742517784237862E-2</v>
      </c>
      <c r="CR32">
        <v>29.649518171574645</v>
      </c>
      <c r="CS32">
        <v>3.4957553337146914</v>
      </c>
      <c r="CT32">
        <v>1.1082693947144076</v>
      </c>
      <c r="CU32" s="7">
        <v>8.4815770387649536E-2</v>
      </c>
      <c r="CV32" s="8">
        <v>-3.708133064210415E-2</v>
      </c>
      <c r="CW32">
        <v>0.06</v>
      </c>
      <c r="CX32">
        <v>120.45207860172412</v>
      </c>
      <c r="CY32">
        <v>21083803.861925624</v>
      </c>
      <c r="CZ32">
        <v>8.4815770387649536E-2</v>
      </c>
      <c r="DA32">
        <v>39.53589574855247</v>
      </c>
      <c r="DB32">
        <v>64234993.337490827</v>
      </c>
      <c r="DC32">
        <v>8.0574981868267059E-2</v>
      </c>
      <c r="DD32">
        <v>19.577042052858296</v>
      </c>
      <c r="DE32">
        <v>129722763.69142365</v>
      </c>
      <c r="DF32">
        <v>7.4637877941131595E-2</v>
      </c>
      <c r="DG32">
        <v>11.83414417729524</v>
      </c>
      <c r="DH32">
        <v>214598365.70796597</v>
      </c>
      <c r="DI32">
        <v>6.7852616310119629E-2</v>
      </c>
      <c r="DJ32">
        <v>6.2020956541735996</v>
      </c>
      <c r="DK32">
        <v>409472562.43799227</v>
      </c>
      <c r="DL32">
        <v>5.9371039271354668E-2</v>
      </c>
      <c r="DM32">
        <v>20601500</v>
      </c>
      <c r="DN32">
        <v>8.4815770387649536E-2</v>
      </c>
      <c r="DO32">
        <v>2539588000</v>
      </c>
      <c r="DP32">
        <v>-10188860</v>
      </c>
      <c r="DQ32">
        <v>4190</v>
      </c>
      <c r="DR32">
        <v>-0.67776448833636749</v>
      </c>
      <c r="DS32">
        <v>-0.77038151047939118</v>
      </c>
      <c r="DT32" s="9">
        <v>-0.40666666666666668</v>
      </c>
      <c r="DU32">
        <v>-0.52333333333333332</v>
      </c>
      <c r="DV32">
        <v>-0.92999999999999994</v>
      </c>
      <c r="DW32">
        <v>-8.5091514143094837</v>
      </c>
      <c r="DX32">
        <v>0.44195406437479051</v>
      </c>
      <c r="DY32">
        <v>-8.0620930843572136</v>
      </c>
      <c r="DZ32">
        <v>1947</v>
      </c>
      <c r="EA32">
        <v>-8.0384345256011489</v>
      </c>
      <c r="EB32">
        <v>8</v>
      </c>
      <c r="EC32">
        <v>1.333355289782716E-2</v>
      </c>
      <c r="ED32">
        <v>0.10933258326553726</v>
      </c>
      <c r="EE32" s="10">
        <v>1.0419100000000001</v>
      </c>
      <c r="EF32">
        <v>1.0659099999999999</v>
      </c>
      <c r="EG32">
        <v>32.121954064374791</v>
      </c>
      <c r="EH32" t="s">
        <v>379</v>
      </c>
      <c r="EI32">
        <v>0</v>
      </c>
      <c r="EJ32">
        <v>0</v>
      </c>
      <c r="EK32" s="12">
        <v>45470</v>
      </c>
      <c r="EL32" s="13">
        <v>0.51</v>
      </c>
      <c r="EM32" s="13">
        <v>-3.34</v>
      </c>
      <c r="EN32" s="13">
        <v>1.95</v>
      </c>
      <c r="EO32" s="13">
        <v>1.34</v>
      </c>
      <c r="EP32" s="13">
        <v>-2.4</v>
      </c>
    </row>
    <row r="33" spans="1:146" ht="108" x14ac:dyDescent="0.25">
      <c r="A33" s="6"/>
      <c r="B33" s="6"/>
      <c r="C33" s="6" t="str">
        <f>""&amp;CHAR(10)&amp;Basic_Fundamental_Information_Constructure(F33)&amp;CHAR(10)&amp;Basic_Fundamental_Information_Concatenate("")</f>
        <v xml:space="preserve">
市值14.658846亿, 利润-404.49万; PE341.4; 平均PE15.87; 平均PEG.97, PB1.57; ROIC7.3833%; ROE8.2167%; 股利率.9311%; 毛利15.8633%; 净利5.1967%; 上一年度营收增-81.05%, 利润增-104.11%; 当季营收增-59.19%, 利润增-112.04%; 过往5年营收增16.33%, 利润增-19.71%
Income profile:
</v>
      </c>
      <c r="D33" t="s">
        <v>135</v>
      </c>
      <c r="E33" t="s">
        <v>10</v>
      </c>
      <c r="F33">
        <v>10.74</v>
      </c>
      <c r="G33">
        <v>1.51</v>
      </c>
      <c r="H33" t="s">
        <v>1549</v>
      </c>
      <c r="I33">
        <v>1465884600</v>
      </c>
      <c r="J33">
        <v>341.4</v>
      </c>
      <c r="K33">
        <v>1.57</v>
      </c>
      <c r="L33" t="s">
        <v>42</v>
      </c>
      <c r="M33" t="s">
        <v>1550</v>
      </c>
      <c r="N33" t="s">
        <v>1420</v>
      </c>
      <c r="O33" t="s">
        <v>1551</v>
      </c>
      <c r="P33">
        <v>-11.22</v>
      </c>
      <c r="Q33" t="s">
        <v>1551</v>
      </c>
      <c r="R33">
        <v>-4044938</v>
      </c>
      <c r="S33" s="5">
        <v>-1.2430000000000001</v>
      </c>
      <c r="T33" t="s">
        <v>1552</v>
      </c>
      <c r="U33">
        <v>135190050</v>
      </c>
      <c r="V33">
        <v>136488330</v>
      </c>
      <c r="W33">
        <v>2.08</v>
      </c>
      <c r="X33">
        <v>0.19</v>
      </c>
      <c r="Y33">
        <v>-1.1100000000000001</v>
      </c>
      <c r="Z33" t="s">
        <v>1553</v>
      </c>
      <c r="AA33" t="s">
        <v>258</v>
      </c>
      <c r="AB33" t="s">
        <v>1554</v>
      </c>
      <c r="AC33" t="s">
        <v>1555</v>
      </c>
      <c r="AD33" t="s">
        <v>45</v>
      </c>
      <c r="AE33">
        <v>-1195700</v>
      </c>
      <c r="AF33" t="s">
        <v>1556</v>
      </c>
      <c r="AG33" t="s">
        <v>1557</v>
      </c>
      <c r="AH33" t="s">
        <v>1558</v>
      </c>
      <c r="AI33" t="s">
        <v>1559</v>
      </c>
      <c r="AJ33" t="s">
        <v>1560</v>
      </c>
      <c r="AK33" t="s">
        <v>1561</v>
      </c>
      <c r="AL33" t="s">
        <v>1562</v>
      </c>
      <c r="AM33" t="s">
        <v>45</v>
      </c>
      <c r="AN33" t="s">
        <v>1563</v>
      </c>
      <c r="AO33" t="s">
        <v>1564</v>
      </c>
      <c r="AP33" t="s">
        <v>1565</v>
      </c>
      <c r="AQ33" t="s">
        <v>1566</v>
      </c>
      <c r="AR33" t="s">
        <v>45</v>
      </c>
      <c r="AS33" t="s">
        <v>1105</v>
      </c>
      <c r="AT33" t="s">
        <v>45</v>
      </c>
      <c r="AU33" t="s">
        <v>1567</v>
      </c>
      <c r="AV33" t="s">
        <v>1568</v>
      </c>
      <c r="AW33" t="s">
        <v>1569</v>
      </c>
      <c r="AX33" t="s">
        <v>613</v>
      </c>
      <c r="AY33" t="s">
        <v>336</v>
      </c>
      <c r="AZ33" t="s">
        <v>58</v>
      </c>
      <c r="BA33" t="s">
        <v>136</v>
      </c>
      <c r="BB33" t="s">
        <v>260</v>
      </c>
      <c r="BC33" t="s">
        <v>1570</v>
      </c>
      <c r="BD33" t="s">
        <v>220</v>
      </c>
      <c r="BE33" t="s">
        <v>76</v>
      </c>
      <c r="BF33" t="s">
        <v>137</v>
      </c>
      <c r="BG33" t="s">
        <v>81</v>
      </c>
      <c r="BH33" t="s">
        <v>351</v>
      </c>
      <c r="BI33" t="s">
        <v>1545</v>
      </c>
      <c r="BJ33" t="s">
        <v>613</v>
      </c>
      <c r="BK33" t="s">
        <v>1571</v>
      </c>
      <c r="BL33" t="s">
        <v>1572</v>
      </c>
      <c r="BM33" t="s">
        <v>1570</v>
      </c>
      <c r="BN33">
        <v>2.54</v>
      </c>
      <c r="BO33">
        <v>9.43</v>
      </c>
      <c r="BP33">
        <v>10.18</v>
      </c>
      <c r="BQ33">
        <v>3.73</v>
      </c>
      <c r="BR33">
        <v>9.5299999999999994</v>
      </c>
      <c r="BS33">
        <v>11.39</v>
      </c>
      <c r="BT33" t="s">
        <v>487</v>
      </c>
      <c r="BU33" t="s">
        <v>683</v>
      </c>
      <c r="BV33">
        <v>12.58</v>
      </c>
      <c r="BW33">
        <v>14.31</v>
      </c>
      <c r="BX33">
        <v>20.7</v>
      </c>
      <c r="BY33">
        <v>1.49</v>
      </c>
      <c r="BZ33">
        <v>5.84</v>
      </c>
      <c r="CA33">
        <v>8.26</v>
      </c>
      <c r="CB33">
        <v>-5.71</v>
      </c>
      <c r="CC33">
        <v>-23.72</v>
      </c>
      <c r="CD33" t="s">
        <v>1573</v>
      </c>
      <c r="CE33" t="s">
        <v>1574</v>
      </c>
      <c r="CF33" s="7">
        <v>-0.59192825112107628</v>
      </c>
      <c r="CG33" s="8">
        <v>-1.1204076359555513</v>
      </c>
      <c r="CH33" s="7">
        <v>-0.81051534414291382</v>
      </c>
      <c r="CI33" s="7">
        <v>0.48339757323265076</v>
      </c>
      <c r="CJ33" s="7">
        <v>0.51639354228973389</v>
      </c>
      <c r="CK33" s="7">
        <v>0.51687389612197876</v>
      </c>
      <c r="CL33" s="7">
        <v>0.11045365035533905</v>
      </c>
      <c r="CM33" s="8">
        <v>-1.0411015748977661</v>
      </c>
      <c r="CN33" s="8">
        <v>-0.10534457862377167</v>
      </c>
      <c r="CO33" s="8">
        <v>-0.22535210847854614</v>
      </c>
      <c r="CP33" s="8">
        <v>0.32710281014442444</v>
      </c>
      <c r="CQ33" s="8">
        <v>5.9405941516160965E-2</v>
      </c>
      <c r="CR33">
        <v>15.86549059901091</v>
      </c>
      <c r="CS33">
        <v>0.97143192123261191</v>
      </c>
      <c r="CT33">
        <v>0.93109869646182497</v>
      </c>
      <c r="CU33" s="7">
        <v>0.16332066357135772</v>
      </c>
      <c r="CV33" s="8">
        <v>-0.19705790206789969</v>
      </c>
      <c r="CW33">
        <v>0.06</v>
      </c>
      <c r="CX33" t="e">
        <v>#VALUE!</v>
      </c>
      <c r="CY33" t="s">
        <v>1309</v>
      </c>
      <c r="CZ33">
        <v>0.16332066357135772</v>
      </c>
      <c r="DA33" t="e">
        <v>#VALUE!</v>
      </c>
      <c r="DB33" t="s">
        <v>1310</v>
      </c>
      <c r="DC33">
        <v>0.15515463039278982</v>
      </c>
      <c r="DD33" t="e">
        <v>#VALUE!</v>
      </c>
      <c r="DE33" t="s">
        <v>1310</v>
      </c>
      <c r="DF33">
        <v>0.14372218394279479</v>
      </c>
      <c r="DG33" t="e">
        <v>#VALUE!</v>
      </c>
      <c r="DH33" t="s">
        <v>1310</v>
      </c>
      <c r="DI33">
        <v>0.13065653085708617</v>
      </c>
      <c r="DJ33" t="e">
        <v>#VALUE!</v>
      </c>
      <c r="DK33" t="s">
        <v>1310</v>
      </c>
      <c r="DL33">
        <v>0.11432446449995039</v>
      </c>
      <c r="DM33">
        <v>-4044900</v>
      </c>
      <c r="DN33">
        <v>0.16332066357135772</v>
      </c>
      <c r="DO33">
        <v>1524884600</v>
      </c>
      <c r="DP33">
        <v>400371200</v>
      </c>
      <c r="DQ33">
        <v>4234</v>
      </c>
      <c r="DR33">
        <v>-0.75524891469243394</v>
      </c>
      <c r="DS33">
        <v>-0.92334973388765151</v>
      </c>
      <c r="DT33" s="9">
        <v>-0.37333333333333335</v>
      </c>
      <c r="DU33">
        <v>-1.665</v>
      </c>
      <c r="DV33">
        <v>-2.0383333333333336</v>
      </c>
      <c r="DW33">
        <v>-8.2407251264755477</v>
      </c>
      <c r="DX33">
        <v>0.31077325256770322</v>
      </c>
      <c r="DY33">
        <v>-8.0314804077639792</v>
      </c>
      <c r="DZ33">
        <v>649</v>
      </c>
      <c r="EA33">
        <v>-8.0274822111614696</v>
      </c>
      <c r="EB33">
        <v>8</v>
      </c>
      <c r="EC33">
        <v>7.9841258223322095E-2</v>
      </c>
      <c r="ED33">
        <v>0.61053205061560945</v>
      </c>
      <c r="EE33" s="10">
        <v>0.11751</v>
      </c>
      <c r="EF33">
        <v>0.12731000000000001</v>
      </c>
      <c r="EG33">
        <v>18.130773252567703</v>
      </c>
      <c r="EH33">
        <v>-1</v>
      </c>
      <c r="EI33">
        <v>0</v>
      </c>
      <c r="EJ33">
        <v>1</v>
      </c>
      <c r="EK33" s="12">
        <v>45470</v>
      </c>
      <c r="EL33" s="13">
        <v>-0.06</v>
      </c>
      <c r="EM33" s="13">
        <v>-1.23</v>
      </c>
      <c r="EN33" s="13">
        <v>-0.19</v>
      </c>
      <c r="EO33" s="13">
        <v>0.84</v>
      </c>
      <c r="EP33" s="13">
        <v>-0.98</v>
      </c>
    </row>
    <row r="34" spans="1:146" ht="108" x14ac:dyDescent="0.25">
      <c r="A34" s="6"/>
      <c r="B34" s="6"/>
      <c r="C34" s="6" t="str">
        <f>""&amp;CHAR(10)&amp;Basic_Fundamental_Information_Constructure(F34)&amp;CHAR(10)&amp;Basic_Fundamental_Information_Concatenate("")</f>
        <v xml:space="preserve">
市值22.000897亿, 利润2389.88万; PE28.99; 平均PE34.11; 平均PEG4.09, PB2; ROIC5.8867%; ROE6.5433%; 股利率1.7467%; 毛利13.9933%; 净利3.96%; 上一年度营收增-74.45%, 利润增-62.67%; 当季营收增-45.12%, 利润增-43.94%; 过往5年营收增-8.33%, 利润增-12.12%
Income profile:
</v>
      </c>
      <c r="D34" t="s">
        <v>138</v>
      </c>
      <c r="E34" t="s">
        <v>7</v>
      </c>
      <c r="F34">
        <v>11.45</v>
      </c>
      <c r="G34">
        <v>1.06</v>
      </c>
      <c r="H34" t="s">
        <v>1575</v>
      </c>
      <c r="I34">
        <v>2200089700</v>
      </c>
      <c r="J34">
        <v>28.99</v>
      </c>
      <c r="K34">
        <v>2</v>
      </c>
      <c r="L34" t="s">
        <v>42</v>
      </c>
      <c r="M34" t="s">
        <v>1576</v>
      </c>
      <c r="N34" t="s">
        <v>1577</v>
      </c>
      <c r="O34" t="s">
        <v>522</v>
      </c>
      <c r="P34">
        <v>14.9</v>
      </c>
      <c r="Q34" t="s">
        <v>522</v>
      </c>
      <c r="R34">
        <v>23898818</v>
      </c>
      <c r="S34" s="5">
        <v>0.39169999999999999</v>
      </c>
      <c r="T34" t="s">
        <v>1578</v>
      </c>
      <c r="U34">
        <v>192147570</v>
      </c>
      <c r="V34">
        <v>192147570</v>
      </c>
      <c r="W34">
        <v>1.91</v>
      </c>
      <c r="X34">
        <v>0.21</v>
      </c>
      <c r="Y34">
        <v>5.18</v>
      </c>
      <c r="Z34" t="s">
        <v>1579</v>
      </c>
      <c r="AA34" t="s">
        <v>375</v>
      </c>
      <c r="AB34" t="s">
        <v>1580</v>
      </c>
      <c r="AC34" t="s">
        <v>1581</v>
      </c>
      <c r="AD34" t="s">
        <v>45</v>
      </c>
      <c r="AE34">
        <v>1263483</v>
      </c>
      <c r="AF34" t="s">
        <v>1582</v>
      </c>
      <c r="AG34" t="s">
        <v>45</v>
      </c>
      <c r="AH34" t="s">
        <v>1583</v>
      </c>
      <c r="AI34" t="s">
        <v>588</v>
      </c>
      <c r="AJ34" t="s">
        <v>1584</v>
      </c>
      <c r="AK34" t="s">
        <v>1585</v>
      </c>
      <c r="AL34" t="s">
        <v>1586</v>
      </c>
      <c r="AM34" t="s">
        <v>45</v>
      </c>
      <c r="AN34" t="s">
        <v>1587</v>
      </c>
      <c r="AO34" t="s">
        <v>799</v>
      </c>
      <c r="AP34" t="s">
        <v>79</v>
      </c>
      <c r="AQ34" t="s">
        <v>1588</v>
      </c>
      <c r="AR34" t="s">
        <v>1589</v>
      </c>
      <c r="AS34" t="s">
        <v>300</v>
      </c>
      <c r="AT34" t="s">
        <v>1590</v>
      </c>
      <c r="AU34" t="s">
        <v>1591</v>
      </c>
      <c r="AV34" t="s">
        <v>1592</v>
      </c>
      <c r="AW34" t="s">
        <v>81</v>
      </c>
      <c r="AX34" t="s">
        <v>616</v>
      </c>
      <c r="AY34" t="s">
        <v>349</v>
      </c>
      <c r="AZ34" t="s">
        <v>214</v>
      </c>
      <c r="BA34" t="s">
        <v>139</v>
      </c>
      <c r="BB34" t="s">
        <v>262</v>
      </c>
      <c r="BC34" t="s">
        <v>1593</v>
      </c>
      <c r="BD34" t="s">
        <v>350</v>
      </c>
      <c r="BE34" t="s">
        <v>261</v>
      </c>
      <c r="BF34" t="s">
        <v>140</v>
      </c>
      <c r="BG34" t="s">
        <v>263</v>
      </c>
      <c r="BH34" t="s">
        <v>1594</v>
      </c>
      <c r="BI34" t="s">
        <v>1595</v>
      </c>
      <c r="BJ34" t="s">
        <v>616</v>
      </c>
      <c r="BK34" t="s">
        <v>1596</v>
      </c>
      <c r="BL34" t="s">
        <v>1597</v>
      </c>
      <c r="BM34" t="s">
        <v>1593</v>
      </c>
      <c r="BN34">
        <v>4.5599999999999996</v>
      </c>
      <c r="BO34">
        <v>5.42</v>
      </c>
      <c r="BP34">
        <v>7.68</v>
      </c>
      <c r="BQ34">
        <v>5.5</v>
      </c>
      <c r="BR34">
        <v>5.81</v>
      </c>
      <c r="BS34">
        <v>8.32</v>
      </c>
      <c r="BT34" t="s">
        <v>508</v>
      </c>
      <c r="BU34" t="s">
        <v>683</v>
      </c>
      <c r="BV34">
        <v>14.79</v>
      </c>
      <c r="BW34">
        <v>13.02</v>
      </c>
      <c r="BX34">
        <v>14.17</v>
      </c>
      <c r="BY34">
        <v>3.9</v>
      </c>
      <c r="BZ34">
        <v>3.55</v>
      </c>
      <c r="CA34">
        <v>4.43</v>
      </c>
      <c r="CB34">
        <v>-1.72</v>
      </c>
      <c r="CC34">
        <v>-8.98</v>
      </c>
      <c r="CD34" t="s">
        <v>1598</v>
      </c>
      <c r="CE34" t="s">
        <v>1599</v>
      </c>
      <c r="CF34" s="7">
        <v>-0.45119047619047614</v>
      </c>
      <c r="CG34" s="8">
        <v>-0.43939493882299957</v>
      </c>
      <c r="CH34" s="7">
        <v>-0.74445682764053345</v>
      </c>
      <c r="CI34" s="7">
        <v>-0.10024935007095337</v>
      </c>
      <c r="CJ34" s="7">
        <v>0.28608071804046631</v>
      </c>
      <c r="CK34" s="7">
        <v>-6.4225651323795319E-2</v>
      </c>
      <c r="CL34" s="7">
        <v>0.20637224614620209</v>
      </c>
      <c r="CM34" s="8">
        <v>-0.62666290998458862</v>
      </c>
      <c r="CN34" s="8">
        <v>-0.2799762487411499</v>
      </c>
      <c r="CO34" s="8">
        <v>0.58176648616790771</v>
      </c>
      <c r="CP34" s="8">
        <v>-0.26351210474967957</v>
      </c>
      <c r="CQ34" s="8">
        <v>-1.771077886223793E-2</v>
      </c>
      <c r="CR34">
        <v>34.106903730988115</v>
      </c>
      <c r="CS34">
        <v>4.0946740170579439</v>
      </c>
      <c r="CT34">
        <v>1.7467248908296944</v>
      </c>
      <c r="CU34" s="7">
        <v>-8.3295772969722751E-2</v>
      </c>
      <c r="CV34" s="8">
        <v>-0.12121911123394966</v>
      </c>
      <c r="CW34">
        <v>0.06</v>
      </c>
      <c r="CX34">
        <v>84.06655145865065</v>
      </c>
      <c r="CY34" t="s">
        <v>1600</v>
      </c>
      <c r="CZ34">
        <v>-8.3295772969722751E-2</v>
      </c>
      <c r="DA34">
        <v>28.022183819550214</v>
      </c>
      <c r="DB34" t="s">
        <v>1601</v>
      </c>
      <c r="DC34">
        <v>-7.9130984321236608E-2</v>
      </c>
      <c r="DD34">
        <v>14.011091909775107</v>
      </c>
      <c r="DE34" t="s">
        <v>1602</v>
      </c>
      <c r="DF34">
        <v>-7.3300280213356023E-2</v>
      </c>
      <c r="DG34">
        <v>8.4066551458650647</v>
      </c>
      <c r="DH34" t="s">
        <v>1603</v>
      </c>
      <c r="DI34">
        <v>-6.6636618375778209E-2</v>
      </c>
      <c r="DJ34">
        <v>4.2033275729325323</v>
      </c>
      <c r="DK34" t="s">
        <v>1604</v>
      </c>
      <c r="DL34">
        <v>-5.8307041078805924E-2</v>
      </c>
      <c r="DM34">
        <v>23898800</v>
      </c>
      <c r="DN34">
        <v>-8.3295772969722751E-2</v>
      </c>
      <c r="DO34">
        <v>2009089700</v>
      </c>
      <c r="DP34">
        <v>569738800</v>
      </c>
      <c r="DQ34">
        <v>4247</v>
      </c>
      <c r="DR34">
        <v>-0.36789470322075341</v>
      </c>
      <c r="DS34">
        <v>-0.31817582758904994</v>
      </c>
      <c r="DT34" s="9">
        <v>-0.54</v>
      </c>
      <c r="DU34">
        <v>-0.68666666666666665</v>
      </c>
      <c r="DV34">
        <v>-1.2266666666666666</v>
      </c>
      <c r="DW34">
        <v>-2.0897999999999999</v>
      </c>
      <c r="DX34">
        <v>0.35364187146834536</v>
      </c>
      <c r="DY34">
        <v>-2.0120010400578576</v>
      </c>
      <c r="DZ34">
        <v>3192</v>
      </c>
      <c r="EA34">
        <v>-2.0045044999669219</v>
      </c>
      <c r="EB34">
        <v>2</v>
      </c>
      <c r="EC34">
        <v>2.6254300275564246E-2</v>
      </c>
      <c r="ED34">
        <v>0.19645265355164263</v>
      </c>
      <c r="EE34" s="10">
        <v>-1.0619099999999999</v>
      </c>
      <c r="EF34">
        <v>-1.0777099999999999</v>
      </c>
      <c r="EG34">
        <v>22.133641871468345</v>
      </c>
      <c r="EH34" t="s">
        <v>378</v>
      </c>
      <c r="EI34">
        <v>0</v>
      </c>
      <c r="EJ34">
        <v>0</v>
      </c>
      <c r="EK34" s="12">
        <v>45470</v>
      </c>
      <c r="EL34" s="13">
        <v>-0.72</v>
      </c>
      <c r="EM34" s="13">
        <v>0.82</v>
      </c>
      <c r="EN34">
        <v>1.32</v>
      </c>
      <c r="EO34">
        <v>1.05</v>
      </c>
      <c r="EP34">
        <v>-1.58</v>
      </c>
    </row>
    <row r="35" spans="1:146" ht="108" x14ac:dyDescent="0.25">
      <c r="A35" s="6"/>
      <c r="B35" s="6"/>
      <c r="C35" s="6" t="str">
        <f>""&amp;CHAR(10)&amp;Basic_Fundamental_Information_Constructure(F35)&amp;CHAR(10)&amp;Basic_Fundamental_Information_Concatenate("")</f>
        <v xml:space="preserve">
市值21.999667亿, 利润3848.02万; PE16.51; 平均PE21.82; 平均PEG1.72, PB1.79; ROIC8.0667%; ROE9.93%; 股利率3.3755%; 毛利20.0967%; 净利6.6267%; 上一年度营收增-75.25%, 利润增-57.9%; 当季营收增-50.94%, 利润增-29.85%; 过往5年营收增-12.67%, 利润增-12.62%
Income profile:
</v>
      </c>
      <c r="D35" t="s">
        <v>141</v>
      </c>
      <c r="E35" t="s">
        <v>16</v>
      </c>
      <c r="F35">
        <v>11.85</v>
      </c>
      <c r="G35">
        <v>-5.88</v>
      </c>
      <c r="H35" t="s">
        <v>1605</v>
      </c>
      <c r="I35">
        <v>2199966700</v>
      </c>
      <c r="J35">
        <v>16.510000000000002</v>
      </c>
      <c r="K35">
        <v>1.79</v>
      </c>
      <c r="L35" t="s">
        <v>42</v>
      </c>
      <c r="M35" t="s">
        <v>1606</v>
      </c>
      <c r="N35" t="s">
        <v>1607</v>
      </c>
      <c r="O35" t="s">
        <v>697</v>
      </c>
      <c r="P35">
        <v>15.28</v>
      </c>
      <c r="Q35" t="s">
        <v>697</v>
      </c>
      <c r="R35">
        <v>38480241</v>
      </c>
      <c r="S35" s="5">
        <v>1.605</v>
      </c>
      <c r="T35" t="s">
        <v>1608</v>
      </c>
      <c r="U35">
        <v>185651200</v>
      </c>
      <c r="V35">
        <v>185651200</v>
      </c>
      <c r="W35">
        <v>1.85</v>
      </c>
      <c r="X35">
        <v>0.18</v>
      </c>
      <c r="Y35">
        <v>9.14</v>
      </c>
      <c r="Z35" t="s">
        <v>1566</v>
      </c>
      <c r="AA35" t="s">
        <v>890</v>
      </c>
      <c r="AB35" t="s">
        <v>1609</v>
      </c>
      <c r="AC35" t="s">
        <v>1610</v>
      </c>
      <c r="AD35" t="s">
        <v>45</v>
      </c>
      <c r="AE35">
        <v>1857684</v>
      </c>
      <c r="AF35" t="s">
        <v>1611</v>
      </c>
      <c r="AG35" t="s">
        <v>1612</v>
      </c>
      <c r="AH35" t="s">
        <v>1613</v>
      </c>
      <c r="AI35" t="s">
        <v>1614</v>
      </c>
      <c r="AJ35" t="s">
        <v>1615</v>
      </c>
      <c r="AK35" t="s">
        <v>1616</v>
      </c>
      <c r="AL35" t="s">
        <v>1617</v>
      </c>
      <c r="AM35" t="s">
        <v>45</v>
      </c>
      <c r="AN35" t="s">
        <v>1618</v>
      </c>
      <c r="AO35" t="s">
        <v>94</v>
      </c>
      <c r="AP35" t="s">
        <v>1619</v>
      </c>
      <c r="AQ35" t="s">
        <v>1008</v>
      </c>
      <c r="AR35" t="s">
        <v>45</v>
      </c>
      <c r="AS35" t="s">
        <v>1620</v>
      </c>
      <c r="AT35" t="s">
        <v>1621</v>
      </c>
      <c r="AU35" t="s">
        <v>1622</v>
      </c>
      <c r="AV35" t="s">
        <v>1623</v>
      </c>
      <c r="AW35" t="s">
        <v>1624</v>
      </c>
      <c r="AX35" t="s">
        <v>617</v>
      </c>
      <c r="AY35" t="s">
        <v>351</v>
      </c>
      <c r="AZ35" t="s">
        <v>208</v>
      </c>
      <c r="BA35" t="s">
        <v>142</v>
      </c>
      <c r="BB35" t="s">
        <v>264</v>
      </c>
      <c r="BC35" t="s">
        <v>618</v>
      </c>
      <c r="BD35" t="s">
        <v>85</v>
      </c>
      <c r="BE35" t="s">
        <v>217</v>
      </c>
      <c r="BF35" t="s">
        <v>90</v>
      </c>
      <c r="BG35" t="s">
        <v>217</v>
      </c>
      <c r="BH35" t="s">
        <v>1625</v>
      </c>
      <c r="BI35" t="s">
        <v>557</v>
      </c>
      <c r="BJ35" t="s">
        <v>617</v>
      </c>
      <c r="BK35" t="s">
        <v>220</v>
      </c>
      <c r="BL35" t="s">
        <v>1626</v>
      </c>
      <c r="BM35" t="s">
        <v>618</v>
      </c>
      <c r="BN35">
        <v>5.98</v>
      </c>
      <c r="BO35">
        <v>6.8</v>
      </c>
      <c r="BP35">
        <v>11.42</v>
      </c>
      <c r="BQ35">
        <v>7.4</v>
      </c>
      <c r="BR35">
        <v>8.34</v>
      </c>
      <c r="BS35">
        <v>14.05</v>
      </c>
      <c r="BT35" t="s">
        <v>493</v>
      </c>
      <c r="BU35" t="s">
        <v>683</v>
      </c>
      <c r="BV35">
        <v>21.4</v>
      </c>
      <c r="BW35">
        <v>18.45</v>
      </c>
      <c r="BX35">
        <v>20.440000000000001</v>
      </c>
      <c r="BY35">
        <v>6.56</v>
      </c>
      <c r="BZ35">
        <v>5.29</v>
      </c>
      <c r="CA35">
        <v>8.0299999999999994</v>
      </c>
      <c r="CB35">
        <v>-8.85</v>
      </c>
      <c r="CC35">
        <v>-9.9499999999999993</v>
      </c>
      <c r="CD35" t="s">
        <v>1627</v>
      </c>
      <c r="CE35" t="s">
        <v>197</v>
      </c>
      <c r="CF35" s="7">
        <v>-0.50941176470588234</v>
      </c>
      <c r="CG35" s="8">
        <v>-0.29846766827646182</v>
      </c>
      <c r="CH35" s="7">
        <v>-0.75252223014831543</v>
      </c>
      <c r="CI35" s="7">
        <v>-7.4175789952278137E-2</v>
      </c>
      <c r="CJ35" s="7">
        <v>0.29907214641571045</v>
      </c>
      <c r="CK35" s="7">
        <v>-0.12052731215953827</v>
      </c>
      <c r="CL35" s="7">
        <v>1.4649640768766403E-2</v>
      </c>
      <c r="CM35" s="8">
        <v>-0.57901149988174438</v>
      </c>
      <c r="CN35" s="8">
        <v>-0.37820136547088623</v>
      </c>
      <c r="CO35" s="8">
        <v>0.32432430982589722</v>
      </c>
      <c r="CP35" s="8">
        <v>4.7169812023639679E-2</v>
      </c>
      <c r="CQ35" s="8">
        <v>-4.5045044273138046E-2</v>
      </c>
      <c r="CR35">
        <v>21.822013984154996</v>
      </c>
      <c r="CS35">
        <v>1.7223276928583677</v>
      </c>
      <c r="CT35">
        <v>3.3755274261603376</v>
      </c>
      <c r="CU35" s="7">
        <v>-0.126700709015131</v>
      </c>
      <c r="CV35" s="8">
        <v>-0.12615275755524635</v>
      </c>
      <c r="CW35">
        <v>0.06</v>
      </c>
      <c r="CX35">
        <v>51.869966892063971</v>
      </c>
      <c r="CY35" t="s">
        <v>1628</v>
      </c>
      <c r="CZ35">
        <v>-0.126700709015131</v>
      </c>
      <c r="DA35">
        <v>17.289988964021322</v>
      </c>
      <c r="DB35" t="s">
        <v>1629</v>
      </c>
      <c r="DC35">
        <v>-0.12036567356437444</v>
      </c>
      <c r="DD35">
        <v>8.6449944820106612</v>
      </c>
      <c r="DE35" t="s">
        <v>1630</v>
      </c>
      <c r="DF35">
        <v>-0.11149662393331529</v>
      </c>
      <c r="DG35">
        <v>5.1869966892063974</v>
      </c>
      <c r="DH35" t="s">
        <v>1631</v>
      </c>
      <c r="DI35">
        <v>-0.1013605672121048</v>
      </c>
      <c r="DJ35">
        <v>2.5934983446031987</v>
      </c>
      <c r="DK35" t="s">
        <v>1632</v>
      </c>
      <c r="DL35">
        <v>-8.8690496310591699E-2</v>
      </c>
      <c r="DM35">
        <v>38480200</v>
      </c>
      <c r="DN35">
        <v>-0.126700709015131</v>
      </c>
      <c r="DO35">
        <v>1995966700</v>
      </c>
      <c r="DP35">
        <v>418601140</v>
      </c>
      <c r="DQ35">
        <v>4282</v>
      </c>
      <c r="DR35">
        <v>-0.38271105569075137</v>
      </c>
      <c r="DS35">
        <v>-0.17231491072121546</v>
      </c>
      <c r="DT35" s="9">
        <v>-0.64</v>
      </c>
      <c r="DU35">
        <v>-0.40333333333333332</v>
      </c>
      <c r="DV35">
        <v>-1.0433333333333334</v>
      </c>
      <c r="DW35">
        <v>-9.8894472361809047</v>
      </c>
      <c r="DX35">
        <v>0.5652795081967239</v>
      </c>
      <c r="DY35">
        <v>-9.2181631806573847</v>
      </c>
      <c r="DZ35">
        <v>879</v>
      </c>
      <c r="EA35">
        <v>-9.1806356981137753</v>
      </c>
      <c r="EB35">
        <v>9</v>
      </c>
      <c r="EC35">
        <v>0.16118452237313843</v>
      </c>
      <c r="ED35">
        <v>0.65714630446773303</v>
      </c>
      <c r="EE35" s="10">
        <v>3.0602100000000001</v>
      </c>
      <c r="EF35">
        <v>3.0771099999999998</v>
      </c>
      <c r="EG35">
        <v>32.245279508196724</v>
      </c>
      <c r="EH35" t="s">
        <v>795</v>
      </c>
      <c r="EI35">
        <v>0</v>
      </c>
      <c r="EJ35">
        <v>1</v>
      </c>
      <c r="EK35" s="12">
        <v>45470</v>
      </c>
      <c r="EL35" s="13">
        <v>0.92</v>
      </c>
      <c r="EM35" s="13">
        <v>-3.26</v>
      </c>
      <c r="EN35">
        <v>0.16</v>
      </c>
      <c r="EO35">
        <v>2.04</v>
      </c>
      <c r="EP35">
        <v>-1.69</v>
      </c>
    </row>
    <row r="36" spans="1:146" x14ac:dyDescent="0.25">
      <c r="A36" s="6"/>
      <c r="B36" s="6"/>
      <c r="C36" s="6"/>
      <c r="Q36" s="5"/>
    </row>
    <row r="37" spans="1:146" x14ac:dyDescent="0.25">
      <c r="A37" s="6"/>
      <c r="B37" s="6"/>
      <c r="C37" s="6"/>
      <c r="Q37" s="5"/>
    </row>
    <row r="38" spans="1:146" x14ac:dyDescent="0.25">
      <c r="A38" s="6"/>
      <c r="B38" s="6"/>
      <c r="C38" s="6"/>
      <c r="Q38" s="5"/>
    </row>
    <row r="39" spans="1:146" x14ac:dyDescent="0.25">
      <c r="A39" s="6"/>
      <c r="B39" s="6"/>
      <c r="C39" s="6"/>
      <c r="Q39" s="5"/>
    </row>
    <row r="40" spans="1:146" x14ac:dyDescent="0.25">
      <c r="A40" s="6"/>
      <c r="B40" s="6"/>
      <c r="C40" s="6"/>
      <c r="Q40" s="5"/>
    </row>
    <row r="41" spans="1:146" x14ac:dyDescent="0.25">
      <c r="A41" s="6"/>
      <c r="B41" s="6"/>
      <c r="C41" s="6"/>
      <c r="Q41" s="5"/>
    </row>
    <row r="42" spans="1:146" x14ac:dyDescent="0.25">
      <c r="A42" s="6"/>
      <c r="B42" s="6"/>
      <c r="C42" s="6"/>
      <c r="Q42" s="5"/>
    </row>
    <row r="43" spans="1:146" x14ac:dyDescent="0.25">
      <c r="A43" s="6"/>
      <c r="B43" s="6"/>
      <c r="C43" s="6"/>
      <c r="Q43" s="5"/>
    </row>
    <row r="44" spans="1:146" x14ac:dyDescent="0.25">
      <c r="A44" s="6"/>
      <c r="B44" s="6"/>
      <c r="C44" s="6"/>
      <c r="Q44" s="5"/>
    </row>
    <row r="45" spans="1:146" x14ac:dyDescent="0.25">
      <c r="A45" s="6"/>
      <c r="B45" s="6"/>
      <c r="C45" s="6"/>
      <c r="Q45" s="5"/>
    </row>
    <row r="46" spans="1:146" x14ac:dyDescent="0.25">
      <c r="A46" s="6"/>
      <c r="B46" s="6"/>
      <c r="C46" s="6"/>
      <c r="Q46" s="5"/>
    </row>
    <row r="47" spans="1:146" x14ac:dyDescent="0.25">
      <c r="A47" s="6"/>
      <c r="B47" s="6"/>
      <c r="C47" s="6"/>
      <c r="Q47" s="5"/>
    </row>
    <row r="48" spans="1:146" x14ac:dyDescent="0.25">
      <c r="A48" s="6"/>
      <c r="B48" s="6"/>
      <c r="C48" s="6"/>
      <c r="Q48" s="5"/>
    </row>
    <row r="49" spans="1:17" x14ac:dyDescent="0.25">
      <c r="A49" s="6"/>
      <c r="B49" s="6"/>
      <c r="C49" s="6"/>
      <c r="Q49" s="5"/>
    </row>
    <row r="50" spans="1:17" x14ac:dyDescent="0.25">
      <c r="A50" s="6"/>
      <c r="B50" s="6"/>
      <c r="C50" s="6"/>
      <c r="Q50" s="5"/>
    </row>
    <row r="51" spans="1:17" x14ac:dyDescent="0.25">
      <c r="A51" s="6"/>
      <c r="B51" s="6"/>
      <c r="C51" s="6"/>
      <c r="Q51" s="5"/>
    </row>
    <row r="52" spans="1:17" x14ac:dyDescent="0.25">
      <c r="A52" s="6"/>
      <c r="B52" s="6"/>
      <c r="C52" s="6"/>
      <c r="Q52" s="5"/>
    </row>
    <row r="53" spans="1:17" x14ac:dyDescent="0.25">
      <c r="A53" s="6"/>
      <c r="B53" s="6"/>
      <c r="C53" s="6"/>
      <c r="Q53" s="5"/>
    </row>
    <row r="54" spans="1:17" x14ac:dyDescent="0.25">
      <c r="A54" s="6"/>
      <c r="B54" s="6"/>
      <c r="C54" s="6"/>
      <c r="Q54" s="5"/>
    </row>
    <row r="55" spans="1:17" x14ac:dyDescent="0.25">
      <c r="A55" s="6"/>
      <c r="B55" s="6"/>
      <c r="C55" s="6"/>
      <c r="Q55" s="5"/>
    </row>
    <row r="56" spans="1:17" x14ac:dyDescent="0.25">
      <c r="A56" s="6"/>
      <c r="B56" s="6"/>
      <c r="C56" s="6"/>
      <c r="Q56" s="5"/>
    </row>
    <row r="57" spans="1:17" x14ac:dyDescent="0.25">
      <c r="A57" s="6"/>
      <c r="B57" s="6"/>
      <c r="C57" s="6"/>
      <c r="Q57" s="5"/>
    </row>
    <row r="58" spans="1:17" x14ac:dyDescent="0.25">
      <c r="A58" s="6"/>
      <c r="B58" s="6"/>
      <c r="C58" s="6"/>
      <c r="Q58" s="5"/>
    </row>
    <row r="59" spans="1:17" x14ac:dyDescent="0.25">
      <c r="A59" s="6"/>
      <c r="B59" s="6"/>
      <c r="C59" s="6"/>
      <c r="Q59" s="5"/>
    </row>
    <row r="60" spans="1:17" x14ac:dyDescent="0.25">
      <c r="A60" s="6"/>
      <c r="B60" s="6"/>
      <c r="C60" s="6"/>
      <c r="Q60" s="5"/>
    </row>
    <row r="61" spans="1:17" x14ac:dyDescent="0.25">
      <c r="A61" s="6"/>
      <c r="B61" s="6"/>
      <c r="C61" s="6"/>
      <c r="Q61" s="5"/>
    </row>
    <row r="62" spans="1:17" x14ac:dyDescent="0.25">
      <c r="A62" s="6"/>
      <c r="B62" s="6"/>
      <c r="C62" s="6"/>
      <c r="Q62" s="5"/>
    </row>
    <row r="63" spans="1:17" x14ac:dyDescent="0.25">
      <c r="A63" s="6"/>
      <c r="B63" s="6"/>
      <c r="C63" s="6"/>
    </row>
  </sheetData>
  <autoFilter ref="BU1:BU63"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'Basic_Fundamental_Tabel_Update_Buttom &quot;白色家电&quot;,&quot;&quot;'" altText="更新基本面按钮_x000a_">
                <anchor moveWithCells="1" sizeWithCells="1">
                  <from>
                    <xdr:col>147</xdr:col>
                    <xdr:colOff>203200</xdr:colOff>
                    <xdr:row>0</xdr:row>
                    <xdr:rowOff>82550</xdr:rowOff>
                  </from>
                  <to>
                    <xdr:col>147</xdr:col>
                    <xdr:colOff>1212850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白色家电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2024-07-07T15:29:09Z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