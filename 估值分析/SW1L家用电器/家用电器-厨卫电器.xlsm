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家用电器\"/>
    </mc:Choice>
  </mc:AlternateContent>
  <bookViews>
    <workbookView xWindow="0" yWindow="0" windowWidth="3800" windowHeight="2950"/>
  </bookViews>
  <sheets>
    <sheet name="厨卫电器" sheetId="7" r:id="rId1"/>
    <sheet name="估值-增速与年化收益" sheetId="14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10" i="7"/>
  <c r="C9" i="7"/>
  <c r="C8" i="7"/>
  <c r="C7" i="7"/>
  <c r="C6" i="7"/>
  <c r="C5" i="7"/>
  <c r="C4" i="7"/>
  <c r="C3" i="7"/>
  <c r="C2" i="7"/>
</calcChain>
</file>

<file path=xl/sharedStrings.xml><?xml version="1.0" encoding="utf-8"?>
<sst xmlns="http://schemas.openxmlformats.org/spreadsheetml/2006/main" count="658" uniqueCount="554">
  <si>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</si>
  <si>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</si>
  <si>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</si>
  <si>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</si>
  <si>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</si>
  <si>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</si>
  <si>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</si>
  <si>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</si>
  <si>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</si>
  <si>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</si>
  <si>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</si>
  <si>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</si>
  <si>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</si>
  <si>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</si>
  <si>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</si>
  <si>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</si>
  <si>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</si>
  <si>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</si>
  <si>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</si>
  <si>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</si>
  <si>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--</t>
  </si>
  <si>
    <t>6.31亿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</si>
  <si>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</si>
  <si>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</si>
  <si>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</si>
  <si>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</si>
  <si>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</si>
  <si>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</si>
  <si>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</si>
  <si>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</si>
  <si>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</si>
  <si>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</si>
  <si>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</si>
  <si>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</si>
  <si>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</si>
  <si>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6.11亿</t>
  </si>
  <si>
    <t>1.74亿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</si>
  <si>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</si>
  <si>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</si>
  <si>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</si>
  <si>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</si>
  <si>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</si>
  <si>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</si>
  <si>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</si>
  <si>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</si>
  <si>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</si>
  <si>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</si>
  <si>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</si>
  <si>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</si>
  <si>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</si>
  <si>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</si>
  <si>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</si>
  <si>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SZ002035</t>
  </si>
  <si>
    <t>华帝股份</t>
  </si>
  <si>
    <t>厨卫电器</t>
  </si>
  <si>
    <t>43.60亿</t>
  </si>
  <si>
    <t>4.08亿</t>
  </si>
  <si>
    <t>57.48亿</t>
  </si>
  <si>
    <t>60.95亿</t>
  </si>
  <si>
    <t>7.48亿</t>
  </si>
  <si>
    <t>6.77亿</t>
  </si>
  <si>
    <t>SZ002508</t>
  </si>
  <si>
    <t>老板电器</t>
  </si>
  <si>
    <t>81.29亿</t>
  </si>
  <si>
    <t>16.61亿</t>
  </si>
  <si>
    <t>1.50亿</t>
  </si>
  <si>
    <t>77.61亿</t>
  </si>
  <si>
    <t>74.25亿</t>
  </si>
  <si>
    <t>15.90亿</t>
  </si>
  <si>
    <t>14.74亿</t>
  </si>
  <si>
    <t>SZ002543</t>
  </si>
  <si>
    <t>万和电气</t>
  </si>
  <si>
    <t>62.70亿</t>
  </si>
  <si>
    <t>62.20亿</t>
  </si>
  <si>
    <t>69.14亿</t>
  </si>
  <si>
    <t>5.98亿</t>
  </si>
  <si>
    <t>4.89亿</t>
  </si>
  <si>
    <t>SZ002677</t>
  </si>
  <si>
    <t>浙江美大</t>
  </si>
  <si>
    <t>17.71亿</t>
  </si>
  <si>
    <t>5.44亿</t>
  </si>
  <si>
    <t>16.84亿</t>
  </si>
  <si>
    <t>14.01亿</t>
  </si>
  <si>
    <t>4.60亿</t>
  </si>
  <si>
    <t>3.78亿</t>
  </si>
  <si>
    <t>1.70亿</t>
  </si>
  <si>
    <t>SZ300894</t>
  </si>
  <si>
    <t>火星人</t>
  </si>
  <si>
    <t>16.14亿</t>
  </si>
  <si>
    <t>2.75亿</t>
  </si>
  <si>
    <t>13.26亿</t>
  </si>
  <si>
    <t>9.56亿</t>
  </si>
  <si>
    <t>2.40亿</t>
  </si>
  <si>
    <t>9234.78万</t>
  </si>
  <si>
    <t>SZ300911</t>
  </si>
  <si>
    <t>亿田智能</t>
  </si>
  <si>
    <t>7.16亿</t>
  </si>
  <si>
    <t>1.44亿</t>
  </si>
  <si>
    <t>6.55亿</t>
  </si>
  <si>
    <t>6.14亿</t>
  </si>
  <si>
    <t>9833.60万</t>
  </si>
  <si>
    <t>7622.21万</t>
  </si>
  <si>
    <t>SH603366</t>
  </si>
  <si>
    <t>日出东方</t>
  </si>
  <si>
    <t>35.43亿</t>
  </si>
  <si>
    <t>33.66亿</t>
  </si>
  <si>
    <t>31.77亿</t>
  </si>
  <si>
    <t>8258.15万</t>
  </si>
  <si>
    <t>-4.92亿</t>
  </si>
  <si>
    <t>SH603551</t>
  </si>
  <si>
    <t>15.93亿</t>
  </si>
  <si>
    <t>1.89亿</t>
  </si>
  <si>
    <t>16.50亿</t>
  </si>
  <si>
    <t>2.68亿</t>
  </si>
  <si>
    <t>3.02亿</t>
  </si>
  <si>
    <t>SH605336</t>
  </si>
  <si>
    <t>帅丰电器</t>
  </si>
  <si>
    <t>7.14亿</t>
  </si>
  <si>
    <t>1.94亿</t>
  </si>
  <si>
    <t>6.98亿</t>
  </si>
  <si>
    <t>流通股本</t>
  </si>
  <si>
    <t>净利润[20201231]</t>
  </si>
  <si>
    <t>投入资本回报率roic%[20201231]</t>
  </si>
  <si>
    <t>净资产收益率%[20201231]</t>
  </si>
  <si>
    <t>55.88亿</t>
  </si>
  <si>
    <t>2.07亿</t>
  </si>
  <si>
    <t>101.48亿</t>
  </si>
  <si>
    <t>13.32亿</t>
  </si>
  <si>
    <t>75.27亿</t>
  </si>
  <si>
    <t>3.58亿</t>
  </si>
  <si>
    <t>21.64亿</t>
  </si>
  <si>
    <t>6.65亿</t>
  </si>
  <si>
    <t>23.19亿</t>
  </si>
  <si>
    <t>3.76亿</t>
  </si>
  <si>
    <t>12.30亿</t>
  </si>
  <si>
    <t>2.10亿</t>
  </si>
  <si>
    <t>42.06亿</t>
  </si>
  <si>
    <t>2.13亿</t>
  </si>
  <si>
    <t>20.58亿</t>
  </si>
  <si>
    <t>3105.18万</t>
  </si>
  <si>
    <t>9.78亿</t>
  </si>
  <si>
    <t>2.47亿</t>
  </si>
  <si>
    <t xml:space="preserve">    名称</t>
  </si>
  <si>
    <t>净利润?</t>
  </si>
  <si>
    <t>扣非净利润</t>
  </si>
  <si>
    <t>营业总收入[20201231]</t>
  </si>
  <si>
    <t>投入资本回报率roic%[20211231]</t>
  </si>
  <si>
    <t>净资产收益率%[20211231]</t>
  </si>
  <si>
    <t>单季营收增速</t>
  </si>
  <si>
    <t>单季利润增速</t>
  </si>
  <si>
    <t xml:space="preserve">
1.从产品角度来看，公司集成灶和水洗等配套产品均实现快速增长；渠道方面，公司持续发挥线上与线下经销、直营的协同优势，电商收入增长53%，线下收入增长37.6%，新兴渠道如KA渠道、整装渠道、工程渠道、下沉渠道等快速增长；</t>
    <phoneticPr fontId="1" type="noConversion"/>
  </si>
  <si>
    <r>
      <t>1.问：公司如何看待集成灶行业的发展？答：根据中怡康的数据显示，厨电行业市场规模2319亿，同比增长8.67%；集成灶行业市场规模267亿，同比增长43%。2015-2021年，</t>
    </r>
    <r>
      <rPr>
        <sz val="9"/>
        <color rgb="FFFF0000"/>
        <rFont val="宋体"/>
        <family val="3"/>
        <charset val="134"/>
        <scheme val="minor"/>
      </rPr>
      <t>集成灶市场</t>
    </r>
    <r>
      <rPr>
        <sz val="9"/>
        <color theme="1"/>
        <rFont val="宋体"/>
        <family val="2"/>
        <charset val="134"/>
        <scheme val="minor"/>
      </rPr>
      <t>零售额规模从48.8亿元增加至267.0亿元，年复合增速为</t>
    </r>
    <r>
      <rPr>
        <sz val="9"/>
        <color rgb="FFFF0000"/>
        <rFont val="宋体"/>
        <family val="3"/>
        <charset val="134"/>
        <scheme val="minor"/>
      </rPr>
      <t>32.74%</t>
    </r>
    <r>
      <rPr>
        <sz val="9"/>
        <color theme="1"/>
        <rFont val="宋体"/>
        <family val="2"/>
        <charset val="134"/>
        <scheme val="minor"/>
      </rPr>
      <t>；集成灶零售量从69万台增长至321万台，年复合增速为29.2%，零售额增速与零售量增速均较快。同时集成灶头部的集中度越来越高，</t>
    </r>
    <r>
      <rPr>
        <sz val="9"/>
        <color rgb="FFFF0000"/>
        <rFont val="宋体"/>
        <family val="3"/>
        <charset val="134"/>
        <scheme val="minor"/>
      </rPr>
      <t>线上CR10达73%左右</t>
    </r>
    <r>
      <rPr>
        <sz val="9"/>
        <color theme="1"/>
        <rFont val="宋体"/>
        <family val="2"/>
        <charset val="134"/>
        <scheme val="minor"/>
      </rPr>
      <t>，线下达84%左右，每年都在提升。根据中怡康预测，2022年集成灶市场规模预计能达到342亿，同比增长28%。可以预见集成灶行业仍处于快速发展阶段，发展空间还很大;</t>
    </r>
    <phoneticPr fontId="1" type="noConversion"/>
  </si>
  <si>
    <r>
      <t>1.问：公司目前</t>
    </r>
    <r>
      <rPr>
        <b/>
        <sz val="9"/>
        <color rgb="FFFF0000"/>
        <rFont val="宋体"/>
        <family val="3"/>
        <charset val="134"/>
        <scheme val="minor"/>
      </rPr>
      <t>市占率20%以上</t>
    </r>
    <r>
      <rPr>
        <sz val="9"/>
        <color theme="1"/>
        <rFont val="宋体"/>
        <family val="2"/>
        <charset val="134"/>
        <scheme val="minor"/>
      </rPr>
      <t>，2022年公司在收入增速和盈利方面如何平衡？答：2022年，公司继续通过加大技术创新力度，加速新品研发；特别加大和加强市场投入和建设，大力开发和优化多元化营销渠道，持续推进线上线下融合发展，进一步提升市场覆盖面，实现销量的快速提升。同时通过技术创新、产品优化、迭代升级，提升生产效率等措施，实现良好的经营业绩，保持相对稳定的毛利率水平。</t>
    </r>
    <phoneticPr fontId="1" type="noConversion"/>
  </si>
  <si>
    <r>
      <t>1.问：集成灶行业销量中多少来自新房，多少来自更新换代需求？答：目前</t>
    </r>
    <r>
      <rPr>
        <b/>
        <sz val="9"/>
        <color rgb="FFFF0000"/>
        <rFont val="宋体"/>
        <family val="3"/>
        <charset val="134"/>
        <scheme val="minor"/>
      </rPr>
      <t>集成灶新房占比约95%</t>
    </r>
    <r>
      <rPr>
        <sz val="9"/>
        <color theme="1"/>
        <rFont val="宋体"/>
        <family val="2"/>
        <charset val="134"/>
        <scheme val="minor"/>
      </rPr>
      <t>，更新换代和旧厨房改造占比约5%。</t>
    </r>
    <phoneticPr fontId="1" type="noConversion"/>
  </si>
  <si>
    <t>LY营业总收入[20211231]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</si>
  <si>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</si>
  <si>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</si>
  <si>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</si>
  <si>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</si>
  <si>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</si>
  <si>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</si>
  <si>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</si>
  <si>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细分行业</t>
  </si>
  <si>
    <t>扣非对比净利润</t>
    <phoneticPr fontId="1" type="noConversion"/>
  </si>
  <si>
    <t>10年自由现金流折现</t>
    <phoneticPr fontId="1" type="noConversion"/>
  </si>
  <si>
    <t>策略1营收单季最佳增速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</si>
  <si>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</si>
  <si>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</si>
  <si>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</si>
  <si>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</si>
  <si>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综合策略</t>
    <phoneticPr fontId="1" type="noConversion"/>
  </si>
  <si>
    <t>机会区域号</t>
    <phoneticPr fontId="1" type="noConversion"/>
  </si>
  <si>
    <t>成交量异动策略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</si>
  <si>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</si>
  <si>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</si>
  <si>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</si>
  <si>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</si>
  <si>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</t>
    <phoneticPr fontId="1" type="noConversion"/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</si>
  <si>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</si>
  <si>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</si>
  <si>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</si>
  <si>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</si>
  <si>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</si>
  <si>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</si>
  <si>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</si>
  <si>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</si>
  <si>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</si>
  <si>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</si>
  <si>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</si>
  <si>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</si>
  <si>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</si>
  <si>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</si>
  <si>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</si>
  <si>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</si>
  <si>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</si>
  <si>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</si>
  <si>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</si>
  <si>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</si>
  <si>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</si>
  <si>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</si>
  <si>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</si>
  <si>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</si>
  <si>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</si>
  <si>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</si>
  <si>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</si>
  <si>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</si>
  <si>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</si>
  <si>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</si>
  <si>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</si>
  <si>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</si>
  <si>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市销率</t>
    <phoneticPr fontId="1" type="noConversion"/>
  </si>
  <si>
    <t>股利率</t>
    <phoneticPr fontId="1" type="noConversion"/>
  </si>
  <si>
    <t>3年自由现金流折现</t>
    <phoneticPr fontId="1" type="noConversion"/>
  </si>
  <si>
    <t>3增速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</si>
  <si>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</si>
  <si>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</si>
  <si>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</si>
  <si>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原始顺序</t>
    <phoneticPr fontId="1" type="noConversion"/>
  </si>
  <si>
    <t>量价齐升策略</t>
    <phoneticPr fontId="1" type="noConversion"/>
  </si>
  <si>
    <t>30日成交换手率</t>
    <phoneticPr fontId="1" type="noConversion"/>
  </si>
  <si>
    <t>价格箱体形态过滤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</si>
  <si>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</si>
  <si>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</si>
  <si>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</si>
  <si>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</si>
  <si>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</si>
  <si>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6年自由现金流折现</t>
    <phoneticPr fontId="1" type="noConversion"/>
  </si>
  <si>
    <t>6增速</t>
    <phoneticPr fontId="1" type="noConversion"/>
  </si>
  <si>
    <t>清算价格</t>
    <phoneticPr fontId="1" type="noConversion"/>
  </si>
  <si>
    <t>策略1利润单季最佳增速</t>
    <phoneticPr fontId="1" type="noConversion"/>
  </si>
  <si>
    <t>成交量综合策略</t>
    <phoneticPr fontId="1" type="noConversion"/>
  </si>
  <si>
    <t>基本面排序</t>
    <phoneticPr fontId="1" type="noConversion"/>
  </si>
  <si>
    <t>5日成交换手率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</si>
  <si>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</si>
  <si>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</si>
  <si>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价格右侧初期策略</t>
    <phoneticPr fontId="1" type="noConversion"/>
  </si>
  <si>
    <t>N-1</t>
    <phoneticPr fontId="1" type="noConversion"/>
  </si>
  <si>
    <t>10派5元(含税)</t>
  </si>
  <si>
    <t>10派6元(含税)</t>
  </si>
  <si>
    <t>58.19亿</t>
  </si>
  <si>
    <t>1.43亿</t>
  </si>
  <si>
    <t>2.59亿</t>
  </si>
  <si>
    <t/>
  </si>
  <si>
    <t>102.72亿</t>
  </si>
  <si>
    <t>15.72亿</t>
  </si>
  <si>
    <t>66.28亿</t>
  </si>
  <si>
    <t>5.50亿</t>
  </si>
  <si>
    <t>10派4元(含税)</t>
  </si>
  <si>
    <t>18.34亿</t>
  </si>
  <si>
    <t>4.52亿</t>
  </si>
  <si>
    <t>0亿</t>
  </si>
  <si>
    <t>10派6.2元(含税)</t>
  </si>
  <si>
    <t>22.77亿</t>
  </si>
  <si>
    <t>3.15亿</t>
  </si>
  <si>
    <t>1.17亿</t>
  </si>
  <si>
    <t>12.76亿</t>
  </si>
  <si>
    <t>38.97亿</t>
  </si>
  <si>
    <t>18.80亿</t>
  </si>
  <si>
    <t>10派7.5元(含税)</t>
  </si>
  <si>
    <t>9.46亿</t>
  </si>
  <si>
    <t>2.14亿</t>
  </si>
  <si>
    <t>3.04亿</t>
  </si>
  <si>
    <t>35.09亿</t>
  </si>
  <si>
    <t>13.81亿</t>
  </si>
  <si>
    <t>62.33亿</t>
  </si>
  <si>
    <t>4.47亿</t>
  </si>
  <si>
    <t>5424676亿</t>
  </si>
  <si>
    <t>122000911亿</t>
  </si>
  <si>
    <t>678501040亿</t>
  </si>
  <si>
    <t>4867982500亿</t>
  </si>
  <si>
    <t>1.42亿</t>
  </si>
  <si>
    <t>5004.13万</t>
  </si>
  <si>
    <t>10派3元(含税)</t>
  </si>
  <si>
    <t>2-1</t>
  </si>
  <si>
    <t>61.49亿</t>
  </si>
  <si>
    <t>22.37亿</t>
  </si>
  <si>
    <t>112.02亿</t>
  </si>
  <si>
    <t>17.33亿</t>
  </si>
  <si>
    <t>-1775329亿</t>
  </si>
  <si>
    <t>352836280亿</t>
  </si>
  <si>
    <t>1649351500亿</t>
  </si>
  <si>
    <t>11335248100亿</t>
  </si>
  <si>
    <t>1-0</t>
  </si>
  <si>
    <t>38.57亿</t>
  </si>
  <si>
    <t>19.80亿</t>
  </si>
  <si>
    <t>61.04亿</t>
  </si>
  <si>
    <t>5.68亿</t>
  </si>
  <si>
    <t>2.01亿</t>
  </si>
  <si>
    <t>2995834亿</t>
  </si>
  <si>
    <t>188242570亿</t>
  </si>
  <si>
    <t>1033013110亿</t>
  </si>
  <si>
    <t>5875297500亿</t>
  </si>
  <si>
    <t>2.73亿</t>
  </si>
  <si>
    <t>16.73亿</t>
  </si>
  <si>
    <t>4.64亿</t>
  </si>
  <si>
    <t>76942742亿</t>
  </si>
  <si>
    <t>16140774亿</t>
  </si>
  <si>
    <t>1407620400亿</t>
  </si>
  <si>
    <t>725.68万</t>
  </si>
  <si>
    <t>1.56亿</t>
  </si>
  <si>
    <t>2-0</t>
  </si>
  <si>
    <t>16.86亿</t>
  </si>
  <si>
    <t>3.48亿</t>
  </si>
  <si>
    <t>21.39亿</t>
  </si>
  <si>
    <t>246729亿</t>
  </si>
  <si>
    <t>33804438亿</t>
  </si>
  <si>
    <t>119443974亿</t>
  </si>
  <si>
    <t>1998241800亿</t>
  </si>
  <si>
    <t>8.43亿</t>
  </si>
  <si>
    <t>1.27亿</t>
  </si>
  <si>
    <t>12.27亿</t>
  </si>
  <si>
    <t>1.79亿</t>
  </si>
  <si>
    <t>-987545亿</t>
  </si>
  <si>
    <t>65232439亿</t>
  </si>
  <si>
    <t>1620159600亿</t>
  </si>
  <si>
    <t>10转3股派10元(含税)</t>
  </si>
  <si>
    <t>30.31亿</t>
  </si>
  <si>
    <t>7.30亿</t>
  </si>
  <si>
    <t>48.42亿</t>
  </si>
  <si>
    <t>2.09亿</t>
  </si>
  <si>
    <t>14206703亿</t>
  </si>
  <si>
    <t>-79334709亿</t>
  </si>
  <si>
    <t>363448910亿</t>
  </si>
  <si>
    <t>2850237900亿</t>
  </si>
  <si>
    <t>10派0.78元(含税)</t>
  </si>
  <si>
    <t>奥普科技</t>
  </si>
  <si>
    <t>8.32亿</t>
  </si>
  <si>
    <t>3.81亿</t>
  </si>
  <si>
    <t>19.96亿</t>
  </si>
  <si>
    <t>3.09亿</t>
  </si>
  <si>
    <t>1012500亿</t>
  </si>
  <si>
    <t>45801692亿</t>
  </si>
  <si>
    <t>140553900亿</t>
  </si>
  <si>
    <t>1581026600亿</t>
  </si>
  <si>
    <t>2.60亿</t>
  </si>
  <si>
    <t>10派8元(含税)</t>
  </si>
  <si>
    <t>3.43亿</t>
  </si>
  <si>
    <t>8.31亿</t>
  </si>
  <si>
    <t>1.90亿</t>
  </si>
  <si>
    <t>1.29亿</t>
  </si>
  <si>
    <t>17919216亿</t>
  </si>
  <si>
    <t>17983300亿</t>
  </si>
  <si>
    <t>1716452700亿</t>
  </si>
  <si>
    <t>3.28亿</t>
  </si>
  <si>
    <t>2.18亿</t>
  </si>
  <si>
    <t>1.75亿</t>
  </si>
  <si>
    <t>1669.36万</t>
  </si>
  <si>
    <t>37.13亿</t>
  </si>
  <si>
    <t>1.24亿</t>
  </si>
  <si>
    <t>12.67亿</t>
  </si>
  <si>
    <t>8.03亿</t>
  </si>
  <si>
    <t>3.32亿</t>
  </si>
  <si>
    <t>6451.79万</t>
  </si>
  <si>
    <t>158.10万</t>
  </si>
  <si>
    <t>16.39亿</t>
  </si>
  <si>
    <t>3.21亿</t>
  </si>
  <si>
    <t>1.40亿</t>
  </si>
  <si>
    <t>16.47亿</t>
  </si>
  <si>
    <t>5.27亿</t>
  </si>
  <si>
    <t>32.94亿</t>
  </si>
  <si>
    <t>2.36亿</t>
  </si>
  <si>
    <t>-7199.38万</t>
  </si>
  <si>
    <t>-9576.78万</t>
  </si>
  <si>
    <t>28.80亿</t>
  </si>
  <si>
    <t>2.61亿</t>
  </si>
  <si>
    <t>9605.60万</t>
  </si>
  <si>
    <t>5.69亿</t>
  </si>
  <si>
    <t>0124000000</t>
  </si>
  <si>
    <t>0372000000</t>
  </si>
  <si>
    <t>0744000000</t>
  </si>
  <si>
    <t>01240000000</t>
  </si>
  <si>
    <t>02480000000</t>
  </si>
  <si>
    <t>347.74万</t>
  </si>
  <si>
    <t>110.29亿</t>
  </si>
  <si>
    <t>3.98亿</t>
  </si>
  <si>
    <t>18.30亿</t>
  </si>
  <si>
    <t>11.04亿</t>
  </si>
  <si>
    <t>9593.19万</t>
  </si>
  <si>
    <t>133.96万</t>
  </si>
  <si>
    <t>15.66亿</t>
  </si>
  <si>
    <t>4.03亿</t>
  </si>
  <si>
    <t>3.73亿</t>
  </si>
  <si>
    <t>8850.33万</t>
  </si>
  <si>
    <t>11.24亿</t>
  </si>
  <si>
    <t>19.98亿</t>
  </si>
  <si>
    <t>44.90亿</t>
  </si>
  <si>
    <t>5488.76万</t>
  </si>
  <si>
    <t>404.04万</t>
  </si>
  <si>
    <t>-4.81亿</t>
  </si>
  <si>
    <t>49.35亿</t>
  </si>
  <si>
    <t>8.30亿</t>
  </si>
  <si>
    <t>2217.68万</t>
  </si>
  <si>
    <t>0398000000</t>
  </si>
  <si>
    <t>01194000000</t>
  </si>
  <si>
    <t>02388000000</t>
  </si>
  <si>
    <t>03980000000</t>
  </si>
  <si>
    <t>07960000000</t>
  </si>
  <si>
    <t>277.47万</t>
  </si>
  <si>
    <t>46.96亿</t>
  </si>
  <si>
    <t>1.66亿</t>
  </si>
  <si>
    <t>17.40亿</t>
  </si>
  <si>
    <t>13.45亿</t>
  </si>
  <si>
    <t>2.84亿</t>
  </si>
  <si>
    <t>4246.41万</t>
  </si>
  <si>
    <t>155.86万</t>
  </si>
  <si>
    <t>36.60亿</t>
  </si>
  <si>
    <t>2.44亿</t>
  </si>
  <si>
    <t>10.55亿</t>
  </si>
  <si>
    <t>11.48亿</t>
  </si>
  <si>
    <t>9.95亿</t>
  </si>
  <si>
    <t>41.93亿</t>
  </si>
  <si>
    <t>3.18亿</t>
  </si>
  <si>
    <t>-8638.40万</t>
  </si>
  <si>
    <t>9897.63万</t>
  </si>
  <si>
    <t>30.69亿</t>
  </si>
  <si>
    <t>4.14亿</t>
  </si>
  <si>
    <t>2005.69万</t>
  </si>
  <si>
    <t>1.12亿</t>
  </si>
  <si>
    <t>0166000000</t>
  </si>
  <si>
    <t>0498000000</t>
  </si>
  <si>
    <t>0996000000</t>
  </si>
  <si>
    <t>01660000000</t>
  </si>
  <si>
    <t>03320000000</t>
  </si>
  <si>
    <t>120.32万</t>
  </si>
  <si>
    <t>21.09亿</t>
  </si>
  <si>
    <t>7715.95万</t>
  </si>
  <si>
    <t>1.87亿</t>
  </si>
  <si>
    <t>1.47亿</t>
  </si>
  <si>
    <t>1904.83万</t>
  </si>
  <si>
    <t>1882.50万</t>
  </si>
  <si>
    <t>7.93万</t>
  </si>
  <si>
    <t>13.05亿</t>
  </si>
  <si>
    <t>5815.82万</t>
  </si>
  <si>
    <t>24.07万</t>
  </si>
  <si>
    <t>2.06亿</t>
  </si>
  <si>
    <t>1522.81万</t>
  </si>
  <si>
    <t>-47.26万</t>
  </si>
  <si>
    <t>400.00万</t>
  </si>
  <si>
    <t>7.72亿</t>
  </si>
  <si>
    <t>941.93万</t>
  </si>
  <si>
    <t>9414.92万</t>
  </si>
  <si>
    <t>077159500</t>
  </si>
  <si>
    <t>0231478500</t>
  </si>
  <si>
    <t>0462957000</t>
  </si>
  <si>
    <t>0771595000</t>
  </si>
  <si>
    <t>01543190000</t>
  </si>
  <si>
    <t>382.83万</t>
  </si>
  <si>
    <t>3688.23万</t>
  </si>
  <si>
    <t>8068.16万</t>
  </si>
  <si>
    <t>2658.22万</t>
  </si>
  <si>
    <t>155.89万</t>
  </si>
  <si>
    <t>15.28亿</t>
  </si>
  <si>
    <t>2.65亿</t>
  </si>
  <si>
    <t>2.32亿</t>
  </si>
  <si>
    <t>1.05亿</t>
  </si>
  <si>
    <t>1.54亿</t>
  </si>
  <si>
    <t>9.52亿</t>
  </si>
  <si>
    <t>-4750.52万</t>
  </si>
  <si>
    <t>-1.69亿</t>
  </si>
  <si>
    <t>-501.89万</t>
  </si>
  <si>
    <t>10.24亿</t>
  </si>
  <si>
    <t>1.36亿</t>
  </si>
  <si>
    <t>2644.29万</t>
  </si>
  <si>
    <t>2.57亿</t>
  </si>
  <si>
    <t>4-1</t>
  </si>
  <si>
    <t>179.34万</t>
  </si>
  <si>
    <t>14.99亿</t>
  </si>
  <si>
    <t>452.71万</t>
  </si>
  <si>
    <t>7019.18万</t>
  </si>
  <si>
    <t>3773.19万</t>
  </si>
  <si>
    <t>1213.29万</t>
  </si>
  <si>
    <t>1.33万</t>
  </si>
  <si>
    <t>11.63亿</t>
  </si>
  <si>
    <t>1125.02万</t>
  </si>
  <si>
    <t>6890.38万</t>
  </si>
  <si>
    <t>1.49亿</t>
  </si>
  <si>
    <t>3.11亿</t>
  </si>
  <si>
    <t>37.51万</t>
  </si>
  <si>
    <t>-2.53亿</t>
  </si>
  <si>
    <t>-3804.53万</t>
  </si>
  <si>
    <t>6.17亿</t>
  </si>
  <si>
    <t>653.12万</t>
  </si>
  <si>
    <t>4294.58万</t>
  </si>
  <si>
    <t>-1-1</t>
  </si>
  <si>
    <t>412.16万</t>
  </si>
  <si>
    <t>39.87亿</t>
  </si>
  <si>
    <t>-5238.36万</t>
  </si>
  <si>
    <t>8.16亿</t>
  </si>
  <si>
    <t>5.34亿</t>
  </si>
  <si>
    <t>1.78亿</t>
  </si>
  <si>
    <t>5373.85万</t>
  </si>
  <si>
    <t>43.01万</t>
  </si>
  <si>
    <t>3.27亿</t>
  </si>
  <si>
    <t>419.20万</t>
  </si>
  <si>
    <t>7664.74万</t>
  </si>
  <si>
    <t>3.44亿</t>
  </si>
  <si>
    <t>5.39亿</t>
  </si>
  <si>
    <t>28.54亿</t>
  </si>
  <si>
    <t>-2.71亿</t>
  </si>
  <si>
    <t>-1.10亿</t>
  </si>
  <si>
    <t>20.61亿</t>
  </si>
  <si>
    <t>9262.83万</t>
  </si>
  <si>
    <t>2010.50万</t>
  </si>
  <si>
    <t>1.73亿</t>
  </si>
  <si>
    <t>亏损</t>
  </si>
  <si>
    <t>扭亏</t>
  </si>
  <si>
    <t>103.74万</t>
  </si>
  <si>
    <t>17.36亿</t>
  </si>
  <si>
    <t>5203.71万</t>
  </si>
  <si>
    <t>7669.00万</t>
  </si>
  <si>
    <t>3002.46万</t>
  </si>
  <si>
    <t>67.34万</t>
  </si>
  <si>
    <t>11.90亿</t>
  </si>
  <si>
    <t>192.99万</t>
  </si>
  <si>
    <t>346.54万</t>
  </si>
  <si>
    <t>125.00万</t>
  </si>
  <si>
    <t>6.27亿</t>
  </si>
  <si>
    <t>-1.01亿</t>
  </si>
  <si>
    <t>3072.18万</t>
  </si>
  <si>
    <t>-1241.42万</t>
  </si>
  <si>
    <t>8.62亿</t>
  </si>
  <si>
    <t>669.06万</t>
  </si>
  <si>
    <t>8086.54万</t>
  </si>
  <si>
    <t>052037100</t>
  </si>
  <si>
    <t>0156111300</t>
  </si>
  <si>
    <t>0312222600</t>
  </si>
  <si>
    <t>0520371000</t>
  </si>
  <si>
    <t>01040742000</t>
  </si>
  <si>
    <t>92.44万</t>
  </si>
  <si>
    <t>19.97亿</t>
  </si>
  <si>
    <t>2223.34万</t>
  </si>
  <si>
    <t>9752.25万</t>
  </si>
  <si>
    <t>6506.33万</t>
  </si>
  <si>
    <t>2361.30万</t>
  </si>
  <si>
    <t>1329.18万</t>
  </si>
  <si>
    <t>34.23万</t>
  </si>
  <si>
    <t>9.83亿</t>
  </si>
  <si>
    <t>140.30万</t>
  </si>
  <si>
    <t>1666.22万</t>
  </si>
  <si>
    <t>7516.67万</t>
  </si>
  <si>
    <t>8778.47万</t>
  </si>
  <si>
    <t>2.50亿</t>
  </si>
  <si>
    <t>-2125.34万</t>
  </si>
  <si>
    <t>-1.54亿</t>
  </si>
  <si>
    <t>-11.76万</t>
  </si>
  <si>
    <t>4.54亿</t>
  </si>
  <si>
    <t>1.14亿</t>
  </si>
  <si>
    <t>431.61万</t>
  </si>
  <si>
    <t>4148.89万</t>
  </si>
  <si>
    <t>022233400</t>
  </si>
  <si>
    <t>066700200</t>
  </si>
  <si>
    <t>0133400400</t>
  </si>
  <si>
    <t>0222334000</t>
  </si>
  <si>
    <t>0444668000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</si>
</sst>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381000</xdr:colOff>
          <xdr:row>0</xdr:row>
          <xdr:rowOff>88900</xdr:rowOff>
        </xdr:from>
        <xdr:to>
          <xdr:col>147</xdr:col>
          <xdr:colOff>1498600</xdr:colOff>
          <xdr:row>0</xdr:row>
          <xdr:rowOff>400050</xdr:rowOff>
        </xdr:to>
        <xdr:sp macro="" textlink="">
          <xdr:nvSpPr>
            <xdr:cNvPr id="2049" name="Button 1" descr="更新基本面按钮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10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10" sqref="D10:EP10"/>
    </sheetView>
  </sheetViews>
  <sheetFormatPr defaultRowHeight="14" x14ac:dyDescent="0.25"/>
  <cols>
    <col min="1" max="1" width="34.54296875" customWidth="1"/>
    <col min="2" max="2" width="37.81640625" customWidth="1"/>
    <col min="3" max="3" width="44.81640625" customWidth="1"/>
    <col min="148" max="148" width="26.54296875" customWidth="1"/>
  </cols>
  <sheetData>
    <row r="1" spans="1:146" ht="41.5" customHeight="1" x14ac:dyDescent="0.25">
      <c r="A1" s="3" t="s">
        <v>5</v>
      </c>
      <c r="B1" s="4" t="s">
        <v>6</v>
      </c>
      <c r="C1" s="3" t="s">
        <v>7</v>
      </c>
      <c r="D1" t="s">
        <v>8</v>
      </c>
      <c r="E1" t="s">
        <v>142</v>
      </c>
      <c r="F1" t="s">
        <v>3</v>
      </c>
      <c r="G1" t="s">
        <v>178</v>
      </c>
      <c r="H1" t="s">
        <v>179</v>
      </c>
      <c r="I1" t="s">
        <v>9</v>
      </c>
      <c r="J1" t="s">
        <v>10</v>
      </c>
      <c r="K1" t="s">
        <v>4</v>
      </c>
      <c r="L1" t="s">
        <v>11</v>
      </c>
      <c r="M1" t="s">
        <v>12</v>
      </c>
      <c r="N1" t="s">
        <v>13</v>
      </c>
      <c r="O1" t="s">
        <v>14</v>
      </c>
      <c r="P1" t="s">
        <v>180</v>
      </c>
      <c r="Q1" t="s">
        <v>154</v>
      </c>
      <c r="R1" t="s">
        <v>143</v>
      </c>
      <c r="S1" t="s">
        <v>15</v>
      </c>
      <c r="T1" t="s">
        <v>181</v>
      </c>
      <c r="U1" t="s">
        <v>120</v>
      </c>
      <c r="V1" t="s">
        <v>16</v>
      </c>
      <c r="W1" t="s">
        <v>155</v>
      </c>
      <c r="X1" t="s">
        <v>156</v>
      </c>
      <c r="Y1" t="s">
        <v>157</v>
      </c>
      <c r="Z1" t="s">
        <v>158</v>
      </c>
      <c r="AA1" t="s">
        <v>159</v>
      </c>
      <c r="AB1" t="s">
        <v>182</v>
      </c>
      <c r="AC1" t="s">
        <v>160</v>
      </c>
      <c r="AD1" t="s">
        <v>161</v>
      </c>
      <c r="AE1" t="s">
        <v>17</v>
      </c>
      <c r="AF1" t="s">
        <v>18</v>
      </c>
      <c r="AG1" t="s">
        <v>183</v>
      </c>
      <c r="AH1" t="s">
        <v>144</v>
      </c>
      <c r="AI1" t="s">
        <v>184</v>
      </c>
      <c r="AJ1" t="s">
        <v>19</v>
      </c>
      <c r="AK1" t="s">
        <v>185</v>
      </c>
      <c r="AL1" t="s">
        <v>22</v>
      </c>
      <c r="AM1" t="s">
        <v>186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145</v>
      </c>
      <c r="AY1" t="s">
        <v>23</v>
      </c>
      <c r="AZ1" t="s">
        <v>24</v>
      </c>
      <c r="BA1" t="s">
        <v>25</v>
      </c>
      <c r="BB1" t="s">
        <v>26</v>
      </c>
      <c r="BC1" t="s">
        <v>121</v>
      </c>
      <c r="BD1" t="s">
        <v>27</v>
      </c>
      <c r="BE1" t="s">
        <v>28</v>
      </c>
      <c r="BF1" t="s">
        <v>29</v>
      </c>
      <c r="BG1" t="s">
        <v>30</v>
      </c>
      <c r="BH1" t="s">
        <v>197</v>
      </c>
      <c r="BI1" t="s">
        <v>198</v>
      </c>
      <c r="BJ1" t="s">
        <v>199</v>
      </c>
      <c r="BK1" t="s">
        <v>200</v>
      </c>
      <c r="BL1" t="s">
        <v>201</v>
      </c>
      <c r="BM1" t="s">
        <v>202</v>
      </c>
      <c r="BN1" t="s">
        <v>146</v>
      </c>
      <c r="BO1" t="s">
        <v>122</v>
      </c>
      <c r="BP1" t="s">
        <v>31</v>
      </c>
      <c r="BQ1" t="s">
        <v>147</v>
      </c>
      <c r="BR1" t="s">
        <v>123</v>
      </c>
      <c r="BS1" t="s">
        <v>32</v>
      </c>
      <c r="BT1" t="s">
        <v>203</v>
      </c>
      <c r="BU1" t="s">
        <v>162</v>
      </c>
      <c r="BV1" t="s">
        <v>204</v>
      </c>
      <c r="BW1" t="s">
        <v>50</v>
      </c>
      <c r="BX1" t="s">
        <v>33</v>
      </c>
      <c r="BY1" t="s">
        <v>205</v>
      </c>
      <c r="BZ1" t="s">
        <v>51</v>
      </c>
      <c r="CA1" t="s">
        <v>34</v>
      </c>
      <c r="CB1" t="s">
        <v>206</v>
      </c>
      <c r="CC1" t="s">
        <v>207</v>
      </c>
      <c r="CD1" t="s">
        <v>208</v>
      </c>
      <c r="CE1" t="s">
        <v>209</v>
      </c>
      <c r="CF1" s="1" t="s">
        <v>148</v>
      </c>
      <c r="CG1" s="1" t="s">
        <v>149</v>
      </c>
      <c r="CH1" s="1" t="s">
        <v>37</v>
      </c>
      <c r="CI1" s="1" t="s">
        <v>38</v>
      </c>
      <c r="CJ1" s="1" t="s">
        <v>39</v>
      </c>
      <c r="CK1" s="1" t="s">
        <v>40</v>
      </c>
      <c r="CL1" s="1" t="s">
        <v>41</v>
      </c>
      <c r="CM1" s="1" t="s">
        <v>42</v>
      </c>
      <c r="CN1" s="1" t="s">
        <v>43</v>
      </c>
      <c r="CO1" s="1" t="s">
        <v>44</v>
      </c>
      <c r="CP1" s="1" t="s">
        <v>45</v>
      </c>
      <c r="CQ1" s="1" t="s">
        <v>46</v>
      </c>
      <c r="CR1" s="1" t="s">
        <v>210</v>
      </c>
      <c r="CS1" s="1" t="s">
        <v>163</v>
      </c>
      <c r="CT1" s="1" t="s">
        <v>211</v>
      </c>
      <c r="CU1" s="1" t="s">
        <v>221</v>
      </c>
      <c r="CV1" s="1" t="s">
        <v>222</v>
      </c>
      <c r="CW1" s="1" t="s">
        <v>223</v>
      </c>
      <c r="CX1">
        <v>1</v>
      </c>
      <c r="CY1" t="s">
        <v>224</v>
      </c>
      <c r="CZ1" t="s">
        <v>225</v>
      </c>
      <c r="DA1">
        <v>3</v>
      </c>
      <c r="DB1" t="s">
        <v>212</v>
      </c>
      <c r="DC1" t="s">
        <v>213</v>
      </c>
      <c r="DD1">
        <v>6</v>
      </c>
      <c r="DE1" t="s">
        <v>226</v>
      </c>
      <c r="DF1" t="s">
        <v>227</v>
      </c>
      <c r="DG1">
        <v>10</v>
      </c>
      <c r="DH1" t="s">
        <v>164</v>
      </c>
      <c r="DI1" t="s">
        <v>214</v>
      </c>
      <c r="DJ1">
        <v>20</v>
      </c>
      <c r="DK1" t="s">
        <v>215</v>
      </c>
      <c r="DL1" t="s">
        <v>47</v>
      </c>
      <c r="DM1" t="s">
        <v>48</v>
      </c>
      <c r="DN1" s="2" t="s">
        <v>49</v>
      </c>
      <c r="DO1" t="s">
        <v>216</v>
      </c>
      <c r="DP1" t="s">
        <v>228</v>
      </c>
      <c r="DQ1" s="11" t="s">
        <v>217</v>
      </c>
      <c r="DR1" s="1" t="s">
        <v>165</v>
      </c>
      <c r="DS1" s="1" t="s">
        <v>229</v>
      </c>
      <c r="DT1" t="s">
        <v>166</v>
      </c>
      <c r="DU1" t="s">
        <v>167</v>
      </c>
      <c r="DV1" t="s">
        <v>168</v>
      </c>
      <c r="DW1" t="s">
        <v>169</v>
      </c>
      <c r="DX1" t="s">
        <v>230</v>
      </c>
      <c r="DY1" t="s">
        <v>218</v>
      </c>
      <c r="DZ1" t="s">
        <v>231</v>
      </c>
      <c r="EA1" t="s">
        <v>170</v>
      </c>
      <c r="EB1" t="s">
        <v>171</v>
      </c>
      <c r="EC1" t="s">
        <v>232</v>
      </c>
      <c r="ED1" t="s">
        <v>219</v>
      </c>
      <c r="EE1" t="s">
        <v>233</v>
      </c>
      <c r="EF1" t="s">
        <v>234</v>
      </c>
      <c r="EG1" t="s">
        <v>172</v>
      </c>
      <c r="EH1" t="s">
        <v>220</v>
      </c>
      <c r="EI1" t="s">
        <v>235</v>
      </c>
      <c r="EK1" s="12" t="s">
        <v>173</v>
      </c>
      <c r="EL1" t="s">
        <v>174</v>
      </c>
      <c r="EM1" t="s">
        <v>175</v>
      </c>
      <c r="EN1" t="s">
        <v>176</v>
      </c>
      <c r="EO1" t="s">
        <v>236</v>
      </c>
      <c r="EP1" t="s">
        <v>177</v>
      </c>
    </row>
    <row r="2" spans="1:146" ht="96" x14ac:dyDescent="0.25">
      <c r="A2" s="6"/>
      <c r="B2" s="6"/>
      <c r="C2" s="6" t="str">
        <f>""&amp;CHAR(10)&amp;Basic_Fundamental_Information_Constructure(F2)&amp;CHAR(10)&amp;Basic_Fundamental_Information_Concatenate("")</f>
        <v xml:space="preserve">
市值53.402178亿, 利润1.24亿; PE11.15; 平均PE13.89; 平均PEG.94, PB1.46; ROIC6.6967%; ROE7.1133%; 股利率4.7619%; 毛利40.8233%; 净利4.5567%; 上一年度营收增-76.27%, 利润增-13.29%; 当季营收增-52.05%, 利润增-52.47%; 过往5年营收增-14.76%, 利润增-25.69%
Income profile:
</v>
      </c>
      <c r="D2" t="s">
        <v>52</v>
      </c>
      <c r="E2" t="s">
        <v>53</v>
      </c>
      <c r="F2">
        <v>6.3</v>
      </c>
      <c r="G2">
        <v>1.94</v>
      </c>
      <c r="H2" t="s">
        <v>346</v>
      </c>
      <c r="I2">
        <v>5340217800</v>
      </c>
      <c r="J2">
        <v>11.15</v>
      </c>
      <c r="K2">
        <v>1.46</v>
      </c>
      <c r="L2" t="s">
        <v>54</v>
      </c>
      <c r="M2" t="s">
        <v>262</v>
      </c>
      <c r="N2" t="s">
        <v>347</v>
      </c>
      <c r="O2" t="s">
        <v>263</v>
      </c>
      <c r="P2">
        <v>15.6</v>
      </c>
      <c r="Q2" t="s">
        <v>263</v>
      </c>
      <c r="R2">
        <v>124063633</v>
      </c>
      <c r="S2" s="5">
        <v>0.34610000000000002</v>
      </c>
      <c r="T2" t="s">
        <v>348</v>
      </c>
      <c r="U2">
        <v>780523040</v>
      </c>
      <c r="V2">
        <v>847653620</v>
      </c>
      <c r="W2">
        <v>1.9</v>
      </c>
      <c r="X2">
        <v>0.19</v>
      </c>
      <c r="Y2">
        <v>8.94</v>
      </c>
      <c r="Z2" t="s">
        <v>349</v>
      </c>
      <c r="AA2" t="s">
        <v>350</v>
      </c>
      <c r="AB2" t="s">
        <v>351</v>
      </c>
      <c r="AC2" t="s">
        <v>352</v>
      </c>
      <c r="AD2" t="s">
        <v>20</v>
      </c>
      <c r="AE2">
        <v>-4800951</v>
      </c>
      <c r="AF2" t="s">
        <v>266</v>
      </c>
      <c r="AG2" t="s">
        <v>353</v>
      </c>
      <c r="AH2" t="s">
        <v>267</v>
      </c>
      <c r="AI2" t="s">
        <v>354</v>
      </c>
      <c r="AJ2" t="s">
        <v>268</v>
      </c>
      <c r="AK2" t="s">
        <v>355</v>
      </c>
      <c r="AL2" t="s">
        <v>269</v>
      </c>
      <c r="AM2" t="s">
        <v>20</v>
      </c>
      <c r="AN2" t="s">
        <v>356</v>
      </c>
      <c r="AO2" t="s">
        <v>271</v>
      </c>
      <c r="AP2" t="s">
        <v>357</v>
      </c>
      <c r="AQ2" t="s">
        <v>358</v>
      </c>
      <c r="AR2" t="s">
        <v>20</v>
      </c>
      <c r="AS2" t="s">
        <v>359</v>
      </c>
      <c r="AT2" t="s">
        <v>20</v>
      </c>
      <c r="AU2" t="s">
        <v>360</v>
      </c>
      <c r="AV2" t="s">
        <v>361</v>
      </c>
      <c r="AW2" t="s">
        <v>362</v>
      </c>
      <c r="AX2" t="s">
        <v>239</v>
      </c>
      <c r="AY2" t="s">
        <v>124</v>
      </c>
      <c r="AZ2" t="s">
        <v>55</v>
      </c>
      <c r="BA2" t="s">
        <v>57</v>
      </c>
      <c r="BB2" t="s">
        <v>58</v>
      </c>
      <c r="BC2" t="s">
        <v>240</v>
      </c>
      <c r="BD2" t="s">
        <v>125</v>
      </c>
      <c r="BE2" t="s">
        <v>56</v>
      </c>
      <c r="BF2" t="s">
        <v>59</v>
      </c>
      <c r="BG2" t="s">
        <v>60</v>
      </c>
      <c r="BH2" t="s">
        <v>264</v>
      </c>
      <c r="BI2" t="s">
        <v>363</v>
      </c>
      <c r="BJ2" t="s">
        <v>239</v>
      </c>
      <c r="BK2" t="s">
        <v>265</v>
      </c>
      <c r="BL2" t="s">
        <v>364</v>
      </c>
      <c r="BM2" t="s">
        <v>240</v>
      </c>
      <c r="BN2">
        <v>9.66</v>
      </c>
      <c r="BO2">
        <v>4.16</v>
      </c>
      <c r="BP2">
        <v>6.27</v>
      </c>
      <c r="BQ2">
        <v>10.47</v>
      </c>
      <c r="BR2">
        <v>4.3899999999999997</v>
      </c>
      <c r="BS2">
        <v>6.48</v>
      </c>
      <c r="BT2" t="s">
        <v>272</v>
      </c>
      <c r="BU2" t="s">
        <v>54</v>
      </c>
      <c r="BV2">
        <v>42.18</v>
      </c>
      <c r="BW2">
        <v>39.520000000000003</v>
      </c>
      <c r="BX2">
        <v>40.770000000000003</v>
      </c>
      <c r="BY2">
        <v>7.2</v>
      </c>
      <c r="BZ2">
        <v>2.62</v>
      </c>
      <c r="CA2">
        <v>3.85</v>
      </c>
      <c r="CB2">
        <v>1.1200000000000001</v>
      </c>
      <c r="CC2">
        <v>-20.350000000000001</v>
      </c>
      <c r="CD2" t="s">
        <v>365</v>
      </c>
      <c r="CE2" t="s">
        <v>366</v>
      </c>
      <c r="CF2" s="7">
        <v>-0.52048611111111109</v>
      </c>
      <c r="CG2" s="8">
        <v>-0.52466040996168584</v>
      </c>
      <c r="CH2" s="7">
        <v>-0.76267397403717041</v>
      </c>
      <c r="CI2" s="7">
        <v>4.1338596493005753E-2</v>
      </c>
      <c r="CJ2" s="7">
        <v>0.28165131807327271</v>
      </c>
      <c r="CK2" s="7">
        <v>-0.24147526919841766</v>
      </c>
      <c r="CL2" s="7">
        <v>-5.6931965053081512E-2</v>
      </c>
      <c r="CM2" s="8">
        <v>-0.13286712765693665</v>
      </c>
      <c r="CN2" s="8">
        <v>-0.30917873978614807</v>
      </c>
      <c r="CO2" s="8">
        <v>-0.49264705181121826</v>
      </c>
      <c r="CP2" s="8">
        <v>-0.45454546809196472</v>
      </c>
      <c r="CQ2" s="8">
        <v>0.10487444698810577</v>
      </c>
      <c r="CR2">
        <v>13.888732899869961</v>
      </c>
      <c r="CS2">
        <v>0.9408546759727634</v>
      </c>
      <c r="CT2">
        <v>4.7619047619047619</v>
      </c>
      <c r="CU2" s="7">
        <v>-0.14761825874447823</v>
      </c>
      <c r="CV2" s="8">
        <v>-0.25687278807163239</v>
      </c>
      <c r="CW2">
        <v>0.06</v>
      </c>
      <c r="CX2">
        <v>41.421111290322578</v>
      </c>
      <c r="CY2" t="s">
        <v>367</v>
      </c>
      <c r="CZ2">
        <v>-0.14761825874447823</v>
      </c>
      <c r="DA2">
        <v>13.807037096774193</v>
      </c>
      <c r="DB2" t="s">
        <v>368</v>
      </c>
      <c r="DC2">
        <v>-0.1402373458072543</v>
      </c>
      <c r="DD2">
        <v>6.9035185483870967</v>
      </c>
      <c r="DE2" t="s">
        <v>369</v>
      </c>
      <c r="DF2">
        <v>-0.12990406769514085</v>
      </c>
      <c r="DG2">
        <v>4.1421111290322576</v>
      </c>
      <c r="DH2" t="s">
        <v>370</v>
      </c>
      <c r="DI2">
        <v>-0.11809460699558259</v>
      </c>
      <c r="DJ2">
        <v>2.0710555645161288</v>
      </c>
      <c r="DK2" t="s">
        <v>371</v>
      </c>
      <c r="DL2">
        <v>-0.10333278112113475</v>
      </c>
      <c r="DM2">
        <v>124000000</v>
      </c>
      <c r="DN2">
        <v>-0.14761825874447823</v>
      </c>
      <c r="DO2">
        <v>5136217800</v>
      </c>
      <c r="DP2">
        <v>1573982500</v>
      </c>
      <c r="DQ2">
        <v>553</v>
      </c>
      <c r="DR2">
        <v>-0.37286785236663289</v>
      </c>
      <c r="DS2">
        <v>-0.26778762189005345</v>
      </c>
      <c r="DT2" s="9">
        <v>-0.75666666666666671</v>
      </c>
      <c r="DU2">
        <v>-0.62</v>
      </c>
      <c r="DV2">
        <v>-1.3766666666666667</v>
      </c>
      <c r="DW2">
        <v>-3.0491964285714284</v>
      </c>
      <c r="DX2">
        <v>0.37881546572934877</v>
      </c>
      <c r="DY2">
        <v>-3.0083051180015064</v>
      </c>
      <c r="DZ2">
        <v>2451</v>
      </c>
      <c r="EA2">
        <v>-3.0043215868426625</v>
      </c>
      <c r="EB2">
        <v>3</v>
      </c>
      <c r="EC2">
        <v>0.11331987233181402</v>
      </c>
      <c r="ED2">
        <v>0.67126475552596587</v>
      </c>
      <c r="EE2" s="10">
        <v>2.0169100000000002</v>
      </c>
      <c r="EF2">
        <v>2.0447099999999998</v>
      </c>
      <c r="EG2">
        <v>21.168815465729349</v>
      </c>
      <c r="EH2" t="s">
        <v>273</v>
      </c>
      <c r="EI2">
        <v>0</v>
      </c>
      <c r="EJ2">
        <v>0</v>
      </c>
      <c r="EK2" s="12">
        <v>45470</v>
      </c>
      <c r="EL2" s="13">
        <v>-0.14000000000000001</v>
      </c>
      <c r="EM2" s="13">
        <v>-3.33</v>
      </c>
      <c r="EN2" s="13">
        <v>1.35</v>
      </c>
      <c r="EO2" s="13">
        <v>0</v>
      </c>
      <c r="EP2" s="13">
        <v>-2.78</v>
      </c>
    </row>
    <row r="3" spans="1:146" ht="240" x14ac:dyDescent="0.25">
      <c r="A3" s="6"/>
      <c r="B3" s="6"/>
      <c r="C3" s="6" t="str">
        <f>"公司是一家主要从事厨房电器产品的研发、生产、销售和综合服务的拓建的公司。公司主要产品包括吸油烟机、燃气灶、消毒柜,以及电压力煲、电磁炉、电热水壶、食品加工机等配套厨房小家电产品。"&amp;CHAR(10)&amp;Basic_Fundamental_Information_Constructure(F3)&amp;CHAR(10)&amp;Basic_Fundamental_Information_Concatenate("吸油烟机 48.80亿 48.09% 59.86% 53.65%
燃气灶 24.40亿 24.04% 31.80% 57.00%
蒸烤一体机 6.47亿 6.38%
消毒柜 5.44亿 5.36% 3.44% 27.62%
洗碗机 4.51亿 4.44%
集成灶 3.26亿 3.22%
其他业务收入 2.69亿 2.65% 4.90% 79.66%
热水器 1.55亿 1.53%
蒸箱 1.50亿 1.48%
烤箱 1.32亿 1.30%")</f>
        <v>公司是一家主要从事厨房电器产品的研发、生产、销售和综合服务的拓建的公司。公司主要产品包括吸油烟机、燃气灶、消毒柜,以及电压力煲、电磁炉、电热水壶、食品加工机等配套厨房小家电产品。
市值204.40084亿, 利润3.98亿; PE11.73; 平均PE15.28; 平均PEG1.78, PB1.88; ROIC13.9533%; ROE15.48%; 股利率2.3095%; 毛利50.9933%; 净利14.59%; 上一年度营收增-78.22%, 利润增-74.68%; 当季营收增-54.67%, 利润增-52%; 过往5年营收增-8.58%, 利润增-12.83%
Income profile:
吸油烟机 48.80亿 48.09% 59.86% 53.65%
燃气灶 24.40亿 24.04% 31.80% 57.00%
蒸烤一体机 6.47亿 6.38%
消毒柜 5.44亿 5.36% 3.44% 27.62%
洗碗机 4.51亿 4.44%
集成灶 3.26亿 3.22%
其他业务收入 2.69亿 2.65% 4.90% 79.66%
热水器 1.55亿 1.53%
蒸箱 1.50亿 1.48%
烤箱 1.32亿 1.30%</v>
      </c>
      <c r="D3" t="s">
        <v>61</v>
      </c>
      <c r="E3" t="s">
        <v>62</v>
      </c>
      <c r="F3">
        <v>21.65</v>
      </c>
      <c r="G3">
        <v>0.42</v>
      </c>
      <c r="H3" t="s">
        <v>372</v>
      </c>
      <c r="I3">
        <v>20440084000</v>
      </c>
      <c r="J3">
        <v>11.73</v>
      </c>
      <c r="K3">
        <v>1.88</v>
      </c>
      <c r="L3" t="s">
        <v>54</v>
      </c>
      <c r="M3" t="s">
        <v>274</v>
      </c>
      <c r="N3" t="s">
        <v>373</v>
      </c>
      <c r="O3" t="s">
        <v>275</v>
      </c>
      <c r="P3">
        <v>2.75</v>
      </c>
      <c r="Q3" t="s">
        <v>275</v>
      </c>
      <c r="R3">
        <v>398415710</v>
      </c>
      <c r="S3" s="5">
        <v>2.4899999999999999E-2</v>
      </c>
      <c r="T3" t="s">
        <v>374</v>
      </c>
      <c r="U3">
        <v>931839400</v>
      </c>
      <c r="V3">
        <v>944114720</v>
      </c>
      <c r="W3">
        <v>1.42</v>
      </c>
      <c r="X3">
        <v>0.14000000000000001</v>
      </c>
      <c r="Y3">
        <v>17.649999999999999</v>
      </c>
      <c r="Z3" t="s">
        <v>375</v>
      </c>
      <c r="AA3" t="s">
        <v>376</v>
      </c>
      <c r="AB3" t="s">
        <v>75</v>
      </c>
      <c r="AC3" t="s">
        <v>377</v>
      </c>
      <c r="AD3" t="s">
        <v>20</v>
      </c>
      <c r="AE3">
        <v>-51533091</v>
      </c>
      <c r="AF3" t="s">
        <v>278</v>
      </c>
      <c r="AG3" t="s">
        <v>378</v>
      </c>
      <c r="AH3" t="s">
        <v>279</v>
      </c>
      <c r="AI3" t="s">
        <v>379</v>
      </c>
      <c r="AJ3" t="s">
        <v>280</v>
      </c>
      <c r="AK3" t="s">
        <v>380</v>
      </c>
      <c r="AL3" t="s">
        <v>281</v>
      </c>
      <c r="AM3" t="s">
        <v>20</v>
      </c>
      <c r="AN3" t="s">
        <v>381</v>
      </c>
      <c r="AO3" t="s">
        <v>382</v>
      </c>
      <c r="AP3" t="s">
        <v>383</v>
      </c>
      <c r="AQ3" t="s">
        <v>384</v>
      </c>
      <c r="AR3" t="s">
        <v>20</v>
      </c>
      <c r="AS3" t="s">
        <v>385</v>
      </c>
      <c r="AT3" t="s">
        <v>20</v>
      </c>
      <c r="AU3" t="s">
        <v>386</v>
      </c>
      <c r="AV3" t="s">
        <v>387</v>
      </c>
      <c r="AW3" t="s">
        <v>388</v>
      </c>
      <c r="AX3" t="s">
        <v>243</v>
      </c>
      <c r="AY3" t="s">
        <v>126</v>
      </c>
      <c r="AZ3" t="s">
        <v>63</v>
      </c>
      <c r="BA3" t="s">
        <v>66</v>
      </c>
      <c r="BB3" t="s">
        <v>67</v>
      </c>
      <c r="BC3" t="s">
        <v>244</v>
      </c>
      <c r="BD3" t="s">
        <v>127</v>
      </c>
      <c r="BE3" t="s">
        <v>64</v>
      </c>
      <c r="BF3" t="s">
        <v>68</v>
      </c>
      <c r="BG3" t="s">
        <v>69</v>
      </c>
      <c r="BH3" t="s">
        <v>276</v>
      </c>
      <c r="BI3" t="s">
        <v>389</v>
      </c>
      <c r="BJ3" t="s">
        <v>243</v>
      </c>
      <c r="BK3" t="s">
        <v>277</v>
      </c>
      <c r="BL3" t="s">
        <v>390</v>
      </c>
      <c r="BM3" t="s">
        <v>244</v>
      </c>
      <c r="BN3">
        <v>12.25</v>
      </c>
      <c r="BO3">
        <v>15.22</v>
      </c>
      <c r="BP3">
        <v>14.39</v>
      </c>
      <c r="BQ3">
        <v>13.45</v>
      </c>
      <c r="BR3">
        <v>17.21</v>
      </c>
      <c r="BS3">
        <v>15.78</v>
      </c>
      <c r="BT3" t="s">
        <v>237</v>
      </c>
      <c r="BU3" t="s">
        <v>54</v>
      </c>
      <c r="BV3">
        <v>50.65</v>
      </c>
      <c r="BW3">
        <v>49.98</v>
      </c>
      <c r="BX3">
        <v>52.35</v>
      </c>
      <c r="BY3">
        <v>15.31</v>
      </c>
      <c r="BZ3">
        <v>15.17</v>
      </c>
      <c r="CA3">
        <v>13.29</v>
      </c>
      <c r="CB3">
        <v>-2.04</v>
      </c>
      <c r="CC3">
        <v>-15.06</v>
      </c>
      <c r="CD3" t="s">
        <v>391</v>
      </c>
      <c r="CE3" t="s">
        <v>345</v>
      </c>
      <c r="CF3" s="7">
        <v>-0.54670719351570418</v>
      </c>
      <c r="CG3" s="8">
        <v>-0.51998107228915669</v>
      </c>
      <c r="CH3" s="7">
        <v>-0.78222352266311646</v>
      </c>
      <c r="CI3" s="7">
        <v>1.2219182215631008E-2</v>
      </c>
      <c r="CJ3" s="7">
        <v>0.24837000668048859</v>
      </c>
      <c r="CK3" s="7">
        <v>4.7416571527719498E-2</v>
      </c>
      <c r="CL3" s="7">
        <v>4.5252524316310883E-2</v>
      </c>
      <c r="CM3" s="8">
        <v>-0.74681931734085083</v>
      </c>
      <c r="CN3" s="8">
        <v>0.18018017709255219</v>
      </c>
      <c r="CO3" s="8">
        <v>-0.19807341694831848</v>
      </c>
      <c r="CP3" s="8">
        <v>4.4654048979282379E-2</v>
      </c>
      <c r="CQ3" s="8">
        <v>7.8697420656681061E-2</v>
      </c>
      <c r="CR3">
        <v>15.278498069017068</v>
      </c>
      <c r="CS3">
        <v>1.7808550341975238</v>
      </c>
      <c r="CT3">
        <v>2.309468822170901</v>
      </c>
      <c r="CU3" s="7">
        <v>-8.5793047584593302E-2</v>
      </c>
      <c r="CV3" s="8">
        <v>-0.12827221751213075</v>
      </c>
      <c r="CW3">
        <v>0.06</v>
      </c>
      <c r="CX3">
        <v>39.095688442211056</v>
      </c>
      <c r="CY3" t="s">
        <v>392</v>
      </c>
      <c r="CZ3">
        <v>-8.5793047584593302E-2</v>
      </c>
      <c r="DA3">
        <v>13.031896147403685</v>
      </c>
      <c r="DB3" t="s">
        <v>393</v>
      </c>
      <c r="DC3">
        <v>-8.1503395205363635E-2</v>
      </c>
      <c r="DD3">
        <v>6.5159480737018427</v>
      </c>
      <c r="DE3" t="s">
        <v>394</v>
      </c>
      <c r="DF3">
        <v>-7.5497881874442105E-2</v>
      </c>
      <c r="DG3">
        <v>3.9095688442211056</v>
      </c>
      <c r="DH3" t="s">
        <v>395</v>
      </c>
      <c r="DI3">
        <v>-6.863443806767465E-2</v>
      </c>
      <c r="DJ3">
        <v>1.9547844221105528</v>
      </c>
      <c r="DK3" t="s">
        <v>396</v>
      </c>
      <c r="DL3">
        <v>-6.005513330921531E-2</v>
      </c>
      <c r="DM3">
        <v>398000000</v>
      </c>
      <c r="DN3">
        <v>-8.5793047584593302E-2</v>
      </c>
      <c r="DO3">
        <v>15560084000</v>
      </c>
      <c r="DP3">
        <v>6845248100</v>
      </c>
      <c r="DQ3">
        <v>1003</v>
      </c>
      <c r="DR3">
        <v>-0.46091414593111091</v>
      </c>
      <c r="DS3">
        <v>-0.39170885477702594</v>
      </c>
      <c r="DT3" s="9">
        <v>-0.64</v>
      </c>
      <c r="DU3">
        <v>-0.53666666666666663</v>
      </c>
      <c r="DV3">
        <v>-1.1766666666666667</v>
      </c>
      <c r="DW3">
        <v>-2.1505999999999998</v>
      </c>
      <c r="DX3">
        <v>0.3067245714285714</v>
      </c>
      <c r="DY3">
        <v>-2.0190847204571427</v>
      </c>
      <c r="DZ3">
        <v>2411</v>
      </c>
      <c r="EA3">
        <v>-2.0100801683980096</v>
      </c>
      <c r="EB3">
        <v>2</v>
      </c>
      <c r="EC3">
        <v>2.3489518307690405E-2</v>
      </c>
      <c r="ED3">
        <v>0.18535883012183096</v>
      </c>
      <c r="EE3" s="10">
        <v>1.0752999999999999</v>
      </c>
      <c r="EF3">
        <v>1.0544</v>
      </c>
      <c r="EG3">
        <v>18.126724571428571</v>
      </c>
      <c r="EH3" t="s">
        <v>282</v>
      </c>
      <c r="EI3">
        <v>0</v>
      </c>
      <c r="EJ3">
        <v>0</v>
      </c>
      <c r="EK3" s="12">
        <v>45470</v>
      </c>
      <c r="EL3" s="13">
        <v>-0.13</v>
      </c>
      <c r="EM3" s="13">
        <v>-1.42</v>
      </c>
      <c r="EN3" s="13">
        <v>2.56</v>
      </c>
      <c r="EO3" s="13">
        <v>0.48</v>
      </c>
      <c r="EP3" s="13">
        <v>-2.09</v>
      </c>
    </row>
    <row r="4" spans="1:146" ht="96" x14ac:dyDescent="0.25">
      <c r="A4" s="6"/>
      <c r="B4" s="6"/>
      <c r="C4" s="6" t="str">
        <f>""&amp;CHAR(10)&amp;Basic_Fundamental_Information_Constructure(F4)&amp;CHAR(10)&amp;Basic_Fundamental_Information_Concatenate("")</f>
        <v xml:space="preserve">
市值70.71636亿, 利润1.66亿; PE11.57; 平均PE15.31; 平均PEG1.07, PB1.51; ROIC9.8467%; ROE11.3067%; 股利率4.2061%; 毛利27.4133%; 净利7.4467%; 上一年度营收增-70.13%, 利润增-69.82%; 当季营收增-35.48%, 利润增-59.9%; 过往5年营收增-14.25%, 利润增-6.63%
Income profile:
</v>
      </c>
      <c r="D4" t="s">
        <v>70</v>
      </c>
      <c r="E4" t="s">
        <v>71</v>
      </c>
      <c r="F4">
        <v>9.51</v>
      </c>
      <c r="G4">
        <v>0.32</v>
      </c>
      <c r="H4" t="s">
        <v>397</v>
      </c>
      <c r="I4">
        <v>7071636000</v>
      </c>
      <c r="J4">
        <v>11.57</v>
      </c>
      <c r="K4">
        <v>1.51</v>
      </c>
      <c r="L4" t="s">
        <v>54</v>
      </c>
      <c r="M4" t="s">
        <v>283</v>
      </c>
      <c r="N4" t="s">
        <v>398</v>
      </c>
      <c r="O4" t="s">
        <v>284</v>
      </c>
      <c r="P4">
        <v>23.53</v>
      </c>
      <c r="Q4" t="s">
        <v>284</v>
      </c>
      <c r="R4">
        <v>165995130</v>
      </c>
      <c r="S4" s="5">
        <v>0.34689999999999999</v>
      </c>
      <c r="T4" t="s">
        <v>399</v>
      </c>
      <c r="U4">
        <v>661608640</v>
      </c>
      <c r="V4">
        <v>743600000</v>
      </c>
      <c r="W4">
        <v>1.91</v>
      </c>
      <c r="X4">
        <v>0.23</v>
      </c>
      <c r="Y4">
        <v>8.39</v>
      </c>
      <c r="Z4" t="s">
        <v>400</v>
      </c>
      <c r="AA4" t="s">
        <v>401</v>
      </c>
      <c r="AB4" t="s">
        <v>402</v>
      </c>
      <c r="AC4" t="s">
        <v>403</v>
      </c>
      <c r="AD4" t="s">
        <v>20</v>
      </c>
      <c r="AE4">
        <v>-17132526</v>
      </c>
      <c r="AF4" t="s">
        <v>288</v>
      </c>
      <c r="AG4" t="s">
        <v>404</v>
      </c>
      <c r="AH4" t="s">
        <v>289</v>
      </c>
      <c r="AI4" t="s">
        <v>405</v>
      </c>
      <c r="AJ4" t="s">
        <v>290</v>
      </c>
      <c r="AK4" t="s">
        <v>20</v>
      </c>
      <c r="AL4" t="s">
        <v>291</v>
      </c>
      <c r="AM4" t="s">
        <v>20</v>
      </c>
      <c r="AN4" t="s">
        <v>406</v>
      </c>
      <c r="AO4" t="s">
        <v>407</v>
      </c>
      <c r="AP4" t="s">
        <v>408</v>
      </c>
      <c r="AQ4" t="s">
        <v>409</v>
      </c>
      <c r="AR4" t="s">
        <v>20</v>
      </c>
      <c r="AS4" t="s">
        <v>410</v>
      </c>
      <c r="AT4" t="s">
        <v>20</v>
      </c>
      <c r="AU4" t="s">
        <v>411</v>
      </c>
      <c r="AV4" t="s">
        <v>412</v>
      </c>
      <c r="AW4" t="s">
        <v>413</v>
      </c>
      <c r="AX4" t="s">
        <v>245</v>
      </c>
      <c r="AY4" t="s">
        <v>128</v>
      </c>
      <c r="AZ4" t="s">
        <v>72</v>
      </c>
      <c r="BA4" t="s">
        <v>73</v>
      </c>
      <c r="BB4" t="s">
        <v>74</v>
      </c>
      <c r="BC4" t="s">
        <v>246</v>
      </c>
      <c r="BD4" t="s">
        <v>129</v>
      </c>
      <c r="BE4" t="s">
        <v>35</v>
      </c>
      <c r="BF4" t="s">
        <v>75</v>
      </c>
      <c r="BG4" t="s">
        <v>76</v>
      </c>
      <c r="BH4" t="s">
        <v>285</v>
      </c>
      <c r="BI4" t="s">
        <v>414</v>
      </c>
      <c r="BJ4" t="s">
        <v>245</v>
      </c>
      <c r="BK4" t="s">
        <v>286</v>
      </c>
      <c r="BL4" t="s">
        <v>415</v>
      </c>
      <c r="BM4" t="s">
        <v>246</v>
      </c>
      <c r="BN4">
        <v>10.46</v>
      </c>
      <c r="BO4">
        <v>11.4</v>
      </c>
      <c r="BP4">
        <v>7.68</v>
      </c>
      <c r="BQ4">
        <v>12.16</v>
      </c>
      <c r="BR4">
        <v>13.28</v>
      </c>
      <c r="BS4">
        <v>8.48</v>
      </c>
      <c r="BT4" t="s">
        <v>247</v>
      </c>
      <c r="BU4" t="s">
        <v>54</v>
      </c>
      <c r="BV4">
        <v>31.64</v>
      </c>
      <c r="BW4">
        <v>27.07</v>
      </c>
      <c r="BX4">
        <v>23.53</v>
      </c>
      <c r="BY4">
        <v>9.31</v>
      </c>
      <c r="BZ4">
        <v>8.2899999999999991</v>
      </c>
      <c r="CA4">
        <v>4.74</v>
      </c>
      <c r="CB4">
        <v>-4.5199999999999996</v>
      </c>
      <c r="CC4">
        <v>-13.31</v>
      </c>
      <c r="CD4" t="s">
        <v>416</v>
      </c>
      <c r="CE4" t="s">
        <v>417</v>
      </c>
      <c r="CF4" s="7">
        <v>-0.35483870967741937</v>
      </c>
      <c r="CG4" s="8">
        <v>-0.59904557971014483</v>
      </c>
      <c r="CH4" s="7">
        <v>-0.7012673020362854</v>
      </c>
      <c r="CI4" s="7">
        <v>-0.11943673342466354</v>
      </c>
      <c r="CJ4" s="7">
        <v>0.2004784494638443</v>
      </c>
      <c r="CK4" s="7">
        <v>8.0385645851492882E-3</v>
      </c>
      <c r="CL4" s="7">
        <v>-0.10037599503993988</v>
      </c>
      <c r="CM4" s="8">
        <v>-0.69818180799484253</v>
      </c>
      <c r="CN4" s="8">
        <v>0.53631287813186646</v>
      </c>
      <c r="CO4" s="8">
        <v>-0.41407528519630432</v>
      </c>
      <c r="CP4" s="8">
        <v>2.1739130839705467E-2</v>
      </c>
      <c r="CQ4" s="8">
        <v>0.22290389239788055</v>
      </c>
      <c r="CR4">
        <v>15.306571428571429</v>
      </c>
      <c r="CS4">
        <v>1.0740503699440012</v>
      </c>
      <c r="CT4">
        <v>4.2060988433228186</v>
      </c>
      <c r="CU4" s="7">
        <v>-0.14251260329037904</v>
      </c>
      <c r="CV4" s="8">
        <v>-6.6260238364338878E-2</v>
      </c>
      <c r="CW4">
        <v>0.06</v>
      </c>
      <c r="CX4">
        <v>37.545999999999999</v>
      </c>
      <c r="CY4" t="s">
        <v>418</v>
      </c>
      <c r="CZ4">
        <v>-0.14251260329037904</v>
      </c>
      <c r="DA4">
        <v>12.515333333333333</v>
      </c>
      <c r="DB4" t="s">
        <v>419</v>
      </c>
      <c r="DC4">
        <v>-0.13538697312586009</v>
      </c>
      <c r="DD4">
        <v>6.2576666666666663</v>
      </c>
      <c r="DE4" t="s">
        <v>420</v>
      </c>
      <c r="DF4">
        <v>-0.12541109089553357</v>
      </c>
      <c r="DG4">
        <v>3.7545999999999999</v>
      </c>
      <c r="DH4" t="s">
        <v>421</v>
      </c>
      <c r="DI4">
        <v>-0.11401008263230324</v>
      </c>
      <c r="DJ4">
        <v>1.8773</v>
      </c>
      <c r="DK4" t="s">
        <v>422</v>
      </c>
      <c r="DL4">
        <v>-9.9758822303265327E-2</v>
      </c>
      <c r="DM4">
        <v>166000000</v>
      </c>
      <c r="DN4">
        <v>-0.14251260329037904</v>
      </c>
      <c r="DO4">
        <v>6232636000</v>
      </c>
      <c r="DP4">
        <v>1682297500</v>
      </c>
      <c r="DQ4">
        <v>1036</v>
      </c>
      <c r="DR4">
        <v>-0.21232610638704033</v>
      </c>
      <c r="DS4">
        <v>-0.53278534134580591</v>
      </c>
      <c r="DT4" s="9">
        <v>-0.64</v>
      </c>
      <c r="DU4">
        <v>-0.4366666666666667</v>
      </c>
      <c r="DV4">
        <v>-1.0766666666666667</v>
      </c>
      <c r="DW4">
        <v>-8.3395942900075131</v>
      </c>
      <c r="DX4">
        <v>0.33907946428571367</v>
      </c>
      <c r="DY4">
        <v>-8.0608143635290332</v>
      </c>
      <c r="DZ4">
        <v>1637</v>
      </c>
      <c r="EA4">
        <v>-8.0413323453104368</v>
      </c>
      <c r="EB4">
        <v>8</v>
      </c>
      <c r="EC4">
        <v>2.6972700376546529E-2</v>
      </c>
      <c r="ED4">
        <v>0.15061861215707373</v>
      </c>
      <c r="EE4" s="10">
        <v>6.8000000000000005E-2</v>
      </c>
      <c r="EF4">
        <v>4.540000000000001E-2</v>
      </c>
      <c r="EG4">
        <v>16.179079464285714</v>
      </c>
      <c r="EH4" t="s">
        <v>242</v>
      </c>
      <c r="EI4">
        <v>0</v>
      </c>
      <c r="EJ4">
        <v>0</v>
      </c>
      <c r="EK4" s="12">
        <v>45470</v>
      </c>
      <c r="EL4" s="13">
        <v>0.8</v>
      </c>
      <c r="EM4" s="13">
        <v>-1.88</v>
      </c>
      <c r="EN4" s="13">
        <v>1.81</v>
      </c>
      <c r="EO4" s="13">
        <v>0.79</v>
      </c>
      <c r="EP4" s="13">
        <v>-2.2599999999999998</v>
      </c>
    </row>
    <row r="5" spans="1:146" ht="144" x14ac:dyDescent="0.25">
      <c r="A5" s="6" t="s">
        <v>153</v>
      </c>
      <c r="B5" s="6" t="s">
        <v>152</v>
      </c>
      <c r="C5" s="6" t="str">
        <f>"公司专注于以集成灶产品为主的现代新型厨房电器的研发、设计、生产和销售,是国内集成灶行业的首创者和领军企业。公司的主要产品为集成灶、橱柜。"&amp;CHAR(10)&amp;Basic_Fundamental_Information_Constructure(F5)&amp;CHAR(10)&amp;Basic_Fundamental_Information_Concatenate("集成灶 19.68亿 90.97% 95.26% 54.13%
其他 1.36亿 6.29% 2.80% 23.01%
橱柜 5922.92万 2.74% 1.93% 36.53%")</f>
        <v>公司专注于以集成灶产品为主的现代新型厨房电器的研发、设计、生产和销售,是国内集成灶行业的首创者和领军企业。公司的主要产品为集成灶、橱柜。
市值52.007158亿, 利润7715.95万; PE11.8; 平均PE12.11; 平均PEG1.15, PB2.47; ROIC25.2333%; ROE26.3367%; 股利率9.3168%; 毛利47.6333%; 净利27.7133%; 上一年度营收增-85.11%, 利润增-82.93%; 当季营收增-64.64%, 利润增-64.61%; 过往5年营收增-10.56%, 利润增-10.55%
Income profile:
集成灶 19.68亿 90.97% 95.26% 54.13%
其他 1.36亿 6.29% 2.80% 23.01%
橱柜 5922.92万 2.74% 1.93% 36.53%</v>
      </c>
      <c r="D5" t="s">
        <v>77</v>
      </c>
      <c r="E5" t="s">
        <v>78</v>
      </c>
      <c r="F5">
        <v>8.0500000000000007</v>
      </c>
      <c r="G5">
        <v>0.5</v>
      </c>
      <c r="H5" t="s">
        <v>423</v>
      </c>
      <c r="I5">
        <v>5200715800</v>
      </c>
      <c r="J5">
        <v>11.8</v>
      </c>
      <c r="K5">
        <v>2.4700000000000002</v>
      </c>
      <c r="L5" t="s">
        <v>54</v>
      </c>
      <c r="M5" t="s">
        <v>261</v>
      </c>
      <c r="N5" t="s">
        <v>424</v>
      </c>
      <c r="O5" t="s">
        <v>292</v>
      </c>
      <c r="P5">
        <v>-19.39</v>
      </c>
      <c r="Q5" t="s">
        <v>292</v>
      </c>
      <c r="R5">
        <v>77159536</v>
      </c>
      <c r="S5" s="5">
        <v>-0.2334</v>
      </c>
      <c r="T5" t="s">
        <v>425</v>
      </c>
      <c r="U5">
        <v>582720720</v>
      </c>
      <c r="V5">
        <v>646051650</v>
      </c>
      <c r="W5">
        <v>1.1100000000000001</v>
      </c>
      <c r="X5">
        <v>0.12</v>
      </c>
      <c r="Y5">
        <v>28.18</v>
      </c>
      <c r="Z5" t="s">
        <v>426</v>
      </c>
      <c r="AA5" t="s">
        <v>427</v>
      </c>
      <c r="AB5" t="s">
        <v>428</v>
      </c>
      <c r="AC5" t="s">
        <v>429</v>
      </c>
      <c r="AD5" t="s">
        <v>20</v>
      </c>
      <c r="AE5">
        <v>-8999228</v>
      </c>
      <c r="AF5" t="s">
        <v>250</v>
      </c>
      <c r="AG5" t="s">
        <v>430</v>
      </c>
      <c r="AH5" t="s">
        <v>295</v>
      </c>
      <c r="AI5" t="s">
        <v>431</v>
      </c>
      <c r="AJ5" t="s">
        <v>296</v>
      </c>
      <c r="AK5" t="s">
        <v>20</v>
      </c>
      <c r="AL5" t="s">
        <v>297</v>
      </c>
      <c r="AM5" t="s">
        <v>20</v>
      </c>
      <c r="AN5">
        <v>0</v>
      </c>
      <c r="AO5" t="s">
        <v>20</v>
      </c>
      <c r="AP5" t="s">
        <v>298</v>
      </c>
      <c r="AQ5" t="s">
        <v>432</v>
      </c>
      <c r="AR5" t="s">
        <v>433</v>
      </c>
      <c r="AS5" t="s">
        <v>434</v>
      </c>
      <c r="AT5" t="s">
        <v>20</v>
      </c>
      <c r="AU5" t="s">
        <v>435</v>
      </c>
      <c r="AV5" t="s">
        <v>436</v>
      </c>
      <c r="AW5" t="s">
        <v>437</v>
      </c>
      <c r="AX5" t="s">
        <v>248</v>
      </c>
      <c r="AY5" t="s">
        <v>130</v>
      </c>
      <c r="AZ5" t="s">
        <v>79</v>
      </c>
      <c r="BA5" t="s">
        <v>81</v>
      </c>
      <c r="BB5" t="s">
        <v>82</v>
      </c>
      <c r="BC5" t="s">
        <v>249</v>
      </c>
      <c r="BD5" t="s">
        <v>131</v>
      </c>
      <c r="BE5" t="s">
        <v>80</v>
      </c>
      <c r="BF5" t="s">
        <v>83</v>
      </c>
      <c r="BG5" t="s">
        <v>84</v>
      </c>
      <c r="BH5" t="s">
        <v>293</v>
      </c>
      <c r="BI5" t="s">
        <v>438</v>
      </c>
      <c r="BJ5" t="s">
        <v>248</v>
      </c>
      <c r="BK5" t="s">
        <v>294</v>
      </c>
      <c r="BL5" t="s">
        <v>344</v>
      </c>
      <c r="BM5" t="s">
        <v>249</v>
      </c>
      <c r="BN5">
        <v>17.739999999999998</v>
      </c>
      <c r="BO5">
        <v>22.31</v>
      </c>
      <c r="BP5">
        <v>35.65</v>
      </c>
      <c r="BQ5">
        <v>18.45</v>
      </c>
      <c r="BR5">
        <v>23.52</v>
      </c>
      <c r="BS5">
        <v>37.04</v>
      </c>
      <c r="BT5" t="s">
        <v>258</v>
      </c>
      <c r="BU5" t="s">
        <v>54</v>
      </c>
      <c r="BV5">
        <v>47.1</v>
      </c>
      <c r="BW5">
        <v>44.11</v>
      </c>
      <c r="BX5">
        <v>51.69</v>
      </c>
      <c r="BY5">
        <v>27.76</v>
      </c>
      <c r="BZ5">
        <v>24.66</v>
      </c>
      <c r="CA5">
        <v>30.72</v>
      </c>
      <c r="CB5">
        <v>-0.74</v>
      </c>
      <c r="CC5">
        <v>-16.41</v>
      </c>
      <c r="CD5" t="s">
        <v>439</v>
      </c>
      <c r="CE5" t="s">
        <v>440</v>
      </c>
      <c r="CF5" s="7">
        <v>-0.64637305699481862</v>
      </c>
      <c r="CG5" s="8">
        <v>-0.64605717431192666</v>
      </c>
      <c r="CH5" s="7">
        <v>-0.85114502906799316</v>
      </c>
      <c r="CI5" s="7">
        <v>-0.15249538421630859</v>
      </c>
      <c r="CJ5" s="7">
        <v>0.22190847992897034</v>
      </c>
      <c r="CK5" s="7">
        <v>5.166274681687355E-2</v>
      </c>
      <c r="CL5" s="7">
        <v>0.20199862122535706</v>
      </c>
      <c r="CM5" s="8">
        <v>-0.82929319143295288</v>
      </c>
      <c r="CN5" s="8">
        <v>-0.32030075788497925</v>
      </c>
      <c r="CO5" s="8">
        <v>0.22242647409439087</v>
      </c>
      <c r="CP5" s="8">
        <v>0.18260869383811951</v>
      </c>
      <c r="CQ5" s="8">
        <v>0.21693122386932373</v>
      </c>
      <c r="CR5">
        <v>12.112718486568863</v>
      </c>
      <c r="CS5">
        <v>1.1468844584612525</v>
      </c>
      <c r="CT5">
        <v>9.3167701863354022</v>
      </c>
      <c r="CU5" s="7">
        <v>-0.10561411306262017</v>
      </c>
      <c r="CV5" s="8">
        <v>-0.10552551150321961</v>
      </c>
      <c r="CW5">
        <v>0.06</v>
      </c>
      <c r="CX5">
        <v>44.009043604481626</v>
      </c>
      <c r="CY5" t="s">
        <v>441</v>
      </c>
      <c r="CZ5">
        <v>-0.10561411306262017</v>
      </c>
      <c r="DA5">
        <v>14.669681201493875</v>
      </c>
      <c r="DB5" t="s">
        <v>442</v>
      </c>
      <c r="DC5">
        <v>-0.10033340740948915</v>
      </c>
      <c r="DD5">
        <v>7.3348406007469373</v>
      </c>
      <c r="DE5" t="s">
        <v>443</v>
      </c>
      <c r="DF5">
        <v>-9.2940419495105744E-2</v>
      </c>
      <c r="DG5">
        <v>4.4009043604481626</v>
      </c>
      <c r="DH5" t="s">
        <v>444</v>
      </c>
      <c r="DI5">
        <v>-8.4491290450096138E-2</v>
      </c>
      <c r="DJ5">
        <v>2.2004521802240813</v>
      </c>
      <c r="DK5" t="s">
        <v>445</v>
      </c>
      <c r="DL5">
        <v>-7.3929879143834115E-2</v>
      </c>
      <c r="DM5">
        <v>77159500</v>
      </c>
      <c r="DN5">
        <v>-0.10561411306262017</v>
      </c>
      <c r="DO5">
        <v>3395715800</v>
      </c>
      <c r="DP5">
        <v>1201620400</v>
      </c>
      <c r="DQ5">
        <v>1167</v>
      </c>
      <c r="DR5">
        <v>-0.54075894393219848</v>
      </c>
      <c r="DS5">
        <v>-0.54053166280870701</v>
      </c>
      <c r="DT5" s="9">
        <v>-0.69</v>
      </c>
      <c r="DU5">
        <v>-0.57333333333333336</v>
      </c>
      <c r="DV5">
        <v>-1.2633333333333332</v>
      </c>
      <c r="DW5">
        <v>-3.0046369047619046</v>
      </c>
      <c r="DX5">
        <v>0.24004652190353271</v>
      </c>
      <c r="DY5">
        <v>-3.0004639061938265</v>
      </c>
      <c r="DZ5">
        <v>2633</v>
      </c>
      <c r="EA5">
        <v>-3.0002248719456182</v>
      </c>
      <c r="EB5">
        <v>3</v>
      </c>
      <c r="EC5">
        <v>1.457979404587853E-2</v>
      </c>
      <c r="ED5">
        <v>0.14573014402176668</v>
      </c>
      <c r="EE5" s="10">
        <v>2.0552000000000001</v>
      </c>
      <c r="EF5">
        <v>2.0347</v>
      </c>
      <c r="EG5">
        <v>14.100046521903533</v>
      </c>
      <c r="EH5" t="s">
        <v>300</v>
      </c>
      <c r="EI5">
        <v>0</v>
      </c>
      <c r="EJ5">
        <v>0</v>
      </c>
      <c r="EK5" s="12">
        <v>45470</v>
      </c>
      <c r="EL5" s="13">
        <v>0.24</v>
      </c>
      <c r="EM5" s="13">
        <v>-2.19</v>
      </c>
      <c r="EN5" s="13">
        <v>1.37</v>
      </c>
      <c r="EO5" s="13">
        <v>1.72</v>
      </c>
      <c r="EP5" s="13">
        <v>-2.0499999999999998</v>
      </c>
    </row>
    <row r="6" spans="1:146" ht="156" x14ac:dyDescent="0.25">
      <c r="A6" s="6" t="s">
        <v>150</v>
      </c>
      <c r="B6" s="6" t="s">
        <v>151</v>
      </c>
      <c r="C6" s="6" t="str">
        <f>"公司专业从事新型厨房电器产品的研发、设计、生产与销售业务，主要产品包括集成灶、集成水槽、集成洗碗机、厨柜、嵌入式电器、燃气热水器等系列产品。"&amp;CHAR(10)&amp;Basic_Fundamental_Information_Constructure(F6)&amp;CHAR(10)&amp;Basic_Fundamental_Information_Concatenate("集成灶 20.39亿 87.92% 88.41% 46.37%
水洗类产品 1.32亿 5.70% 4.88% 39.47%
其他 1.17亿 5.04% 3.90% 35.69%
其他业务 3113.84万 1.34% 2.81% 96.47%")</f>
        <v>公司专业从事新型厨房电器产品的研发、设计、生产与销售业务，主要产品包括集成灶、集成水槽、集成洗碗机、厨柜、嵌入式电器、燃气热水器等系列产品。
市值50.909049亿, 利润3688.23万; PE21.64; 平均PE22.88; 平均PEG6.51, PB3.21; ROIC16.1333%; ROE20.16%; 股利率4.8232%; 毛利46.2467%; 净利13.7933%; 上一年度营收增-84.72%, 利润增-88.29%; 当季营收增-66.02%, 利润增-72.88%; 过往5年营收增3.51%, 利润增21.34%
Income profile:
集成灶 20.39亿 87.92% 88.41% 46.37%
水洗类产品 1.32亿 5.70% 4.88% 39.47%
其他 1.17亿 5.04% 3.90% 35.69%
其他业务 3113.84万 1.34% 2.81% 96.47%</v>
      </c>
      <c r="D6" t="s">
        <v>86</v>
      </c>
      <c r="E6" t="s">
        <v>87</v>
      </c>
      <c r="F6">
        <v>12.44</v>
      </c>
      <c r="G6">
        <v>0.24</v>
      </c>
      <c r="H6" t="s">
        <v>446</v>
      </c>
      <c r="I6">
        <v>5090904900</v>
      </c>
      <c r="J6">
        <v>21.64</v>
      </c>
      <c r="K6">
        <v>3.21</v>
      </c>
      <c r="L6" t="s">
        <v>54</v>
      </c>
      <c r="M6" t="s">
        <v>301</v>
      </c>
      <c r="N6" t="s">
        <v>301</v>
      </c>
      <c r="O6" t="s">
        <v>302</v>
      </c>
      <c r="P6">
        <v>-15.44</v>
      </c>
      <c r="Q6" t="s">
        <v>302</v>
      </c>
      <c r="R6">
        <v>36882283</v>
      </c>
      <c r="S6" s="5">
        <v>-0.2452</v>
      </c>
      <c r="T6" t="s">
        <v>447</v>
      </c>
      <c r="U6">
        <v>294070400</v>
      </c>
      <c r="V6">
        <v>409236730</v>
      </c>
      <c r="W6">
        <v>1.89</v>
      </c>
      <c r="X6">
        <v>0.11</v>
      </c>
      <c r="Y6">
        <v>11.21</v>
      </c>
      <c r="Z6" t="s">
        <v>411</v>
      </c>
      <c r="AA6" t="s">
        <v>111</v>
      </c>
      <c r="AB6" t="s">
        <v>448</v>
      </c>
      <c r="AC6" t="s">
        <v>449</v>
      </c>
      <c r="AD6" t="s">
        <v>20</v>
      </c>
      <c r="AE6">
        <v>-6151570</v>
      </c>
      <c r="AF6" t="s">
        <v>304</v>
      </c>
      <c r="AG6" t="s">
        <v>450</v>
      </c>
      <c r="AH6" t="s">
        <v>305</v>
      </c>
      <c r="AI6" t="s">
        <v>451</v>
      </c>
      <c r="AJ6" t="s">
        <v>306</v>
      </c>
      <c r="AK6" t="s">
        <v>20</v>
      </c>
      <c r="AL6" t="s">
        <v>307</v>
      </c>
      <c r="AM6" t="s">
        <v>20</v>
      </c>
      <c r="AN6" t="s">
        <v>452</v>
      </c>
      <c r="AO6" t="s">
        <v>453</v>
      </c>
      <c r="AP6" t="s">
        <v>454</v>
      </c>
      <c r="AQ6" t="s">
        <v>455</v>
      </c>
      <c r="AR6" t="s">
        <v>20</v>
      </c>
      <c r="AS6" t="s">
        <v>456</v>
      </c>
      <c r="AT6" t="s">
        <v>20</v>
      </c>
      <c r="AU6" t="s">
        <v>457</v>
      </c>
      <c r="AV6" t="s">
        <v>458</v>
      </c>
      <c r="AW6" t="s">
        <v>459</v>
      </c>
      <c r="AX6" t="s">
        <v>252</v>
      </c>
      <c r="AY6" t="s">
        <v>132</v>
      </c>
      <c r="AZ6" t="s">
        <v>88</v>
      </c>
      <c r="BA6" t="s">
        <v>90</v>
      </c>
      <c r="BB6" t="s">
        <v>91</v>
      </c>
      <c r="BC6" t="s">
        <v>253</v>
      </c>
      <c r="BD6" t="s">
        <v>133</v>
      </c>
      <c r="BE6" t="s">
        <v>89</v>
      </c>
      <c r="BF6" t="s">
        <v>92</v>
      </c>
      <c r="BG6" t="s">
        <v>93</v>
      </c>
      <c r="BH6" t="s">
        <v>303</v>
      </c>
      <c r="BI6" t="s">
        <v>460</v>
      </c>
      <c r="BJ6" t="s">
        <v>252</v>
      </c>
      <c r="BK6" t="s">
        <v>141</v>
      </c>
      <c r="BL6" t="s">
        <v>461</v>
      </c>
      <c r="BM6" t="s">
        <v>253</v>
      </c>
      <c r="BN6">
        <v>8.36</v>
      </c>
      <c r="BO6">
        <v>15.24</v>
      </c>
      <c r="BP6">
        <v>24.8</v>
      </c>
      <c r="BQ6">
        <v>13.38</v>
      </c>
      <c r="BR6">
        <v>20.09</v>
      </c>
      <c r="BS6">
        <v>27.01</v>
      </c>
      <c r="BT6" t="s">
        <v>238</v>
      </c>
      <c r="BU6" t="s">
        <v>54</v>
      </c>
      <c r="BV6">
        <v>47.63</v>
      </c>
      <c r="BW6">
        <v>45</v>
      </c>
      <c r="BX6">
        <v>46.11</v>
      </c>
      <c r="BY6">
        <v>11.49</v>
      </c>
      <c r="BZ6">
        <v>13.73</v>
      </c>
      <c r="CA6">
        <v>16.16</v>
      </c>
      <c r="CB6">
        <v>-2.96</v>
      </c>
      <c r="CC6">
        <v>-27.51</v>
      </c>
      <c r="CD6" t="s">
        <v>462</v>
      </c>
      <c r="CE6" t="s">
        <v>463</v>
      </c>
      <c r="CF6" s="7">
        <v>-0.66015625</v>
      </c>
      <c r="CG6" s="8">
        <v>-0.7288067426470588</v>
      </c>
      <c r="CH6" s="7">
        <v>-0.84716731309890747</v>
      </c>
      <c r="CI6" s="7">
        <v>-1.8111309036612511E-2</v>
      </c>
      <c r="CJ6" s="7">
        <v>0.43680301308631897</v>
      </c>
      <c r="CK6" s="7">
        <v>0.2171945720911026</v>
      </c>
      <c r="CL6" s="7">
        <v>0.38702929019927979</v>
      </c>
      <c r="CM6" s="8">
        <v>-0.88291329145431519</v>
      </c>
      <c r="CN6" s="8">
        <v>-0.16223403811454773</v>
      </c>
      <c r="CO6" s="8">
        <v>0.36727273464202881</v>
      </c>
      <c r="CP6" s="8">
        <v>0.1458333283662796</v>
      </c>
      <c r="CQ6" s="8">
        <v>1.5988707542419434</v>
      </c>
      <c r="CR6">
        <v>22.876528472508223</v>
      </c>
      <c r="CS6">
        <v>6.5083231413727045</v>
      </c>
      <c r="CT6">
        <v>4.823151125401929</v>
      </c>
      <c r="CU6" s="7">
        <v>3.5149650648236275E-2</v>
      </c>
      <c r="CV6" s="8">
        <v>0.21336589753627777</v>
      </c>
      <c r="CW6">
        <v>0.06</v>
      </c>
      <c r="CX6">
        <v>141.3447602888304</v>
      </c>
      <c r="CY6">
        <v>36017641.4717957</v>
      </c>
      <c r="CZ6">
        <v>3.5149650648236275E-2</v>
      </c>
      <c r="DA6">
        <v>48.399801233523561</v>
      </c>
      <c r="DB6">
        <v>105184417.50281081</v>
      </c>
      <c r="DC6">
        <v>3.3392168115824461E-2</v>
      </c>
      <c r="DD6">
        <v>25.328068975482044</v>
      </c>
      <c r="DE6">
        <v>200998540.58862811</v>
      </c>
      <c r="DF6">
        <v>3.0931692570447922E-2</v>
      </c>
      <c r="DG6">
        <v>16.264835560177186</v>
      </c>
      <c r="DH6">
        <v>313000699.03347617</v>
      </c>
      <c r="DI6">
        <v>2.811972051858902E-2</v>
      </c>
      <c r="DJ6">
        <v>9.6720995484807197</v>
      </c>
      <c r="DK6">
        <v>526349514.34093463</v>
      </c>
      <c r="DL6">
        <v>2.4604755453765392E-2</v>
      </c>
      <c r="DM6">
        <v>36882300</v>
      </c>
      <c r="DN6">
        <v>3.5149650648236275E-2</v>
      </c>
      <c r="DO6">
        <v>5090904900</v>
      </c>
      <c r="DP6">
        <v>1046241800</v>
      </c>
      <c r="DQ6">
        <v>2350</v>
      </c>
      <c r="DR6">
        <v>-0.69530590064823627</v>
      </c>
      <c r="DS6">
        <v>-0.94217264018333657</v>
      </c>
      <c r="DT6" s="9">
        <v>-0.42333333333333339</v>
      </c>
      <c r="DU6">
        <v>-0.59</v>
      </c>
      <c r="DV6">
        <v>-1.0133333333333334</v>
      </c>
      <c r="DW6">
        <v>-8.1075972373682301</v>
      </c>
      <c r="DX6">
        <v>0.2628906614786003</v>
      </c>
      <c r="DY6">
        <v>-8.0110707509260877</v>
      </c>
      <c r="DZ6">
        <v>267</v>
      </c>
      <c r="EA6">
        <v>-8.0104922987739808</v>
      </c>
      <c r="EB6">
        <v>8</v>
      </c>
      <c r="EC6">
        <v>6.4615167851624661E-2</v>
      </c>
      <c r="ED6">
        <v>0.62799837150492321</v>
      </c>
      <c r="EE6" s="10">
        <v>4.0050999999999997</v>
      </c>
      <c r="EF6">
        <v>4.0140099999999999</v>
      </c>
      <c r="EG6">
        <v>16.1028906614786</v>
      </c>
      <c r="EH6" t="s">
        <v>464</v>
      </c>
      <c r="EI6">
        <v>0</v>
      </c>
      <c r="EJ6">
        <v>1</v>
      </c>
      <c r="EK6" s="12">
        <v>45470</v>
      </c>
      <c r="EL6" s="13">
        <v>1.03</v>
      </c>
      <c r="EM6" s="13">
        <v>-3.34</v>
      </c>
      <c r="EN6" s="13">
        <v>1.23</v>
      </c>
      <c r="EO6" s="13">
        <v>0.1</v>
      </c>
      <c r="EP6" s="13">
        <v>-1.91</v>
      </c>
    </row>
    <row r="7" spans="1:146" ht="96" x14ac:dyDescent="0.25">
      <c r="A7" s="6"/>
      <c r="B7" s="6"/>
      <c r="C7" s="6" t="str">
        <f>""&amp;CHAR(10)&amp;Basic_Fundamental_Information_Constructure(F7)&amp;CHAR(10)&amp;Basic_Fundamental_Information_Concatenate("")</f>
        <v xml:space="preserve">
市值35.789236亿, 利润452.71万; PE25.05; 平均PE28.9; 平均PEG98.22, PB2.5; ROIC14.91%; ROE16.04%; 股利率3.867%; 毛利46.67%; 净利16.0233%; 上一年度营收增-90.05%, 利润增-97.84%; 当季营收增-79.42%, 利润增-96.44%; 过往5年营收增.29%, 利润增4.69%
Income profile:
</v>
      </c>
      <c r="D7" t="s">
        <v>94</v>
      </c>
      <c r="E7" t="s">
        <v>95</v>
      </c>
      <c r="F7">
        <v>25.86</v>
      </c>
      <c r="G7">
        <v>1.45</v>
      </c>
      <c r="H7" t="s">
        <v>465</v>
      </c>
      <c r="I7">
        <v>3578923600</v>
      </c>
      <c r="J7">
        <v>25.05</v>
      </c>
      <c r="K7">
        <v>2.5</v>
      </c>
      <c r="L7" t="s">
        <v>54</v>
      </c>
      <c r="M7" t="s">
        <v>308</v>
      </c>
      <c r="N7" t="s">
        <v>466</v>
      </c>
      <c r="O7" t="s">
        <v>309</v>
      </c>
      <c r="P7">
        <v>-44.49</v>
      </c>
      <c r="Q7" t="s">
        <v>309</v>
      </c>
      <c r="R7">
        <v>4527079</v>
      </c>
      <c r="S7" s="5">
        <v>-0.88880000000000003</v>
      </c>
      <c r="T7" t="s">
        <v>467</v>
      </c>
      <c r="U7">
        <v>129166064</v>
      </c>
      <c r="V7">
        <v>138396120</v>
      </c>
      <c r="W7">
        <v>1.53</v>
      </c>
      <c r="X7">
        <v>0.05</v>
      </c>
      <c r="Y7">
        <v>3.57</v>
      </c>
      <c r="Z7" t="s">
        <v>339</v>
      </c>
      <c r="AA7" t="s">
        <v>468</v>
      </c>
      <c r="AB7" t="s">
        <v>469</v>
      </c>
      <c r="AC7" t="s">
        <v>470</v>
      </c>
      <c r="AD7" t="s">
        <v>20</v>
      </c>
      <c r="AE7">
        <v>-1842957</v>
      </c>
      <c r="AF7" t="s">
        <v>250</v>
      </c>
      <c r="AG7" t="s">
        <v>471</v>
      </c>
      <c r="AH7" t="s">
        <v>312</v>
      </c>
      <c r="AI7" t="s">
        <v>472</v>
      </c>
      <c r="AJ7" t="s">
        <v>313</v>
      </c>
      <c r="AK7" t="s">
        <v>20</v>
      </c>
      <c r="AL7" t="s">
        <v>314</v>
      </c>
      <c r="AM7" t="s">
        <v>20</v>
      </c>
      <c r="AN7" t="s">
        <v>473</v>
      </c>
      <c r="AO7" t="s">
        <v>20</v>
      </c>
      <c r="AP7" t="s">
        <v>474</v>
      </c>
      <c r="AQ7" t="s">
        <v>475</v>
      </c>
      <c r="AR7" t="s">
        <v>20</v>
      </c>
      <c r="AS7" t="s">
        <v>476</v>
      </c>
      <c r="AT7" t="s">
        <v>20</v>
      </c>
      <c r="AU7" t="s">
        <v>477</v>
      </c>
      <c r="AV7" t="s">
        <v>478</v>
      </c>
      <c r="AW7" t="s">
        <v>479</v>
      </c>
      <c r="AX7" t="s">
        <v>255</v>
      </c>
      <c r="AY7" t="s">
        <v>134</v>
      </c>
      <c r="AZ7" t="s">
        <v>96</v>
      </c>
      <c r="BA7" t="s">
        <v>98</v>
      </c>
      <c r="BB7" t="s">
        <v>99</v>
      </c>
      <c r="BC7" t="s">
        <v>135</v>
      </c>
      <c r="BD7" t="s">
        <v>135</v>
      </c>
      <c r="BE7" t="s">
        <v>97</v>
      </c>
      <c r="BF7" t="s">
        <v>100</v>
      </c>
      <c r="BG7" t="s">
        <v>101</v>
      </c>
      <c r="BH7" t="s">
        <v>310</v>
      </c>
      <c r="BI7" t="s">
        <v>480</v>
      </c>
      <c r="BJ7" t="s">
        <v>255</v>
      </c>
      <c r="BK7" t="s">
        <v>311</v>
      </c>
      <c r="BL7" t="s">
        <v>309</v>
      </c>
      <c r="BM7" t="s">
        <v>135</v>
      </c>
      <c r="BN7">
        <v>11.67</v>
      </c>
      <c r="BO7">
        <v>15.08</v>
      </c>
      <c r="BP7">
        <v>17.98</v>
      </c>
      <c r="BQ7">
        <v>12.6</v>
      </c>
      <c r="BR7">
        <v>16.57</v>
      </c>
      <c r="BS7">
        <v>18.95</v>
      </c>
      <c r="BT7" t="s">
        <v>315</v>
      </c>
      <c r="BU7" t="s">
        <v>54</v>
      </c>
      <c r="BV7">
        <v>48.66</v>
      </c>
      <c r="BW7">
        <v>46.62</v>
      </c>
      <c r="BX7">
        <v>44.73</v>
      </c>
      <c r="BY7">
        <v>14.59</v>
      </c>
      <c r="BZ7">
        <v>16.440000000000001</v>
      </c>
      <c r="CA7">
        <v>17.04</v>
      </c>
      <c r="CB7">
        <v>1.65</v>
      </c>
      <c r="CC7">
        <v>9.48</v>
      </c>
      <c r="CD7" t="s">
        <v>481</v>
      </c>
      <c r="CE7" t="s">
        <v>482</v>
      </c>
      <c r="CF7" s="7">
        <v>-0.79416531604538088</v>
      </c>
      <c r="CG7" s="8">
        <v>-0.96435370866141734</v>
      </c>
      <c r="CH7" s="7">
        <v>-0.90047019720077515</v>
      </c>
      <c r="CI7" s="7">
        <v>3.7398375570774078E-2</v>
      </c>
      <c r="CJ7" s="7">
        <v>0.7178770899772644</v>
      </c>
      <c r="CK7" s="7">
        <v>9.3129768967628479E-2</v>
      </c>
      <c r="CL7" s="7">
        <v>6.677524745464325E-2</v>
      </c>
      <c r="CM7" s="8">
        <v>-0.97844237089157104</v>
      </c>
      <c r="CN7" s="8">
        <v>0</v>
      </c>
      <c r="CO7" s="8">
        <v>0.4583333432674408</v>
      </c>
      <c r="CP7" s="8">
        <v>0.46436706185340881</v>
      </c>
      <c r="CQ7" s="8">
        <v>0.29012459516525269</v>
      </c>
      <c r="CR7">
        <v>28.897818984956235</v>
      </c>
      <c r="CS7">
        <v>98.223180032528987</v>
      </c>
      <c r="CT7">
        <v>3.8669760247486464</v>
      </c>
      <c r="CU7" s="7">
        <v>2.942056953907013E-3</v>
      </c>
      <c r="CV7" s="8">
        <v>4.6876525878906249E-2</v>
      </c>
      <c r="CW7">
        <v>0.06</v>
      </c>
      <c r="CX7">
        <v>682.38174175748031</v>
      </c>
      <c r="CY7">
        <v>4283414.1377698416</v>
      </c>
      <c r="CZ7">
        <v>2.942056953907013E-3</v>
      </c>
      <c r="DA7">
        <v>240.22496014629834</v>
      </c>
      <c r="DB7">
        <v>12167443.375658896</v>
      </c>
      <c r="DC7">
        <v>2.7949541062116624E-3</v>
      </c>
      <c r="DD7">
        <v>130.17406619802986</v>
      </c>
      <c r="DE7">
        <v>22453962.493216161</v>
      </c>
      <c r="DF7">
        <v>2.5890101194381717E-3</v>
      </c>
      <c r="DG7">
        <v>86.691665695069915</v>
      </c>
      <c r="DH7">
        <v>33716316.056045331</v>
      </c>
      <c r="DI7">
        <v>2.3536455631256105E-3</v>
      </c>
      <c r="DJ7">
        <v>55.299315058040975</v>
      </c>
      <c r="DK7">
        <v>52856415.9778862</v>
      </c>
      <c r="DL7">
        <v>2.0594398677349088E-3</v>
      </c>
      <c r="DM7">
        <v>4527100</v>
      </c>
      <c r="DN7">
        <v>2.942056953907013E-3</v>
      </c>
      <c r="DO7">
        <v>2922923600</v>
      </c>
      <c r="DP7">
        <v>1309159600</v>
      </c>
      <c r="DQ7">
        <v>2367</v>
      </c>
      <c r="DR7">
        <v>-0.79710737299928791</v>
      </c>
      <c r="DS7">
        <v>-1.0112302345403237</v>
      </c>
      <c r="DT7" s="9">
        <v>-0.50666666666666671</v>
      </c>
      <c r="DU7">
        <v>-0.42333333333333339</v>
      </c>
      <c r="DV7">
        <v>-0.93000000000000016</v>
      </c>
      <c r="DW7">
        <v>2.0948000000000002</v>
      </c>
      <c r="DX7">
        <v>0.52208006370821181</v>
      </c>
      <c r="DY7">
        <v>2.0144171900395382</v>
      </c>
      <c r="DZ7">
        <v>102</v>
      </c>
      <c r="EA7">
        <v>2.0141294105123304</v>
      </c>
      <c r="EB7">
        <v>2</v>
      </c>
      <c r="EC7">
        <v>4.7192074459890924E-2</v>
      </c>
      <c r="ED7">
        <v>0.31031072258384124</v>
      </c>
      <c r="EE7" s="10">
        <v>-1.0122</v>
      </c>
      <c r="EF7">
        <v>-1.00461</v>
      </c>
      <c r="EG7">
        <v>37.152080063708212</v>
      </c>
      <c r="EH7" t="s">
        <v>483</v>
      </c>
      <c r="EI7">
        <v>1</v>
      </c>
      <c r="EJ7">
        <v>1</v>
      </c>
      <c r="EK7" s="12">
        <v>45470</v>
      </c>
      <c r="EL7" s="13">
        <v>-2.38</v>
      </c>
      <c r="EM7" s="13">
        <v>-2.3199999999999998</v>
      </c>
      <c r="EN7" s="13">
        <v>0.68</v>
      </c>
      <c r="EO7" s="13">
        <v>0.34</v>
      </c>
      <c r="EP7" s="13">
        <v>-1.68</v>
      </c>
    </row>
    <row r="8" spans="1:146" ht="96" x14ac:dyDescent="0.25">
      <c r="A8" s="6"/>
      <c r="B8" s="6"/>
      <c r="C8" s="6" t="str">
        <f>""&amp;CHAR(10)&amp;Basic_Fundamental_Information_Constructure(F8)&amp;CHAR(10)&amp;Basic_Fundamental_Information_Concatenate("")</f>
        <v xml:space="preserve">
市值28.81468亿, 利润-5238.36万; PE17.25; 平均PE95.94; 平均PEG8.17, PB.732; ROIC5.46%; ROE5.8267%; 股利率2.2034%; 毛利29.5067%; 净利5.28%; 上一年度营收增-81.27%, 利润增-120.23%; 当季营收增-64.58%, 利润增-156.55%; 过往5年营收增-11.74%, 利润增29.86%
Income profile:
</v>
      </c>
      <c r="D8" t="s">
        <v>102</v>
      </c>
      <c r="E8" t="s">
        <v>103</v>
      </c>
      <c r="F8">
        <v>3.54</v>
      </c>
      <c r="G8">
        <v>1.1399999999999999</v>
      </c>
      <c r="H8" t="s">
        <v>484</v>
      </c>
      <c r="I8">
        <v>2881468000</v>
      </c>
      <c r="J8">
        <v>17.25</v>
      </c>
      <c r="K8">
        <v>0.73199999999999998</v>
      </c>
      <c r="L8" t="s">
        <v>54</v>
      </c>
      <c r="M8" t="s">
        <v>316</v>
      </c>
      <c r="N8" t="s">
        <v>485</v>
      </c>
      <c r="O8" t="s">
        <v>317</v>
      </c>
      <c r="P8">
        <v>-16.25</v>
      </c>
      <c r="Q8" t="s">
        <v>317</v>
      </c>
      <c r="R8">
        <v>-52383625</v>
      </c>
      <c r="S8" s="5">
        <v>-3.867</v>
      </c>
      <c r="T8" t="s">
        <v>486</v>
      </c>
      <c r="U8">
        <v>806139760</v>
      </c>
      <c r="V8">
        <v>813974000</v>
      </c>
      <c r="W8">
        <v>1.75</v>
      </c>
      <c r="X8">
        <v>0.1</v>
      </c>
      <c r="Y8">
        <v>-7.63</v>
      </c>
      <c r="Z8" t="s">
        <v>487</v>
      </c>
      <c r="AA8" t="s">
        <v>488</v>
      </c>
      <c r="AB8" t="s">
        <v>489</v>
      </c>
      <c r="AC8" t="s">
        <v>490</v>
      </c>
      <c r="AD8" t="s">
        <v>20</v>
      </c>
      <c r="AE8">
        <v>-2545502</v>
      </c>
      <c r="AF8" t="s">
        <v>320</v>
      </c>
      <c r="AG8" t="s">
        <v>491</v>
      </c>
      <c r="AH8" t="s">
        <v>321</v>
      </c>
      <c r="AI8" t="s">
        <v>492</v>
      </c>
      <c r="AJ8" t="s">
        <v>322</v>
      </c>
      <c r="AK8" t="s">
        <v>493</v>
      </c>
      <c r="AL8" t="s">
        <v>323</v>
      </c>
      <c r="AM8" t="s">
        <v>20</v>
      </c>
      <c r="AN8" t="s">
        <v>494</v>
      </c>
      <c r="AO8" t="s">
        <v>114</v>
      </c>
      <c r="AP8" t="s">
        <v>495</v>
      </c>
      <c r="AQ8" t="s">
        <v>496</v>
      </c>
      <c r="AR8" t="s">
        <v>20</v>
      </c>
      <c r="AS8" t="s">
        <v>497</v>
      </c>
      <c r="AT8" t="s">
        <v>20</v>
      </c>
      <c r="AU8" t="s">
        <v>498</v>
      </c>
      <c r="AV8" t="s">
        <v>499</v>
      </c>
      <c r="AW8" t="s">
        <v>334</v>
      </c>
      <c r="AX8" t="s">
        <v>256</v>
      </c>
      <c r="AY8" t="s">
        <v>136</v>
      </c>
      <c r="AZ8" t="s">
        <v>104</v>
      </c>
      <c r="BA8" t="s">
        <v>105</v>
      </c>
      <c r="BB8" t="s">
        <v>106</v>
      </c>
      <c r="BC8" t="s">
        <v>241</v>
      </c>
      <c r="BD8" t="s">
        <v>137</v>
      </c>
      <c r="BE8" t="s">
        <v>85</v>
      </c>
      <c r="BF8" t="s">
        <v>107</v>
      </c>
      <c r="BG8" t="s">
        <v>108</v>
      </c>
      <c r="BH8" t="s">
        <v>318</v>
      </c>
      <c r="BI8" t="s">
        <v>500</v>
      </c>
      <c r="BJ8" t="s">
        <v>256</v>
      </c>
      <c r="BK8" t="s">
        <v>319</v>
      </c>
      <c r="BL8" t="s">
        <v>501</v>
      </c>
      <c r="BM8" t="s">
        <v>241</v>
      </c>
      <c r="BN8">
        <v>3.97</v>
      </c>
      <c r="BO8">
        <v>6.71</v>
      </c>
      <c r="BP8">
        <v>5.7</v>
      </c>
      <c r="BQ8">
        <v>4.42</v>
      </c>
      <c r="BR8">
        <v>6.94</v>
      </c>
      <c r="BS8">
        <v>6.12</v>
      </c>
      <c r="BT8" t="s">
        <v>324</v>
      </c>
      <c r="BU8" t="s">
        <v>54</v>
      </c>
      <c r="BV8">
        <v>29.13</v>
      </c>
      <c r="BW8">
        <v>29.88</v>
      </c>
      <c r="BX8">
        <v>29.51</v>
      </c>
      <c r="BY8">
        <v>4.12</v>
      </c>
      <c r="BZ8">
        <v>6.62</v>
      </c>
      <c r="CA8">
        <v>5.0999999999999996</v>
      </c>
      <c r="CB8">
        <v>-0.84</v>
      </c>
      <c r="CC8">
        <v>-16.350000000000001</v>
      </c>
      <c r="CD8" t="s">
        <v>502</v>
      </c>
      <c r="CE8" t="s">
        <v>503</v>
      </c>
      <c r="CF8" s="7">
        <v>-0.64580300824842307</v>
      </c>
      <c r="CG8" s="8">
        <v>-1.5655250609155085</v>
      </c>
      <c r="CH8" s="7">
        <v>-0.81267642974853516</v>
      </c>
      <c r="CI8" s="7">
        <v>-7.346651703119278E-2</v>
      </c>
      <c r="CJ8" s="7">
        <v>0.18712957203388214</v>
      </c>
      <c r="CK8" s="7">
        <v>5.2584730088710785E-2</v>
      </c>
      <c r="CL8" s="7">
        <v>5.9490066021680832E-2</v>
      </c>
      <c r="CM8" s="8">
        <v>-1.2022533416748047</v>
      </c>
      <c r="CN8" s="8">
        <v>0.21596243977546692</v>
      </c>
      <c r="CO8" s="8">
        <v>0.25294119119644165</v>
      </c>
      <c r="CP8" s="8">
        <v>1.0585722923278809</v>
      </c>
      <c r="CQ8" s="8">
        <v>1.1678485870361328</v>
      </c>
      <c r="CR8">
        <v>95.94344884152369</v>
      </c>
      <c r="CS8">
        <v>8.1732103097208313</v>
      </c>
      <c r="CT8">
        <v>2.2033898305084745</v>
      </c>
      <c r="CU8" s="7">
        <v>-0.11738771572709084</v>
      </c>
      <c r="CV8" s="8">
        <v>0.29861423373222351</v>
      </c>
      <c r="CW8">
        <v>0.06</v>
      </c>
      <c r="CX8" t="e">
        <v>#VALUE!</v>
      </c>
      <c r="CY8" t="s">
        <v>504</v>
      </c>
      <c r="CZ8">
        <v>-0.11738771572709084</v>
      </c>
      <c r="DA8" t="e">
        <v>#VALUE!</v>
      </c>
      <c r="DB8" t="s">
        <v>505</v>
      </c>
      <c r="DC8">
        <v>-0.11151832994073629</v>
      </c>
      <c r="DD8" t="e">
        <v>#VALUE!</v>
      </c>
      <c r="DE8" t="s">
        <v>505</v>
      </c>
      <c r="DF8">
        <v>-0.10330118983983994</v>
      </c>
      <c r="DG8" t="e">
        <v>#VALUE!</v>
      </c>
      <c r="DH8" t="s">
        <v>505</v>
      </c>
      <c r="DI8">
        <v>-9.3910172581672668E-2</v>
      </c>
      <c r="DJ8" t="e">
        <v>#VALUE!</v>
      </c>
      <c r="DK8" t="s">
        <v>505</v>
      </c>
      <c r="DL8">
        <v>-8.2171401008963585E-2</v>
      </c>
      <c r="DM8">
        <v>-52383600</v>
      </c>
      <c r="DN8">
        <v>-0.11738771572709084</v>
      </c>
      <c r="DO8">
        <v>1925468000.0000005</v>
      </c>
      <c r="DP8">
        <v>-3762100</v>
      </c>
      <c r="DQ8">
        <v>4120</v>
      </c>
      <c r="DR8">
        <v>-0.52841529252133224</v>
      </c>
      <c r="DS8">
        <v>-1.864139294647732</v>
      </c>
      <c r="DT8" s="9">
        <v>-0.64</v>
      </c>
      <c r="DU8">
        <v>-0.93166666666666664</v>
      </c>
      <c r="DV8">
        <v>-1.5716666666666668</v>
      </c>
      <c r="DW8">
        <v>-3.0039583333333333</v>
      </c>
      <c r="DX8">
        <v>0.36621387283236828</v>
      </c>
      <c r="DY8">
        <v>-3.0004600132466281</v>
      </c>
      <c r="DZ8">
        <v>2687</v>
      </c>
      <c r="EA8">
        <v>-3.000218123697961</v>
      </c>
      <c r="EB8">
        <v>3</v>
      </c>
      <c r="EC8">
        <v>2.4699806136313937E-2</v>
      </c>
      <c r="ED8">
        <v>0.21253750119782697</v>
      </c>
      <c r="EE8" s="10">
        <v>-1.0313099999999999</v>
      </c>
      <c r="EF8">
        <v>-1.0504100000000001</v>
      </c>
      <c r="EG8">
        <v>25.116213872832368</v>
      </c>
      <c r="EH8" t="s">
        <v>483</v>
      </c>
      <c r="EI8">
        <v>0</v>
      </c>
      <c r="EJ8">
        <v>0</v>
      </c>
      <c r="EK8" s="12">
        <v>45470</v>
      </c>
      <c r="EL8" s="13">
        <v>1.67</v>
      </c>
      <c r="EM8" s="13">
        <v>-2.39</v>
      </c>
      <c r="EN8" s="13">
        <v>7.0000000000000007E-2</v>
      </c>
      <c r="EO8" s="13">
        <v>1.89</v>
      </c>
      <c r="EP8" s="13">
        <v>-1.91</v>
      </c>
    </row>
    <row r="9" spans="1:146" ht="96" x14ac:dyDescent="0.25">
      <c r="A9" s="6"/>
      <c r="B9" s="6"/>
      <c r="C9" s="6" t="str">
        <f>""&amp;CHAR(10)&amp;Basic_Fundamental_Information_Constructure(F9)&amp;CHAR(10)&amp;Basic_Fundamental_Information_Concatenate("")</f>
        <v xml:space="preserve">
市值39.05009亿, 利润5203.71万; PE12.44; 平均PE21.65; 平均PEG1.67, PB2.32; ROIC9.0933%; ROE10.16%; 股利率8.222%; 毛利44.2633%; 净利10.1533%; 上一年度营收增-79.73%, 利润增-78.32%; 当季营收增-55.8%, 利润增-63.35%; 过往5年营收增-12.93%, 利润增94.06%
Income profile:
</v>
      </c>
      <c r="D9" t="s">
        <v>109</v>
      </c>
      <c r="E9" t="s">
        <v>325</v>
      </c>
      <c r="F9">
        <v>9.73</v>
      </c>
      <c r="G9">
        <v>1.1399999999999999</v>
      </c>
      <c r="H9" t="s">
        <v>506</v>
      </c>
      <c r="I9">
        <v>3905009000</v>
      </c>
      <c r="J9">
        <v>12.44</v>
      </c>
      <c r="K9">
        <v>2.3199999999999998</v>
      </c>
      <c r="L9" t="s">
        <v>54</v>
      </c>
      <c r="M9" t="s">
        <v>326</v>
      </c>
      <c r="N9" t="s">
        <v>507</v>
      </c>
      <c r="O9" t="s">
        <v>327</v>
      </c>
      <c r="P9">
        <v>10.06</v>
      </c>
      <c r="Q9" t="s">
        <v>327</v>
      </c>
      <c r="R9">
        <v>52037119</v>
      </c>
      <c r="S9" s="5">
        <v>9.8199999999999996E-2</v>
      </c>
      <c r="T9" t="s">
        <v>508</v>
      </c>
      <c r="U9">
        <v>399688000</v>
      </c>
      <c r="V9">
        <v>401337000</v>
      </c>
      <c r="W9">
        <v>1.39</v>
      </c>
      <c r="X9">
        <v>0.16</v>
      </c>
      <c r="Y9">
        <v>14.4</v>
      </c>
      <c r="Z9" t="s">
        <v>343</v>
      </c>
      <c r="AA9" t="s">
        <v>287</v>
      </c>
      <c r="AB9" t="s">
        <v>509</v>
      </c>
      <c r="AC9" t="s">
        <v>510</v>
      </c>
      <c r="AD9" t="s">
        <v>20</v>
      </c>
      <c r="AE9">
        <v>-7735680</v>
      </c>
      <c r="AF9" t="s">
        <v>330</v>
      </c>
      <c r="AG9" t="s">
        <v>511</v>
      </c>
      <c r="AH9" t="s">
        <v>331</v>
      </c>
      <c r="AI9" t="s">
        <v>512</v>
      </c>
      <c r="AJ9" t="s">
        <v>332</v>
      </c>
      <c r="AK9" t="s">
        <v>513</v>
      </c>
      <c r="AL9" t="s">
        <v>333</v>
      </c>
      <c r="AM9" t="s">
        <v>20</v>
      </c>
      <c r="AN9" t="s">
        <v>514</v>
      </c>
      <c r="AO9" t="s">
        <v>515</v>
      </c>
      <c r="AP9" t="s">
        <v>453</v>
      </c>
      <c r="AQ9" t="s">
        <v>299</v>
      </c>
      <c r="AR9" t="s">
        <v>20</v>
      </c>
      <c r="AS9" t="s">
        <v>516</v>
      </c>
      <c r="AT9" t="s">
        <v>20</v>
      </c>
      <c r="AU9" t="s">
        <v>517</v>
      </c>
      <c r="AV9" t="s">
        <v>518</v>
      </c>
      <c r="AW9" t="s">
        <v>519</v>
      </c>
      <c r="AX9" t="s">
        <v>257</v>
      </c>
      <c r="AY9" t="s">
        <v>138</v>
      </c>
      <c r="AZ9" t="s">
        <v>110</v>
      </c>
      <c r="BA9" t="s">
        <v>112</v>
      </c>
      <c r="BB9" t="s">
        <v>81</v>
      </c>
      <c r="BC9" t="s">
        <v>92</v>
      </c>
      <c r="BD9" t="s">
        <v>139</v>
      </c>
      <c r="BE9" t="s">
        <v>111</v>
      </c>
      <c r="BF9" t="s">
        <v>113</v>
      </c>
      <c r="BG9" t="s">
        <v>114</v>
      </c>
      <c r="BH9" t="s">
        <v>328</v>
      </c>
      <c r="BI9" t="s">
        <v>520</v>
      </c>
      <c r="BJ9" t="s">
        <v>257</v>
      </c>
      <c r="BK9" t="s">
        <v>329</v>
      </c>
      <c r="BL9" t="s">
        <v>270</v>
      </c>
      <c r="BM9" t="s">
        <v>92</v>
      </c>
      <c r="BN9">
        <v>12.76</v>
      </c>
      <c r="BO9">
        <v>13.62</v>
      </c>
      <c r="BP9">
        <v>0.9</v>
      </c>
      <c r="BQ9">
        <v>13.09</v>
      </c>
      <c r="BR9">
        <v>15.55</v>
      </c>
      <c r="BS9">
        <v>1.84</v>
      </c>
      <c r="BT9" t="s">
        <v>335</v>
      </c>
      <c r="BU9" t="s">
        <v>54</v>
      </c>
      <c r="BV9">
        <v>47.48</v>
      </c>
      <c r="BW9">
        <v>44.35</v>
      </c>
      <c r="BX9">
        <v>40.96</v>
      </c>
      <c r="BY9">
        <v>15.65</v>
      </c>
      <c r="BZ9">
        <v>13.01</v>
      </c>
      <c r="CA9">
        <v>1.8</v>
      </c>
      <c r="CB9">
        <v>-0.71</v>
      </c>
      <c r="CC9">
        <v>-12.42</v>
      </c>
      <c r="CD9" t="s">
        <v>521</v>
      </c>
      <c r="CE9" t="s">
        <v>522</v>
      </c>
      <c r="CF9" s="7">
        <v>-0.55800464037122965</v>
      </c>
      <c r="CG9" s="8">
        <v>-0.63354141549295773</v>
      </c>
      <c r="CH9" s="7">
        <v>-0.79734045267105103</v>
      </c>
      <c r="CI9" s="7">
        <v>-8.6491741240024567E-2</v>
      </c>
      <c r="CJ9" s="7">
        <v>0.29190212488174438</v>
      </c>
      <c r="CK9" s="7">
        <v>-3.4545492380857468E-2</v>
      </c>
      <c r="CL9" s="7">
        <v>-2.0190022885799408E-2</v>
      </c>
      <c r="CM9" s="8">
        <v>-0.78317874670028687</v>
      </c>
      <c r="CN9" s="8">
        <v>6.7290201187133789</v>
      </c>
      <c r="CO9" s="8">
        <v>-0.8357047438621521</v>
      </c>
      <c r="CP9" s="8">
        <v>-0.29477611184120178</v>
      </c>
      <c r="CQ9" s="8">
        <v>-0.11258278042078018</v>
      </c>
      <c r="CR9">
        <v>21.652614678886366</v>
      </c>
      <c r="CS9">
        <v>1.6741740402389846</v>
      </c>
      <c r="CT9">
        <v>8.2219938335046248</v>
      </c>
      <c r="CU9" s="7">
        <v>-0.12933311685919763</v>
      </c>
      <c r="CV9" s="8">
        <v>0.94055554717779155</v>
      </c>
      <c r="CW9">
        <v>0.06</v>
      </c>
      <c r="CX9">
        <v>57.67056580785632</v>
      </c>
      <c r="CY9" t="s">
        <v>523</v>
      </c>
      <c r="CZ9">
        <v>-0.12933311685919763</v>
      </c>
      <c r="DA9">
        <v>19.223521935952107</v>
      </c>
      <c r="DB9" t="s">
        <v>524</v>
      </c>
      <c r="DC9">
        <v>-0.12286646101623774</v>
      </c>
      <c r="DD9">
        <v>9.6117609679760534</v>
      </c>
      <c r="DE9" t="s">
        <v>525</v>
      </c>
      <c r="DF9">
        <v>-0.11381314283609391</v>
      </c>
      <c r="DG9">
        <v>5.7670565807856322</v>
      </c>
      <c r="DH9" t="s">
        <v>526</v>
      </c>
      <c r="DI9">
        <v>-0.1034664934873581</v>
      </c>
      <c r="DJ9">
        <v>2.8835282903928161</v>
      </c>
      <c r="DK9" t="s">
        <v>527</v>
      </c>
      <c r="DL9">
        <v>-9.0533181801438337E-2</v>
      </c>
      <c r="DM9">
        <v>52037100</v>
      </c>
      <c r="DN9">
        <v>-0.12933311685919763</v>
      </c>
      <c r="DO9">
        <v>3001009000</v>
      </c>
      <c r="DP9">
        <v>954026600</v>
      </c>
      <c r="DQ9">
        <v>4179</v>
      </c>
      <c r="DR9">
        <v>-0.42867152351203203</v>
      </c>
      <c r="DS9">
        <v>-1.5740969626707493</v>
      </c>
      <c r="DT9" s="9">
        <v>-0.64</v>
      </c>
      <c r="DU9">
        <v>-0.84</v>
      </c>
      <c r="DV9">
        <v>-1.48</v>
      </c>
      <c r="DW9">
        <v>-2.1242000000000001</v>
      </c>
      <c r="DX9">
        <v>0.26273748723187068</v>
      </c>
      <c r="DY9">
        <v>-2.0102759959141983</v>
      </c>
      <c r="DZ9">
        <v>539</v>
      </c>
      <c r="EA9">
        <v>-2.0091920894958513</v>
      </c>
      <c r="EB9">
        <v>2</v>
      </c>
      <c r="EC9">
        <v>1.6670777924786398E-2</v>
      </c>
      <c r="ED9">
        <v>0.2014900196094554</v>
      </c>
      <c r="EE9" s="10">
        <v>2.0193099999999999</v>
      </c>
      <c r="EF9">
        <v>2.0689099999999998</v>
      </c>
      <c r="EG9">
        <v>18.082737487231871</v>
      </c>
      <c r="EH9" t="s">
        <v>273</v>
      </c>
      <c r="EI9">
        <v>0</v>
      </c>
      <c r="EJ9">
        <v>1</v>
      </c>
      <c r="EK9" s="12">
        <v>45470</v>
      </c>
      <c r="EL9" s="13">
        <v>-0.08</v>
      </c>
      <c r="EM9" s="13">
        <v>-0.57999999999999996</v>
      </c>
      <c r="EN9" s="13">
        <v>-2.2400000000000002</v>
      </c>
      <c r="EO9" s="13">
        <v>1.47</v>
      </c>
      <c r="EP9" s="13">
        <v>-4.96</v>
      </c>
    </row>
    <row r="10" spans="1:146" ht="96" x14ac:dyDescent="0.25">
      <c r="A10" s="6"/>
      <c r="B10" s="6"/>
      <c r="C10" s="6" t="str">
        <f>""&amp;CHAR(10)&amp;Basic_Fundamental_Information_Constructure(F10)&amp;CHAR(10)&amp;Basic_Fundamental_Information_Concatenate("")</f>
        <v xml:space="preserve">
市值20.725607亿, 利润2223.34万; PE12.06; 平均PE12.42; 平均PEG1.51, PB1.04; ROIC9.4667%; ROE10.67%; 股利率5.4867%; 毛利46.3967%; 净利23.57%; 上一年度营收增-87.63%, 利润增-89.61%; 当季营收增-74.23%, 利润增-80.5%; 过往5年营收增-8.2%, 利润增-9.63%
Income profile:
</v>
      </c>
      <c r="D10" t="s">
        <v>115</v>
      </c>
      <c r="E10" t="s">
        <v>116</v>
      </c>
      <c r="F10">
        <v>11.3</v>
      </c>
      <c r="G10">
        <v>2.63</v>
      </c>
      <c r="H10" t="s">
        <v>528</v>
      </c>
      <c r="I10">
        <v>2072560700</v>
      </c>
      <c r="J10">
        <v>12.06</v>
      </c>
      <c r="K10">
        <v>1.04</v>
      </c>
      <c r="L10" t="s">
        <v>54</v>
      </c>
      <c r="M10" t="s">
        <v>336</v>
      </c>
      <c r="N10" t="s">
        <v>529</v>
      </c>
      <c r="O10" t="s">
        <v>254</v>
      </c>
      <c r="P10">
        <v>-32.96</v>
      </c>
      <c r="Q10" t="s">
        <v>254</v>
      </c>
      <c r="R10">
        <v>22233384</v>
      </c>
      <c r="S10" s="5">
        <v>-0.44500000000000001</v>
      </c>
      <c r="T10" t="s">
        <v>530</v>
      </c>
      <c r="U10">
        <v>183412450</v>
      </c>
      <c r="V10">
        <v>183412450</v>
      </c>
      <c r="W10">
        <v>1.1299999999999999</v>
      </c>
      <c r="X10">
        <v>0.05</v>
      </c>
      <c r="Y10">
        <v>18.940000000000001</v>
      </c>
      <c r="Z10" t="s">
        <v>531</v>
      </c>
      <c r="AA10" t="s">
        <v>532</v>
      </c>
      <c r="AB10" t="s">
        <v>533</v>
      </c>
      <c r="AC10" t="s">
        <v>534</v>
      </c>
      <c r="AD10" t="s">
        <v>20</v>
      </c>
      <c r="AE10">
        <v>-12317783</v>
      </c>
      <c r="AF10" t="s">
        <v>250</v>
      </c>
      <c r="AG10" t="s">
        <v>535</v>
      </c>
      <c r="AH10" t="s">
        <v>340</v>
      </c>
      <c r="AI10" t="s">
        <v>536</v>
      </c>
      <c r="AJ10" t="s">
        <v>341</v>
      </c>
      <c r="AK10" t="s">
        <v>537</v>
      </c>
      <c r="AL10" t="s">
        <v>342</v>
      </c>
      <c r="AM10" t="s">
        <v>20</v>
      </c>
      <c r="AN10" t="s">
        <v>538</v>
      </c>
      <c r="AO10" t="s">
        <v>20</v>
      </c>
      <c r="AP10" t="s">
        <v>539</v>
      </c>
      <c r="AQ10" t="s">
        <v>540</v>
      </c>
      <c r="AR10" t="s">
        <v>20</v>
      </c>
      <c r="AS10" t="s">
        <v>541</v>
      </c>
      <c r="AT10" t="s">
        <v>20</v>
      </c>
      <c r="AU10" t="s">
        <v>542</v>
      </c>
      <c r="AV10" t="s">
        <v>543</v>
      </c>
      <c r="AW10" t="s">
        <v>544</v>
      </c>
      <c r="AX10" t="s">
        <v>259</v>
      </c>
      <c r="AY10" t="s">
        <v>140</v>
      </c>
      <c r="AZ10" t="s">
        <v>117</v>
      </c>
      <c r="BA10" t="s">
        <v>119</v>
      </c>
      <c r="BB10" t="s">
        <v>21</v>
      </c>
      <c r="BC10" t="s">
        <v>260</v>
      </c>
      <c r="BD10" t="s">
        <v>141</v>
      </c>
      <c r="BE10" t="s">
        <v>118</v>
      </c>
      <c r="BF10" t="s">
        <v>36</v>
      </c>
      <c r="BG10" t="s">
        <v>65</v>
      </c>
      <c r="BH10" t="s">
        <v>337</v>
      </c>
      <c r="BI10" t="s">
        <v>545</v>
      </c>
      <c r="BJ10" t="s">
        <v>259</v>
      </c>
      <c r="BK10" t="s">
        <v>338</v>
      </c>
      <c r="BL10" t="s">
        <v>546</v>
      </c>
      <c r="BM10" t="s">
        <v>260</v>
      </c>
      <c r="BN10">
        <v>6.17</v>
      </c>
      <c r="BO10">
        <v>9.73</v>
      </c>
      <c r="BP10">
        <v>12.5</v>
      </c>
      <c r="BQ10">
        <v>7</v>
      </c>
      <c r="BR10">
        <v>11.24</v>
      </c>
      <c r="BS10">
        <v>13.77</v>
      </c>
      <c r="BT10" t="s">
        <v>251</v>
      </c>
      <c r="BU10" t="s">
        <v>54</v>
      </c>
      <c r="BV10">
        <v>46.86</v>
      </c>
      <c r="BW10">
        <v>46.09</v>
      </c>
      <c r="BX10">
        <v>46.24</v>
      </c>
      <c r="BY10">
        <v>22.84</v>
      </c>
      <c r="BZ10">
        <v>22.65</v>
      </c>
      <c r="CA10">
        <v>25.22</v>
      </c>
      <c r="CB10">
        <v>0.27</v>
      </c>
      <c r="CC10">
        <v>-15.17</v>
      </c>
      <c r="CD10" t="s">
        <v>547</v>
      </c>
      <c r="CE10" t="s">
        <v>548</v>
      </c>
      <c r="CF10" s="7">
        <v>-0.74229074889867841</v>
      </c>
      <c r="CG10" s="8">
        <v>-0.80497031578947364</v>
      </c>
      <c r="CH10" s="7">
        <v>-0.87632137537002563</v>
      </c>
      <c r="CI10" s="7">
        <v>-3.2719835638999939E-2</v>
      </c>
      <c r="CJ10" s="7">
        <v>0.36974790692329407</v>
      </c>
      <c r="CK10" s="7">
        <v>2.2922636941075325E-2</v>
      </c>
      <c r="CL10" s="7">
        <v>0.10618066787719727</v>
      </c>
      <c r="CM10" s="8">
        <v>-0.89610558748245239</v>
      </c>
      <c r="CN10" s="8">
        <v>-0.13360324501991272</v>
      </c>
      <c r="CO10" s="8">
        <v>0.27319586277008057</v>
      </c>
      <c r="CP10" s="8">
        <v>0.1149425283074379</v>
      </c>
      <c r="CQ10" s="8">
        <v>0.15999999642372131</v>
      </c>
      <c r="CR10">
        <v>12.420045316107112</v>
      </c>
      <c r="CS10">
        <v>1.5139380943328151</v>
      </c>
      <c r="CT10">
        <v>5.4867256637168138</v>
      </c>
      <c r="CU10" s="7">
        <v>-8.2037999853491778E-2</v>
      </c>
      <c r="CV10" s="8">
        <v>-9.6314089000225062E-2</v>
      </c>
      <c r="CW10">
        <v>0.06</v>
      </c>
      <c r="CX10">
        <v>18.825762141642755</v>
      </c>
      <c r="CY10" t="s">
        <v>549</v>
      </c>
      <c r="CZ10">
        <v>-8.2037999853491778E-2</v>
      </c>
      <c r="DA10">
        <v>6.2752540472142515</v>
      </c>
      <c r="DB10" t="s">
        <v>550</v>
      </c>
      <c r="DC10">
        <v>-7.793609986081719E-2</v>
      </c>
      <c r="DD10">
        <v>3.1376270236071258</v>
      </c>
      <c r="DE10" t="s">
        <v>551</v>
      </c>
      <c r="DF10">
        <v>-7.2193439871072768E-2</v>
      </c>
      <c r="DG10">
        <v>1.8825762141642755</v>
      </c>
      <c r="DH10" t="s">
        <v>552</v>
      </c>
      <c r="DI10">
        <v>-6.5630399882793428E-2</v>
      </c>
      <c r="DJ10">
        <v>0.94128810708213773</v>
      </c>
      <c r="DK10" t="s">
        <v>553</v>
      </c>
      <c r="DL10">
        <v>-5.7426599897444239E-2</v>
      </c>
      <c r="DM10">
        <v>22233400</v>
      </c>
      <c r="DN10">
        <v>-8.2037999853491778E-2</v>
      </c>
      <c r="DO10">
        <v>418560700</v>
      </c>
      <c r="DP10">
        <v>1466452700</v>
      </c>
      <c r="DQ10">
        <v>4511</v>
      </c>
      <c r="DR10">
        <v>-0.6602527490451866</v>
      </c>
      <c r="DS10">
        <v>-0.70865622678924856</v>
      </c>
      <c r="DT10" s="9">
        <v>-0.64</v>
      </c>
      <c r="DU10">
        <v>-0.54</v>
      </c>
      <c r="DV10">
        <v>-1.1800000000000002</v>
      </c>
      <c r="DW10">
        <v>-2.1516999999999999</v>
      </c>
      <c r="DX10">
        <v>0.37403023459286588</v>
      </c>
      <c r="DY10">
        <v>-2.0157813865877379</v>
      </c>
      <c r="DZ10">
        <v>1731</v>
      </c>
      <c r="EA10">
        <v>-2.0104354804853162</v>
      </c>
      <c r="EB10">
        <v>2</v>
      </c>
      <c r="EC10">
        <v>2.3532208418785092E-2</v>
      </c>
      <c r="ED10">
        <v>0.22620547296543936</v>
      </c>
      <c r="EE10" s="10">
        <v>-1.01281</v>
      </c>
      <c r="EF10">
        <v>-1.0336099999999999</v>
      </c>
      <c r="EG10">
        <v>27.104030234592866</v>
      </c>
      <c r="EH10" t="s">
        <v>483</v>
      </c>
      <c r="EI10">
        <v>0</v>
      </c>
      <c r="EJ10">
        <v>0</v>
      </c>
      <c r="EK10" s="12">
        <v>45470</v>
      </c>
      <c r="EL10" s="13">
        <v>0.1</v>
      </c>
      <c r="EM10" s="13">
        <v>-3.37</v>
      </c>
      <c r="EN10" s="13">
        <v>0.2</v>
      </c>
      <c r="EO10" s="13">
        <v>3.17</v>
      </c>
      <c r="EP10" s="13">
        <v>-2.08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'Basic_Fundamental_Tabel_Update_Buttom &quot;厨卫电器&quot;,&quot;&quot;'" altText="更新基本面按钮_x000a_">
                <anchor moveWithCells="1" sizeWithCells="1">
                  <from>
                    <xdr:col>147</xdr:col>
                    <xdr:colOff>381000</xdr:colOff>
                    <xdr:row>0</xdr:row>
                    <xdr:rowOff>88900</xdr:rowOff>
                  </from>
                  <to>
                    <xdr:col>147</xdr:col>
                    <xdr:colOff>1498600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厨卫电器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2024-07-07T15:25:52Z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